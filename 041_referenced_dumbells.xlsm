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abc\OneDrive\xlor.la\01._xlorla_courses\01._excel_basico\09._graficas_avanzadas\04._published\"/>
    </mc:Choice>
  </mc:AlternateContent>
  <xr:revisionPtr revIDLastSave="0" documentId="13_ncr:1_{D83F05D4-5092-425F-AA8B-A730E10FBEEF}" xr6:coauthVersionLast="47" xr6:coauthVersionMax="47" xr10:uidLastSave="{00000000-0000-0000-0000-000000000000}"/>
  <bookViews>
    <workbookView xWindow="-96" yWindow="-96" windowWidth="23232" windowHeight="13872" activeTab="2" xr2:uid="{34B87F71-98EA-4DA2-9FEA-F8F5A6F8DF02}"/>
  </bookViews>
  <sheets>
    <sheet name="inspiration" sheetId="7" r:id="rId1"/>
    <sheet name="example" sheetId="4" r:id="rId2"/>
    <sheet name="thank you!" sheetId="1" r:id="rId3"/>
  </sheets>
  <functionGroups builtInGroupCount="19"/>
  <definedNames>
    <definedName name="_02_channels">_xlfn.ANCHORARRAY(example!$I$11)</definedName>
    <definedName name="_03_channel_slicer">#N/A</definedName>
    <definedName name="_04_categories">_xlfn.ANCHORARRAY(example!$M$11)</definedName>
    <definedName name="_05_category_slicer">#N/A</definedName>
    <definedName name="_06_subcategory_slicer">#N/A</definedName>
    <definedName name="_07_client_type">_xlfn.ANCHORARRAY(example!$T$11)</definedName>
    <definedName name="_08_client_type_slicer">#N/A</definedName>
    <definedName name="_09_sort_by_selection">_xlfn.ANCHORARRAY(example!$X$13)</definedName>
    <definedName name="_10_Sort_By_slicer">#N/A</definedName>
    <definedName name="_11_sort_type">_xlfn.ANCHORARRAY(example!$AA$13)</definedName>
    <definedName name="_12_Sort_type_slicer">#N/A</definedName>
    <definedName name="_13_subcategories">_xlfn.ANCHORARRAY(example!$AI$20)</definedName>
    <definedName name="_14_online_channel">_xlfn.ANCHORARRAY(example!$AJ$20)</definedName>
    <definedName name="_15_instore_channel">_xlfn.ANCHORARRAY(example!$AK$20)</definedName>
    <definedName name="_16_variance">_xlfn.ANCHORARRAY(example!$AL$20)</definedName>
    <definedName name="_17_y_position">_xlfn.ANCHORARRAY(example!$AM$20)</definedName>
    <definedName name="_18_labels_pos">_xlfn.ANCHORARRAY(example!$AN$20)</definedName>
    <definedName name="_19_x_pos_1">_xlfn.ANCHORARRAY(example!$AQ$20)</definedName>
    <definedName name="_20_y_pos_1">_xlfn.ANCHORARRAY(example!$AR$20)</definedName>
    <definedName name="_21_x_pos_2">_xlfn.ANCHORARRAY(example!$AS$20)</definedName>
    <definedName name="_22_y_pos_2">_xlfn.ANCHORARRAY(example!$AT$20)</definedName>
    <definedName name="_xlpm.client_type_count" hidden="1" xlm="1">#NAME?</definedName>
    <definedName name="_xlpm.combinations" hidden="1" xlm="1">#NAME?</definedName>
    <definedName name="_xlpm.instore_values" hidden="1" xlm="1">#NAME?</definedName>
    <definedName name="_xlpm.min" hidden="1" xlm="1">#NAME?</definedName>
    <definedName name="_xlpm.online_values" hidden="1" xlm="1">#NAME?</definedName>
    <definedName name="_xlpm.parameter" hidden="1" xlm="1">#NAME?</definedName>
    <definedName name="_xlpm.result_array" hidden="1" xlm="1">#NAME?</definedName>
    <definedName name="_xlpm.SortBySelection" hidden="1" xlm="1">#NAME?</definedName>
    <definedName name="_xlpm.subcategories" hidden="1" xlm="1">#NAME?</definedName>
    <definedName name="_xlpm.total_values" hidden="1" xlm="1">#NAME?</definedName>
  </definedNames>
  <calcPr calcId="191029"/>
  <pivotCaches>
    <pivotCache cacheId="0" r:id="rId4"/>
    <pivotCache cacheId="1" r:id="rId5"/>
    <pivotCache cacheId="2" r:id="rId6"/>
    <pivotCache cacheId="3" r:id="rId7"/>
    <pivotCache cacheId="4"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9" i="4" l="1"/>
  <c r="K8" i="4"/>
  <c r="M11" i="4" a="1"/>
  <c r="M11" i="4" s="1"/>
  <c r="I11" i="4" a="1"/>
  <c r="I11" i="4" s="1"/>
  <c r="AM8" i="4"/>
  <c r="AE12" i="4" a="1"/>
  <c r="AJ19" i="4"/>
  <c r="AK19" i="4"/>
  <c r="X13" i="4" a="1"/>
  <c r="X13" i="4" s="1"/>
  <c r="AA13" i="4" a="1"/>
  <c r="AA13" i="4" s="1"/>
  <c r="AE11" i="4" a="1"/>
  <c r="AE11" i="4" s="1"/>
  <c r="T11" i="4" a="1"/>
  <c r="T11" i="4" s="1"/>
  <c r="AE12" i="4" l="1"/>
  <c r="AI20" i="4" l="1" a="1"/>
  <c r="AI20" i="4" s="1"/>
  <c r="AM20" i="4" s="1" a="1"/>
  <c r="AM20" i="4" s="1"/>
  <c r="AK20" i="4" l="1" a="1"/>
  <c r="AK20" i="4" s="1"/>
  <c r="AJ20" i="4" a="1"/>
  <c r="AJ20" i="4" s="1"/>
  <c r="AQ9" i="4" l="1" a="1"/>
  <c r="AQ9" i="4" s="1"/>
  <c r="AP9" i="4" a="1"/>
  <c r="AP9" i="4" s="1"/>
  <c r="AN20" i="4" s="1" a="1"/>
  <c r="AN20" i="4" s="1"/>
  <c r="AK8" i="4"/>
  <c r="AK7" i="4"/>
  <c r="AK6" i="4" s="1"/>
  <c r="AL20" i="4" a="1"/>
  <c r="AL20" i="4" s="1"/>
  <c r="AJ8" i="4"/>
  <c r="AP20" i="4" a="1"/>
  <c r="AP20" i="4" s="1"/>
  <c r="AJ7" i="4"/>
  <c r="AJ6" i="4" s="1"/>
  <c r="AS9" i="4" a="1"/>
  <c r="AS9" i="4" l="1"/>
  <c r="AJ10" i="4"/>
  <c r="AQ20" i="4" s="1" a="1"/>
  <c r="AQ20" i="4" s="1"/>
  <c r="AR20" i="4" s="1" a="1"/>
  <c r="AR20" i="4" s="1"/>
  <c r="AJ11" i="4"/>
  <c r="AK10" i="4"/>
  <c r="AS20" i="4" s="1" a="1"/>
  <c r="AS20" i="4" s="1"/>
  <c r="AT20" i="4" s="1" a="1"/>
  <c r="AT20" i="4" s="1"/>
  <c r="AK11"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<sst xmlns="http://schemas.openxmlformats.org/spreadsheetml/2006/main" count="858" uniqueCount="85">
  <si>
    <t>LinkedIn:</t>
  </si>
  <si>
    <t>https://www.linkedin.com/in/merod/</t>
  </si>
  <si>
    <t>channel</t>
  </si>
  <si>
    <t>category</t>
  </si>
  <si>
    <t>subcategory</t>
  </si>
  <si>
    <t>client type</t>
  </si>
  <si>
    <t>Value</t>
  </si>
  <si>
    <t>In store</t>
  </si>
  <si>
    <t>Ventiladores</t>
  </si>
  <si>
    <t>Bookstores</t>
  </si>
  <si>
    <t>Retailers</t>
  </si>
  <si>
    <t>Wholesaler</t>
  </si>
  <si>
    <t>Ollas</t>
  </si>
  <si>
    <t>Depiladores</t>
  </si>
  <si>
    <t>Rizadores</t>
  </si>
  <si>
    <t>Licuadoras</t>
  </si>
  <si>
    <t>Planchas</t>
  </si>
  <si>
    <t>Dispensadores</t>
  </si>
  <si>
    <t>Air Coolers</t>
  </si>
  <si>
    <t>Sandwicheras</t>
  </si>
  <si>
    <t>Radios</t>
  </si>
  <si>
    <t>Hervidores</t>
  </si>
  <si>
    <t>Hornos</t>
  </si>
  <si>
    <t>Exprimidores</t>
  </si>
  <si>
    <t>Dvds</t>
  </si>
  <si>
    <t>Extractores</t>
  </si>
  <si>
    <t>Cepillos</t>
  </si>
  <si>
    <t>Batidoras</t>
  </si>
  <si>
    <t>Laceadores</t>
  </si>
  <si>
    <t>Cafeteras</t>
  </si>
  <si>
    <t>Televisores</t>
  </si>
  <si>
    <t>Diversion</t>
  </si>
  <si>
    <t>Otros</t>
  </si>
  <si>
    <t>Secadoras</t>
  </si>
  <si>
    <t>Tostadoras</t>
  </si>
  <si>
    <t>Estufas</t>
  </si>
  <si>
    <t>Blu Rays</t>
  </si>
  <si>
    <t>Fun Products</t>
  </si>
  <si>
    <t>Combos</t>
  </si>
  <si>
    <t>Freidoras</t>
  </si>
  <si>
    <t>Aspiradoras</t>
  </si>
  <si>
    <t>Cortadoras</t>
  </si>
  <si>
    <t>Masajeadores</t>
  </si>
  <si>
    <t>Online</t>
  </si>
  <si>
    <t>On Pinterest:</t>
  </si>
  <si>
    <t>https://www.pinterest.com/pin/761812093230193876/</t>
  </si>
  <si>
    <t>color palette:</t>
  </si>
  <si>
    <t>https://coolors.co/ffffff-f1eaf3-b993c0-762a83-d6dadf-009688-5cbcb2-e6f5f3</t>
  </si>
  <si>
    <t>Domestic Appliances</t>
  </si>
  <si>
    <t>Small Appliances</t>
  </si>
  <si>
    <t>***</t>
  </si>
  <si>
    <t>Average:</t>
  </si>
  <si>
    <t>StDev:</t>
  </si>
  <si>
    <t>StDev parameter:</t>
  </si>
  <si>
    <t>y pos</t>
  </si>
  <si>
    <t>chart title:</t>
  </si>
  <si>
    <t>array</t>
  </si>
  <si>
    <t>x pos 1</t>
  </si>
  <si>
    <t>x pos 2</t>
  </si>
  <si>
    <t>labels pos</t>
  </si>
  <si>
    <t>variance</t>
  </si>
  <si>
    <t>low:</t>
  </si>
  <si>
    <t>high:</t>
  </si>
  <si>
    <t>https://toebr.github.io/ggplot2_extended_dumbbell_plot_tutorial/</t>
  </si>
  <si>
    <t>Direct Link:</t>
  </si>
  <si>
    <t>HEX codes</t>
  </si>
  <si>
    <t>y pos 2</t>
  </si>
  <si>
    <t>(In store)</t>
  </si>
  <si>
    <t>(Online)</t>
  </si>
  <si>
    <t>Sort order</t>
  </si>
  <si>
    <t>Sort Order</t>
  </si>
  <si>
    <t>Link to Jon Peltier's UDF:</t>
  </si>
  <si>
    <t>https://peltiertech.com/chart-udf-control-axis-scale/</t>
  </si>
  <si>
    <t>The links below were provided by Jon Peltier</t>
  </si>
  <si>
    <t>Functions That Do Things</t>
  </si>
  <si>
    <t>http://dailydoseofexcel.com/archives/2004/12/22/functions-that-do-things/</t>
  </si>
  <si>
    <t>In Cell Charting</t>
  </si>
  <si>
    <t>http://dailydoseofexcel.com/archives/2006/02/05/in-cell-charting/</t>
  </si>
  <si>
    <t>Modifying Shapes (And Charts) With UDFs</t>
  </si>
  <si>
    <t>http://dailydoseofexcel.com/archives/2007/01/12/modifying-shapes-and-charts-with-udfs/</t>
  </si>
  <si>
    <t>Link to Mark Proctor's UDF:</t>
  </si>
  <si>
    <t>https://exceloffthegrid.com/chart-axis-min-mix/</t>
  </si>
  <si>
    <t>min:</t>
  </si>
  <si>
    <t>max:</t>
  </si>
  <si>
    <t>major: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</si>
</sst>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8"/>
      <color theme="1"/>
      <name val="Calibri"/>
      <family val="2"/>
      <scheme val="minor"/>
    </font>
    <font>
      <sz val="8"/>
      <color theme="1"/>
      <name val="Body Font"/>
      <family val="2"/>
    </font>
    <font>
      <u/>
      <sz val="8"/>
      <color theme="10"/>
      <name val="Calibri"/>
      <family val="2"/>
      <scheme val="minor"/>
    </font>
    <font>
      <sz val="11"/>
      <color theme="1"/>
      <name val="Calibri"/>
      <family val="2"/>
      <scheme val="minor"/>
    </font>
    <font>
      <u/>
      <sz val="11"/>
      <color theme="10"/>
      <name val="Calibri"/>
      <family val="2"/>
      <scheme val="minor"/>
    </font>
    <font>
      <sz val="11"/>
      <color theme="10"/>
      <name val="Calibri"/>
      <family val="2"/>
      <scheme val="minor"/>
    </font>
    <font>
      <sz val="8"/>
      <color theme="1"/>
      <name val="Arial"/>
      <family val="2"/>
    </font>
    <font>
      <sz val="6"/>
      <color theme="1"/>
      <name val="Calibri"/>
      <family val="2"/>
      <scheme val="minor"/>
    </font>
    <font>
      <i/>
      <sz val="8"/>
      <color theme="1"/>
      <name val="Calibri"/>
      <family val="2"/>
      <scheme val="minor"/>
    </font>
    <font>
      <i/>
      <u/>
      <sz val="8"/>
      <color theme="10"/>
      <name val="Calibri"/>
      <family val="2"/>
      <scheme val="minor"/>
    </font>
    <font>
      <b/>
      <sz val="8"/>
      <color rgb="FFB993C0"/>
      <name val="Calibri"/>
      <family val="2"/>
      <scheme val="minor"/>
    </font>
    <font>
      <b/>
      <sz val="8"/>
      <color rgb="FF5CBCB2"/>
      <name val="Calibri"/>
      <family val="2"/>
      <scheme val="minor"/>
    </font>
    <font>
      <b/>
      <i/>
      <sz val="8"/>
      <color rgb="FFB993C0"/>
      <name val="Calibri"/>
      <family val="2"/>
      <scheme val="minor"/>
    </font>
    <font>
      <b/>
      <i/>
      <sz val="8"/>
      <color rgb="FF5CBCB2"/>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rgb="FF762A83"/>
        <bgColor indexed="64"/>
      </patternFill>
    </fill>
    <fill>
      <patternFill patternType="solid">
        <fgColor rgb="FF009688"/>
        <bgColor indexed="64"/>
      </patternFill>
    </fill>
    <fill>
      <patternFill patternType="solid">
        <fgColor rgb="FFB993C0"/>
        <bgColor indexed="64"/>
      </patternFill>
    </fill>
    <fill>
      <patternFill patternType="solid">
        <fgColor rgb="FF5CBCB2"/>
        <bgColor indexed="64"/>
      </patternFill>
    </fill>
  </fills>
  <borders count="1">
    <border>
      <left/>
      <right/>
      <top/>
      <bottom/>
      <diagonal/>
    </border>
  </borders>
  <cellStyleXfs count="9">
    <xf numFmtId="0" fontId="0" fillId="0" borderId="0"/>
    <xf numFmtId="0" fontId="3" fillId="0" borderId="0"/>
    <xf numFmtId="0" fontId="4" fillId="0" borderId="0" applyNumberFormat="0" applyFill="0" applyBorder="0" applyAlignment="0" applyProtection="0"/>
    <xf numFmtId="0" fontId="2" fillId="0" borderId="0" applyNumberFormat="0" applyFill="0" applyBorder="0" applyAlignment="0" applyProtection="0"/>
    <xf numFmtId="0" fontId="6" fillId="0" borderId="0"/>
    <xf numFmtId="0" fontId="3" fillId="0" borderId="0"/>
    <xf numFmtId="0" fontId="7" fillId="0" borderId="0"/>
    <xf numFmtId="0" fontId="1" fillId="0" borderId="0"/>
    <xf numFmtId="0" fontId="2" fillId="0" borderId="0" applyNumberFormat="0" applyFill="0" applyBorder="0" applyAlignment="0" applyProtection="0"/>
  </cellStyleXfs>
  <cellXfs count="24">
    <xf numFmtId="0" fontId="0" fillId="0" borderId="0" xfId="0"/>
    <xf numFmtId="0" fontId="3" fillId="0" borderId="0" xfId="1"/>
    <xf numFmtId="0" fontId="3" fillId="0" borderId="0" xfId="1" applyAlignment="1">
      <alignment horizontal="right"/>
    </xf>
    <xf numFmtId="0" fontId="5" fillId="0" borderId="0" xfId="2" applyFont="1"/>
    <xf numFmtId="0" fontId="2" fillId="0" borderId="0" xfId="3"/>
    <xf numFmtId="0" fontId="4" fillId="0" borderId="0" xfId="2"/>
    <xf numFmtId="0" fontId="3" fillId="0" borderId="0" xfId="1" quotePrefix="1"/>
    <xf numFmtId="0" fontId="8" fillId="0" borderId="0" xfId="0" applyFont="1" applyAlignment="1">
      <alignment horizontal="right"/>
    </xf>
    <xf numFmtId="0" fontId="9" fillId="0" borderId="0" xfId="8" applyFont="1"/>
    <xf numFmtId="0" fontId="0" fillId="0" borderId="0" xfId="0" applyAlignment="1">
      <alignment horizontal="right"/>
    </xf>
    <xf numFmtId="0" fontId="2" fillId="0" borderId="0" xfId="8"/>
    <xf numFmtId="0" fontId="0" fillId="2" borderId="0" xfId="0" applyFill="1"/>
    <xf numFmtId="0" fontId="0" fillId="0" borderId="0" xfId="0" pivotButton="1"/>
    <xf numFmtId="0" fontId="0" fillId="3" borderId="0" xfId="0" applyFill="1"/>
    <xf numFmtId="0" fontId="0" fillId="4" borderId="0" xfId="0" applyFill="1"/>
    <xf numFmtId="0" fontId="0" fillId="5" borderId="0" xfId="0" applyFill="1"/>
    <xf numFmtId="0" fontId="0" fillId="6" borderId="0" xfId="0" applyFill="1"/>
    <xf numFmtId="0" fontId="0" fillId="0" borderId="0" xfId="0" applyAlignment="1">
      <alignment horizontal="center"/>
    </xf>
    <xf numFmtId="0" fontId="10" fillId="0" borderId="0" xfId="0" applyFont="1"/>
    <xf numFmtId="0" fontId="11" fillId="0" borderId="0" xfId="0" applyFont="1"/>
    <xf numFmtId="0" fontId="12" fillId="0" borderId="0" xfId="0" applyFont="1"/>
    <xf numFmtId="0" fontId="13" fillId="0" borderId="0" xfId="0" applyFont="1"/>
    <xf numFmtId="0" fontId="8" fillId="0" borderId="0" xfId="0" applyFont="1"/>
    <xf numFmtId="0" fontId="2" fillId="0" borderId="0" xfId="8" applyAlignment="1"/>
  </cellXfs>
  <cellStyles count="9">
    <cellStyle name="Hipervínculo 2" xfId="2" xr:uid="{89F00235-83E1-4C35-940D-EE8C3B134EA7}"/>
    <cellStyle name="Hyperlink" xfId="8" builtinId="8"/>
    <cellStyle name="Hyperlink 2" xfId="3" xr:uid="{6F5D9744-6C19-44FA-85B0-DCA646D28E0D}"/>
    <cellStyle name="Normal" xfId="0" builtinId="0"/>
    <cellStyle name="Normal 2" xfId="6" xr:uid="{73C8518C-FE5B-4B51-9E91-E5AC2E83E113}"/>
    <cellStyle name="Normal 2 2" xfId="1" xr:uid="{FDCBB484-6B02-4DA7-941D-45E22EC783D3}"/>
    <cellStyle name="Normal 3" xfId="5" xr:uid="{5FB8A2BA-9E6C-47AF-8DB3-8568132137C9}"/>
    <cellStyle name="Normal 3 2" xfId="4" xr:uid="{F1026B24-507A-4FD2-93AA-C09DD61C35D4}"/>
    <cellStyle name="Normal 4" xfId="7" xr:uid="{A3626A2D-836B-41C7-AC8A-4AD41A867F8E}"/>
  </cellStyles>
  <dxfs count="9">
    <dxf>
      <numFmt numFmtId="0" formatCode="General"/>
    </dxf>
    <dxf>
      <numFmt numFmtId="0" formatCode="General"/>
    </dxf>
    <dxf>
      <numFmt numFmtId="0" formatCode="General"/>
    </dxf>
    <dxf>
      <font>
        <sz val="8"/>
        <color theme="1" tint="0.34998626667073579"/>
        <name val="Arial"/>
        <family val="2"/>
        <scheme val="none"/>
      </font>
      <border diagonalUp="0" diagonalDown="0">
        <left/>
        <right/>
        <top/>
        <bottom/>
        <vertical/>
        <horizontal/>
      </border>
    </dxf>
    <dxf>
      <font>
        <sz val="8"/>
        <color theme="1" tint="0.34998626667073579"/>
        <name val="Arial"/>
        <family val="2"/>
        <scheme val="none"/>
      </font>
      <border diagonalUp="0" diagonalDown="0">
        <left/>
        <right/>
        <top/>
        <bottom/>
        <vertical/>
        <horizontal/>
      </border>
    </dxf>
    <dxf>
      <fill>
        <patternFill>
          <bgColor rgb="FFFAFAFA"/>
        </patternFill>
      </fill>
    </dxf>
    <dxf>
      <fill>
        <patternFill patternType="none">
          <bgColor indexed="65"/>
        </patternFill>
      </fill>
    </dxf>
    <dxf>
      <fill>
        <patternFill>
          <bgColor rgb="FFE6E6E6"/>
        </patternFill>
      </fill>
      <border>
        <bottom style="thin">
          <color rgb="FF939393"/>
        </bottom>
        <vertical style="thin">
          <color rgb="FFBFBFBF"/>
        </vertical>
      </border>
    </dxf>
    <dxf>
      <font>
        <color theme="1" tint="0.34998626667073579"/>
      </font>
      <border>
        <left style="thin">
          <color theme="0" tint="-0.24994659260841701"/>
        </left>
        <right style="thin">
          <color theme="0" tint="-0.24994659260841701"/>
        </right>
        <top style="thin">
          <color theme="0" tint="-0.24994659260841701"/>
        </top>
        <bottom style="thin">
          <color theme="0" tint="-0.24994659260841701"/>
        </bottom>
        <vertical style="thin">
          <color rgb="FFEAEAEA"/>
        </vertical>
        <horizontal style="thin">
          <color rgb="FFEAEAEA"/>
        </horizontal>
      </border>
    </dxf>
  </dxfs>
  <tableStyles count="2" defaultTableStyle="TableStyleMedium2" defaultPivotStyle="PivotStyleLight16">
    <tableStyle name="Peltier Tech Minimal Table" pivot="0" count="4" xr9:uid="{A7DA52E9-E504-4E1A-805B-83F4DEC5A01A}">
      <tableStyleElement type="wholeTable" dxfId="8"/>
      <tableStyleElement type="headerRow" dxfId="7"/>
      <tableStyleElement type="firstRowStripe" dxfId="6"/>
      <tableStyleElement type="secondRowStripe" dxfId="5"/>
    </tableStyle>
    <tableStyle name="xlorla" pivot="0" table="0" count="10" xr9:uid="{15BEE622-1156-42AC-BB70-3DA1F62E5884}">
      <tableStyleElement type="wholeTable" dxfId="4"/>
      <tableStyleElement type="headerRow" dxfId="3"/>
    </tableStyle>
  </tableStyles>
  <colors>
    <mruColors>
      <color rgb="FF009688"/>
      <color rgb="FF762A83"/>
      <color rgb="FFB993C0"/>
      <color rgb="FF5CBCB2"/>
      <color rgb="FFEDEDE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xlorl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microsoft.com/office/2007/relationships/slicerCache" Target="slicerCaches/slicerCache5.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pivotCacheDefinition" Target="pivotCache/pivotCacheDefinition4.xml"/><Relationship Id="rId12" Type="http://schemas.microsoft.com/office/2007/relationships/slicerCache" Target="slicerCaches/slicerCache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3.xml"/><Relationship Id="rId5" Type="http://schemas.openxmlformats.org/officeDocument/2006/relationships/pivotCacheDefinition" Target="pivotCache/pivotCacheDefinition2.xml"/><Relationship Id="rId15" Type="http://schemas.openxmlformats.org/officeDocument/2006/relationships/theme" Target="theme/theme1.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pivotCacheDefinition" Target="pivotCache/pivotCacheDefinition1.xml"/><Relationship Id="rId9" Type="http://schemas.microsoft.com/office/2007/relationships/slicerCache" Target="slicerCaches/slicerCache1.xml"/><Relationship Id="rId14" Type="http://schemas.microsoft.com/office/2007/relationships/slicerCache" Target="slicerCaches/slicerCache6.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585256971083743"/>
          <c:y val="9.871476085732199E-2"/>
          <c:w val="0.6936162894168143"/>
          <c:h val="0.87546374516950565"/>
        </c:manualLayout>
      </c:layout>
      <c:scatterChart>
        <c:scatterStyle val="lineMarker"/>
        <c:varyColors val="0"/>
        <c:ser>
          <c:idx val="3"/>
          <c:order val="3"/>
          <c:tx>
            <c:strRef>
              <c:f>example!$AQ$18</c:f>
              <c:strCache>
                <c:ptCount val="1"/>
                <c:pt idx="0">
                  <c:v>(Online)</c:v>
                </c:pt>
              </c:strCache>
            </c:strRef>
          </c:tx>
          <c:spPr>
            <a:ln w="25400" cap="rnd">
              <a:noFill/>
              <a:round/>
            </a:ln>
            <a:effectLst/>
          </c:spPr>
          <c:marker>
            <c:symbol val="none"/>
          </c:marker>
          <c:errBars>
            <c:errDir val="y"/>
            <c:errBarType val="minus"/>
            <c:errValType val="fixedVal"/>
            <c:noEndCap val="1"/>
            <c:val val="1"/>
            <c:spPr>
              <a:noFill/>
              <a:ln w="6350" cap="flat" cmpd="sng" algn="ctr">
                <a:solidFill>
                  <a:srgbClr val="5CBCB2">
                    <a:alpha val="10000"/>
                  </a:srgbClr>
                </a:solidFill>
                <a:round/>
              </a:ln>
              <a:effectLst/>
            </c:spPr>
          </c:errBars>
          <c:xVal>
            <c:numRef>
              <c:f>[0]!_19_x_pos_1</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82900</c:v>
                </c:pt>
                <c:pt idx="179">
                  <c:v>82950</c:v>
                </c:pt>
                <c:pt idx="180">
                  <c:v>83000</c:v>
                </c:pt>
                <c:pt idx="181">
                  <c:v>83050</c:v>
                </c:pt>
                <c:pt idx="182">
                  <c:v>83100</c:v>
                </c:pt>
                <c:pt idx="183">
                  <c:v>83150</c:v>
                </c:pt>
                <c:pt idx="184">
                  <c:v>83200</c:v>
                </c:pt>
                <c:pt idx="185">
                  <c:v>83250</c:v>
                </c:pt>
                <c:pt idx="186">
                  <c:v>83300</c:v>
                </c:pt>
                <c:pt idx="187">
                  <c:v>83350</c:v>
                </c:pt>
                <c:pt idx="188">
                  <c:v>83400</c:v>
                </c:pt>
                <c:pt idx="189">
                  <c:v>83450</c:v>
                </c:pt>
                <c:pt idx="190">
                  <c:v>83500</c:v>
                </c:pt>
                <c:pt idx="191">
                  <c:v>83550</c:v>
                </c:pt>
                <c:pt idx="192">
                  <c:v>83600</c:v>
                </c:pt>
                <c:pt idx="193">
                  <c:v>83650</c:v>
                </c:pt>
                <c:pt idx="194">
                  <c:v>83700</c:v>
                </c:pt>
                <c:pt idx="195">
                  <c:v>83750</c:v>
                </c:pt>
                <c:pt idx="196">
                  <c:v>83800</c:v>
                </c:pt>
                <c:pt idx="197">
                  <c:v>83850</c:v>
                </c:pt>
                <c:pt idx="198">
                  <c:v>83900</c:v>
                </c:pt>
                <c:pt idx="199">
                  <c:v>83950</c:v>
                </c:pt>
                <c:pt idx="200">
                  <c:v>84000</c:v>
                </c:pt>
                <c:pt idx="201">
                  <c:v>84050</c:v>
                </c:pt>
                <c:pt idx="202">
                  <c:v>84100</c:v>
                </c:pt>
                <c:pt idx="203">
                  <c:v>84150</c:v>
                </c:pt>
                <c:pt idx="204">
                  <c:v>84200</c:v>
                </c:pt>
                <c:pt idx="205">
                  <c:v>84250</c:v>
                </c:pt>
                <c:pt idx="206">
                  <c:v>84300</c:v>
                </c:pt>
                <c:pt idx="207">
                  <c:v>84350</c:v>
                </c:pt>
                <c:pt idx="208">
                  <c:v>84400</c:v>
                </c:pt>
                <c:pt idx="209">
                  <c:v>84450</c:v>
                </c:pt>
                <c:pt idx="210">
                  <c:v>84500</c:v>
                </c:pt>
                <c:pt idx="211">
                  <c:v>84550</c:v>
                </c:pt>
                <c:pt idx="212">
                  <c:v>84600</c:v>
                </c:pt>
                <c:pt idx="213">
                  <c:v>84650</c:v>
                </c:pt>
                <c:pt idx="214">
                  <c:v>84700</c:v>
                </c:pt>
                <c:pt idx="215">
                  <c:v>84750</c:v>
                </c:pt>
                <c:pt idx="216">
                  <c:v>84800</c:v>
                </c:pt>
                <c:pt idx="217">
                  <c:v>84850</c:v>
                </c:pt>
                <c:pt idx="218">
                  <c:v>84900</c:v>
                </c:pt>
                <c:pt idx="219">
                  <c:v>84950</c:v>
                </c:pt>
                <c:pt idx="220">
                  <c:v>85000</c:v>
                </c:pt>
                <c:pt idx="221">
                  <c:v>85050</c:v>
                </c:pt>
                <c:pt idx="222">
                  <c:v>85100</c:v>
                </c:pt>
                <c:pt idx="223">
                  <c:v>85150</c:v>
                </c:pt>
                <c:pt idx="224">
                  <c:v>85200</c:v>
                </c:pt>
                <c:pt idx="225">
                  <c:v>85250</c:v>
                </c:pt>
                <c:pt idx="226">
                  <c:v>85300</c:v>
                </c:pt>
                <c:pt idx="227">
                  <c:v>85350</c:v>
                </c:pt>
                <c:pt idx="228">
                  <c:v>85400</c:v>
                </c:pt>
                <c:pt idx="229">
                  <c:v>85450</c:v>
                </c:pt>
                <c:pt idx="230">
                  <c:v>85500</c:v>
                </c:pt>
                <c:pt idx="231">
                  <c:v>85550</c:v>
                </c:pt>
                <c:pt idx="232">
                  <c:v>85600</c:v>
                </c:pt>
                <c:pt idx="233">
                  <c:v>85650</c:v>
                </c:pt>
                <c:pt idx="234">
                  <c:v>85700</c:v>
                </c:pt>
                <c:pt idx="235">
                  <c:v>85750</c:v>
                </c:pt>
                <c:pt idx="236">
                  <c:v>85800</c:v>
                </c:pt>
                <c:pt idx="237">
                  <c:v>85850</c:v>
                </c:pt>
                <c:pt idx="238">
                  <c:v>85900</c:v>
                </c:pt>
                <c:pt idx="239">
                  <c:v>85950</c:v>
                </c:pt>
                <c:pt idx="240">
                  <c:v>86000</c:v>
                </c:pt>
                <c:pt idx="241">
                  <c:v>86050</c:v>
                </c:pt>
                <c:pt idx="242">
                  <c:v>86100</c:v>
                </c:pt>
                <c:pt idx="243">
                  <c:v>86150</c:v>
                </c:pt>
                <c:pt idx="244">
                  <c:v>86200</c:v>
                </c:pt>
                <c:pt idx="245">
                  <c:v>86250</c:v>
                </c:pt>
                <c:pt idx="246">
                  <c:v>86300</c:v>
                </c:pt>
                <c:pt idx="247">
                  <c:v>86350</c:v>
                </c:pt>
                <c:pt idx="248">
                  <c:v>86400</c:v>
                </c:pt>
                <c:pt idx="249">
                  <c:v>86450</c:v>
                </c:pt>
                <c:pt idx="250">
                  <c:v>86500</c:v>
                </c:pt>
                <c:pt idx="251">
                  <c:v>86550</c:v>
                </c:pt>
                <c:pt idx="252">
                  <c:v>86600</c:v>
                </c:pt>
                <c:pt idx="253">
                  <c:v>86650</c:v>
                </c:pt>
                <c:pt idx="254">
                  <c:v>86700</c:v>
                </c:pt>
                <c:pt idx="255">
                  <c:v>86750</c:v>
                </c:pt>
                <c:pt idx="256">
                  <c:v>86800</c:v>
                </c:pt>
                <c:pt idx="257">
                  <c:v>86850</c:v>
                </c:pt>
                <c:pt idx="258">
                  <c:v>86900</c:v>
                </c:pt>
                <c:pt idx="259">
                  <c:v>86950</c:v>
                </c:pt>
                <c:pt idx="260">
                  <c:v>87000</c:v>
                </c:pt>
                <c:pt idx="261">
                  <c:v>87050</c:v>
                </c:pt>
                <c:pt idx="262">
                  <c:v>87100</c:v>
                </c:pt>
                <c:pt idx="263">
                  <c:v>87150</c:v>
                </c:pt>
                <c:pt idx="264">
                  <c:v>87200</c:v>
                </c:pt>
                <c:pt idx="265">
                  <c:v>87250</c:v>
                </c:pt>
                <c:pt idx="266">
                  <c:v>87300</c:v>
                </c:pt>
                <c:pt idx="267">
                  <c:v>87350</c:v>
                </c:pt>
                <c:pt idx="268">
                  <c:v>87400</c:v>
                </c:pt>
                <c:pt idx="269">
                  <c:v>87450</c:v>
                </c:pt>
                <c:pt idx="270">
                  <c:v>87500</c:v>
                </c:pt>
                <c:pt idx="271">
                  <c:v>87550</c:v>
                </c:pt>
                <c:pt idx="272">
                  <c:v>87600</c:v>
                </c:pt>
                <c:pt idx="273">
                  <c:v>87650</c:v>
                </c:pt>
                <c:pt idx="274">
                  <c:v>87700</c:v>
                </c:pt>
                <c:pt idx="275">
                  <c:v>87750</c:v>
                </c:pt>
                <c:pt idx="276">
                  <c:v>87800</c:v>
                </c:pt>
                <c:pt idx="277">
                  <c:v>87850</c:v>
                </c:pt>
                <c:pt idx="278">
                  <c:v>87900</c:v>
                </c:pt>
                <c:pt idx="279">
                  <c:v>87950</c:v>
                </c:pt>
                <c:pt idx="280">
                  <c:v>88000</c:v>
                </c:pt>
                <c:pt idx="281">
                  <c:v>88050</c:v>
                </c:pt>
                <c:pt idx="282">
                  <c:v>88100</c:v>
                </c:pt>
                <c:pt idx="283">
                  <c:v>88150</c:v>
                </c:pt>
                <c:pt idx="284">
                  <c:v>88200</c:v>
                </c:pt>
                <c:pt idx="285">
                  <c:v>88250</c:v>
                </c:pt>
                <c:pt idx="286">
                  <c:v>88300</c:v>
                </c:pt>
                <c:pt idx="287">
                  <c:v>88350</c:v>
                </c:pt>
                <c:pt idx="288">
                  <c:v>88400</c:v>
                </c:pt>
                <c:pt idx="289">
                  <c:v>88450</c:v>
                </c:pt>
                <c:pt idx="290">
                  <c:v>88500</c:v>
                </c:pt>
                <c:pt idx="291">
                  <c:v>88550</c:v>
                </c:pt>
                <c:pt idx="292">
                  <c:v>88600</c:v>
                </c:pt>
                <c:pt idx="293">
                  <c:v>88650</c:v>
                </c:pt>
                <c:pt idx="294">
                  <c:v>88700</c:v>
                </c:pt>
                <c:pt idx="295">
                  <c:v>88750</c:v>
                </c:pt>
                <c:pt idx="296">
                  <c:v>88800</c:v>
                </c:pt>
                <c:pt idx="297">
                  <c:v>88850</c:v>
                </c:pt>
                <c:pt idx="298">
                  <c:v>88900</c:v>
                </c:pt>
                <c:pt idx="299">
                  <c:v>88950</c:v>
                </c:pt>
                <c:pt idx="300">
                  <c:v>89000</c:v>
                </c:pt>
                <c:pt idx="301">
                  <c:v>89050</c:v>
                </c:pt>
                <c:pt idx="302">
                  <c:v>89100</c:v>
                </c:pt>
                <c:pt idx="303">
                  <c:v>89150</c:v>
                </c:pt>
                <c:pt idx="304">
                  <c:v>89200</c:v>
                </c:pt>
                <c:pt idx="305">
                  <c:v>89250</c:v>
                </c:pt>
                <c:pt idx="306">
                  <c:v>89300</c:v>
                </c:pt>
                <c:pt idx="307">
                  <c:v>89350</c:v>
                </c:pt>
                <c:pt idx="308">
                  <c:v>89400</c:v>
                </c:pt>
                <c:pt idx="309">
                  <c:v>89450</c:v>
                </c:pt>
                <c:pt idx="310">
                  <c:v>89500</c:v>
                </c:pt>
                <c:pt idx="311">
                  <c:v>89550</c:v>
                </c:pt>
                <c:pt idx="312">
                  <c:v>89600</c:v>
                </c:pt>
                <c:pt idx="313">
                  <c:v>89650</c:v>
                </c:pt>
                <c:pt idx="314">
                  <c:v>89700</c:v>
                </c:pt>
                <c:pt idx="315">
                  <c:v>89750</c:v>
                </c:pt>
                <c:pt idx="316">
                  <c:v>89800</c:v>
                </c:pt>
                <c:pt idx="317">
                  <c:v>89850</c:v>
                </c:pt>
                <c:pt idx="318">
                  <c:v>89900</c:v>
                </c:pt>
                <c:pt idx="319">
                  <c:v>89950</c:v>
                </c:pt>
                <c:pt idx="320">
                  <c:v>90000</c:v>
                </c:pt>
                <c:pt idx="321">
                  <c:v>90050</c:v>
                </c:pt>
                <c:pt idx="322">
                  <c:v>90100</c:v>
                </c:pt>
                <c:pt idx="323">
                  <c:v>90150</c:v>
                </c:pt>
                <c:pt idx="324">
                  <c:v>90200</c:v>
                </c:pt>
                <c:pt idx="325">
                  <c:v>90250</c:v>
                </c:pt>
                <c:pt idx="326">
                  <c:v>90300</c:v>
                </c:pt>
                <c:pt idx="327">
                  <c:v>90350</c:v>
                </c:pt>
                <c:pt idx="328">
                  <c:v>90400</c:v>
                </c:pt>
                <c:pt idx="329">
                  <c:v>90450</c:v>
                </c:pt>
                <c:pt idx="330">
                  <c:v>90500</c:v>
                </c:pt>
                <c:pt idx="331">
                  <c:v>90550</c:v>
                </c:pt>
                <c:pt idx="332">
                  <c:v>90600</c:v>
                </c:pt>
                <c:pt idx="333">
                  <c:v>90650</c:v>
                </c:pt>
                <c:pt idx="334">
                  <c:v>90700</c:v>
                </c:pt>
                <c:pt idx="335">
                  <c:v>90750</c:v>
                </c:pt>
                <c:pt idx="336">
                  <c:v>90800</c:v>
                </c:pt>
                <c:pt idx="337">
                  <c:v>90850</c:v>
                </c:pt>
                <c:pt idx="338">
                  <c:v>90900</c:v>
                </c:pt>
                <c:pt idx="339">
                  <c:v>90950</c:v>
                </c:pt>
                <c:pt idx="340">
                  <c:v>91000</c:v>
                </c:pt>
                <c:pt idx="341">
                  <c:v>91050</c:v>
                </c:pt>
                <c:pt idx="342">
                  <c:v>91100</c:v>
                </c:pt>
                <c:pt idx="343">
                  <c:v>91150</c:v>
                </c:pt>
                <c:pt idx="344">
                  <c:v>91200</c:v>
                </c:pt>
                <c:pt idx="345">
                  <c:v>91250</c:v>
                </c:pt>
                <c:pt idx="346">
                  <c:v>91300</c:v>
                </c:pt>
                <c:pt idx="347">
                  <c:v>91350</c:v>
                </c:pt>
                <c:pt idx="348">
                  <c:v>91400</c:v>
                </c:pt>
                <c:pt idx="349">
                  <c:v>91450</c:v>
                </c:pt>
                <c:pt idx="350">
                  <c:v>91500</c:v>
                </c:pt>
                <c:pt idx="351">
                  <c:v>91550</c:v>
                </c:pt>
                <c:pt idx="352">
                  <c:v>91600</c:v>
                </c:pt>
                <c:pt idx="353">
                  <c:v>91650</c:v>
                </c:pt>
                <c:pt idx="354">
                  <c:v>91700</c:v>
                </c:pt>
                <c:pt idx="355">
                  <c:v>91750</c:v>
                </c:pt>
                <c:pt idx="356">
                  <c:v>91800</c:v>
                </c:pt>
                <c:pt idx="357">
                  <c:v>91850</c:v>
                </c:pt>
                <c:pt idx="358">
                  <c:v>91900</c:v>
                </c:pt>
                <c:pt idx="359">
                  <c:v>91950</c:v>
                </c:pt>
                <c:pt idx="360">
                  <c:v>92000</c:v>
                </c:pt>
                <c:pt idx="361">
                  <c:v>92050</c:v>
                </c:pt>
                <c:pt idx="362">
                  <c:v>92100</c:v>
                </c:pt>
                <c:pt idx="363">
                  <c:v>92150</c:v>
                </c:pt>
                <c:pt idx="364">
                  <c:v>92200</c:v>
                </c:pt>
                <c:pt idx="365">
                  <c:v>92250</c:v>
                </c:pt>
                <c:pt idx="366">
                  <c:v>92300</c:v>
                </c:pt>
                <c:pt idx="367">
                  <c:v>92350</c:v>
                </c:pt>
                <c:pt idx="368">
                  <c:v>92400</c:v>
                </c:pt>
                <c:pt idx="369">
                  <c:v>92450</c:v>
                </c:pt>
                <c:pt idx="370">
                  <c:v>92500</c:v>
                </c:pt>
                <c:pt idx="371">
                  <c:v>92550</c:v>
                </c:pt>
                <c:pt idx="372">
                  <c:v>92600</c:v>
                </c:pt>
                <c:pt idx="373">
                  <c:v>92650</c:v>
                </c:pt>
                <c:pt idx="374">
                  <c:v>92700</c:v>
                </c:pt>
                <c:pt idx="375">
                  <c:v>92750</c:v>
                </c:pt>
                <c:pt idx="376">
                  <c:v>92800</c:v>
                </c:pt>
                <c:pt idx="377">
                  <c:v>92850</c:v>
                </c:pt>
                <c:pt idx="378">
                  <c:v>92900</c:v>
                </c:pt>
                <c:pt idx="379">
                  <c:v>92950</c:v>
                </c:pt>
                <c:pt idx="380">
                  <c:v>93000</c:v>
                </c:pt>
                <c:pt idx="381">
                  <c:v>93050</c:v>
                </c:pt>
                <c:pt idx="382">
                  <c:v>93100</c:v>
                </c:pt>
                <c:pt idx="383">
                  <c:v>93150</c:v>
                </c:pt>
                <c:pt idx="384">
                  <c:v>93200</c:v>
                </c:pt>
                <c:pt idx="385">
                  <c:v>93250</c:v>
                </c:pt>
                <c:pt idx="386">
                  <c:v>93300</c:v>
                </c:pt>
                <c:pt idx="387">
                  <c:v>93350</c:v>
                </c:pt>
                <c:pt idx="388">
                  <c:v>93400</c:v>
                </c:pt>
                <c:pt idx="389">
                  <c:v>93450</c:v>
                </c:pt>
                <c:pt idx="390">
                  <c:v>93500</c:v>
                </c:pt>
                <c:pt idx="391">
                  <c:v>93550</c:v>
                </c:pt>
                <c:pt idx="392">
                  <c:v>93600</c:v>
                </c:pt>
                <c:pt idx="393">
                  <c:v>93650</c:v>
                </c:pt>
                <c:pt idx="394">
                  <c:v>93700</c:v>
                </c:pt>
                <c:pt idx="395">
                  <c:v>93750</c:v>
                </c:pt>
                <c:pt idx="396">
                  <c:v>93800</c:v>
                </c:pt>
                <c:pt idx="397">
                  <c:v>93850</c:v>
                </c:pt>
                <c:pt idx="398">
                  <c:v>93900</c:v>
                </c:pt>
                <c:pt idx="399">
                  <c:v>93950</c:v>
                </c:pt>
                <c:pt idx="400">
                  <c:v>94000</c:v>
                </c:pt>
                <c:pt idx="401">
                  <c:v>94050</c:v>
                </c:pt>
                <c:pt idx="402">
                  <c:v>94100</c:v>
                </c:pt>
                <c:pt idx="403">
                  <c:v>94150</c:v>
                </c:pt>
                <c:pt idx="404">
                  <c:v>94200</c:v>
                </c:pt>
                <c:pt idx="405">
                  <c:v>94250</c:v>
                </c:pt>
                <c:pt idx="406">
                  <c:v>94300</c:v>
                </c:pt>
                <c:pt idx="407">
                  <c:v>94350</c:v>
                </c:pt>
                <c:pt idx="408">
                  <c:v>94400</c:v>
                </c:pt>
                <c:pt idx="409">
                  <c:v>94450</c:v>
                </c:pt>
                <c:pt idx="410">
                  <c:v>94500</c:v>
                </c:pt>
                <c:pt idx="411">
                  <c:v>94550</c:v>
                </c:pt>
                <c:pt idx="412">
                  <c:v>94600</c:v>
                </c:pt>
                <c:pt idx="413">
                  <c:v>94650</c:v>
                </c:pt>
                <c:pt idx="414">
                  <c:v>94700</c:v>
                </c:pt>
                <c:pt idx="415">
                  <c:v>94750</c:v>
                </c:pt>
                <c:pt idx="416">
                  <c:v>94800</c:v>
                </c:pt>
                <c:pt idx="417">
                  <c:v>94850</c:v>
                </c:pt>
                <c:pt idx="418">
                  <c:v>94900</c:v>
                </c:pt>
                <c:pt idx="419">
                  <c:v>94950</c:v>
                </c:pt>
                <c:pt idx="420">
                  <c:v>95000</c:v>
                </c:pt>
                <c:pt idx="421">
                  <c:v>95050</c:v>
                </c:pt>
                <c:pt idx="422">
                  <c:v>95100</c:v>
                </c:pt>
                <c:pt idx="423">
                  <c:v>95150</c:v>
                </c:pt>
                <c:pt idx="424">
                  <c:v>95200</c:v>
                </c:pt>
                <c:pt idx="425">
                  <c:v>95250</c:v>
                </c:pt>
                <c:pt idx="426">
                  <c:v>95300</c:v>
                </c:pt>
                <c:pt idx="427">
                  <c:v>95350</c:v>
                </c:pt>
                <c:pt idx="428">
                  <c:v>95400</c:v>
                </c:pt>
                <c:pt idx="429">
                  <c:v>95450</c:v>
                </c:pt>
                <c:pt idx="430">
                  <c:v>95500</c:v>
                </c:pt>
                <c:pt idx="431">
                  <c:v>95550</c:v>
                </c:pt>
                <c:pt idx="432">
                  <c:v>95600</c:v>
                </c:pt>
                <c:pt idx="433">
                  <c:v>95650</c:v>
                </c:pt>
                <c:pt idx="434">
                  <c:v>95700</c:v>
                </c:pt>
                <c:pt idx="435">
                  <c:v>95750</c:v>
                </c:pt>
                <c:pt idx="436">
                  <c:v>95800</c:v>
                </c:pt>
                <c:pt idx="437">
                  <c:v>95850</c:v>
                </c:pt>
                <c:pt idx="438">
                  <c:v>95900</c:v>
                </c:pt>
                <c:pt idx="439">
                  <c:v>95950</c:v>
                </c:pt>
                <c:pt idx="440">
                  <c:v>96000</c:v>
                </c:pt>
                <c:pt idx="441">
                  <c:v>96050</c:v>
                </c:pt>
                <c:pt idx="442">
                  <c:v>96100</c:v>
                </c:pt>
                <c:pt idx="443">
                  <c:v>96150</c:v>
                </c:pt>
                <c:pt idx="444">
                  <c:v>96200</c:v>
                </c:pt>
                <c:pt idx="445">
                  <c:v>96250</c:v>
                </c:pt>
                <c:pt idx="446">
                  <c:v>96300</c:v>
                </c:pt>
                <c:pt idx="447">
                  <c:v>96350</c:v>
                </c:pt>
                <c:pt idx="448">
                  <c:v>96400</c:v>
                </c:pt>
                <c:pt idx="449">
                  <c:v>96450</c:v>
                </c:pt>
                <c:pt idx="450">
                  <c:v>96500</c:v>
                </c:pt>
                <c:pt idx="451">
                  <c:v>96550</c:v>
                </c:pt>
                <c:pt idx="452">
                  <c:v>96600</c:v>
                </c:pt>
                <c:pt idx="453">
                  <c:v>96650</c:v>
                </c:pt>
                <c:pt idx="454">
                  <c:v>96700</c:v>
                </c:pt>
                <c:pt idx="455">
                  <c:v>96750</c:v>
                </c:pt>
                <c:pt idx="456">
                  <c:v>96800</c:v>
                </c:pt>
                <c:pt idx="457">
                  <c:v>96850</c:v>
                </c:pt>
                <c:pt idx="458">
                  <c:v>96900</c:v>
                </c:pt>
                <c:pt idx="459">
                  <c:v>96950</c:v>
                </c:pt>
                <c:pt idx="460">
                  <c:v>97000</c:v>
                </c:pt>
                <c:pt idx="461">
                  <c:v>97050</c:v>
                </c:pt>
                <c:pt idx="462">
                  <c:v>97100</c:v>
                </c:pt>
                <c:pt idx="463">
                  <c:v>97150</c:v>
                </c:pt>
                <c:pt idx="464">
                  <c:v>97200</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xVal>
          <c:yVal>
            <c:numRef>
              <c:f>[0]!_20_y_pos_1</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yVal>
          <c:smooth val="0"/>
          <c:extLst>
            <c:ext xmlns:c16="http://schemas.microsoft.com/office/drawing/2014/chart" uri="{C3380CC4-5D6E-409C-BE32-E72D297353CC}">
              <c16:uniqueId val="{00000003-0DE7-46DA-837B-4A50E98E5C23}"/>
            </c:ext>
          </c:extLst>
        </c:ser>
        <c:ser>
          <c:idx val="4"/>
          <c:order val="4"/>
          <c:tx>
            <c:strRef>
              <c:f>example!$AS$18</c:f>
              <c:strCache>
                <c:ptCount val="1"/>
                <c:pt idx="0">
                  <c:v>(In store)</c:v>
                </c:pt>
              </c:strCache>
            </c:strRef>
          </c:tx>
          <c:spPr>
            <a:ln w="25400" cap="rnd">
              <a:noFill/>
              <a:round/>
            </a:ln>
            <a:effectLst/>
          </c:spPr>
          <c:marker>
            <c:symbol val="none"/>
          </c:marker>
          <c:errBars>
            <c:errDir val="y"/>
            <c:errBarType val="minus"/>
            <c:errValType val="fixedVal"/>
            <c:noEndCap val="1"/>
            <c:val val="1"/>
            <c:spPr>
              <a:noFill/>
              <a:ln w="6350" cap="flat" cmpd="sng" algn="ctr">
                <a:solidFill>
                  <a:srgbClr val="B993C0">
                    <a:alpha val="10000"/>
                  </a:srgbClr>
                </a:solidFill>
                <a:round/>
              </a:ln>
              <a:effectLst/>
            </c:spPr>
          </c:errBars>
          <c:xVal>
            <c:numRef>
              <c:f>[0]!_21_x_pos_2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105750</c:v>
                </c:pt>
                <c:pt idx="636">
                  <c:v>105800</c:v>
                </c:pt>
                <c:pt idx="637">
                  <c:v>105850</c:v>
                </c:pt>
                <c:pt idx="638">
                  <c:v>105900</c:v>
                </c:pt>
                <c:pt idx="639">
                  <c:v>105950</c:v>
                </c:pt>
                <c:pt idx="640">
                  <c:v>106000</c:v>
                </c:pt>
                <c:pt idx="641">
                  <c:v>106050</c:v>
                </c:pt>
                <c:pt idx="642">
                  <c:v>106100</c:v>
                </c:pt>
                <c:pt idx="643">
                  <c:v>106150</c:v>
                </c:pt>
                <c:pt idx="644">
                  <c:v>106200</c:v>
                </c:pt>
                <c:pt idx="645">
                  <c:v>106250</c:v>
                </c:pt>
                <c:pt idx="646">
                  <c:v>106300</c:v>
                </c:pt>
                <c:pt idx="647">
                  <c:v>106350</c:v>
                </c:pt>
                <c:pt idx="648">
                  <c:v>106400</c:v>
                </c:pt>
                <c:pt idx="649">
                  <c:v>106450</c:v>
                </c:pt>
                <c:pt idx="650">
                  <c:v>106500</c:v>
                </c:pt>
                <c:pt idx="651">
                  <c:v>106550</c:v>
                </c:pt>
                <c:pt idx="652">
                  <c:v>106600</c:v>
                </c:pt>
                <c:pt idx="653">
                  <c:v>106650</c:v>
                </c:pt>
                <c:pt idx="654">
                  <c:v>106700</c:v>
                </c:pt>
                <c:pt idx="655">
                  <c:v>106750</c:v>
                </c:pt>
                <c:pt idx="656">
                  <c:v>106800</c:v>
                </c:pt>
                <c:pt idx="657">
                  <c:v>106850</c:v>
                </c:pt>
                <c:pt idx="658">
                  <c:v>106900</c:v>
                </c:pt>
                <c:pt idx="659">
                  <c:v>106950</c:v>
                </c:pt>
                <c:pt idx="660">
                  <c:v>107000</c:v>
                </c:pt>
                <c:pt idx="661">
                  <c:v>107050</c:v>
                </c:pt>
                <c:pt idx="662">
                  <c:v>107100</c:v>
                </c:pt>
                <c:pt idx="663">
                  <c:v>107150</c:v>
                </c:pt>
                <c:pt idx="664">
                  <c:v>107200</c:v>
                </c:pt>
                <c:pt idx="665">
                  <c:v>107250</c:v>
                </c:pt>
                <c:pt idx="666">
                  <c:v>107300</c:v>
                </c:pt>
                <c:pt idx="667">
                  <c:v>107350</c:v>
                </c:pt>
                <c:pt idx="668">
                  <c:v>107400</c:v>
                </c:pt>
                <c:pt idx="669">
                  <c:v>107450</c:v>
                </c:pt>
                <c:pt idx="670">
                  <c:v>107500</c:v>
                </c:pt>
                <c:pt idx="671">
                  <c:v>107550</c:v>
                </c:pt>
                <c:pt idx="672">
                  <c:v>107600</c:v>
                </c:pt>
                <c:pt idx="673">
                  <c:v>107650</c:v>
                </c:pt>
                <c:pt idx="674">
                  <c:v>107700</c:v>
                </c:pt>
                <c:pt idx="675">
                  <c:v>107750</c:v>
                </c:pt>
                <c:pt idx="676">
                  <c:v>107800</c:v>
                </c:pt>
                <c:pt idx="677">
                  <c:v>107850</c:v>
                </c:pt>
                <c:pt idx="678">
                  <c:v>107900</c:v>
                </c:pt>
                <c:pt idx="679">
                  <c:v>107950</c:v>
                </c:pt>
                <c:pt idx="680">
                  <c:v>108000</c:v>
                </c:pt>
                <c:pt idx="681">
                  <c:v>108050</c:v>
                </c:pt>
                <c:pt idx="682">
                  <c:v>108100</c:v>
                </c:pt>
                <c:pt idx="683">
                  <c:v>108150</c:v>
                </c:pt>
                <c:pt idx="684">
                  <c:v>108200</c:v>
                </c:pt>
                <c:pt idx="685">
                  <c:v>108250</c:v>
                </c:pt>
                <c:pt idx="686">
                  <c:v>108300</c:v>
                </c:pt>
                <c:pt idx="687">
                  <c:v>108350</c:v>
                </c:pt>
                <c:pt idx="688">
                  <c:v>108400</c:v>
                </c:pt>
                <c:pt idx="689">
                  <c:v>108450</c:v>
                </c:pt>
                <c:pt idx="690">
                  <c:v>108500</c:v>
                </c:pt>
                <c:pt idx="691">
                  <c:v>108550</c:v>
                </c:pt>
                <c:pt idx="692">
                  <c:v>108600</c:v>
                </c:pt>
                <c:pt idx="693">
                  <c:v>108650</c:v>
                </c:pt>
                <c:pt idx="694">
                  <c:v>108700</c:v>
                </c:pt>
                <c:pt idx="695">
                  <c:v>108750</c:v>
                </c:pt>
                <c:pt idx="696">
                  <c:v>108800</c:v>
                </c:pt>
                <c:pt idx="697">
                  <c:v>108850</c:v>
                </c:pt>
                <c:pt idx="698">
                  <c:v>108900</c:v>
                </c:pt>
                <c:pt idx="699">
                  <c:v>108950</c:v>
                </c:pt>
                <c:pt idx="700">
                  <c:v>109000</c:v>
                </c:pt>
                <c:pt idx="701">
                  <c:v>109050</c:v>
                </c:pt>
                <c:pt idx="702">
                  <c:v>109100</c:v>
                </c:pt>
                <c:pt idx="703">
                  <c:v>109150</c:v>
                </c:pt>
                <c:pt idx="704">
                  <c:v>109200</c:v>
                </c:pt>
                <c:pt idx="705">
                  <c:v>109250</c:v>
                </c:pt>
                <c:pt idx="706">
                  <c:v>109300</c:v>
                </c:pt>
                <c:pt idx="707">
                  <c:v>109350</c:v>
                </c:pt>
                <c:pt idx="708">
                  <c:v>109400</c:v>
                </c:pt>
                <c:pt idx="709">
                  <c:v>109450</c:v>
                </c:pt>
                <c:pt idx="710">
                  <c:v>109500</c:v>
                </c:pt>
                <c:pt idx="711">
                  <c:v>109550</c:v>
                </c:pt>
                <c:pt idx="712">
                  <c:v>109600</c:v>
                </c:pt>
                <c:pt idx="713">
                  <c:v>109650</c:v>
                </c:pt>
                <c:pt idx="714">
                  <c:v>109700</c:v>
                </c:pt>
                <c:pt idx="715">
                  <c:v>109750</c:v>
                </c:pt>
                <c:pt idx="716">
                  <c:v>109800</c:v>
                </c:pt>
                <c:pt idx="717">
                  <c:v>109850</c:v>
                </c:pt>
                <c:pt idx="718">
                  <c:v>109900</c:v>
                </c:pt>
                <c:pt idx="719">
                  <c:v>109950</c:v>
                </c:pt>
                <c:pt idx="720">
                  <c:v>110000</c:v>
                </c:pt>
                <c:pt idx="721">
                  <c:v>110050</c:v>
                </c:pt>
                <c:pt idx="722">
                  <c:v>110100</c:v>
                </c:pt>
                <c:pt idx="723">
                  <c:v>110150</c:v>
                </c:pt>
                <c:pt idx="724">
                  <c:v>110200</c:v>
                </c:pt>
                <c:pt idx="725">
                  <c:v>110250</c:v>
                </c:pt>
                <c:pt idx="726">
                  <c:v>110300</c:v>
                </c:pt>
                <c:pt idx="727">
                  <c:v>110350</c:v>
                </c:pt>
                <c:pt idx="728">
                  <c:v>110400</c:v>
                </c:pt>
                <c:pt idx="729">
                  <c:v>110450</c:v>
                </c:pt>
                <c:pt idx="730">
                  <c:v>110500</c:v>
                </c:pt>
                <c:pt idx="731">
                  <c:v>110550</c:v>
                </c:pt>
                <c:pt idx="732">
                  <c:v>110600</c:v>
                </c:pt>
                <c:pt idx="733">
                  <c:v>110650</c:v>
                </c:pt>
                <c:pt idx="734">
                  <c:v>110700</c:v>
                </c:pt>
                <c:pt idx="735">
                  <c:v>110750</c:v>
                </c:pt>
                <c:pt idx="736">
                  <c:v>110800</c:v>
                </c:pt>
                <c:pt idx="737">
                  <c:v>110850</c:v>
                </c:pt>
                <c:pt idx="738">
                  <c:v>110900</c:v>
                </c:pt>
                <c:pt idx="739">
                  <c:v>110950</c:v>
                </c:pt>
                <c:pt idx="740">
                  <c:v>111000</c:v>
                </c:pt>
                <c:pt idx="741">
                  <c:v>111050</c:v>
                </c:pt>
                <c:pt idx="742">
                  <c:v>111100</c:v>
                </c:pt>
                <c:pt idx="743">
                  <c:v>111150</c:v>
                </c:pt>
                <c:pt idx="744">
                  <c:v>111200</c:v>
                </c:pt>
                <c:pt idx="745">
                  <c:v>111250</c:v>
                </c:pt>
                <c:pt idx="746">
                  <c:v>111300</c:v>
                </c:pt>
                <c:pt idx="747">
                  <c:v>111350</c:v>
                </c:pt>
                <c:pt idx="748">
                  <c:v>111400</c:v>
                </c:pt>
                <c:pt idx="749">
                  <c:v>111450</c:v>
                </c:pt>
                <c:pt idx="750">
                  <c:v>111500</c:v>
                </c:pt>
                <c:pt idx="751">
                  <c:v>111550</c:v>
                </c:pt>
                <c:pt idx="752">
                  <c:v>111600</c:v>
                </c:pt>
                <c:pt idx="753">
                  <c:v>111650</c:v>
                </c:pt>
                <c:pt idx="754">
                  <c:v>111700</c:v>
                </c:pt>
                <c:pt idx="755">
                  <c:v>111750</c:v>
                </c:pt>
                <c:pt idx="756">
                  <c:v>111800</c:v>
                </c:pt>
                <c:pt idx="757">
                  <c:v>111850</c:v>
                </c:pt>
                <c:pt idx="758">
                  <c:v>111900</c:v>
                </c:pt>
                <c:pt idx="759">
                  <c:v>111950</c:v>
                </c:pt>
                <c:pt idx="760">
                  <c:v>112000</c:v>
                </c:pt>
                <c:pt idx="761">
                  <c:v>112050</c:v>
                </c:pt>
                <c:pt idx="762">
                  <c:v>112100</c:v>
                </c:pt>
                <c:pt idx="763">
                  <c:v>112150</c:v>
                </c:pt>
                <c:pt idx="764">
                  <c:v>112200</c:v>
                </c:pt>
                <c:pt idx="765">
                  <c:v>112250</c:v>
                </c:pt>
                <c:pt idx="766">
                  <c:v>112300</c:v>
                </c:pt>
                <c:pt idx="767">
                  <c:v>112350</c:v>
                </c:pt>
                <c:pt idx="768">
                  <c:v>112400</c:v>
                </c:pt>
                <c:pt idx="769">
                  <c:v>112450</c:v>
                </c:pt>
                <c:pt idx="770">
                  <c:v>112500</c:v>
                </c:pt>
                <c:pt idx="771">
                  <c:v>112550</c:v>
                </c:pt>
                <c:pt idx="772">
                  <c:v>112600</c:v>
                </c:pt>
                <c:pt idx="773">
                  <c:v>112650</c:v>
                </c:pt>
                <c:pt idx="774">
                  <c:v>112700</c:v>
                </c:pt>
                <c:pt idx="775">
                  <c:v>112750</c:v>
                </c:pt>
                <c:pt idx="776">
                  <c:v>112800</c:v>
                </c:pt>
                <c:pt idx="777">
                  <c:v>112850</c:v>
                </c:pt>
                <c:pt idx="778">
                  <c:v>112900</c:v>
                </c:pt>
                <c:pt idx="779">
                  <c:v>112950</c:v>
                </c:pt>
                <c:pt idx="780">
                  <c:v>113000</c:v>
                </c:pt>
                <c:pt idx="781">
                  <c:v>113050</c:v>
                </c:pt>
                <c:pt idx="782">
                  <c:v>113100</c:v>
                </c:pt>
                <c:pt idx="783">
                  <c:v>113150</c:v>
                </c:pt>
                <c:pt idx="784">
                  <c:v>113200</c:v>
                </c:pt>
                <c:pt idx="785">
                  <c:v>113250</c:v>
                </c:pt>
                <c:pt idx="786">
                  <c:v>113300</c:v>
                </c:pt>
                <c:pt idx="787">
                  <c:v>113350</c:v>
                </c:pt>
                <c:pt idx="788">
                  <c:v>113400</c:v>
                </c:pt>
                <c:pt idx="789">
                  <c:v>113450</c:v>
                </c:pt>
                <c:pt idx="790">
                  <c:v>113500</c:v>
                </c:pt>
                <c:pt idx="791">
                  <c:v>113550</c:v>
                </c:pt>
                <c:pt idx="792">
                  <c:v>113600</c:v>
                </c:pt>
                <c:pt idx="793">
                  <c:v>113650</c:v>
                </c:pt>
                <c:pt idx="794">
                  <c:v>113700</c:v>
                </c:pt>
                <c:pt idx="795">
                  <c:v>113750</c:v>
                </c:pt>
                <c:pt idx="796">
                  <c:v>113800</c:v>
                </c:pt>
                <c:pt idx="797">
                  <c:v>113850</c:v>
                </c:pt>
                <c:pt idx="798">
                  <c:v>113900</c:v>
                </c:pt>
                <c:pt idx="799">
                  <c:v>113950</c:v>
                </c:pt>
                <c:pt idx="800">
                  <c:v>114000</c:v>
                </c:pt>
                <c:pt idx="801">
                  <c:v>114050</c:v>
                </c:pt>
                <c:pt idx="802">
                  <c:v>114100</c:v>
                </c:pt>
                <c:pt idx="803">
                  <c:v>114150</c:v>
                </c:pt>
                <c:pt idx="804">
                  <c:v>114200</c:v>
                </c:pt>
                <c:pt idx="805">
                  <c:v>114250</c:v>
                </c:pt>
                <c:pt idx="806">
                  <c:v>114300</c:v>
                </c:pt>
                <c:pt idx="807">
                  <c:v>114350</c:v>
                </c:pt>
                <c:pt idx="808">
                  <c:v>114400</c:v>
                </c:pt>
                <c:pt idx="809">
                  <c:v>114450</c:v>
                </c:pt>
                <c:pt idx="810">
                  <c:v>114500</c:v>
                </c:pt>
                <c:pt idx="811">
                  <c:v>114550</c:v>
                </c:pt>
                <c:pt idx="812">
                  <c:v>114600</c:v>
                </c:pt>
                <c:pt idx="813">
                  <c:v>114650</c:v>
                </c:pt>
                <c:pt idx="814">
                  <c:v>114700</c:v>
                </c:pt>
                <c:pt idx="815">
                  <c:v>114750</c:v>
                </c:pt>
                <c:pt idx="816">
                  <c:v>114800</c:v>
                </c:pt>
                <c:pt idx="817">
                  <c:v>114850</c:v>
                </c:pt>
                <c:pt idx="818">
                  <c:v>114900</c:v>
                </c:pt>
                <c:pt idx="819">
                  <c:v>114950</c:v>
                </c:pt>
                <c:pt idx="820">
                  <c:v>115000</c:v>
                </c:pt>
                <c:pt idx="821">
                  <c:v>115050</c:v>
                </c:pt>
                <c:pt idx="822">
                  <c:v>115100</c:v>
                </c:pt>
                <c:pt idx="823">
                  <c:v>115150</c:v>
                </c:pt>
                <c:pt idx="824">
                  <c:v>115200</c:v>
                </c:pt>
                <c:pt idx="825">
                  <c:v>115250</c:v>
                </c:pt>
                <c:pt idx="826">
                  <c:v>115300</c:v>
                </c:pt>
                <c:pt idx="827">
                  <c:v>115350</c:v>
                </c:pt>
                <c:pt idx="828">
                  <c:v>115400</c:v>
                </c:pt>
                <c:pt idx="829">
                  <c:v>115450</c:v>
                </c:pt>
                <c:pt idx="830">
                  <c:v>115500</c:v>
                </c:pt>
                <c:pt idx="831">
                  <c:v>115550</c:v>
                </c:pt>
                <c:pt idx="832">
                  <c:v>115600</c:v>
                </c:pt>
                <c:pt idx="833">
                  <c:v>115650</c:v>
                </c:pt>
                <c:pt idx="834">
                  <c:v>115700</c:v>
                </c:pt>
                <c:pt idx="835">
                  <c:v>115750</c:v>
                </c:pt>
                <c:pt idx="836">
                  <c:v>115800</c:v>
                </c:pt>
                <c:pt idx="837">
                  <c:v>115850</c:v>
                </c:pt>
                <c:pt idx="838">
                  <c:v>115900</c:v>
                </c:pt>
                <c:pt idx="839">
                  <c:v>115950</c:v>
                </c:pt>
                <c:pt idx="840">
                  <c:v>116000</c:v>
                </c:pt>
                <c:pt idx="841">
                  <c:v>116050</c:v>
                </c:pt>
                <c:pt idx="842">
                  <c:v>116100</c:v>
                </c:pt>
                <c:pt idx="843">
                  <c:v>116150</c:v>
                </c:pt>
                <c:pt idx="844">
                  <c:v>116200</c:v>
                </c:pt>
                <c:pt idx="845">
                  <c:v>116250</c:v>
                </c:pt>
                <c:pt idx="846">
                  <c:v>116300</c:v>
                </c:pt>
                <c:pt idx="847">
                  <c:v>116350</c:v>
                </c:pt>
                <c:pt idx="848">
                  <c:v>116400</c:v>
                </c:pt>
                <c:pt idx="849">
                  <c:v>116450</c:v>
                </c:pt>
                <c:pt idx="850">
                  <c:v>116500</c:v>
                </c:pt>
                <c:pt idx="851">
                  <c:v>116550</c:v>
                </c:pt>
                <c:pt idx="852">
                  <c:v>116600</c:v>
                </c:pt>
                <c:pt idx="853">
                  <c:v>116650</c:v>
                </c:pt>
                <c:pt idx="854">
                  <c:v>116700</c:v>
                </c:pt>
                <c:pt idx="855">
                  <c:v>116750</c:v>
                </c:pt>
                <c:pt idx="856">
                  <c:v>116800</c:v>
                </c:pt>
                <c:pt idx="857">
                  <c:v>116850</c:v>
                </c:pt>
                <c:pt idx="858">
                  <c:v>116900</c:v>
                </c:pt>
                <c:pt idx="859">
                  <c:v>116950</c:v>
                </c:pt>
                <c:pt idx="860">
                  <c:v>117000</c:v>
                </c:pt>
                <c:pt idx="861">
                  <c:v>117050</c:v>
                </c:pt>
                <c:pt idx="862">
                  <c:v>117100</c:v>
                </c:pt>
                <c:pt idx="863">
                  <c:v>117150</c:v>
                </c:pt>
                <c:pt idx="864">
                  <c:v>117200</c:v>
                </c:pt>
                <c:pt idx="865">
                  <c:v>117250</c:v>
                </c:pt>
                <c:pt idx="866">
                  <c:v>117300</c:v>
                </c:pt>
                <c:pt idx="867">
                  <c:v>117350</c:v>
                </c:pt>
                <c:pt idx="868">
                  <c:v>117400</c:v>
                </c:pt>
                <c:pt idx="869">
                  <c:v>117450</c:v>
                </c:pt>
                <c:pt idx="870">
                  <c:v>117500</c:v>
                </c:pt>
                <c:pt idx="871">
                  <c:v>117550</c:v>
                </c:pt>
                <c:pt idx="872">
                  <c:v>117600</c:v>
                </c:pt>
                <c:pt idx="873">
                  <c:v>117650</c:v>
                </c:pt>
                <c:pt idx="874">
                  <c:v>117700</c:v>
                </c:pt>
                <c:pt idx="875">
                  <c:v>117750</c:v>
                </c:pt>
                <c:pt idx="876">
                  <c:v>117800</c:v>
                </c:pt>
                <c:pt idx="877">
                  <c:v>117850</c:v>
                </c:pt>
                <c:pt idx="878">
                  <c:v>117900</c:v>
                </c:pt>
                <c:pt idx="879">
                  <c:v>117950</c:v>
                </c:pt>
                <c:pt idx="880">
                  <c:v>118000</c:v>
                </c:pt>
                <c:pt idx="881">
                  <c:v>118050</c:v>
                </c:pt>
                <c:pt idx="882">
                  <c:v>118100</c:v>
                </c:pt>
                <c:pt idx="883">
                  <c:v>118150</c:v>
                </c:pt>
                <c:pt idx="884">
                  <c:v>118200</c:v>
                </c:pt>
                <c:pt idx="885">
                  <c:v>118250</c:v>
                </c:pt>
                <c:pt idx="886">
                  <c:v>118300</c:v>
                </c:pt>
                <c:pt idx="887">
                  <c:v>118350</c:v>
                </c:pt>
                <c:pt idx="888">
                  <c:v>118400</c:v>
                </c:pt>
                <c:pt idx="889">
                  <c:v>118450</c:v>
                </c:pt>
                <c:pt idx="890">
                  <c:v>118500</c:v>
                </c:pt>
                <c:pt idx="891">
                  <c:v>118550</c:v>
                </c:pt>
                <c:pt idx="892">
                  <c:v>118600</c:v>
                </c:pt>
                <c:pt idx="893">
                  <c:v>118650</c:v>
                </c:pt>
                <c:pt idx="894">
                  <c:v>118700</c:v>
                </c:pt>
                <c:pt idx="895">
                  <c:v>118750</c:v>
                </c:pt>
                <c:pt idx="896">
                  <c:v>118800</c:v>
                </c:pt>
                <c:pt idx="897">
                  <c:v>118850</c:v>
                </c:pt>
                <c:pt idx="898">
                  <c:v>118900</c:v>
                </c:pt>
                <c:pt idx="899">
                  <c:v>118950</c:v>
                </c:pt>
                <c:pt idx="900">
                  <c:v>119000</c:v>
                </c:pt>
                <c:pt idx="901">
                  <c:v>119050</c:v>
                </c:pt>
                <c:pt idx="902">
                  <c:v>119100</c:v>
                </c:pt>
                <c:pt idx="903">
                  <c:v>119150</c:v>
                </c:pt>
                <c:pt idx="904">
                  <c:v>119200</c:v>
                </c:pt>
                <c:pt idx="905">
                  <c:v>119250</c:v>
                </c:pt>
                <c:pt idx="906">
                  <c:v>119300</c:v>
                </c:pt>
                <c:pt idx="907">
                  <c:v>119350</c:v>
                </c:pt>
                <c:pt idx="908">
                  <c:v>119400</c:v>
                </c:pt>
                <c:pt idx="909">
                  <c:v>119450</c:v>
                </c:pt>
                <c:pt idx="910">
                  <c:v>119500</c:v>
                </c:pt>
                <c:pt idx="911">
                  <c:v>119550</c:v>
                </c:pt>
                <c:pt idx="912">
                  <c:v>119600</c:v>
                </c:pt>
                <c:pt idx="913">
                  <c:v>119650</c:v>
                </c:pt>
                <c:pt idx="914">
                  <c:v>119700</c:v>
                </c:pt>
                <c:pt idx="915">
                  <c:v>119750</c:v>
                </c:pt>
                <c:pt idx="916">
                  <c:v>119800</c:v>
                </c:pt>
                <c:pt idx="917">
                  <c:v>119850</c:v>
                </c:pt>
                <c:pt idx="918">
                  <c:v>119900</c:v>
                </c:pt>
                <c:pt idx="919">
                  <c:v>119950</c:v>
                </c:pt>
                <c:pt idx="920">
                  <c:v>120000</c:v>
                </c:pt>
                <c:pt idx="921">
                  <c:v>120050</c:v>
                </c:pt>
                <c:pt idx="922">
                  <c:v>120100</c:v>
                </c:pt>
                <c:pt idx="923">
                  <c:v>120150</c:v>
                </c:pt>
                <c:pt idx="924">
                  <c:v>120200</c:v>
                </c:pt>
                <c:pt idx="925">
                  <c:v>120250</c:v>
                </c:pt>
                <c:pt idx="926">
                  <c:v>120300</c:v>
                </c:pt>
                <c:pt idx="927">
                  <c:v>120350</c:v>
                </c:pt>
                <c:pt idx="928">
                  <c:v>120400</c:v>
                </c:pt>
                <c:pt idx="929">
                  <c:v>120450</c:v>
                </c:pt>
                <c:pt idx="930">
                  <c:v>120500</c:v>
                </c:pt>
                <c:pt idx="931">
                  <c:v>120550</c:v>
                </c:pt>
                <c:pt idx="932">
                  <c:v>120600</c:v>
                </c:pt>
                <c:pt idx="933">
                  <c:v>120650</c:v>
                </c:pt>
                <c:pt idx="934">
                  <c:v>120700</c:v>
                </c:pt>
                <c:pt idx="935">
                  <c:v>120750</c:v>
                </c:pt>
                <c:pt idx="936">
                  <c:v>120800</c:v>
                </c:pt>
                <c:pt idx="937">
                  <c:v>120850</c:v>
                </c:pt>
                <c:pt idx="938">
                  <c:v>120900</c:v>
                </c:pt>
                <c:pt idx="939">
                  <c:v>120950</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xVal>
          <c:yVal>
            <c:numRef>
              <c:f>[0]!_22_y_pos_2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pt idx="801">
                  <c:v>1</c:v>
                </c:pt>
                <c:pt idx="802">
                  <c:v>1</c:v>
                </c:pt>
                <c:pt idx="803">
                  <c:v>1</c:v>
                </c:pt>
                <c:pt idx="804">
                  <c:v>1</c:v>
                </c:pt>
                <c:pt idx="805">
                  <c:v>1</c:v>
                </c:pt>
                <c:pt idx="806">
                  <c:v>1</c:v>
                </c:pt>
                <c:pt idx="807">
                  <c:v>1</c:v>
                </c:pt>
                <c:pt idx="808">
                  <c:v>1</c:v>
                </c:pt>
                <c:pt idx="809">
                  <c:v>1</c:v>
                </c:pt>
                <c:pt idx="810">
                  <c:v>1</c:v>
                </c:pt>
                <c:pt idx="811">
                  <c:v>1</c:v>
                </c:pt>
                <c:pt idx="812">
                  <c:v>1</c:v>
                </c:pt>
                <c:pt idx="813">
                  <c:v>1</c:v>
                </c:pt>
                <c:pt idx="814">
                  <c:v>1</c:v>
                </c:pt>
                <c:pt idx="815">
                  <c:v>1</c:v>
                </c:pt>
                <c:pt idx="816">
                  <c:v>1</c:v>
                </c:pt>
                <c:pt idx="817">
                  <c:v>1</c:v>
                </c:pt>
                <c:pt idx="818">
                  <c:v>1</c:v>
                </c:pt>
                <c:pt idx="819">
                  <c:v>1</c:v>
                </c:pt>
                <c:pt idx="820">
                  <c:v>1</c:v>
                </c:pt>
                <c:pt idx="821">
                  <c:v>1</c:v>
                </c:pt>
                <c:pt idx="822">
                  <c:v>1</c:v>
                </c:pt>
                <c:pt idx="823">
                  <c:v>1</c:v>
                </c:pt>
                <c:pt idx="824">
                  <c:v>1</c:v>
                </c:pt>
                <c:pt idx="825">
                  <c:v>1</c:v>
                </c:pt>
                <c:pt idx="826">
                  <c:v>1</c:v>
                </c:pt>
                <c:pt idx="827">
                  <c:v>1</c:v>
                </c:pt>
                <c:pt idx="828">
                  <c:v>1</c:v>
                </c:pt>
                <c:pt idx="829">
                  <c:v>1</c:v>
                </c:pt>
                <c:pt idx="830">
                  <c:v>1</c:v>
                </c:pt>
                <c:pt idx="831">
                  <c:v>1</c:v>
                </c:pt>
                <c:pt idx="832">
                  <c:v>1</c:v>
                </c:pt>
                <c:pt idx="833">
                  <c:v>1</c:v>
                </c:pt>
                <c:pt idx="834">
                  <c:v>1</c:v>
                </c:pt>
                <c:pt idx="835">
                  <c:v>1</c:v>
                </c:pt>
                <c:pt idx="836">
                  <c:v>1</c:v>
                </c:pt>
                <c:pt idx="837">
                  <c:v>1</c:v>
                </c:pt>
                <c:pt idx="838">
                  <c:v>1</c:v>
                </c:pt>
                <c:pt idx="839">
                  <c:v>1</c:v>
                </c:pt>
                <c:pt idx="840">
                  <c:v>1</c:v>
                </c:pt>
                <c:pt idx="841">
                  <c:v>1</c:v>
                </c:pt>
                <c:pt idx="842">
                  <c:v>1</c:v>
                </c:pt>
                <c:pt idx="843">
                  <c:v>1</c:v>
                </c:pt>
                <c:pt idx="844">
                  <c:v>1</c:v>
                </c:pt>
                <c:pt idx="845">
                  <c:v>1</c:v>
                </c:pt>
                <c:pt idx="846">
                  <c:v>1</c:v>
                </c:pt>
                <c:pt idx="847">
                  <c:v>1</c:v>
                </c:pt>
                <c:pt idx="848">
                  <c:v>1</c:v>
                </c:pt>
                <c:pt idx="849">
                  <c:v>1</c:v>
                </c:pt>
                <c:pt idx="850">
                  <c:v>1</c:v>
                </c:pt>
                <c:pt idx="851">
                  <c:v>1</c:v>
                </c:pt>
                <c:pt idx="852">
                  <c:v>1</c:v>
                </c:pt>
                <c:pt idx="853">
                  <c:v>1</c:v>
                </c:pt>
                <c:pt idx="854">
                  <c:v>1</c:v>
                </c:pt>
                <c:pt idx="855">
                  <c:v>1</c:v>
                </c:pt>
                <c:pt idx="856">
                  <c:v>1</c:v>
                </c:pt>
                <c:pt idx="857">
                  <c:v>1</c:v>
                </c:pt>
                <c:pt idx="858">
                  <c:v>1</c:v>
                </c:pt>
                <c:pt idx="859">
                  <c:v>1</c:v>
                </c:pt>
                <c:pt idx="860">
                  <c:v>1</c:v>
                </c:pt>
                <c:pt idx="861">
                  <c:v>1</c:v>
                </c:pt>
                <c:pt idx="862">
                  <c:v>1</c:v>
                </c:pt>
                <c:pt idx="863">
                  <c:v>1</c:v>
                </c:pt>
                <c:pt idx="864">
                  <c:v>1</c:v>
                </c:pt>
                <c:pt idx="865">
                  <c:v>1</c:v>
                </c:pt>
                <c:pt idx="866">
                  <c:v>1</c:v>
                </c:pt>
                <c:pt idx="867">
                  <c:v>1</c:v>
                </c:pt>
                <c:pt idx="868">
                  <c:v>1</c:v>
                </c:pt>
                <c:pt idx="869">
                  <c:v>1</c:v>
                </c:pt>
                <c:pt idx="870">
                  <c:v>1</c:v>
                </c:pt>
                <c:pt idx="871">
                  <c:v>1</c:v>
                </c:pt>
                <c:pt idx="872">
                  <c:v>1</c:v>
                </c:pt>
                <c:pt idx="873">
                  <c:v>1</c:v>
                </c:pt>
                <c:pt idx="874">
                  <c:v>1</c:v>
                </c:pt>
                <c:pt idx="875">
                  <c:v>1</c:v>
                </c:pt>
                <c:pt idx="876">
                  <c:v>1</c:v>
                </c:pt>
                <c:pt idx="877">
                  <c:v>1</c:v>
                </c:pt>
                <c:pt idx="878">
                  <c:v>1</c:v>
                </c:pt>
                <c:pt idx="879">
                  <c:v>1</c:v>
                </c:pt>
                <c:pt idx="880">
                  <c:v>1</c:v>
                </c:pt>
                <c:pt idx="881">
                  <c:v>1</c:v>
                </c:pt>
                <c:pt idx="882">
                  <c:v>1</c:v>
                </c:pt>
                <c:pt idx="883">
                  <c:v>1</c:v>
                </c:pt>
                <c:pt idx="884">
                  <c:v>1</c:v>
                </c:pt>
                <c:pt idx="885">
                  <c:v>1</c:v>
                </c:pt>
                <c:pt idx="886">
                  <c:v>1</c:v>
                </c:pt>
                <c:pt idx="887">
                  <c:v>1</c:v>
                </c:pt>
                <c:pt idx="888">
                  <c:v>1</c:v>
                </c:pt>
                <c:pt idx="889">
                  <c:v>1</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1</c:v>
                </c:pt>
                <c:pt idx="910">
                  <c:v>1</c:v>
                </c:pt>
                <c:pt idx="911">
                  <c:v>1</c:v>
                </c:pt>
                <c:pt idx="912">
                  <c:v>1</c:v>
                </c:pt>
                <c:pt idx="913">
                  <c:v>1</c:v>
                </c:pt>
                <c:pt idx="914">
                  <c:v>1</c:v>
                </c:pt>
                <c:pt idx="915">
                  <c:v>1</c:v>
                </c:pt>
                <c:pt idx="916">
                  <c:v>1</c:v>
                </c:pt>
                <c:pt idx="917">
                  <c:v>1</c:v>
                </c:pt>
                <c:pt idx="918">
                  <c:v>1</c:v>
                </c:pt>
                <c:pt idx="919">
                  <c:v>1</c:v>
                </c:pt>
                <c:pt idx="920">
                  <c:v>1</c:v>
                </c:pt>
                <c:pt idx="921">
                  <c:v>1</c:v>
                </c:pt>
                <c:pt idx="922">
                  <c:v>1</c:v>
                </c:pt>
                <c:pt idx="923">
                  <c:v>1</c:v>
                </c:pt>
                <c:pt idx="924">
                  <c:v>1</c:v>
                </c:pt>
                <c:pt idx="925">
                  <c:v>1</c:v>
                </c:pt>
                <c:pt idx="926">
                  <c:v>1</c:v>
                </c:pt>
                <c:pt idx="927">
                  <c:v>1</c:v>
                </c:pt>
                <c:pt idx="928">
                  <c:v>1</c:v>
                </c:pt>
                <c:pt idx="929">
                  <c:v>1</c:v>
                </c:pt>
                <c:pt idx="930">
                  <c:v>1</c:v>
                </c:pt>
                <c:pt idx="931">
                  <c:v>1</c:v>
                </c:pt>
                <c:pt idx="932">
                  <c:v>1</c:v>
                </c:pt>
                <c:pt idx="933">
                  <c:v>1</c:v>
                </c:pt>
                <c:pt idx="934">
                  <c:v>1</c:v>
                </c:pt>
                <c:pt idx="935">
                  <c:v>1</c:v>
                </c:pt>
                <c:pt idx="936">
                  <c:v>1</c:v>
                </c:pt>
                <c:pt idx="937">
                  <c:v>1</c:v>
                </c:pt>
                <c:pt idx="938">
                  <c:v>1</c:v>
                </c:pt>
                <c:pt idx="939">
                  <c:v>1</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yVal>
          <c:smooth val="0"/>
          <c:extLst>
            <c:ext xmlns:c16="http://schemas.microsoft.com/office/drawing/2014/chart" uri="{C3380CC4-5D6E-409C-BE32-E72D297353CC}">
              <c16:uniqueId val="{00000004-0DE7-46DA-837B-4A50E98E5C23}"/>
            </c:ext>
          </c:extLst>
        </c:ser>
        <c:ser>
          <c:idx val="5"/>
          <c:order val="5"/>
          <c:tx>
            <c:strRef>
              <c:f>example!$AJ$6</c:f>
              <c:strCache>
                <c:ptCount val="1"/>
                <c:pt idx="0">
                  <c:v>Average: 90,064</c:v>
                </c:pt>
              </c:strCache>
            </c:strRef>
          </c:tx>
          <c:spPr>
            <a:ln w="25400" cap="rnd">
              <a:noFill/>
              <a:round/>
            </a:ln>
            <a:effectLst/>
          </c:spPr>
          <c:marker>
            <c:symbol val="none"/>
          </c:marker>
          <c:dLbls>
            <c:spPr>
              <a:noFill/>
              <a:ln>
                <a:noFill/>
              </a:ln>
              <a:effectLst/>
            </c:spPr>
            <c:txPr>
              <a:bodyPr rot="0" spcFirstLastPara="1" vertOverflow="ellipsis" vert="horz" wrap="none" rIns="900000" anchor="ctr" anchorCtr="1"/>
              <a:lstStyle/>
              <a:p>
                <a:pPr algn="r">
                  <a:defRPr sz="700" b="1" i="0" u="none" strike="noStrike" kern="1200" baseline="0">
                    <a:solidFill>
                      <a:srgbClr val="009688"/>
                    </a:solidFill>
                    <a:latin typeface="Arial" panose="020B0604020202020204" pitchFamily="34" charset="0"/>
                    <a:ea typeface="+mn-ea"/>
                    <a:cs typeface="Arial" panose="020B0604020202020204" pitchFamily="34" charset="0"/>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fixedVal"/>
            <c:noEndCap val="1"/>
            <c:val val="1"/>
            <c:spPr>
              <a:noFill/>
              <a:ln w="9525" cap="flat" cmpd="sng" algn="ctr">
                <a:solidFill>
                  <a:srgbClr val="009688"/>
                </a:solidFill>
                <a:round/>
              </a:ln>
              <a:effectLst/>
            </c:spPr>
          </c:errBars>
          <c:xVal>
            <c:numRef>
              <c:f>example!$AJ$7</c:f>
              <c:numCache>
                <c:formatCode>General</c:formatCode>
                <c:ptCount val="1"/>
                <c:pt idx="0">
                  <c:v>90064.34375</c:v>
                </c:pt>
              </c:numCache>
            </c:numRef>
          </c:xVal>
          <c:yVal>
            <c:numRef>
              <c:f>example!$AL$8</c:f>
              <c:numCache>
                <c:formatCode>General</c:formatCode>
                <c:ptCount val="1"/>
                <c:pt idx="0">
                  <c:v>1</c:v>
                </c:pt>
              </c:numCache>
            </c:numRef>
          </c:yVal>
          <c:smooth val="0"/>
          <c:extLst>
            <c:ext xmlns:c16="http://schemas.microsoft.com/office/drawing/2014/chart" uri="{C3380CC4-5D6E-409C-BE32-E72D297353CC}">
              <c16:uniqueId val="{00000005-0DE7-46DA-837B-4A50E98E5C23}"/>
            </c:ext>
          </c:extLst>
        </c:ser>
        <c:ser>
          <c:idx val="6"/>
          <c:order val="6"/>
          <c:tx>
            <c:strRef>
              <c:f>example!$AK$6</c:f>
              <c:strCache>
                <c:ptCount val="1"/>
                <c:pt idx="0">
                  <c:v>Average: 113,355</c:v>
                </c:pt>
              </c:strCache>
            </c:strRef>
          </c:tx>
          <c:spPr>
            <a:ln w="25400" cap="rnd">
              <a:noFill/>
              <a:round/>
            </a:ln>
            <a:effectLst/>
          </c:spPr>
          <c:marker>
            <c:symbol val="none"/>
          </c:marker>
          <c:dLbls>
            <c:spPr>
              <a:noFill/>
              <a:ln>
                <a:noFill/>
              </a:ln>
              <a:effectLst/>
            </c:spPr>
            <c:txPr>
              <a:bodyPr rot="0" spcFirstLastPara="1" vertOverflow="ellipsis" vert="horz" wrap="none" lIns="972000" rIns="90000" anchor="ctr" anchorCtr="1"/>
              <a:lstStyle/>
              <a:p>
                <a:pPr algn="l">
                  <a:defRPr sz="700" b="1" i="0" u="none" strike="noStrike" kern="1200" baseline="0">
                    <a:solidFill>
                      <a:srgbClr val="762A83"/>
                    </a:solidFill>
                    <a:latin typeface="Arial" panose="020B0604020202020204" pitchFamily="34" charset="0"/>
                    <a:ea typeface="+mn-ea"/>
                    <a:cs typeface="Arial" panose="020B0604020202020204" pitchFamily="34" charset="0"/>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fixedVal"/>
            <c:noEndCap val="1"/>
            <c:val val="1"/>
            <c:spPr>
              <a:noFill/>
              <a:ln w="9525" cap="flat" cmpd="sng" algn="ctr">
                <a:solidFill>
                  <a:srgbClr val="762A83"/>
                </a:solidFill>
                <a:round/>
              </a:ln>
              <a:effectLst/>
            </c:spPr>
          </c:errBars>
          <c:xVal>
            <c:numRef>
              <c:f>example!$AK$7</c:f>
              <c:numCache>
                <c:formatCode>General</c:formatCode>
                <c:ptCount val="1"/>
                <c:pt idx="0">
                  <c:v>113355.34375</c:v>
                </c:pt>
              </c:numCache>
            </c:numRef>
          </c:xVal>
          <c:yVal>
            <c:numRef>
              <c:f>example!$AL$8</c:f>
              <c:numCache>
                <c:formatCode>General</c:formatCode>
                <c:ptCount val="1"/>
                <c:pt idx="0">
                  <c:v>1</c:v>
                </c:pt>
              </c:numCache>
            </c:numRef>
          </c:yVal>
          <c:smooth val="0"/>
          <c:extLst>
            <c:ext xmlns:c16="http://schemas.microsoft.com/office/drawing/2014/chart" uri="{C3380CC4-5D6E-409C-BE32-E72D297353CC}">
              <c16:uniqueId val="{00000006-0DE7-46DA-837B-4A50E98E5C23}"/>
            </c:ext>
          </c:extLst>
        </c:ser>
        <c:dLbls>
          <c:showLegendKey val="0"/>
          <c:showVal val="0"/>
          <c:showCatName val="0"/>
          <c:showSerName val="0"/>
          <c:showPercent val="0"/>
          <c:showBubbleSize val="0"/>
        </c:dLbls>
        <c:axId val="1988295952"/>
        <c:axId val="1988296368"/>
      </c:scatterChart>
      <c:scatterChart>
        <c:scatterStyle val="lineMarker"/>
        <c:varyColors val="0"/>
        <c:ser>
          <c:idx val="0"/>
          <c:order val="0"/>
          <c:tx>
            <c:strRef>
              <c:f>example!$AJ$19</c:f>
              <c:strCache>
                <c:ptCount val="1"/>
                <c:pt idx="0">
                  <c:v>Online</c:v>
                </c:pt>
              </c:strCache>
            </c:strRef>
          </c:tx>
          <c:spPr>
            <a:ln w="25400" cap="rnd">
              <a:noFill/>
              <a:round/>
            </a:ln>
            <a:effectLst/>
          </c:spPr>
          <c:marker>
            <c:symbol val="circle"/>
            <c:size val="5"/>
            <c:spPr>
              <a:solidFill>
                <a:srgbClr val="009688"/>
              </a:solidFill>
              <a:ln w="9525">
                <a:noFill/>
              </a:ln>
              <a:effectLst/>
            </c:spPr>
          </c:marker>
          <c:xVal>
            <c:numRef>
              <c:f>[0]!_14_online_channel</c:f>
              <c:numCache>
                <c:formatCode>General</c:formatCode>
                <c:ptCount val="32"/>
                <c:pt idx="0">
                  <c:v>101605</c:v>
                </c:pt>
                <c:pt idx="1">
                  <c:v>100526</c:v>
                </c:pt>
                <c:pt idx="2">
                  <c:v>100590</c:v>
                </c:pt>
                <c:pt idx="3">
                  <c:v>98634</c:v>
                </c:pt>
                <c:pt idx="4">
                  <c:v>96079</c:v>
                </c:pt>
                <c:pt idx="5">
                  <c:v>96891</c:v>
                </c:pt>
                <c:pt idx="6">
                  <c:v>92491</c:v>
                </c:pt>
                <c:pt idx="7">
                  <c:v>96508</c:v>
                </c:pt>
                <c:pt idx="8">
                  <c:v>96313</c:v>
                </c:pt>
                <c:pt idx="9">
                  <c:v>96750</c:v>
                </c:pt>
                <c:pt idx="10">
                  <c:v>95703</c:v>
                </c:pt>
                <c:pt idx="11">
                  <c:v>93110</c:v>
                </c:pt>
                <c:pt idx="12">
                  <c:v>88469</c:v>
                </c:pt>
                <c:pt idx="13">
                  <c:v>86905</c:v>
                </c:pt>
                <c:pt idx="14">
                  <c:v>93538</c:v>
                </c:pt>
                <c:pt idx="15">
                  <c:v>91949</c:v>
                </c:pt>
                <c:pt idx="16">
                  <c:v>91908</c:v>
                </c:pt>
                <c:pt idx="17">
                  <c:v>90718</c:v>
                </c:pt>
                <c:pt idx="18">
                  <c:v>91132</c:v>
                </c:pt>
                <c:pt idx="19">
                  <c:v>87380</c:v>
                </c:pt>
                <c:pt idx="20">
                  <c:v>88306</c:v>
                </c:pt>
                <c:pt idx="21">
                  <c:v>87163</c:v>
                </c:pt>
                <c:pt idx="22">
                  <c:v>87987</c:v>
                </c:pt>
                <c:pt idx="23">
                  <c:v>87319</c:v>
                </c:pt>
                <c:pt idx="24">
                  <c:v>86641</c:v>
                </c:pt>
                <c:pt idx="25">
                  <c:v>81818</c:v>
                </c:pt>
                <c:pt idx="26">
                  <c:v>82897</c:v>
                </c:pt>
                <c:pt idx="27">
                  <c:v>78874</c:v>
                </c:pt>
                <c:pt idx="28">
                  <c:v>84492</c:v>
                </c:pt>
                <c:pt idx="29">
                  <c:v>76819</c:v>
                </c:pt>
                <c:pt idx="30">
                  <c:v>78268</c:v>
                </c:pt>
                <c:pt idx="31">
                  <c:v>74276</c:v>
                </c:pt>
              </c:numCache>
            </c:numRef>
          </c:xVal>
          <c:yVal>
            <c:numRef>
              <c:f>[0]!_17_y_position</c:f>
              <c:numCache>
                <c:formatCode>General</c:formatCode>
                <c:ptCount val="3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numCache>
            </c:numRef>
          </c:yVal>
          <c:smooth val="0"/>
          <c:extLst>
            <c:ext xmlns:c16="http://schemas.microsoft.com/office/drawing/2014/chart" uri="{C3380CC4-5D6E-409C-BE32-E72D297353CC}">
              <c16:uniqueId val="{00000000-0DE7-46DA-837B-4A50E98E5C23}"/>
            </c:ext>
          </c:extLst>
        </c:ser>
        <c:ser>
          <c:idx val="1"/>
          <c:order val="1"/>
          <c:tx>
            <c:strRef>
              <c:f>example!$AK$19</c:f>
              <c:strCache>
                <c:ptCount val="1"/>
                <c:pt idx="0">
                  <c:v>In store</c:v>
                </c:pt>
              </c:strCache>
            </c:strRef>
          </c:tx>
          <c:spPr>
            <a:ln w="25400" cap="rnd">
              <a:noFill/>
              <a:round/>
            </a:ln>
            <a:effectLst/>
          </c:spPr>
          <c:marker>
            <c:symbol val="circle"/>
            <c:size val="5"/>
            <c:spPr>
              <a:solidFill>
                <a:srgbClr val="762A83"/>
              </a:solidFill>
              <a:ln w="9525">
                <a:noFill/>
              </a:ln>
              <a:effectLst/>
            </c:spPr>
          </c:marker>
          <c:errBars>
            <c:errDir val="x"/>
            <c:errBarType val="minus"/>
            <c:errValType val="cust"/>
            <c:noEndCap val="1"/>
            <c:plus>
              <c:numLit>
                <c:formatCode>General</c:formatCode>
                <c:ptCount val="1"/>
                <c:pt idx="0">
                  <c:v>1</c:v>
                </c:pt>
              </c:numLit>
            </c:plus>
            <c:minus>
              <c:numRef>
                <c:f>[0]!_16_variance</c:f>
                <c:numCache>
                  <c:formatCode>General</c:formatCode>
                  <c:ptCount val="32"/>
                  <c:pt idx="0">
                    <c:v>25832</c:v>
                  </c:pt>
                  <c:pt idx="1">
                    <c:v>25634</c:v>
                  </c:pt>
                  <c:pt idx="2">
                    <c:v>25138</c:v>
                  </c:pt>
                  <c:pt idx="3">
                    <c:v>23239</c:v>
                  </c:pt>
                  <c:pt idx="4">
                    <c:v>25640</c:v>
                  </c:pt>
                  <c:pt idx="5">
                    <c:v>23132</c:v>
                  </c:pt>
                  <c:pt idx="6">
                    <c:v>26808</c:v>
                  </c:pt>
                  <c:pt idx="7">
                    <c:v>22357</c:v>
                  </c:pt>
                  <c:pt idx="8">
                    <c:v>22327</c:v>
                  </c:pt>
                  <c:pt idx="9">
                    <c:v>21379</c:v>
                  </c:pt>
                  <c:pt idx="10">
                    <c:v>22092</c:v>
                  </c:pt>
                  <c:pt idx="11">
                    <c:v>23287</c:v>
                  </c:pt>
                  <c:pt idx="12">
                    <c:v>27368</c:v>
                  </c:pt>
                  <c:pt idx="13">
                    <c:v>28920</c:v>
                  </c:pt>
                  <c:pt idx="14">
                    <c:v>21928</c:v>
                  </c:pt>
                  <c:pt idx="15">
                    <c:v>22673</c:v>
                  </c:pt>
                  <c:pt idx="16">
                    <c:v>22098</c:v>
                  </c:pt>
                  <c:pt idx="17">
                    <c:v>22156</c:v>
                  </c:pt>
                  <c:pt idx="18">
                    <c:v>21505</c:v>
                  </c:pt>
                  <c:pt idx="19">
                    <c:v>23062</c:v>
                  </c:pt>
                  <c:pt idx="20">
                    <c:v>21192</c:v>
                  </c:pt>
                  <c:pt idx="21">
                    <c:v>21589</c:v>
                  </c:pt>
                  <c:pt idx="22">
                    <c:v>20314</c:v>
                  </c:pt>
                  <c:pt idx="23">
                    <c:v>20845</c:v>
                  </c:pt>
                  <c:pt idx="24">
                    <c:v>20224</c:v>
                  </c:pt>
                  <c:pt idx="25">
                    <c:v>24569</c:v>
                  </c:pt>
                  <c:pt idx="26">
                    <c:v>22260</c:v>
                  </c:pt>
                  <c:pt idx="27">
                    <c:v>26023</c:v>
                  </c:pt>
                  <c:pt idx="28">
                    <c:v>20177</c:v>
                  </c:pt>
                  <c:pt idx="29">
                    <c:v>26004</c:v>
                  </c:pt>
                  <c:pt idx="30">
                    <c:v>22293</c:v>
                  </c:pt>
                  <c:pt idx="31">
                    <c:v>23247</c:v>
                  </c:pt>
                </c:numCache>
              </c:numRef>
            </c:minus>
            <c:spPr>
              <a:noFill/>
              <a:ln w="28575" cap="flat" cmpd="sng" algn="ctr">
                <a:solidFill>
                  <a:schemeClr val="accent3">
                    <a:lumMod val="60000"/>
                    <a:lumOff val="40000"/>
                  </a:schemeClr>
                </a:solidFill>
                <a:round/>
              </a:ln>
              <a:effectLst/>
            </c:spPr>
          </c:errBars>
          <c:xVal>
            <c:numRef>
              <c:f>[0]!_15_instore_channel</c:f>
              <c:numCache>
                <c:formatCode>General</c:formatCode>
                <c:ptCount val="32"/>
                <c:pt idx="0">
                  <c:v>127437</c:v>
                </c:pt>
                <c:pt idx="1">
                  <c:v>126160</c:v>
                </c:pt>
                <c:pt idx="2">
                  <c:v>125728</c:v>
                </c:pt>
                <c:pt idx="3">
                  <c:v>121873</c:v>
                </c:pt>
                <c:pt idx="4">
                  <c:v>121719</c:v>
                </c:pt>
                <c:pt idx="5">
                  <c:v>120023</c:v>
                </c:pt>
                <c:pt idx="6">
                  <c:v>119299</c:v>
                </c:pt>
                <c:pt idx="7">
                  <c:v>118865</c:v>
                </c:pt>
                <c:pt idx="8">
                  <c:v>118640</c:v>
                </c:pt>
                <c:pt idx="9">
                  <c:v>118129</c:v>
                </c:pt>
                <c:pt idx="10">
                  <c:v>117795</c:v>
                </c:pt>
                <c:pt idx="11">
                  <c:v>116397</c:v>
                </c:pt>
                <c:pt idx="12">
                  <c:v>115837</c:v>
                </c:pt>
                <c:pt idx="13">
                  <c:v>115825</c:v>
                </c:pt>
                <c:pt idx="14">
                  <c:v>115466</c:v>
                </c:pt>
                <c:pt idx="15">
                  <c:v>114622</c:v>
                </c:pt>
                <c:pt idx="16">
                  <c:v>114006</c:v>
                </c:pt>
                <c:pt idx="17">
                  <c:v>112874</c:v>
                </c:pt>
                <c:pt idx="18">
                  <c:v>112637</c:v>
                </c:pt>
                <c:pt idx="19">
                  <c:v>110442</c:v>
                </c:pt>
                <c:pt idx="20">
                  <c:v>109498</c:v>
                </c:pt>
                <c:pt idx="21">
                  <c:v>108752</c:v>
                </c:pt>
                <c:pt idx="22">
                  <c:v>108301</c:v>
                </c:pt>
                <c:pt idx="23">
                  <c:v>108164</c:v>
                </c:pt>
                <c:pt idx="24">
                  <c:v>106865</c:v>
                </c:pt>
                <c:pt idx="25">
                  <c:v>106387</c:v>
                </c:pt>
                <c:pt idx="26">
                  <c:v>105157</c:v>
                </c:pt>
                <c:pt idx="27">
                  <c:v>104897</c:v>
                </c:pt>
                <c:pt idx="28">
                  <c:v>104669</c:v>
                </c:pt>
                <c:pt idx="29">
                  <c:v>102823</c:v>
                </c:pt>
                <c:pt idx="30">
                  <c:v>100561</c:v>
                </c:pt>
                <c:pt idx="31">
                  <c:v>97523</c:v>
                </c:pt>
              </c:numCache>
            </c:numRef>
          </c:xVal>
          <c:yVal>
            <c:numRef>
              <c:f>[0]!_17_y_position</c:f>
              <c:numCache>
                <c:formatCode>General</c:formatCode>
                <c:ptCount val="3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numCache>
            </c:numRef>
          </c:yVal>
          <c:smooth val="0"/>
          <c:extLst>
            <c:ext xmlns:c16="http://schemas.microsoft.com/office/drawing/2014/chart" uri="{C3380CC4-5D6E-409C-BE32-E72D297353CC}">
              <c16:uniqueId val="{00000001-0DE7-46DA-837B-4A50E98E5C23}"/>
            </c:ext>
          </c:extLst>
        </c:ser>
        <c:ser>
          <c:idx val="2"/>
          <c:order val="2"/>
          <c:tx>
            <c:strRef>
              <c:f>example!$AN$19</c:f>
              <c:strCache>
                <c:ptCount val="1"/>
                <c:pt idx="0">
                  <c:v>labels pos</c:v>
                </c:pt>
              </c:strCache>
            </c:strRef>
          </c:tx>
          <c:spPr>
            <a:ln w="25400" cap="rnd">
              <a:noFill/>
              <a:round/>
            </a:ln>
            <a:effectLst/>
          </c:spPr>
          <c:marker>
            <c:symbol val="none"/>
          </c:marker>
          <c:dLbls>
            <c:dLbl>
              <c:idx val="0"/>
              <c:tx>
                <c:rich>
                  <a:bodyPr/>
                  <a:lstStyle/>
                  <a:p>
                    <a:fld id="{35627D41-9798-4F1B-BA6A-CB17C04C783C}"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DE7-46DA-837B-4A50E98E5C23}"/>
                </c:ext>
              </c:extLst>
            </c:dLbl>
            <c:dLbl>
              <c:idx val="1"/>
              <c:tx>
                <c:rich>
                  <a:bodyPr/>
                  <a:lstStyle/>
                  <a:p>
                    <a:fld id="{422CE4AE-9088-48A2-A4DE-E8F382453B39}"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DE7-46DA-837B-4A50E98E5C23}"/>
                </c:ext>
              </c:extLst>
            </c:dLbl>
            <c:dLbl>
              <c:idx val="2"/>
              <c:tx>
                <c:rich>
                  <a:bodyPr/>
                  <a:lstStyle/>
                  <a:p>
                    <a:fld id="{7E49425A-BAA4-46C9-B650-40B9944CF1D9}"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DE7-46DA-837B-4A50E98E5C23}"/>
                </c:ext>
              </c:extLst>
            </c:dLbl>
            <c:dLbl>
              <c:idx val="3"/>
              <c:tx>
                <c:rich>
                  <a:bodyPr/>
                  <a:lstStyle/>
                  <a:p>
                    <a:fld id="{7DE8881F-E78A-405F-A5C5-8FA17A795E28}"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DE7-46DA-837B-4A50E98E5C23}"/>
                </c:ext>
              </c:extLst>
            </c:dLbl>
            <c:dLbl>
              <c:idx val="4"/>
              <c:tx>
                <c:rich>
                  <a:bodyPr/>
                  <a:lstStyle/>
                  <a:p>
                    <a:fld id="{D68BF871-20B4-43DA-875F-1264899950F9}"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DE7-46DA-837B-4A50E98E5C23}"/>
                </c:ext>
              </c:extLst>
            </c:dLbl>
            <c:dLbl>
              <c:idx val="5"/>
              <c:tx>
                <c:rich>
                  <a:bodyPr/>
                  <a:lstStyle/>
                  <a:p>
                    <a:fld id="{841B89C7-7082-45CB-80A5-4597EB64B6D6}"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DE7-46DA-837B-4A50E98E5C23}"/>
                </c:ext>
              </c:extLst>
            </c:dLbl>
            <c:dLbl>
              <c:idx val="6"/>
              <c:tx>
                <c:rich>
                  <a:bodyPr/>
                  <a:lstStyle/>
                  <a:p>
                    <a:fld id="{D5284077-3527-42B0-8616-3C64E264C1CC}"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DE7-46DA-837B-4A50E98E5C23}"/>
                </c:ext>
              </c:extLst>
            </c:dLbl>
            <c:dLbl>
              <c:idx val="7"/>
              <c:tx>
                <c:rich>
                  <a:bodyPr/>
                  <a:lstStyle/>
                  <a:p>
                    <a:fld id="{262B120A-4585-4A3E-B1DE-4CB7EB750F5F}"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DE7-46DA-837B-4A50E98E5C23}"/>
                </c:ext>
              </c:extLst>
            </c:dLbl>
            <c:dLbl>
              <c:idx val="8"/>
              <c:tx>
                <c:rich>
                  <a:bodyPr/>
                  <a:lstStyle/>
                  <a:p>
                    <a:fld id="{DCA75252-66B8-4B27-8308-EEE08C4C0442}"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DE7-46DA-837B-4A50E98E5C23}"/>
                </c:ext>
              </c:extLst>
            </c:dLbl>
            <c:dLbl>
              <c:idx val="9"/>
              <c:tx>
                <c:rich>
                  <a:bodyPr/>
                  <a:lstStyle/>
                  <a:p>
                    <a:fld id="{D69DA7AE-27BE-46D9-8C42-34A4E37EA196}"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DE7-46DA-837B-4A50E98E5C23}"/>
                </c:ext>
              </c:extLst>
            </c:dLbl>
            <c:dLbl>
              <c:idx val="10"/>
              <c:tx>
                <c:rich>
                  <a:bodyPr/>
                  <a:lstStyle/>
                  <a:p>
                    <a:fld id="{12E93B77-8F39-434B-B1CA-A3F9B3F7D647}"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0DE7-46DA-837B-4A50E98E5C23}"/>
                </c:ext>
              </c:extLst>
            </c:dLbl>
            <c:dLbl>
              <c:idx val="11"/>
              <c:tx>
                <c:rich>
                  <a:bodyPr/>
                  <a:lstStyle/>
                  <a:p>
                    <a:fld id="{C5BA726D-51DF-478C-9345-B76A860715C7}"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0DE7-46DA-837B-4A50E98E5C23}"/>
                </c:ext>
              </c:extLst>
            </c:dLbl>
            <c:dLbl>
              <c:idx val="12"/>
              <c:tx>
                <c:rich>
                  <a:bodyPr/>
                  <a:lstStyle/>
                  <a:p>
                    <a:fld id="{52910621-B6D5-4371-BF41-30FCF59FC0D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0DE7-46DA-837B-4A50E98E5C23}"/>
                </c:ext>
              </c:extLst>
            </c:dLbl>
            <c:dLbl>
              <c:idx val="13"/>
              <c:tx>
                <c:rich>
                  <a:bodyPr/>
                  <a:lstStyle/>
                  <a:p>
                    <a:fld id="{9F1165D5-8457-4B22-8BDF-864105972606}"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DE7-46DA-837B-4A50E98E5C23}"/>
                </c:ext>
              </c:extLst>
            </c:dLbl>
            <c:dLbl>
              <c:idx val="14"/>
              <c:tx>
                <c:rich>
                  <a:bodyPr/>
                  <a:lstStyle/>
                  <a:p>
                    <a:fld id="{0C33A98D-7986-4A48-9C49-AC5654E746ED}"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DE7-46DA-837B-4A50E98E5C23}"/>
                </c:ext>
              </c:extLst>
            </c:dLbl>
            <c:dLbl>
              <c:idx val="15"/>
              <c:tx>
                <c:rich>
                  <a:bodyPr/>
                  <a:lstStyle/>
                  <a:p>
                    <a:fld id="{6496FAF5-1019-409C-870C-729C90BB725F}"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DE7-46DA-837B-4A50E98E5C23}"/>
                </c:ext>
              </c:extLst>
            </c:dLbl>
            <c:dLbl>
              <c:idx val="16"/>
              <c:tx>
                <c:rich>
                  <a:bodyPr/>
                  <a:lstStyle/>
                  <a:p>
                    <a:fld id="{9D381AF3-CE0A-4C51-8C3C-5F6561CF9207}"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DE7-46DA-837B-4A50E98E5C23}"/>
                </c:ext>
              </c:extLst>
            </c:dLbl>
            <c:dLbl>
              <c:idx val="17"/>
              <c:tx>
                <c:rich>
                  <a:bodyPr/>
                  <a:lstStyle/>
                  <a:p>
                    <a:fld id="{748107C2-1528-4BC2-AF4E-7BA4A7E709F6}"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DE7-46DA-837B-4A50E98E5C23}"/>
                </c:ext>
              </c:extLst>
            </c:dLbl>
            <c:dLbl>
              <c:idx val="18"/>
              <c:tx>
                <c:rich>
                  <a:bodyPr/>
                  <a:lstStyle/>
                  <a:p>
                    <a:fld id="{81CCCAAC-7427-4763-8F1B-0A209C5ED033}"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DE7-46DA-837B-4A50E98E5C23}"/>
                </c:ext>
              </c:extLst>
            </c:dLbl>
            <c:dLbl>
              <c:idx val="19"/>
              <c:tx>
                <c:rich>
                  <a:bodyPr/>
                  <a:lstStyle/>
                  <a:p>
                    <a:fld id="{936581F9-7971-4731-A9DE-B91E5A2D4487}"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DE7-46DA-837B-4A50E98E5C23}"/>
                </c:ext>
              </c:extLst>
            </c:dLbl>
            <c:dLbl>
              <c:idx val="20"/>
              <c:tx>
                <c:rich>
                  <a:bodyPr/>
                  <a:lstStyle/>
                  <a:p>
                    <a:fld id="{2FBFFD8F-856F-4CD8-9882-7403BFF3D6D1}"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DE7-46DA-837B-4A50E98E5C23}"/>
                </c:ext>
              </c:extLst>
            </c:dLbl>
            <c:dLbl>
              <c:idx val="21"/>
              <c:tx>
                <c:rich>
                  <a:bodyPr/>
                  <a:lstStyle/>
                  <a:p>
                    <a:fld id="{DAEBA300-96B4-4246-BC7F-30CCACE6D09D}"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DE7-46DA-837B-4A50E98E5C23}"/>
                </c:ext>
              </c:extLst>
            </c:dLbl>
            <c:dLbl>
              <c:idx val="22"/>
              <c:tx>
                <c:rich>
                  <a:bodyPr/>
                  <a:lstStyle/>
                  <a:p>
                    <a:fld id="{0BBE10EB-EE7E-4C7D-8318-C7D22606738B}"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DE7-46DA-837B-4A50E98E5C23}"/>
                </c:ext>
              </c:extLst>
            </c:dLbl>
            <c:dLbl>
              <c:idx val="23"/>
              <c:tx>
                <c:rich>
                  <a:bodyPr/>
                  <a:lstStyle/>
                  <a:p>
                    <a:fld id="{C40137B4-7429-49D4-8577-CC8105BFA9CB}"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DE7-46DA-837B-4A50E98E5C23}"/>
                </c:ext>
              </c:extLst>
            </c:dLbl>
            <c:dLbl>
              <c:idx val="24"/>
              <c:tx>
                <c:rich>
                  <a:bodyPr/>
                  <a:lstStyle/>
                  <a:p>
                    <a:fld id="{AB02DA36-1179-4273-AD54-B48F0A7060A7}"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0DE7-46DA-837B-4A50E98E5C23}"/>
                </c:ext>
              </c:extLst>
            </c:dLbl>
            <c:dLbl>
              <c:idx val="25"/>
              <c:tx>
                <c:rich>
                  <a:bodyPr/>
                  <a:lstStyle/>
                  <a:p>
                    <a:fld id="{26C30AAE-03D1-4E4D-A715-C41AAE11FA03}"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0DE7-46DA-837B-4A50E98E5C23}"/>
                </c:ext>
              </c:extLst>
            </c:dLbl>
            <c:dLbl>
              <c:idx val="26"/>
              <c:tx>
                <c:rich>
                  <a:bodyPr/>
                  <a:lstStyle/>
                  <a:p>
                    <a:fld id="{588E1339-F035-4F0F-8BBD-C5C2507E1F7E}"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0DE7-46DA-837B-4A50E98E5C23}"/>
                </c:ext>
              </c:extLst>
            </c:dLbl>
            <c:dLbl>
              <c:idx val="27"/>
              <c:tx>
                <c:rich>
                  <a:bodyPr/>
                  <a:lstStyle/>
                  <a:p>
                    <a:fld id="{1A4E432A-F1D3-48BF-A1EF-53ED95336FD9}"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0DE7-46DA-837B-4A50E98E5C23}"/>
                </c:ext>
              </c:extLst>
            </c:dLbl>
            <c:dLbl>
              <c:idx val="28"/>
              <c:tx>
                <c:rich>
                  <a:bodyPr/>
                  <a:lstStyle/>
                  <a:p>
                    <a:fld id="{331670FF-93FF-4511-B7FC-C88D2EDA58D4}"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0DE7-46DA-837B-4A50E98E5C23}"/>
                </c:ext>
              </c:extLst>
            </c:dLbl>
            <c:dLbl>
              <c:idx val="29"/>
              <c:tx>
                <c:rich>
                  <a:bodyPr/>
                  <a:lstStyle/>
                  <a:p>
                    <a:fld id="{7FDDC4F5-5570-4B96-9EB3-E2E3C618A3A6}"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0DE7-46DA-837B-4A50E98E5C23}"/>
                </c:ext>
              </c:extLst>
            </c:dLbl>
            <c:dLbl>
              <c:idx val="30"/>
              <c:tx>
                <c:rich>
                  <a:bodyPr/>
                  <a:lstStyle/>
                  <a:p>
                    <a:fld id="{42F13F7F-3384-43D5-B8C1-601C94AD232E}"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0DE7-46DA-837B-4A50E98E5C23}"/>
                </c:ext>
              </c:extLst>
            </c:dLbl>
            <c:dLbl>
              <c:idx val="31"/>
              <c:tx>
                <c:rich>
                  <a:bodyPr/>
                  <a:lstStyle/>
                  <a:p>
                    <a:fld id="{DED063AE-8D02-4585-A1F9-9E6751063204}"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0DE7-46DA-837B-4A50E98E5C23}"/>
                </c:ext>
              </c:extLst>
            </c:dLbl>
            <c:spPr>
              <a:noFill/>
              <a:ln>
                <a:noFill/>
              </a:ln>
              <a:effectLst/>
            </c:spPr>
            <c:txPr>
              <a:bodyPr rot="0" spcFirstLastPara="1" vertOverflow="ellipsis" vert="horz" wrap="non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xVal>
            <c:numRef>
              <c:f>[0]!_18_labels_pos</c:f>
              <c:numCache>
                <c:formatCode>General</c:formatCode>
                <c:ptCount val="32"/>
                <c:pt idx="0">
                  <c:v>60000</c:v>
                </c:pt>
                <c:pt idx="1">
                  <c:v>60000</c:v>
                </c:pt>
                <c:pt idx="2">
                  <c:v>60000</c:v>
                </c:pt>
                <c:pt idx="3">
                  <c:v>60000</c:v>
                </c:pt>
                <c:pt idx="4">
                  <c:v>60000</c:v>
                </c:pt>
                <c:pt idx="5">
                  <c:v>60000</c:v>
                </c:pt>
                <c:pt idx="6">
                  <c:v>60000</c:v>
                </c:pt>
                <c:pt idx="7">
                  <c:v>60000</c:v>
                </c:pt>
                <c:pt idx="8">
                  <c:v>60000</c:v>
                </c:pt>
                <c:pt idx="9">
                  <c:v>60000</c:v>
                </c:pt>
                <c:pt idx="10">
                  <c:v>60000</c:v>
                </c:pt>
                <c:pt idx="11">
                  <c:v>60000</c:v>
                </c:pt>
                <c:pt idx="12">
                  <c:v>60000</c:v>
                </c:pt>
                <c:pt idx="13">
                  <c:v>60000</c:v>
                </c:pt>
                <c:pt idx="14">
                  <c:v>60000</c:v>
                </c:pt>
                <c:pt idx="15">
                  <c:v>60000</c:v>
                </c:pt>
                <c:pt idx="16">
                  <c:v>60000</c:v>
                </c:pt>
                <c:pt idx="17">
                  <c:v>60000</c:v>
                </c:pt>
                <c:pt idx="18">
                  <c:v>60000</c:v>
                </c:pt>
                <c:pt idx="19">
                  <c:v>60000</c:v>
                </c:pt>
                <c:pt idx="20">
                  <c:v>60000</c:v>
                </c:pt>
                <c:pt idx="21">
                  <c:v>60000</c:v>
                </c:pt>
                <c:pt idx="22">
                  <c:v>60000</c:v>
                </c:pt>
                <c:pt idx="23">
                  <c:v>60000</c:v>
                </c:pt>
                <c:pt idx="24">
                  <c:v>60000</c:v>
                </c:pt>
                <c:pt idx="25">
                  <c:v>60000</c:v>
                </c:pt>
                <c:pt idx="26">
                  <c:v>60000</c:v>
                </c:pt>
                <c:pt idx="27">
                  <c:v>60000</c:v>
                </c:pt>
                <c:pt idx="28">
                  <c:v>60000</c:v>
                </c:pt>
                <c:pt idx="29">
                  <c:v>60000</c:v>
                </c:pt>
                <c:pt idx="30">
                  <c:v>60000</c:v>
                </c:pt>
                <c:pt idx="31">
                  <c:v>60000</c:v>
                </c:pt>
              </c:numCache>
            </c:numRef>
          </c:xVal>
          <c:yVal>
            <c:numRef>
              <c:f>[0]!_17_y_position</c:f>
              <c:numCache>
                <c:formatCode>General</c:formatCode>
                <c:ptCount val="3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numCache>
            </c:numRef>
          </c:yVal>
          <c:smooth val="0"/>
          <c:extLst>
            <c:ext xmlns:c15="http://schemas.microsoft.com/office/drawing/2012/chart" uri="{02D57815-91ED-43cb-92C2-25804820EDAC}">
              <c15:datalabelsRange>
                <c15:f>[0]!_13_subcategories</c15:f>
                <c15:dlblRangeCache>
                  <c:ptCount val="32"/>
                  <c:pt idx="0">
                    <c:v>Fun Products</c:v>
                  </c:pt>
                  <c:pt idx="1">
                    <c:v>Combos</c:v>
                  </c:pt>
                  <c:pt idx="2">
                    <c:v>Blu Rays</c:v>
                  </c:pt>
                  <c:pt idx="3">
                    <c:v>Estufas</c:v>
                  </c:pt>
                  <c:pt idx="4">
                    <c:v>Freidoras</c:v>
                  </c:pt>
                  <c:pt idx="5">
                    <c:v>Otros</c:v>
                  </c:pt>
                  <c:pt idx="6">
                    <c:v>Aspiradoras</c:v>
                  </c:pt>
                  <c:pt idx="7">
                    <c:v>Secadoras</c:v>
                  </c:pt>
                  <c:pt idx="8">
                    <c:v>Tostadoras</c:v>
                  </c:pt>
                  <c:pt idx="9">
                    <c:v>Diversion</c:v>
                  </c:pt>
                  <c:pt idx="10">
                    <c:v>Televisores</c:v>
                  </c:pt>
                  <c:pt idx="11">
                    <c:v>Radios</c:v>
                  </c:pt>
                  <c:pt idx="12">
                    <c:v>Cortadoras</c:v>
                  </c:pt>
                  <c:pt idx="13">
                    <c:v>Masajeadores</c:v>
                  </c:pt>
                  <c:pt idx="14">
                    <c:v>Cafeteras</c:v>
                  </c:pt>
                  <c:pt idx="15">
                    <c:v>Sandwicheras</c:v>
                  </c:pt>
                  <c:pt idx="16">
                    <c:v>Hervidores</c:v>
                  </c:pt>
                  <c:pt idx="17">
                    <c:v>Laceadores</c:v>
                  </c:pt>
                  <c:pt idx="18">
                    <c:v>Hornos</c:v>
                  </c:pt>
                  <c:pt idx="19">
                    <c:v>Air Coolers</c:v>
                  </c:pt>
                  <c:pt idx="20">
                    <c:v>Exprimidores</c:v>
                  </c:pt>
                  <c:pt idx="21">
                    <c:v>Extractores</c:v>
                  </c:pt>
                  <c:pt idx="22">
                    <c:v>Cepillos</c:v>
                  </c:pt>
                  <c:pt idx="23">
                    <c:v>Batidoras</c:v>
                  </c:pt>
                  <c:pt idx="24">
                    <c:v>Dvds</c:v>
                  </c:pt>
                  <c:pt idx="25">
                    <c:v>Ollas</c:v>
                  </c:pt>
                  <c:pt idx="26">
                    <c:v>Dispensadores</c:v>
                  </c:pt>
                  <c:pt idx="27">
                    <c:v>Depiladores</c:v>
                  </c:pt>
                  <c:pt idx="28">
                    <c:v>Ventiladores</c:v>
                  </c:pt>
                  <c:pt idx="29">
                    <c:v>Rizadores</c:v>
                  </c:pt>
                  <c:pt idx="30">
                    <c:v>Planchas</c:v>
                  </c:pt>
                  <c:pt idx="31">
                    <c:v>Licuadoras</c:v>
                  </c:pt>
                </c15:dlblRangeCache>
              </c15:datalabelsRange>
            </c:ext>
            <c:ext xmlns:c16="http://schemas.microsoft.com/office/drawing/2014/chart" uri="{C3380CC4-5D6E-409C-BE32-E72D297353CC}">
              <c16:uniqueId val="{00000002-0DE7-46DA-837B-4A50E98E5C23}"/>
            </c:ext>
          </c:extLst>
        </c:ser>
        <c:dLbls>
          <c:showLegendKey val="0"/>
          <c:showVal val="0"/>
          <c:showCatName val="0"/>
          <c:showSerName val="0"/>
          <c:showPercent val="0"/>
          <c:showBubbleSize val="0"/>
        </c:dLbls>
        <c:axId val="1989144400"/>
        <c:axId val="1989151472"/>
      </c:scatterChart>
      <c:valAx>
        <c:axId val="1988295952"/>
        <c:scaling>
          <c:orientation val="minMax"/>
          <c:max val="140000"/>
          <c:min val="60000"/>
        </c:scaling>
        <c:delete val="0"/>
        <c:axPos val="t"/>
        <c:majorGridlines>
          <c:spPr>
            <a:ln w="9525" cap="flat" cmpd="sng" algn="ctr">
              <a:solidFill>
                <a:schemeClr val="accent3">
                  <a:lumMod val="20000"/>
                  <a:lumOff val="80000"/>
                </a:schemeClr>
              </a:solidFill>
              <a:round/>
            </a:ln>
            <a:effectLst/>
          </c:spPr>
        </c:majorGridlines>
        <c:numFmt formatCode="#,##0," sourceLinked="0"/>
        <c:majorTickMark val="none"/>
        <c:minorTickMark val="none"/>
        <c:tickLblPos val="nextTo"/>
        <c:spPr>
          <a:noFill/>
          <a:ln w="9525" cap="flat" cmpd="sng" algn="ctr">
            <a:solidFill>
              <a:schemeClr val="accent3">
                <a:lumMod val="20000"/>
                <a:lumOff val="80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88296368"/>
        <c:crosses val="autoZero"/>
        <c:crossBetween val="midCat"/>
        <c:majorUnit val="20000"/>
      </c:valAx>
      <c:valAx>
        <c:axId val="1988296368"/>
        <c:scaling>
          <c:orientation val="maxMin"/>
          <c:max val="1"/>
          <c:min val="0"/>
        </c:scaling>
        <c:delete val="0"/>
        <c:axPos val="l"/>
        <c:numFmt formatCode="General" sourceLinked="1"/>
        <c:majorTickMark val="none"/>
        <c:minorTickMark val="none"/>
        <c:tickLblPos val="nextTo"/>
        <c:spPr>
          <a:noFill/>
          <a:ln w="9525" cap="flat" cmpd="sng" algn="ctr">
            <a:solidFill>
              <a:schemeClr val="accent3">
                <a:lumMod val="20000"/>
                <a:lumOff val="80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988295952"/>
        <c:crosses val="autoZero"/>
        <c:crossBetween val="midCat"/>
      </c:valAx>
      <c:valAx>
        <c:axId val="1989151472"/>
        <c:scaling>
          <c:orientation val="maxMin"/>
        </c:scaling>
        <c:delete val="0"/>
        <c:axPos val="r"/>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accent3">
                <a:lumMod val="20000"/>
                <a:lumOff val="80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989144400"/>
        <c:crosses val="max"/>
        <c:crossBetween val="midCat"/>
      </c:valAx>
      <c:valAx>
        <c:axId val="1989144400"/>
        <c:scaling>
          <c:orientation val="minMax"/>
        </c:scaling>
        <c:delete val="1"/>
        <c:axPos val="t"/>
        <c:numFmt formatCode="General" sourceLinked="1"/>
        <c:majorTickMark val="out"/>
        <c:minorTickMark val="none"/>
        <c:tickLblPos val="nextTo"/>
        <c:crossAx val="1989151472"/>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444837</xdr:colOff>
      <xdr:row>3</xdr:row>
      <xdr:rowOff>121920</xdr:rowOff>
    </xdr:from>
    <xdr:to>
      <xdr:col>8</xdr:col>
      <xdr:colOff>43239</xdr:colOff>
      <xdr:row>43</xdr:row>
      <xdr:rowOff>15240</xdr:rowOff>
    </xdr:to>
    <xdr:pic>
      <xdr:nvPicPr>
        <xdr:cNvPr id="2" name="Picture 1">
          <a:extLst>
            <a:ext uri="{FF2B5EF4-FFF2-40B4-BE49-F238E27FC236}">
              <a16:creationId xmlns:a16="http://schemas.microsoft.com/office/drawing/2014/main" id="{8C8BFE6A-67E2-4A4C-9F7D-CDD7164BE1B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837" y="510540"/>
          <a:ext cx="3499842" cy="5074920"/>
        </a:xfrm>
        <a:prstGeom prst="rect">
          <a:avLst/>
        </a:prstGeom>
        <a:ln>
          <a:noFill/>
        </a:ln>
      </xdr:spPr>
    </xdr:pic>
    <xdr:clientData/>
  </xdr:twoCellAnchor>
  <xdr:twoCellAnchor editAs="oneCell">
    <xdr:from>
      <xdr:col>9</xdr:col>
      <xdr:colOff>246380</xdr:colOff>
      <xdr:row>4</xdr:row>
      <xdr:rowOff>7620</xdr:rowOff>
    </xdr:from>
    <xdr:to>
      <xdr:col>15</xdr:col>
      <xdr:colOff>353060</xdr:colOff>
      <xdr:row>32</xdr:row>
      <xdr:rowOff>124460</xdr:rowOff>
    </xdr:to>
    <xdr:pic>
      <xdr:nvPicPr>
        <xdr:cNvPr id="3" name="Picture 2">
          <a:extLst>
            <a:ext uri="{FF2B5EF4-FFF2-40B4-BE49-F238E27FC236}">
              <a16:creationId xmlns:a16="http://schemas.microsoft.com/office/drawing/2014/main" id="{2DA4EC93-1443-41E4-B264-482329E7CF4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3534"/>
        <a:stretch/>
      </xdr:blipFill>
      <xdr:spPr>
        <a:xfrm rot="5400000">
          <a:off x="4279900" y="751840"/>
          <a:ext cx="3743960" cy="30327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29</xdr:col>
      <xdr:colOff>129540</xdr:colOff>
      <xdr:row>3</xdr:row>
      <xdr:rowOff>15240</xdr:rowOff>
    </xdr:from>
    <xdr:to>
      <xdr:col>30</xdr:col>
      <xdr:colOff>144780</xdr:colOff>
      <xdr:row>9</xdr:row>
      <xdr:rowOff>99060</xdr:rowOff>
    </xdr:to>
    <xdr:sp macro="" textlink="">
      <xdr:nvSpPr>
        <xdr:cNvPr id="28" name="Arrow: Down 27">
          <a:extLst>
            <a:ext uri="{FF2B5EF4-FFF2-40B4-BE49-F238E27FC236}">
              <a16:creationId xmlns:a16="http://schemas.microsoft.com/office/drawing/2014/main" id="{139F5A7C-E6B0-6FB9-4FC9-4FAC7041B61B}"/>
            </a:ext>
          </a:extLst>
        </xdr:cNvPr>
        <xdr:cNvSpPr/>
      </xdr:nvSpPr>
      <xdr:spPr>
        <a:xfrm>
          <a:off x="13235940" y="403860"/>
          <a:ext cx="182880" cy="861060"/>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29</xdr:col>
      <xdr:colOff>163408</xdr:colOff>
      <xdr:row>7</xdr:row>
      <xdr:rowOff>105208</xdr:rowOff>
    </xdr:from>
    <xdr:to>
      <xdr:col>32</xdr:col>
      <xdr:colOff>449580</xdr:colOff>
      <xdr:row>9</xdr:row>
      <xdr:rowOff>117264</xdr:rowOff>
    </xdr:to>
    <xdr:sp macro="" textlink="">
      <xdr:nvSpPr>
        <xdr:cNvPr id="30" name="Left Brace 29">
          <a:extLst>
            <a:ext uri="{FF2B5EF4-FFF2-40B4-BE49-F238E27FC236}">
              <a16:creationId xmlns:a16="http://schemas.microsoft.com/office/drawing/2014/main" id="{6A37F8E1-8354-A1AE-8F06-81783561A0D4}"/>
            </a:ext>
          </a:extLst>
        </xdr:cNvPr>
        <xdr:cNvSpPr/>
      </xdr:nvSpPr>
      <xdr:spPr>
        <a:xfrm rot="5400000">
          <a:off x="13966936" y="314860"/>
          <a:ext cx="271136" cy="1665392"/>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56</xdr:col>
      <xdr:colOff>358140</xdr:colOff>
      <xdr:row>12</xdr:row>
      <xdr:rowOff>22860</xdr:rowOff>
    </xdr:from>
    <xdr:to>
      <xdr:col>60</xdr:col>
      <xdr:colOff>153420</xdr:colOff>
      <xdr:row>17</xdr:row>
      <xdr:rowOff>91440</xdr:rowOff>
    </xdr:to>
    <mc:AlternateContent xmlns:mc="http://schemas.openxmlformats.org/markup-compatibility/2006" xmlns:a14="http://schemas.microsoft.com/office/drawing/2010/main">
      <mc:Choice Requires="a14">
        <xdr:graphicFrame macro="">
          <xdr:nvGraphicFramePr>
            <xdr:cNvPr id="21" name="client type">
              <a:extLst>
                <a:ext uri="{FF2B5EF4-FFF2-40B4-BE49-F238E27FC236}">
                  <a16:creationId xmlns:a16="http://schemas.microsoft.com/office/drawing/2014/main" id="{9E7D2709-60FD-7ECD-DA43-5C6FE59B6F67}"/>
                </a:ext>
              </a:extLst>
            </xdr:cNvPr>
            <xdr:cNvGraphicFramePr/>
          </xdr:nvGraphicFramePr>
          <xdr:xfrm>
            <a:off x="0" y="0"/>
            <a:ext cx="0" cy="0"/>
          </xdr:xfrm>
          <a:graphic>
            <a:graphicData uri="http://schemas.microsoft.com/office/drawing/2010/slicer">
              <sle:slicer xmlns:sle="http://schemas.microsoft.com/office/drawing/2010/slicer" name="client type"/>
            </a:graphicData>
          </a:graphic>
        </xdr:graphicFrame>
      </mc:Choice>
      <mc:Fallback xmlns="">
        <xdr:sp macro="" textlink="">
          <xdr:nvSpPr>
            <xdr:cNvPr id="0" name=""/>
            <xdr:cNvSpPr>
              <a:spLocks noTextEdit="1"/>
            </xdr:cNvSpPr>
          </xdr:nvSpPr>
          <xdr:spPr>
            <a:xfrm>
              <a:off x="22189440" y="1577340"/>
              <a:ext cx="1746000" cy="716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185313</xdr:colOff>
      <xdr:row>4</xdr:row>
      <xdr:rowOff>12700</xdr:rowOff>
    </xdr:from>
    <xdr:to>
      <xdr:col>4</xdr:col>
      <xdr:colOff>556261</xdr:colOff>
      <xdr:row>7</xdr:row>
      <xdr:rowOff>129347</xdr:rowOff>
    </xdr:to>
    <xdr:sp macro="" textlink="">
      <xdr:nvSpPr>
        <xdr:cNvPr id="2" name="TextBox 1">
          <a:extLst>
            <a:ext uri="{FF2B5EF4-FFF2-40B4-BE49-F238E27FC236}">
              <a16:creationId xmlns:a16="http://schemas.microsoft.com/office/drawing/2014/main" id="{24373B4F-7ACF-42D1-890D-A101947F6F01}"/>
            </a:ext>
          </a:extLst>
        </xdr:cNvPr>
        <xdr:cNvSpPr txBox="1"/>
      </xdr:nvSpPr>
      <xdr:spPr>
        <a:xfrm>
          <a:off x="901593" y="530860"/>
          <a:ext cx="1590148"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a:solidFill>
                <a:schemeClr val="bg1">
                  <a:lumMod val="65000"/>
                </a:schemeClr>
              </a:solidFill>
              <a:latin typeface="Arial" panose="020B0604020202020204" pitchFamily="34" charset="0"/>
              <a:cs typeface="Arial" panose="020B0604020202020204" pitchFamily="34" charset="0"/>
            </a:rPr>
            <a:t>the data</a:t>
          </a:r>
        </a:p>
      </xdr:txBody>
    </xdr:sp>
    <xdr:clientData/>
  </xdr:twoCellAnchor>
  <xdr:twoCellAnchor editAs="absolute">
    <xdr:from>
      <xdr:col>1</xdr:col>
      <xdr:colOff>49106</xdr:colOff>
      <xdr:row>7</xdr:row>
      <xdr:rowOff>59488</xdr:rowOff>
    </xdr:from>
    <xdr:to>
      <xdr:col>5</xdr:col>
      <xdr:colOff>327659</xdr:colOff>
      <xdr:row>9</xdr:row>
      <xdr:rowOff>71544</xdr:rowOff>
    </xdr:to>
    <xdr:sp macro="" textlink="">
      <xdr:nvSpPr>
        <xdr:cNvPr id="3" name="Left Brace 2">
          <a:extLst>
            <a:ext uri="{FF2B5EF4-FFF2-40B4-BE49-F238E27FC236}">
              <a16:creationId xmlns:a16="http://schemas.microsoft.com/office/drawing/2014/main" id="{8691B3F5-A7FB-4D16-9795-8EC6BE52936F}"/>
            </a:ext>
          </a:extLst>
        </xdr:cNvPr>
        <xdr:cNvSpPr/>
      </xdr:nvSpPr>
      <xdr:spPr>
        <a:xfrm rot="5400000">
          <a:off x="1428225" y="-207111"/>
          <a:ext cx="271136" cy="2617893"/>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0</xdr:col>
      <xdr:colOff>198120</xdr:colOff>
      <xdr:row>1</xdr:row>
      <xdr:rowOff>22860</xdr:rowOff>
    </xdr:from>
    <xdr:to>
      <xdr:col>2</xdr:col>
      <xdr:colOff>424711</xdr:colOff>
      <xdr:row>4</xdr:row>
      <xdr:rowOff>21526</xdr:rowOff>
    </xdr:to>
    <xdr:sp macro="" textlink="">
      <xdr:nvSpPr>
        <xdr:cNvPr id="4" name="TextBox 3">
          <a:extLst>
            <a:ext uri="{FF2B5EF4-FFF2-40B4-BE49-F238E27FC236}">
              <a16:creationId xmlns:a16="http://schemas.microsoft.com/office/drawing/2014/main" id="{4C8C5EA9-33F7-4F0F-818B-CBE67F083C93}"/>
            </a:ext>
          </a:extLst>
        </xdr:cNvPr>
        <xdr:cNvSpPr txBox="1"/>
      </xdr:nvSpPr>
      <xdr:spPr>
        <a:xfrm>
          <a:off x="198120" y="152400"/>
          <a:ext cx="942871"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tx1">
                  <a:lumMod val="75000"/>
                  <a:lumOff val="25000"/>
                </a:schemeClr>
              </a:solidFill>
              <a:latin typeface="Arial" panose="020B0604020202020204" pitchFamily="34" charset="0"/>
              <a:cs typeface="Arial" panose="020B0604020202020204" pitchFamily="34" charset="0"/>
            </a:rPr>
            <a:t>Steps:</a:t>
          </a:r>
        </a:p>
      </xdr:txBody>
    </xdr:sp>
    <xdr:clientData/>
  </xdr:twoCellAnchor>
  <xdr:twoCellAnchor editAs="absolute">
    <xdr:from>
      <xdr:col>3</xdr:col>
      <xdr:colOff>90171</xdr:colOff>
      <xdr:row>1</xdr:row>
      <xdr:rowOff>68580</xdr:rowOff>
    </xdr:from>
    <xdr:to>
      <xdr:col>3</xdr:col>
      <xdr:colOff>495089</xdr:colOff>
      <xdr:row>5</xdr:row>
      <xdr:rowOff>3810</xdr:rowOff>
    </xdr:to>
    <xdr:sp macro="" textlink="">
      <xdr:nvSpPr>
        <xdr:cNvPr id="5" name="Oval 7">
          <a:extLst>
            <a:ext uri="{FF2B5EF4-FFF2-40B4-BE49-F238E27FC236}">
              <a16:creationId xmlns:a16="http://schemas.microsoft.com/office/drawing/2014/main" id="{2AFE287A-C068-4118-8A10-8464C79C2018}"/>
            </a:ext>
          </a:extLst>
        </xdr:cNvPr>
        <xdr:cNvSpPr/>
      </xdr:nvSpPr>
      <xdr:spPr>
        <a:xfrm>
          <a:off x="1339851" y="198120"/>
          <a:ext cx="40491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1</a:t>
          </a:r>
        </a:p>
      </xdr:txBody>
    </xdr:sp>
    <xdr:clientData/>
  </xdr:twoCellAnchor>
  <xdr:twoCellAnchor editAs="absolute">
    <xdr:from>
      <xdr:col>17</xdr:col>
      <xdr:colOff>475826</xdr:colOff>
      <xdr:row>3</xdr:row>
      <xdr:rowOff>114300</xdr:rowOff>
    </xdr:from>
    <xdr:to>
      <xdr:col>17</xdr:col>
      <xdr:colOff>874394</xdr:colOff>
      <xdr:row>7</xdr:row>
      <xdr:rowOff>55880</xdr:rowOff>
    </xdr:to>
    <xdr:sp macro="" textlink="">
      <xdr:nvSpPr>
        <xdr:cNvPr id="6" name="Oval 5">
          <a:extLst>
            <a:ext uri="{FF2B5EF4-FFF2-40B4-BE49-F238E27FC236}">
              <a16:creationId xmlns:a16="http://schemas.microsoft.com/office/drawing/2014/main" id="{1AE51114-4683-48CA-989D-B8501843C7F9}"/>
            </a:ext>
          </a:extLst>
        </xdr:cNvPr>
        <xdr:cNvSpPr/>
      </xdr:nvSpPr>
      <xdr:spPr>
        <a:xfrm>
          <a:off x="7943426" y="502920"/>
          <a:ext cx="398568"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2</a:t>
          </a:r>
        </a:p>
      </xdr:txBody>
    </xdr:sp>
    <xdr:clientData/>
  </xdr:twoCellAnchor>
  <xdr:twoCellAnchor editAs="absolute">
    <xdr:from>
      <xdr:col>43</xdr:col>
      <xdr:colOff>59266</xdr:colOff>
      <xdr:row>11</xdr:row>
      <xdr:rowOff>112066</xdr:rowOff>
    </xdr:from>
    <xdr:to>
      <xdr:col>43</xdr:col>
      <xdr:colOff>434340</xdr:colOff>
      <xdr:row>15</xdr:row>
      <xdr:rowOff>25400</xdr:rowOff>
    </xdr:to>
    <xdr:sp macro="" textlink="">
      <xdr:nvSpPr>
        <xdr:cNvPr id="10" name="Oval 9">
          <a:extLst>
            <a:ext uri="{FF2B5EF4-FFF2-40B4-BE49-F238E27FC236}">
              <a16:creationId xmlns:a16="http://schemas.microsoft.com/office/drawing/2014/main" id="{F46651AB-0E31-44CC-AB04-8E971C0F5A14}"/>
            </a:ext>
          </a:extLst>
        </xdr:cNvPr>
        <xdr:cNvSpPr/>
      </xdr:nvSpPr>
      <xdr:spPr>
        <a:xfrm>
          <a:off x="19322626" y="1537006"/>
          <a:ext cx="375074" cy="431494"/>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tx1">
                  <a:lumMod val="65000"/>
                  <a:lumOff val="35000"/>
                </a:schemeClr>
              </a:solidFill>
              <a:latin typeface="Arial" panose="020B0604020202020204" pitchFamily="34" charset="0"/>
              <a:ea typeface="+mn-ea"/>
              <a:cs typeface="Arial" panose="020B0604020202020204" pitchFamily="34" charset="0"/>
            </a:rPr>
            <a:t>7</a:t>
          </a:r>
        </a:p>
      </xdr:txBody>
    </xdr:sp>
    <xdr:clientData/>
  </xdr:twoCellAnchor>
  <xdr:twoCellAnchor editAs="absolute">
    <xdr:from>
      <xdr:col>31</xdr:col>
      <xdr:colOff>245109</xdr:colOff>
      <xdr:row>3</xdr:row>
      <xdr:rowOff>106680</xdr:rowOff>
    </xdr:from>
    <xdr:to>
      <xdr:col>31</xdr:col>
      <xdr:colOff>644736</xdr:colOff>
      <xdr:row>7</xdr:row>
      <xdr:rowOff>41910</xdr:rowOff>
    </xdr:to>
    <xdr:sp macro="" textlink="">
      <xdr:nvSpPr>
        <xdr:cNvPr id="11" name="Oval 10">
          <a:extLst>
            <a:ext uri="{FF2B5EF4-FFF2-40B4-BE49-F238E27FC236}">
              <a16:creationId xmlns:a16="http://schemas.microsoft.com/office/drawing/2014/main" id="{53E4B8F7-3BAC-41B6-834E-CF2A8BB45F29}"/>
            </a:ext>
          </a:extLst>
        </xdr:cNvPr>
        <xdr:cNvSpPr/>
      </xdr:nvSpPr>
      <xdr:spPr>
        <a:xfrm>
          <a:off x="13923009" y="495300"/>
          <a:ext cx="399627"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4</a:t>
          </a:r>
        </a:p>
      </xdr:txBody>
    </xdr:sp>
    <xdr:clientData/>
  </xdr:twoCellAnchor>
  <xdr:twoCellAnchor editAs="absolute">
    <xdr:from>
      <xdr:col>42</xdr:col>
      <xdr:colOff>461007</xdr:colOff>
      <xdr:row>1</xdr:row>
      <xdr:rowOff>99060</xdr:rowOff>
    </xdr:from>
    <xdr:to>
      <xdr:col>43</xdr:col>
      <xdr:colOff>372953</xdr:colOff>
      <xdr:row>5</xdr:row>
      <xdr:rowOff>40640</xdr:rowOff>
    </xdr:to>
    <xdr:sp macro="" textlink="">
      <xdr:nvSpPr>
        <xdr:cNvPr id="13" name="Oval 12">
          <a:extLst>
            <a:ext uri="{FF2B5EF4-FFF2-40B4-BE49-F238E27FC236}">
              <a16:creationId xmlns:a16="http://schemas.microsoft.com/office/drawing/2014/main" id="{C2B8543F-094D-4656-A05D-7317044227AD}"/>
            </a:ext>
          </a:extLst>
        </xdr:cNvPr>
        <xdr:cNvSpPr/>
      </xdr:nvSpPr>
      <xdr:spPr>
        <a:xfrm>
          <a:off x="19236687" y="22860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9</a:t>
          </a:r>
        </a:p>
      </xdr:txBody>
    </xdr:sp>
    <xdr:clientData/>
  </xdr:twoCellAnchor>
  <xdr:twoCellAnchor editAs="absolute">
    <xdr:from>
      <xdr:col>33</xdr:col>
      <xdr:colOff>175260</xdr:colOff>
      <xdr:row>15</xdr:row>
      <xdr:rowOff>22860</xdr:rowOff>
    </xdr:from>
    <xdr:to>
      <xdr:col>34</xdr:col>
      <xdr:colOff>222674</xdr:colOff>
      <xdr:row>18</xdr:row>
      <xdr:rowOff>106680</xdr:rowOff>
    </xdr:to>
    <xdr:sp macro="" textlink="">
      <xdr:nvSpPr>
        <xdr:cNvPr id="14" name="Arrow: Down 13">
          <a:extLst>
            <a:ext uri="{FF2B5EF4-FFF2-40B4-BE49-F238E27FC236}">
              <a16:creationId xmlns:a16="http://schemas.microsoft.com/office/drawing/2014/main" id="{02EE8727-AF96-4772-99C2-89DC0D7CCCD7}"/>
            </a:ext>
          </a:extLst>
        </xdr:cNvPr>
        <xdr:cNvSpPr/>
      </xdr:nvSpPr>
      <xdr:spPr>
        <a:xfrm>
          <a:off x="15148560" y="1965960"/>
          <a:ext cx="245534" cy="472440"/>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absolute">
    <xdr:from>
      <xdr:col>33</xdr:col>
      <xdr:colOff>80434</xdr:colOff>
      <xdr:row>13</xdr:row>
      <xdr:rowOff>22860</xdr:rowOff>
    </xdr:from>
    <xdr:to>
      <xdr:col>35</xdr:col>
      <xdr:colOff>434535</xdr:colOff>
      <xdr:row>15</xdr:row>
      <xdr:rowOff>12631</xdr:rowOff>
    </xdr:to>
    <xdr:sp macro="" textlink="">
      <xdr:nvSpPr>
        <xdr:cNvPr id="15" name="TextBox 14">
          <a:extLst>
            <a:ext uri="{FF2B5EF4-FFF2-40B4-BE49-F238E27FC236}">
              <a16:creationId xmlns:a16="http://schemas.microsoft.com/office/drawing/2014/main" id="{11D21552-30BA-426A-B900-2FAF759ACABA}"/>
            </a:ext>
          </a:extLst>
        </xdr:cNvPr>
        <xdr:cNvSpPr txBox="1"/>
      </xdr:nvSpPr>
      <xdr:spPr>
        <a:xfrm>
          <a:off x="15053734" y="1706880"/>
          <a:ext cx="1230401"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1000" i="1">
              <a:solidFill>
                <a:schemeClr val="accent2"/>
              </a:solidFill>
            </a:rPr>
            <a:t>"backbone</a:t>
          </a:r>
          <a:r>
            <a:rPr lang="es-419" sz="1000" i="1" baseline="0">
              <a:solidFill>
                <a:schemeClr val="accent2"/>
              </a:solidFill>
            </a:rPr>
            <a:t> formula"</a:t>
          </a:r>
          <a:endParaRPr lang="es-419" sz="1000" i="1">
            <a:solidFill>
              <a:schemeClr val="accent2"/>
            </a:solidFill>
          </a:endParaRPr>
        </a:p>
      </xdr:txBody>
    </xdr:sp>
    <xdr:clientData/>
  </xdr:twoCellAnchor>
  <xdr:twoCellAnchor editAs="oneCell">
    <xdr:from>
      <xdr:col>56</xdr:col>
      <xdr:colOff>358140</xdr:colOff>
      <xdr:row>17</xdr:row>
      <xdr:rowOff>0</xdr:rowOff>
    </xdr:from>
    <xdr:to>
      <xdr:col>60</xdr:col>
      <xdr:colOff>153420</xdr:colOff>
      <xdr:row>21</xdr:row>
      <xdr:rowOff>30480</xdr:rowOff>
    </xdr:to>
    <mc:AlternateContent xmlns:mc="http://schemas.openxmlformats.org/markup-compatibility/2006" xmlns:a14="http://schemas.microsoft.com/office/drawing/2010/main">
      <mc:Choice Requires="a14">
        <xdr:graphicFrame macro="">
          <xdr:nvGraphicFramePr>
            <xdr:cNvPr id="18" name="channel">
              <a:extLst>
                <a:ext uri="{FF2B5EF4-FFF2-40B4-BE49-F238E27FC236}">
                  <a16:creationId xmlns:a16="http://schemas.microsoft.com/office/drawing/2014/main" id="{FC611D18-8B6D-133F-FA3F-F0E9CB02C697}"/>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22189440" y="2202180"/>
              <a:ext cx="1746000"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33</xdr:col>
      <xdr:colOff>167640</xdr:colOff>
      <xdr:row>15</xdr:row>
      <xdr:rowOff>91444</xdr:rowOff>
    </xdr:from>
    <xdr:to>
      <xdr:col>40</xdr:col>
      <xdr:colOff>53340</xdr:colOff>
      <xdr:row>18</xdr:row>
      <xdr:rowOff>7626</xdr:rowOff>
    </xdr:to>
    <xdr:sp macro="" textlink="">
      <xdr:nvSpPr>
        <xdr:cNvPr id="23" name="Left Brace 22">
          <a:extLst>
            <a:ext uri="{FF2B5EF4-FFF2-40B4-BE49-F238E27FC236}">
              <a16:creationId xmlns:a16="http://schemas.microsoft.com/office/drawing/2014/main" id="{8F546434-CB2C-1DC4-FE78-8950CC23A9D6}"/>
            </a:ext>
          </a:extLst>
        </xdr:cNvPr>
        <xdr:cNvSpPr/>
      </xdr:nvSpPr>
      <xdr:spPr>
        <a:xfrm rot="5400000">
          <a:off x="16520159" y="655325"/>
          <a:ext cx="304802" cy="3063240"/>
        </a:xfrm>
        <a:prstGeom prst="leftBrace">
          <a:avLst>
            <a:gd name="adj1" fmla="val 45538"/>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36</xdr:col>
      <xdr:colOff>449580</xdr:colOff>
      <xdr:row>11</xdr:row>
      <xdr:rowOff>106680</xdr:rowOff>
    </xdr:from>
    <xdr:to>
      <xdr:col>43</xdr:col>
      <xdr:colOff>99060</xdr:colOff>
      <xdr:row>15</xdr:row>
      <xdr:rowOff>39812</xdr:rowOff>
    </xdr:to>
    <xdr:sp macro="" textlink="">
      <xdr:nvSpPr>
        <xdr:cNvPr id="24" name="TextBox 23">
          <a:extLst>
            <a:ext uri="{FF2B5EF4-FFF2-40B4-BE49-F238E27FC236}">
              <a16:creationId xmlns:a16="http://schemas.microsoft.com/office/drawing/2014/main" id="{58AA3DB2-B7FC-F42F-8DF3-7C9D22896ADE}"/>
            </a:ext>
          </a:extLst>
        </xdr:cNvPr>
        <xdr:cNvSpPr txBox="1"/>
      </xdr:nvSpPr>
      <xdr:spPr>
        <a:xfrm>
          <a:off x="16786860" y="1531620"/>
          <a:ext cx="2575560" cy="4512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b="1">
              <a:solidFill>
                <a:schemeClr val="bg1">
                  <a:lumMod val="65000"/>
                </a:schemeClr>
              </a:solidFill>
              <a:latin typeface="Arial" panose="020B0604020202020204" pitchFamily="34" charset="0"/>
              <a:cs typeface="Arial" panose="020B0604020202020204" pitchFamily="34" charset="0"/>
            </a:rPr>
            <a:t>dynamic arrays</a:t>
          </a:r>
        </a:p>
      </xdr:txBody>
    </xdr:sp>
    <xdr:clientData/>
  </xdr:twoCellAnchor>
  <xdr:twoCellAnchor editAs="oneCell">
    <xdr:from>
      <xdr:col>56</xdr:col>
      <xdr:colOff>358140</xdr:colOff>
      <xdr:row>0</xdr:row>
      <xdr:rowOff>30480</xdr:rowOff>
    </xdr:from>
    <xdr:to>
      <xdr:col>60</xdr:col>
      <xdr:colOff>153420</xdr:colOff>
      <xdr:row>7</xdr:row>
      <xdr:rowOff>76200</xdr:rowOff>
    </xdr:to>
    <mc:AlternateContent xmlns:mc="http://schemas.openxmlformats.org/markup-compatibility/2006" xmlns:a14="http://schemas.microsoft.com/office/drawing/2010/main">
      <mc:Choice Requires="a14">
        <xdr:graphicFrame macro="">
          <xdr:nvGraphicFramePr>
            <xdr:cNvPr id="17" name="Sort By">
              <a:extLst>
                <a:ext uri="{FF2B5EF4-FFF2-40B4-BE49-F238E27FC236}">
                  <a16:creationId xmlns:a16="http://schemas.microsoft.com/office/drawing/2014/main" id="{154CE778-7515-878B-EDB4-DAA72982AFF7}"/>
                </a:ext>
              </a:extLst>
            </xdr:cNvPr>
            <xdr:cNvGraphicFramePr/>
          </xdr:nvGraphicFramePr>
          <xdr:xfrm>
            <a:off x="0" y="0"/>
            <a:ext cx="0" cy="0"/>
          </xdr:xfrm>
          <a:graphic>
            <a:graphicData uri="http://schemas.microsoft.com/office/drawing/2010/slicer">
              <sle:slicer xmlns:sle="http://schemas.microsoft.com/office/drawing/2010/slicer" name="Sort By"/>
            </a:graphicData>
          </a:graphic>
        </xdr:graphicFrame>
      </mc:Choice>
      <mc:Fallback xmlns="">
        <xdr:sp macro="" textlink="">
          <xdr:nvSpPr>
            <xdr:cNvPr id="0" name=""/>
            <xdr:cNvSpPr>
              <a:spLocks noTextEdit="1"/>
            </xdr:cNvSpPr>
          </xdr:nvSpPr>
          <xdr:spPr>
            <a:xfrm>
              <a:off x="22189440" y="30480"/>
              <a:ext cx="17460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56</xdr:col>
      <xdr:colOff>358140</xdr:colOff>
      <xdr:row>7</xdr:row>
      <xdr:rowOff>83820</xdr:rowOff>
    </xdr:from>
    <xdr:to>
      <xdr:col>60</xdr:col>
      <xdr:colOff>152400</xdr:colOff>
      <xdr:row>12</xdr:row>
      <xdr:rowOff>38100</xdr:rowOff>
    </xdr:to>
    <mc:AlternateContent xmlns:mc="http://schemas.openxmlformats.org/markup-compatibility/2006" xmlns:a14="http://schemas.microsoft.com/office/drawing/2010/main">
      <mc:Choice Requires="a14">
        <xdr:graphicFrame macro="">
          <xdr:nvGraphicFramePr>
            <xdr:cNvPr id="25" name="Sort type">
              <a:extLst>
                <a:ext uri="{FF2B5EF4-FFF2-40B4-BE49-F238E27FC236}">
                  <a16:creationId xmlns:a16="http://schemas.microsoft.com/office/drawing/2014/main" id="{3B9B84C1-BF7F-5AE4-F506-B1FF3E44B29D}"/>
                </a:ext>
              </a:extLst>
            </xdr:cNvPr>
            <xdr:cNvGraphicFramePr/>
          </xdr:nvGraphicFramePr>
          <xdr:xfrm>
            <a:off x="0" y="0"/>
            <a:ext cx="0" cy="0"/>
          </xdr:xfrm>
          <a:graphic>
            <a:graphicData uri="http://schemas.microsoft.com/office/drawing/2010/slicer">
              <sle:slicer xmlns:sle="http://schemas.microsoft.com/office/drawing/2010/slicer" name="Sort type"/>
            </a:graphicData>
          </a:graphic>
        </xdr:graphicFrame>
      </mc:Choice>
      <mc:Fallback xmlns="">
        <xdr:sp macro="" textlink="">
          <xdr:nvSpPr>
            <xdr:cNvPr id="0" name=""/>
            <xdr:cNvSpPr>
              <a:spLocks noTextEdit="1"/>
            </xdr:cNvSpPr>
          </xdr:nvSpPr>
          <xdr:spPr>
            <a:xfrm>
              <a:off x="22189440" y="990600"/>
              <a:ext cx="1744980" cy="6019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48</xdr:col>
      <xdr:colOff>167640</xdr:colOff>
      <xdr:row>48</xdr:row>
      <xdr:rowOff>76200</xdr:rowOff>
    </xdr:from>
    <xdr:to>
      <xdr:col>54</xdr:col>
      <xdr:colOff>381000</xdr:colOff>
      <xdr:row>55</xdr:row>
      <xdr:rowOff>15240</xdr:rowOff>
    </xdr:to>
    <xdr:sp macro="" textlink="">
      <xdr:nvSpPr>
        <xdr:cNvPr id="22" name="Rectangle: Rounded Corners 21">
          <a:extLst>
            <a:ext uri="{FF2B5EF4-FFF2-40B4-BE49-F238E27FC236}">
              <a16:creationId xmlns:a16="http://schemas.microsoft.com/office/drawing/2014/main" id="{B49C83C3-927A-445D-97BC-2EDB9AA6CCE4}"/>
            </a:ext>
          </a:extLst>
        </xdr:cNvPr>
        <xdr:cNvSpPr/>
      </xdr:nvSpPr>
      <xdr:spPr>
        <a:xfrm>
          <a:off x="21351240" y="6294120"/>
          <a:ext cx="3139440" cy="845820"/>
        </a:xfrm>
        <a:prstGeom prst="roundRect">
          <a:avLst/>
        </a:prstGeom>
        <a:solidFill>
          <a:srgbClr val="FFFF00"/>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ysClr val="windowText" lastClr="000000"/>
              </a:solidFill>
              <a:latin typeface="Arial" panose="020B0604020202020204" pitchFamily="34" charset="0"/>
              <a:cs typeface="Arial" panose="020B0604020202020204" pitchFamily="34" charset="0"/>
            </a:rPr>
            <a:t>Huge thanks to:</a:t>
          </a:r>
          <a:br>
            <a:rPr lang="en-US" sz="1100">
              <a:solidFill>
                <a:sysClr val="windowText" lastClr="000000"/>
              </a:solidFill>
              <a:latin typeface="Arial" panose="020B0604020202020204" pitchFamily="34" charset="0"/>
              <a:cs typeface="Arial" panose="020B0604020202020204" pitchFamily="34" charset="0"/>
            </a:rPr>
          </a:br>
          <a:r>
            <a:rPr lang="en-US" sz="1100">
              <a:solidFill>
                <a:sysClr val="windowText" lastClr="000000"/>
              </a:solidFill>
              <a:latin typeface="Arial" panose="020B0604020202020204" pitchFamily="34" charset="0"/>
              <a:cs typeface="Arial" panose="020B0604020202020204" pitchFamily="34" charset="0"/>
            </a:rPr>
            <a:t>Jon</a:t>
          </a:r>
          <a:r>
            <a:rPr lang="en-US" sz="1100" baseline="0">
              <a:solidFill>
                <a:sysClr val="windowText" lastClr="000000"/>
              </a:solidFill>
              <a:latin typeface="Arial" panose="020B0604020202020204" pitchFamily="34" charset="0"/>
              <a:cs typeface="Arial" panose="020B0604020202020204" pitchFamily="34" charset="0"/>
            </a:rPr>
            <a:t> Peltier &amp; Mark Proctor for User Defined Function (UDF) for setting the Min and Max of the chart axis.</a:t>
          </a:r>
          <a:endParaRPr lang="en-US" sz="11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48</xdr:col>
      <xdr:colOff>60960</xdr:colOff>
      <xdr:row>0</xdr:row>
      <xdr:rowOff>60960</xdr:rowOff>
    </xdr:from>
    <xdr:to>
      <xdr:col>56</xdr:col>
      <xdr:colOff>171450</xdr:colOff>
      <xdr:row>44</xdr:row>
      <xdr:rowOff>7620</xdr:rowOff>
    </xdr:to>
    <xdr:graphicFrame macro="">
      <xdr:nvGraphicFramePr>
        <xdr:cNvPr id="27" name="Chart 1">
          <a:extLst>
            <a:ext uri="{FF2B5EF4-FFF2-40B4-BE49-F238E27FC236}">
              <a16:creationId xmlns:a16="http://schemas.microsoft.com/office/drawing/2014/main" id="{F912370D-BE38-2E63-8DAB-D74DF4B9D4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29</xdr:col>
      <xdr:colOff>101389</xdr:colOff>
      <xdr:row>1</xdr:row>
      <xdr:rowOff>34290</xdr:rowOff>
    </xdr:from>
    <xdr:to>
      <xdr:col>33</xdr:col>
      <xdr:colOff>58771</xdr:colOff>
      <xdr:row>3</xdr:row>
      <xdr:rowOff>20251</xdr:rowOff>
    </xdr:to>
    <xdr:sp macro="" textlink="">
      <xdr:nvSpPr>
        <xdr:cNvPr id="29" name="TextBox 28">
          <a:extLst>
            <a:ext uri="{FF2B5EF4-FFF2-40B4-BE49-F238E27FC236}">
              <a16:creationId xmlns:a16="http://schemas.microsoft.com/office/drawing/2014/main" id="{623A3923-5CA2-7FBA-0A51-C07884C9E93C}"/>
            </a:ext>
          </a:extLst>
        </xdr:cNvPr>
        <xdr:cNvSpPr txBox="1"/>
      </xdr:nvSpPr>
      <xdr:spPr>
        <a:xfrm>
          <a:off x="13217314" y="167640"/>
          <a:ext cx="1824282" cy="2526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1000" i="1">
              <a:solidFill>
                <a:schemeClr val="accent2"/>
              </a:solidFill>
            </a:rPr>
            <a:t>backbone</a:t>
          </a:r>
          <a:r>
            <a:rPr lang="es-419" sz="1000" i="1" baseline="0">
              <a:solidFill>
                <a:schemeClr val="accent2"/>
              </a:solidFill>
            </a:rPr>
            <a:t> formula on cell: </a:t>
          </a:r>
          <a:r>
            <a:rPr lang="es-419" sz="1000" b="1" i="1" baseline="0">
              <a:solidFill>
                <a:schemeClr val="accent2"/>
              </a:solidFill>
            </a:rPr>
            <a:t>AE12</a:t>
          </a:r>
          <a:endParaRPr lang="es-419" sz="1000" b="1" i="1">
            <a:solidFill>
              <a:schemeClr val="accent2"/>
            </a:solidFill>
          </a:endParaRPr>
        </a:p>
      </xdr:txBody>
    </xdr:sp>
    <xdr:clientData/>
  </xdr:twoCellAnchor>
  <xdr:twoCellAnchor>
    <xdr:from>
      <xdr:col>7</xdr:col>
      <xdr:colOff>160020</xdr:colOff>
      <xdr:row>7</xdr:row>
      <xdr:rowOff>89968</xdr:rowOff>
    </xdr:from>
    <xdr:to>
      <xdr:col>27</xdr:col>
      <xdr:colOff>601980</xdr:colOff>
      <xdr:row>9</xdr:row>
      <xdr:rowOff>102024</xdr:rowOff>
    </xdr:to>
    <xdr:sp macro="" textlink="">
      <xdr:nvSpPr>
        <xdr:cNvPr id="26" name="Left Brace 25">
          <a:extLst>
            <a:ext uri="{FF2B5EF4-FFF2-40B4-BE49-F238E27FC236}">
              <a16:creationId xmlns:a16="http://schemas.microsoft.com/office/drawing/2014/main" id="{09AAC2AE-9D70-0241-9B5A-614403E52E3B}"/>
            </a:ext>
          </a:extLst>
        </xdr:cNvPr>
        <xdr:cNvSpPr/>
      </xdr:nvSpPr>
      <xdr:spPr>
        <a:xfrm rot="5400000">
          <a:off x="7812092" y="-3515884"/>
          <a:ext cx="271136" cy="929640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60</xdr:col>
      <xdr:colOff>170926</xdr:colOff>
      <xdr:row>0</xdr:row>
      <xdr:rowOff>114300</xdr:rowOff>
    </xdr:from>
    <xdr:to>
      <xdr:col>61</xdr:col>
      <xdr:colOff>144882</xdr:colOff>
      <xdr:row>43</xdr:row>
      <xdr:rowOff>15240</xdr:rowOff>
    </xdr:to>
    <xdr:sp macro="" textlink="">
      <xdr:nvSpPr>
        <xdr:cNvPr id="31" name="Left Brace 30">
          <a:extLst>
            <a:ext uri="{FF2B5EF4-FFF2-40B4-BE49-F238E27FC236}">
              <a16:creationId xmlns:a16="http://schemas.microsoft.com/office/drawing/2014/main" id="{B985E03B-1643-4EB6-333A-73BB8CDD2893}"/>
            </a:ext>
          </a:extLst>
        </xdr:cNvPr>
        <xdr:cNvSpPr/>
      </xdr:nvSpPr>
      <xdr:spPr>
        <a:xfrm rot="10800000">
          <a:off x="27206686" y="114300"/>
          <a:ext cx="271136" cy="547116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36</xdr:col>
      <xdr:colOff>144836</xdr:colOff>
      <xdr:row>11</xdr:row>
      <xdr:rowOff>113401</xdr:rowOff>
    </xdr:from>
    <xdr:to>
      <xdr:col>37</xdr:col>
      <xdr:colOff>53340</xdr:colOff>
      <xdr:row>15</xdr:row>
      <xdr:rowOff>45720</xdr:rowOff>
    </xdr:to>
    <xdr:sp macro="" textlink="">
      <xdr:nvSpPr>
        <xdr:cNvPr id="8" name="Oval 7">
          <a:extLst>
            <a:ext uri="{FF2B5EF4-FFF2-40B4-BE49-F238E27FC236}">
              <a16:creationId xmlns:a16="http://schemas.microsoft.com/office/drawing/2014/main" id="{F185BE57-E854-4B92-A7BE-A4F88A3E5FB9}"/>
            </a:ext>
          </a:extLst>
        </xdr:cNvPr>
        <xdr:cNvSpPr/>
      </xdr:nvSpPr>
      <xdr:spPr>
        <a:xfrm>
          <a:off x="16482116" y="1538341"/>
          <a:ext cx="396184" cy="450479"/>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tx1">
                  <a:lumMod val="65000"/>
                  <a:lumOff val="35000"/>
                </a:schemeClr>
              </a:solidFill>
              <a:latin typeface="Arial" panose="020B0604020202020204" pitchFamily="34" charset="0"/>
              <a:ea typeface="+mn-ea"/>
              <a:cs typeface="Arial" panose="020B0604020202020204" pitchFamily="34" charset="0"/>
            </a:rPr>
            <a:t>5</a:t>
          </a:r>
        </a:p>
      </xdr:txBody>
    </xdr:sp>
    <xdr:clientData/>
  </xdr:twoCellAnchor>
  <xdr:twoCellAnchor editAs="absolute">
    <xdr:from>
      <xdr:col>34</xdr:col>
      <xdr:colOff>94828</xdr:colOff>
      <xdr:row>4</xdr:row>
      <xdr:rowOff>6148</xdr:rowOff>
    </xdr:from>
    <xdr:to>
      <xdr:col>39</xdr:col>
      <xdr:colOff>91440</xdr:colOff>
      <xdr:row>5</xdr:row>
      <xdr:rowOff>68580</xdr:rowOff>
    </xdr:to>
    <xdr:sp macro="" textlink="">
      <xdr:nvSpPr>
        <xdr:cNvPr id="32" name="Left Brace 31">
          <a:extLst>
            <a:ext uri="{FF2B5EF4-FFF2-40B4-BE49-F238E27FC236}">
              <a16:creationId xmlns:a16="http://schemas.microsoft.com/office/drawing/2014/main" id="{58BBC33C-4957-0E19-F0F2-91DACD2600C8}"/>
            </a:ext>
          </a:extLst>
        </xdr:cNvPr>
        <xdr:cNvSpPr/>
      </xdr:nvSpPr>
      <xdr:spPr>
        <a:xfrm rot="5400000">
          <a:off x="16414438" y="-623882"/>
          <a:ext cx="191972" cy="2488352"/>
        </a:xfrm>
        <a:prstGeom prst="leftBrace">
          <a:avLst>
            <a:gd name="adj1" fmla="val 50556"/>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41</xdr:col>
      <xdr:colOff>132928</xdr:colOff>
      <xdr:row>5</xdr:row>
      <xdr:rowOff>67108</xdr:rowOff>
    </xdr:from>
    <xdr:to>
      <xdr:col>45</xdr:col>
      <xdr:colOff>182880</xdr:colOff>
      <xdr:row>7</xdr:row>
      <xdr:rowOff>79164</xdr:rowOff>
    </xdr:to>
    <xdr:sp macro="" textlink="">
      <xdr:nvSpPr>
        <xdr:cNvPr id="33" name="Left Brace 32">
          <a:extLst>
            <a:ext uri="{FF2B5EF4-FFF2-40B4-BE49-F238E27FC236}">
              <a16:creationId xmlns:a16="http://schemas.microsoft.com/office/drawing/2014/main" id="{C0339A61-700B-F6B9-99ED-4A0C01EF1B29}"/>
            </a:ext>
          </a:extLst>
        </xdr:cNvPr>
        <xdr:cNvSpPr/>
      </xdr:nvSpPr>
      <xdr:spPr>
        <a:xfrm rot="5400000">
          <a:off x="19285696" y="-149960"/>
          <a:ext cx="271136" cy="2000672"/>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61</xdr:col>
      <xdr:colOff>180552</xdr:colOff>
      <xdr:row>20</xdr:row>
      <xdr:rowOff>0</xdr:rowOff>
    </xdr:from>
    <xdr:to>
      <xdr:col>61</xdr:col>
      <xdr:colOff>579120</xdr:colOff>
      <xdr:row>23</xdr:row>
      <xdr:rowOff>64770</xdr:rowOff>
    </xdr:to>
    <xdr:sp macro="" textlink="">
      <xdr:nvSpPr>
        <xdr:cNvPr id="37" name="Oval 3">
          <a:extLst>
            <a:ext uri="{FF2B5EF4-FFF2-40B4-BE49-F238E27FC236}">
              <a16:creationId xmlns:a16="http://schemas.microsoft.com/office/drawing/2014/main" id="{53913D09-B635-48D3-A8CC-D55B4EEE9DE3}"/>
            </a:ext>
          </a:extLst>
        </xdr:cNvPr>
        <xdr:cNvSpPr/>
      </xdr:nvSpPr>
      <xdr:spPr>
        <a:xfrm>
          <a:off x="27513492" y="2590800"/>
          <a:ext cx="398568" cy="45339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3</a:t>
          </a:r>
        </a:p>
      </xdr:txBody>
    </xdr:sp>
    <xdr:clientData/>
  </xdr:twoCellAnchor>
  <xdr:twoCellAnchor>
    <xdr:from>
      <xdr:col>40</xdr:col>
      <xdr:colOff>121922</xdr:colOff>
      <xdr:row>15</xdr:row>
      <xdr:rowOff>76204</xdr:rowOff>
    </xdr:from>
    <xdr:to>
      <xdr:col>46</xdr:col>
      <xdr:colOff>22860</xdr:colOff>
      <xdr:row>17</xdr:row>
      <xdr:rowOff>121926</xdr:rowOff>
    </xdr:to>
    <xdr:sp macro="" textlink="">
      <xdr:nvSpPr>
        <xdr:cNvPr id="38" name="Left Brace 37">
          <a:extLst>
            <a:ext uri="{FF2B5EF4-FFF2-40B4-BE49-F238E27FC236}">
              <a16:creationId xmlns:a16="http://schemas.microsoft.com/office/drawing/2014/main" id="{261F1979-D175-A74B-18DF-EBCCE41293BD}"/>
            </a:ext>
          </a:extLst>
        </xdr:cNvPr>
        <xdr:cNvSpPr/>
      </xdr:nvSpPr>
      <xdr:spPr>
        <a:xfrm rot="5400000">
          <a:off x="19358610" y="933456"/>
          <a:ext cx="304802" cy="2476498"/>
        </a:xfrm>
        <a:prstGeom prst="leftBrace">
          <a:avLst>
            <a:gd name="adj1" fmla="val 45538"/>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46</xdr:col>
      <xdr:colOff>131655</xdr:colOff>
      <xdr:row>2</xdr:row>
      <xdr:rowOff>45720</xdr:rowOff>
    </xdr:from>
    <xdr:to>
      <xdr:col>48</xdr:col>
      <xdr:colOff>74081</xdr:colOff>
      <xdr:row>5</xdr:row>
      <xdr:rowOff>116840</xdr:rowOff>
    </xdr:to>
    <xdr:sp macro="" textlink="">
      <xdr:nvSpPr>
        <xdr:cNvPr id="12" name="Oval 11">
          <a:extLst>
            <a:ext uri="{FF2B5EF4-FFF2-40B4-BE49-F238E27FC236}">
              <a16:creationId xmlns:a16="http://schemas.microsoft.com/office/drawing/2014/main" id="{FC391C37-B4F1-4443-A2F6-42EF63D885EC}"/>
            </a:ext>
          </a:extLst>
        </xdr:cNvPr>
        <xdr:cNvSpPr/>
      </xdr:nvSpPr>
      <xdr:spPr>
        <a:xfrm>
          <a:off x="20858055" y="30480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8</a:t>
          </a:r>
        </a:p>
      </xdr:txBody>
    </xdr:sp>
    <xdr:clientData/>
  </xdr:twoCellAnchor>
  <xdr:twoCellAnchor editAs="absolute">
    <xdr:from>
      <xdr:col>35</xdr:col>
      <xdr:colOff>453387</xdr:colOff>
      <xdr:row>0</xdr:row>
      <xdr:rowOff>60960</xdr:rowOff>
    </xdr:from>
    <xdr:to>
      <xdr:col>36</xdr:col>
      <xdr:colOff>365333</xdr:colOff>
      <xdr:row>4</xdr:row>
      <xdr:rowOff>2540</xdr:rowOff>
    </xdr:to>
    <xdr:sp macro="" textlink="">
      <xdr:nvSpPr>
        <xdr:cNvPr id="39" name="Oval 38">
          <a:extLst>
            <a:ext uri="{FF2B5EF4-FFF2-40B4-BE49-F238E27FC236}">
              <a16:creationId xmlns:a16="http://schemas.microsoft.com/office/drawing/2014/main" id="{53740498-1216-2D13-5154-F6D586B1671F}"/>
            </a:ext>
          </a:extLst>
        </xdr:cNvPr>
        <xdr:cNvSpPr/>
      </xdr:nvSpPr>
      <xdr:spPr>
        <a:xfrm>
          <a:off x="16302987" y="60960"/>
          <a:ext cx="399626" cy="4597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6</a:t>
          </a:r>
        </a:p>
      </xdr:txBody>
    </xdr:sp>
    <xdr:clientData/>
  </xdr:twoCellAnchor>
  <xdr:twoCellAnchor editAs="oneCell">
    <xdr:from>
      <xdr:col>56</xdr:col>
      <xdr:colOff>373380</xdr:colOff>
      <xdr:row>20</xdr:row>
      <xdr:rowOff>114300</xdr:rowOff>
    </xdr:from>
    <xdr:to>
      <xdr:col>60</xdr:col>
      <xdr:colOff>152400</xdr:colOff>
      <xdr:row>26</xdr:row>
      <xdr:rowOff>114300</xdr:rowOff>
    </xdr:to>
    <mc:AlternateContent xmlns:mc="http://schemas.openxmlformats.org/markup-compatibility/2006" xmlns:a14="http://schemas.microsoft.com/office/drawing/2010/main">
      <mc:Choice Requires="a14">
        <xdr:graphicFrame macro="">
          <xdr:nvGraphicFramePr>
            <xdr:cNvPr id="7" name="category">
              <a:extLst>
                <a:ext uri="{FF2B5EF4-FFF2-40B4-BE49-F238E27FC236}">
                  <a16:creationId xmlns:a16="http://schemas.microsoft.com/office/drawing/2014/main" id="{32AA494B-70B5-208B-09A0-3364073CBEE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5458420" y="2705100"/>
              <a:ext cx="1729740" cy="7772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56</xdr:col>
      <xdr:colOff>373380</xdr:colOff>
      <xdr:row>26</xdr:row>
      <xdr:rowOff>7620</xdr:rowOff>
    </xdr:from>
    <xdr:to>
      <xdr:col>60</xdr:col>
      <xdr:colOff>114300</xdr:colOff>
      <xdr:row>42</xdr:row>
      <xdr:rowOff>30480</xdr:rowOff>
    </xdr:to>
    <mc:AlternateContent xmlns:mc="http://schemas.openxmlformats.org/markup-compatibility/2006" xmlns:a14="http://schemas.microsoft.com/office/drawing/2010/main">
      <mc:Choice Requires="a14">
        <xdr:graphicFrame macro="">
          <xdr:nvGraphicFramePr>
            <xdr:cNvPr id="9" name="subcategory">
              <a:extLst>
                <a:ext uri="{FF2B5EF4-FFF2-40B4-BE49-F238E27FC236}">
                  <a16:creationId xmlns:a16="http://schemas.microsoft.com/office/drawing/2014/main" id="{DF339B5F-15E9-F957-7901-64D75424F16C}"/>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25458420" y="3375660"/>
              <a:ext cx="1691640" cy="2095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0.05318</cdr:x>
      <cdr:y>0.02969</cdr:y>
    </cdr:from>
    <cdr:to>
      <cdr:x>0.06458</cdr:x>
      <cdr:y>0.03779</cdr:y>
    </cdr:to>
    <cdr:sp macro="" textlink="">
      <cdr:nvSpPr>
        <cdr:cNvPr id="2" name="TextBox 1">
          <a:extLst xmlns:a="http://schemas.openxmlformats.org/drawingml/2006/main">
            <a:ext uri="{FF2B5EF4-FFF2-40B4-BE49-F238E27FC236}">
              <a16:creationId xmlns:a16="http://schemas.microsoft.com/office/drawing/2014/main" id="{7ADDA6CE-1BCF-6BDE-6A90-B01FECF158BD}"/>
            </a:ext>
          </a:extLst>
        </cdr:cNvPr>
        <cdr:cNvSpPr txBox="1"/>
      </cdr:nvSpPr>
      <cdr:spPr>
        <a:xfrm xmlns:a="http://schemas.openxmlformats.org/drawingml/2006/main">
          <a:off x="213360" y="167640"/>
          <a:ext cx="45719" cy="457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0.01755</cdr:y>
    </cdr:from>
    <cdr:to>
      <cdr:x>1</cdr:x>
      <cdr:y>0.06883</cdr:y>
    </cdr:to>
    <cdr:sp macro="" textlink="example!$AM$8">
      <cdr:nvSpPr>
        <cdr:cNvPr id="3" name="TextBox 2">
          <a:extLst xmlns:a="http://schemas.openxmlformats.org/drawingml/2006/main">
            <a:ext uri="{FF2B5EF4-FFF2-40B4-BE49-F238E27FC236}">
              <a16:creationId xmlns:a16="http://schemas.microsoft.com/office/drawing/2014/main" id="{4D2ABC20-7CC4-87E0-44FA-D2DBFA601127}"/>
            </a:ext>
          </a:extLst>
        </cdr:cNvPr>
        <cdr:cNvSpPr txBox="1"/>
      </cdr:nvSpPr>
      <cdr:spPr>
        <a:xfrm xmlns:a="http://schemas.openxmlformats.org/drawingml/2006/main">
          <a:off x="0" y="99079"/>
          <a:ext cx="4011930" cy="28954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64FE5682-E2B4-4123-894D-81565285E13E}" type="TxLink">
            <a:rPr lang="en-US" sz="1000" b="1" i="0" u="none" strike="noStrike">
              <a:solidFill>
                <a:srgbClr val="000000"/>
              </a:solidFill>
              <a:latin typeface="Arial" panose="020B0604020202020204" pitchFamily="34" charset="0"/>
              <a:cs typeface="Arial" panose="020B0604020202020204" pitchFamily="34" charset="0"/>
            </a:rPr>
            <a:pPr/>
            <a:t>Dumbell plot with average lines and 1 std. dev. reference bands</a:t>
          </a:fld>
          <a:endParaRPr lang="en-US" sz="1000" b="1">
            <a:latin typeface="Arial" panose="020B0604020202020204" pitchFamily="34"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2</xdr:col>
      <xdr:colOff>226695</xdr:colOff>
      <xdr:row>0</xdr:row>
      <xdr:rowOff>0</xdr:rowOff>
    </xdr:from>
    <xdr:to>
      <xdr:col>8</xdr:col>
      <xdr:colOff>600075</xdr:colOff>
      <xdr:row>14</xdr:row>
      <xdr:rowOff>72044</xdr:rowOff>
    </xdr:to>
    <xdr:grpSp>
      <xdr:nvGrpSpPr>
        <xdr:cNvPr id="2" name="Grupo 1" descr="Logo de xlor.la">
          <a:extLst>
            <a:ext uri="{FF2B5EF4-FFF2-40B4-BE49-F238E27FC236}">
              <a16:creationId xmlns:a16="http://schemas.microsoft.com/office/drawing/2014/main" id="{2E6A724D-C3CB-4039-AE1D-76FF1B0916A5}"/>
            </a:ext>
          </a:extLst>
        </xdr:cNvPr>
        <xdr:cNvGrpSpPr/>
      </xdr:nvGrpSpPr>
      <xdr:grpSpPr>
        <a:xfrm>
          <a:off x="1807845" y="0"/>
          <a:ext cx="4792980" cy="2605694"/>
          <a:chOff x="1432560" y="807720"/>
          <a:chExt cx="4800600" cy="2590800"/>
        </a:xfrm>
      </xdr:grpSpPr>
      <xdr:sp macro="" textlink="">
        <xdr:nvSpPr>
          <xdr:cNvPr id="3" name="Rectángulo 2">
            <a:extLst>
              <a:ext uri="{FF2B5EF4-FFF2-40B4-BE49-F238E27FC236}">
                <a16:creationId xmlns:a16="http://schemas.microsoft.com/office/drawing/2014/main" id="{A4B7ABE3-5CDC-4636-B725-57E0F7E246E3}"/>
              </a:ext>
            </a:extLst>
          </xdr:cNvPr>
          <xdr:cNvSpPr/>
        </xdr:nvSpPr>
        <xdr:spPr>
          <a:xfrm>
            <a:off x="1432560" y="807720"/>
            <a:ext cx="4800600" cy="2590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CuadroTexto 3">
            <a:extLst>
              <a:ext uri="{FF2B5EF4-FFF2-40B4-BE49-F238E27FC236}">
                <a16:creationId xmlns:a16="http://schemas.microsoft.com/office/drawing/2014/main" id="{5882217E-521F-4CB5-B730-1FC8C2FFA4D8}"/>
              </a:ext>
            </a:extLst>
          </xdr:cNvPr>
          <xdr:cNvSpPr txBox="1"/>
        </xdr:nvSpPr>
        <xdr:spPr>
          <a:xfrm>
            <a:off x="3543300" y="1094575"/>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ingdings" panose="05000000000000000000" pitchFamily="2" charset="2"/>
              </a:rPr>
              <a:t></a:t>
            </a:r>
            <a:endParaRPr lang="es-PE" sz="6600">
              <a:solidFill>
                <a:schemeClr val="bg1">
                  <a:lumMod val="75000"/>
                </a:schemeClr>
              </a:solidFill>
            </a:endParaRPr>
          </a:p>
        </xdr:txBody>
      </xdr:sp>
      <xdr:grpSp>
        <xdr:nvGrpSpPr>
          <xdr:cNvPr id="5" name="Grupo 4">
            <a:extLst>
              <a:ext uri="{FF2B5EF4-FFF2-40B4-BE49-F238E27FC236}">
                <a16:creationId xmlns:a16="http://schemas.microsoft.com/office/drawing/2014/main" id="{1486ECC7-72C5-4791-A835-60ECC9E2C6AD}"/>
              </a:ext>
            </a:extLst>
          </xdr:cNvPr>
          <xdr:cNvGrpSpPr/>
        </xdr:nvGrpSpPr>
        <xdr:grpSpPr>
          <a:xfrm>
            <a:off x="1653540" y="1649600"/>
            <a:ext cx="4519987" cy="1658751"/>
            <a:chOff x="767310" y="1789715"/>
            <a:chExt cx="7353300" cy="2113035"/>
          </a:xfrm>
        </xdr:grpSpPr>
        <xdr:sp macro="" textlink="">
          <xdr:nvSpPr>
            <xdr:cNvPr id="12" name="CuadroTexto 11">
              <a:extLst>
                <a:ext uri="{FF2B5EF4-FFF2-40B4-BE49-F238E27FC236}">
                  <a16:creationId xmlns:a16="http://schemas.microsoft.com/office/drawing/2014/main" id="{F15DBDBC-E4EF-4017-BEB4-1BFDBB3FFACA}"/>
                </a:ext>
              </a:extLst>
            </xdr:cNvPr>
            <xdr:cNvSpPr txBox="1"/>
          </xdr:nvSpPr>
          <xdr:spPr>
            <a:xfrm>
              <a:off x="808893" y="1789715"/>
              <a:ext cx="7258323" cy="1340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6900">
                  <a:solidFill>
                    <a:srgbClr val="00B050"/>
                  </a:solidFill>
                  <a:latin typeface="Arial Black" panose="020B0A04020102020204" pitchFamily="34" charset="0"/>
                </a:rPr>
                <a:t>XL</a:t>
              </a:r>
              <a:r>
                <a:rPr lang="es-MX" sz="6900">
                  <a:solidFill>
                    <a:schemeClr val="bg1">
                      <a:lumMod val="85000"/>
                    </a:schemeClr>
                  </a:solidFill>
                  <a:latin typeface="Arial Black" panose="020B0A04020102020204" pitchFamily="34" charset="0"/>
                </a:rPr>
                <a:t>OR.LA</a:t>
              </a:r>
            </a:p>
          </xdr:txBody>
        </xdr:sp>
        <xdr:sp macro="" textlink="">
          <xdr:nvSpPr>
            <xdr:cNvPr id="13" name="CuadroTexto 12">
              <a:extLst>
                <a:ext uri="{FF2B5EF4-FFF2-40B4-BE49-F238E27FC236}">
                  <a16:creationId xmlns:a16="http://schemas.microsoft.com/office/drawing/2014/main" id="{FFECADE3-9E2E-459A-9245-13FE78CB0AED}"/>
                </a:ext>
              </a:extLst>
            </xdr:cNvPr>
            <xdr:cNvSpPr txBox="1"/>
          </xdr:nvSpPr>
          <xdr:spPr>
            <a:xfrm>
              <a:off x="767310" y="3086423"/>
              <a:ext cx="7353300" cy="8163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3100">
                  <a:solidFill>
                    <a:schemeClr val="bg1">
                      <a:lumMod val="85000"/>
                    </a:schemeClr>
                  </a:solidFill>
                  <a:latin typeface="Arial" panose="020B0604020202020204" pitchFamily="34" charset="0"/>
                  <a:cs typeface="Arial" panose="020B0604020202020204" pitchFamily="34" charset="0"/>
                </a:rPr>
                <a:t>EVANGELIZING EXCEL</a:t>
              </a:r>
            </a:p>
          </xdr:txBody>
        </xdr:sp>
      </xdr:grpSp>
      <xdr:sp macro="" textlink="">
        <xdr:nvSpPr>
          <xdr:cNvPr id="6" name="CuadroTexto 5">
            <a:extLst>
              <a:ext uri="{FF2B5EF4-FFF2-40B4-BE49-F238E27FC236}">
                <a16:creationId xmlns:a16="http://schemas.microsoft.com/office/drawing/2014/main" id="{6CFBA02D-6D57-4F47-9B70-958215E97BA9}"/>
              </a:ext>
            </a:extLst>
          </xdr:cNvPr>
          <xdr:cNvSpPr txBox="1"/>
        </xdr:nvSpPr>
        <xdr:spPr>
          <a:xfrm>
            <a:off x="2529840" y="1094575"/>
            <a:ext cx="1005840" cy="126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7200">
                <a:solidFill>
                  <a:schemeClr val="bg1">
                    <a:lumMod val="75000"/>
                  </a:schemeClr>
                </a:solidFill>
                <a:latin typeface="Segoe MDL2 Assets" panose="050A0102010101010101" pitchFamily="18" charset="0"/>
                <a:sym typeface="Webdings" panose="05030102010509060703" pitchFamily="18" charset="2"/>
              </a:rPr>
              <a:t></a:t>
            </a:r>
            <a:endParaRPr lang="es-PE" sz="7200">
              <a:solidFill>
                <a:schemeClr val="bg1">
                  <a:lumMod val="75000"/>
                </a:schemeClr>
              </a:solidFill>
            </a:endParaRPr>
          </a:p>
        </xdr:txBody>
      </xdr:sp>
      <xdr:sp macro="" textlink="">
        <xdr:nvSpPr>
          <xdr:cNvPr id="7" name="CuadroTexto 6">
            <a:extLst>
              <a:ext uri="{FF2B5EF4-FFF2-40B4-BE49-F238E27FC236}">
                <a16:creationId xmlns:a16="http://schemas.microsoft.com/office/drawing/2014/main" id="{792D20A6-9E6C-4750-A4F2-DFFD8B06AB1F}"/>
              </a:ext>
            </a:extLst>
          </xdr:cNvPr>
          <xdr:cNvSpPr txBox="1"/>
        </xdr:nvSpPr>
        <xdr:spPr>
          <a:xfrm>
            <a:off x="1615440" y="1102178"/>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ebdings" panose="05030102010509060703" pitchFamily="18" charset="2"/>
              </a:rPr>
              <a:t></a:t>
            </a:r>
            <a:endParaRPr lang="es-PE" sz="6600">
              <a:solidFill>
                <a:schemeClr val="bg1">
                  <a:lumMod val="75000"/>
                </a:schemeClr>
              </a:solidFill>
            </a:endParaRPr>
          </a:p>
        </xdr:txBody>
      </xdr:sp>
      <xdr:sp macro="" textlink="">
        <xdr:nvSpPr>
          <xdr:cNvPr id="8" name="CuadroTexto 7">
            <a:extLst>
              <a:ext uri="{FF2B5EF4-FFF2-40B4-BE49-F238E27FC236}">
                <a16:creationId xmlns:a16="http://schemas.microsoft.com/office/drawing/2014/main" id="{2C34189B-23B7-4C72-80FE-186AFB0EE5DE}"/>
              </a:ext>
            </a:extLst>
          </xdr:cNvPr>
          <xdr:cNvSpPr txBox="1"/>
        </xdr:nvSpPr>
        <xdr:spPr>
          <a:xfrm>
            <a:off x="4427220" y="1143000"/>
            <a:ext cx="1005840" cy="970779"/>
          </a:xfrm>
          <a:prstGeom prst="rect">
            <a:avLst/>
          </a:prstGeom>
          <a:noFill/>
          <a:ln w="9525"/>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PE" sz="5400">
                <a:solidFill>
                  <a:schemeClr val="bg1">
                    <a:lumMod val="75000"/>
                  </a:schemeClr>
                </a:solidFill>
                <a:latin typeface="HoloLens MDL2 Assets" panose="050A0102010101010101" pitchFamily="18" charset="0"/>
                <a:sym typeface="Webdings" panose="05030102010509060703" pitchFamily="18" charset="2"/>
              </a:rPr>
              <a:t></a:t>
            </a:r>
            <a:endParaRPr lang="es-PE" sz="5400">
              <a:solidFill>
                <a:schemeClr val="bg1">
                  <a:lumMod val="75000"/>
                </a:schemeClr>
              </a:solidFill>
            </a:endParaRPr>
          </a:p>
        </xdr:txBody>
      </xdr:sp>
      <xdr:grpSp>
        <xdr:nvGrpSpPr>
          <xdr:cNvPr id="9" name="Grupo 8">
            <a:extLst>
              <a:ext uri="{FF2B5EF4-FFF2-40B4-BE49-F238E27FC236}">
                <a16:creationId xmlns:a16="http://schemas.microsoft.com/office/drawing/2014/main" id="{2FBCE4BE-C86C-41BF-B638-360B04E0097D}"/>
              </a:ext>
            </a:extLst>
          </xdr:cNvPr>
          <xdr:cNvGrpSpPr/>
        </xdr:nvGrpSpPr>
        <xdr:grpSpPr>
          <a:xfrm>
            <a:off x="5113019" y="1226820"/>
            <a:ext cx="1101122" cy="617220"/>
            <a:chOff x="5113019" y="1310640"/>
            <a:chExt cx="1101122" cy="617220"/>
          </a:xfrm>
        </xdr:grpSpPr>
        <xdr:sp macro="" textlink="">
          <xdr:nvSpPr>
            <xdr:cNvPr id="10" name="CuadroTexto 9">
              <a:extLst>
                <a:ext uri="{FF2B5EF4-FFF2-40B4-BE49-F238E27FC236}">
                  <a16:creationId xmlns:a16="http://schemas.microsoft.com/office/drawing/2014/main" id="{D40595E0-9EC1-4768-BDA4-7D5CFFD55C37}"/>
                </a:ext>
              </a:extLst>
            </xdr:cNvPr>
            <xdr:cNvSpPr txBox="1"/>
          </xdr:nvSpPr>
          <xdr:spPr>
            <a:xfrm>
              <a:off x="5113019" y="1310640"/>
              <a:ext cx="975361"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4400">
                  <a:solidFill>
                    <a:schemeClr val="bg1">
                      <a:lumMod val="75000"/>
                    </a:schemeClr>
                  </a:solidFill>
                  <a:latin typeface="HoloLens MDL2 Assets" panose="050A0102010101010101" pitchFamily="18" charset="0"/>
                  <a:sym typeface="Webdings" panose="05030102010509060703" pitchFamily="18" charset="2"/>
                </a:rPr>
                <a:t></a:t>
              </a:r>
              <a:endParaRPr lang="es-PE" sz="4400">
                <a:solidFill>
                  <a:schemeClr val="bg1">
                    <a:lumMod val="75000"/>
                  </a:schemeClr>
                </a:solidFill>
              </a:endParaRPr>
            </a:p>
          </xdr:txBody>
        </xdr:sp>
        <xdr:sp macro="" textlink="">
          <xdr:nvSpPr>
            <xdr:cNvPr id="11" name="CuadroTexto 10">
              <a:extLst>
                <a:ext uri="{FF2B5EF4-FFF2-40B4-BE49-F238E27FC236}">
                  <a16:creationId xmlns:a16="http://schemas.microsoft.com/office/drawing/2014/main" id="{14828505-4CFC-4FC3-9E13-F94D004451F5}"/>
                </a:ext>
              </a:extLst>
            </xdr:cNvPr>
            <xdr:cNvSpPr txBox="1"/>
          </xdr:nvSpPr>
          <xdr:spPr>
            <a:xfrm>
              <a:off x="5982347" y="1455419"/>
              <a:ext cx="231794" cy="33528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E" sz="1100">
                <a:ln>
                  <a:noFill/>
                </a:ln>
                <a:solidFill>
                  <a:schemeClr val="bg1">
                    <a:lumMod val="75000"/>
                  </a:schemeClr>
                </a:solidFill>
              </a:endParaRPr>
            </a:p>
          </xdr:txBody>
        </xdr:sp>
      </xdr:grpSp>
    </xdr:grpSp>
    <xdr:clientData/>
  </xdr:twoCellAnchor>
  <xdr:oneCellAnchor>
    <xdr:from>
      <xdr:col>4</xdr:col>
      <xdr:colOff>262889</xdr:colOff>
      <xdr:row>16</xdr:row>
      <xdr:rowOff>76200</xdr:rowOff>
    </xdr:from>
    <xdr:ext cx="4718685" cy="2038350"/>
    <xdr:sp macro="" textlink="">
      <xdr:nvSpPr>
        <xdr:cNvPr id="14" name="CuadroTexto 14">
          <a:extLst>
            <a:ext uri="{FF2B5EF4-FFF2-40B4-BE49-F238E27FC236}">
              <a16:creationId xmlns:a16="http://schemas.microsoft.com/office/drawing/2014/main" id="{903D0970-AFE5-49CC-A8E3-916DDC02CD5A}"/>
            </a:ext>
          </a:extLst>
        </xdr:cNvPr>
        <xdr:cNvSpPr txBox="1"/>
      </xdr:nvSpPr>
      <xdr:spPr>
        <a:xfrm>
          <a:off x="3105149" y="3002280"/>
          <a:ext cx="4718685" cy="2038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1100">
              <a:latin typeface="Arial" panose="020B0604020202020204" pitchFamily="34" charset="0"/>
              <a:cs typeface="Arial" panose="020B0604020202020204" pitchFamily="34" charset="0"/>
            </a:rPr>
            <a:t>Thank</a:t>
          </a:r>
          <a:r>
            <a:rPr lang="es-PE" sz="1100" baseline="0">
              <a:latin typeface="Arial" panose="020B0604020202020204" pitchFamily="34" charset="0"/>
              <a:cs typeface="Arial" panose="020B0604020202020204" pitchFamily="34" charset="0"/>
            </a:rPr>
            <a:t> you for downloading in this video-tutorial of Excel!</a:t>
          </a:r>
          <a:br>
            <a:rPr lang="es-PE" sz="1100">
              <a:latin typeface="Arial" panose="020B0604020202020204" pitchFamily="34" charset="0"/>
              <a:cs typeface="Arial" panose="020B0604020202020204" pitchFamily="34" charset="0"/>
            </a:rPr>
          </a:br>
          <a:endParaRPr lang="es-PE" sz="1100">
            <a:latin typeface="Arial" panose="020B0604020202020204" pitchFamily="34" charset="0"/>
            <a:cs typeface="Arial" panose="020B0604020202020204" pitchFamily="34" charset="0"/>
          </a:endParaRPr>
        </a:p>
        <a:p>
          <a:r>
            <a:rPr lang="es-PE" sz="1100" b="1">
              <a:latin typeface="Arial" panose="020B0604020202020204" pitchFamily="34" charset="0"/>
              <a:cs typeface="Arial" panose="020B0604020202020204" pitchFamily="34" charset="0"/>
            </a:rPr>
            <a:t>Mission</a:t>
          </a:r>
          <a:r>
            <a:rPr lang="es-PE" sz="1100" b="1" baseline="0">
              <a:latin typeface="Arial" panose="020B0604020202020204" pitchFamily="34" charset="0"/>
              <a:cs typeface="Arial" panose="020B0604020202020204" pitchFamily="34" charset="0"/>
            </a:rPr>
            <a:t>: </a:t>
          </a:r>
          <a:r>
            <a:rPr lang="es-PE" sz="1100" baseline="0">
              <a:latin typeface="Arial" panose="020B0604020202020204" pitchFamily="34" charset="0"/>
              <a:cs typeface="Arial" panose="020B0604020202020204" pitchFamily="34" charset="0"/>
            </a:rPr>
            <a:t>to evangelize the efficient use of Microsoft Excel so we can transform data into valuable information.</a:t>
          </a:r>
        </a:p>
        <a:p>
          <a:endParaRPr lang="es-PE" sz="1100" baseline="0">
            <a:latin typeface="Arial" panose="020B0604020202020204" pitchFamily="34" charset="0"/>
            <a:cs typeface="Arial" panose="020B0604020202020204" pitchFamily="34" charset="0"/>
          </a:endParaRPr>
        </a:p>
        <a:p>
          <a:r>
            <a:rPr lang="es-PE" sz="1100" b="1" baseline="0">
              <a:latin typeface="Arial" panose="020B0604020202020204" pitchFamily="34" charset="0"/>
              <a:cs typeface="Arial" panose="020B0604020202020204" pitchFamily="34" charset="0"/>
            </a:rPr>
            <a:t>Vision: </a:t>
          </a:r>
          <a:r>
            <a:rPr lang="es-PE" sz="1100" baseline="0">
              <a:latin typeface="Arial" panose="020B0604020202020204" pitchFamily="34" charset="0"/>
              <a:cs typeface="Arial" panose="020B0604020202020204" pitchFamily="34" charset="0"/>
            </a:rPr>
            <a:t>to empower a more productive Latino America so more professionals can add value to their careers, their organizations, and consequently; a better quality of life.</a:t>
          </a:r>
        </a:p>
        <a:p>
          <a:endParaRPr lang="es-PE" sz="1100" baseline="0">
            <a:latin typeface="Arial" panose="020B0604020202020204" pitchFamily="34" charset="0"/>
            <a:cs typeface="Arial" panose="020B0604020202020204" pitchFamily="34" charset="0"/>
          </a:endParaRPr>
        </a:p>
        <a:p>
          <a:r>
            <a:rPr lang="es-PE" sz="1100" baseline="0">
              <a:latin typeface="Arial" panose="020B0604020202020204" pitchFamily="34" charset="0"/>
              <a:cs typeface="Arial" panose="020B0604020202020204" pitchFamily="34" charset="0"/>
            </a:rPr>
            <a:t>If you have any questions, or have noticed an error, please let me know,</a:t>
          </a:r>
          <a:r>
            <a:rPr lang="es-PE" sz="1100" b="1" baseline="0">
              <a:latin typeface="Arial" panose="020B0604020202020204" pitchFamily="34" charset="0"/>
              <a:cs typeface="Arial" panose="020B0604020202020204" pitchFamily="34" charset="0"/>
            </a:rPr>
            <a:t> I would like to know about it.</a:t>
          </a:r>
        </a:p>
        <a:p>
          <a:endParaRPr lang="es-PE" sz="1100">
            <a:latin typeface="Arial" panose="020B0604020202020204" pitchFamily="34" charset="0"/>
            <a:cs typeface="Arial" panose="020B0604020202020204" pitchFamily="34" charset="0"/>
          </a:endParaRPr>
        </a:p>
      </xdr:txBody>
    </xdr:sp>
    <xdr:clientData/>
  </xdr:oneCellAnchor>
  <xdr:twoCellAnchor>
    <xdr:from>
      <xdr:col>0</xdr:col>
      <xdr:colOff>689610</xdr:colOff>
      <xdr:row>14</xdr:row>
      <xdr:rowOff>20955</xdr:rowOff>
    </xdr:from>
    <xdr:to>
      <xdr:col>3</xdr:col>
      <xdr:colOff>736743</xdr:colOff>
      <xdr:row>29</xdr:row>
      <xdr:rowOff>23533</xdr:rowOff>
    </xdr:to>
    <xdr:grpSp>
      <xdr:nvGrpSpPr>
        <xdr:cNvPr id="15" name="Grupo 20">
          <a:extLst>
            <a:ext uri="{FF2B5EF4-FFF2-40B4-BE49-F238E27FC236}">
              <a16:creationId xmlns:a16="http://schemas.microsoft.com/office/drawing/2014/main" id="{EF059F55-04AE-4496-8451-9C3C212AA94D}"/>
            </a:ext>
          </a:extLst>
        </xdr:cNvPr>
        <xdr:cNvGrpSpPr/>
      </xdr:nvGrpSpPr>
      <xdr:grpSpPr>
        <a:xfrm>
          <a:off x="689610" y="2554605"/>
          <a:ext cx="2095008" cy="2717203"/>
          <a:chOff x="679525" y="3046879"/>
          <a:chExt cx="2078984" cy="2719108"/>
        </a:xfrm>
      </xdr:grpSpPr>
      <xdr:pic>
        <xdr:nvPicPr>
          <xdr:cNvPr id="16" name="Imagen 13" descr="Fotografia de Carlos Barboza">
            <a:extLst>
              <a:ext uri="{FF2B5EF4-FFF2-40B4-BE49-F238E27FC236}">
                <a16:creationId xmlns:a16="http://schemas.microsoft.com/office/drawing/2014/main" id="{D149A514-A348-4401-A7CC-DE2D48A475BE}"/>
              </a:ext>
              <a:ext uri="{C183D7F6-B498-43B3-948B-1728B52AA6E4}">
                <adec:decorative xmlns:adec="http://schemas.microsoft.com/office/drawing/2017/decorative" val="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8300"/>
          <a:stretch/>
        </xdr:blipFill>
        <xdr:spPr>
          <a:xfrm>
            <a:off x="679525" y="4775947"/>
            <a:ext cx="2078984" cy="990040"/>
          </a:xfrm>
          <a:prstGeom prst="ellipse">
            <a:avLst/>
          </a:prstGeom>
          <a:ln w="63500" cap="rnd">
            <a:noFill/>
          </a:ln>
          <a:effectLst/>
        </xdr:spPr>
      </xdr:pic>
      <xdr:pic>
        <xdr:nvPicPr>
          <xdr:cNvPr id="17" name="Imagen 15">
            <a:extLst>
              <a:ext uri="{FF2B5EF4-FFF2-40B4-BE49-F238E27FC236}">
                <a16:creationId xmlns:a16="http://schemas.microsoft.com/office/drawing/2014/main" id="{6955C058-FBD1-4DCF-B8BB-A8059D7FF6F6}"/>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83" r="22357" b="29715"/>
          <a:stretch/>
        </xdr:blipFill>
        <xdr:spPr>
          <a:xfrm>
            <a:off x="1079759" y="3046879"/>
            <a:ext cx="1300370" cy="1709058"/>
          </a:xfrm>
          <a:prstGeom prst="ellipse">
            <a:avLst/>
          </a:prstGeom>
        </xdr:spPr>
      </xdr:pic>
      <xdr:pic>
        <xdr:nvPicPr>
          <xdr:cNvPr id="18" name="Imagen 16">
            <a:extLst>
              <a:ext uri="{FF2B5EF4-FFF2-40B4-BE49-F238E27FC236}">
                <a16:creationId xmlns:a16="http://schemas.microsoft.com/office/drawing/2014/main" id="{078ED441-919D-4DE8-BA78-2881C4F4A434}"/>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62209"/>
          <a:stretch/>
        </xdr:blipFill>
        <xdr:spPr>
          <a:xfrm>
            <a:off x="1435432" y="3226024"/>
            <a:ext cx="627058" cy="600774"/>
          </a:xfrm>
          <a:prstGeom prst="rect">
            <a:avLst/>
          </a:prstGeom>
        </xdr:spPr>
      </xdr:pic>
      <xdr:sp macro="" textlink="">
        <xdr:nvSpPr>
          <xdr:cNvPr id="19" name="Forma libre: forma 19">
            <a:extLst>
              <a:ext uri="{FF2B5EF4-FFF2-40B4-BE49-F238E27FC236}">
                <a16:creationId xmlns:a16="http://schemas.microsoft.com/office/drawing/2014/main" id="{34F8E79B-17BE-47DD-B517-12D6E05534DE}"/>
              </a:ext>
            </a:extLst>
          </xdr:cNvPr>
          <xdr:cNvSpPr/>
        </xdr:nvSpPr>
        <xdr:spPr>
          <a:xfrm>
            <a:off x="1331438" y="4756135"/>
            <a:ext cx="807003" cy="401260"/>
          </a:xfrm>
          <a:custGeom>
            <a:avLst/>
            <a:gdLst>
              <a:gd name="connsiteX0" fmla="*/ 0 w 752856"/>
              <a:gd name="connsiteY0" fmla="*/ 30480 h 381000"/>
              <a:gd name="connsiteX1" fmla="*/ 91440 w 752856"/>
              <a:gd name="connsiteY1" fmla="*/ 158496 h 381000"/>
              <a:gd name="connsiteX2" fmla="*/ 335280 w 752856"/>
              <a:gd name="connsiteY2" fmla="*/ 377952 h 381000"/>
              <a:gd name="connsiteX3" fmla="*/ 390144 w 752856"/>
              <a:gd name="connsiteY3" fmla="*/ 381000 h 381000"/>
              <a:gd name="connsiteX4" fmla="*/ 673608 w 752856"/>
              <a:gd name="connsiteY4" fmla="*/ 164592 h 381000"/>
              <a:gd name="connsiteX5" fmla="*/ 752856 w 752856"/>
              <a:gd name="connsiteY5" fmla="*/ 45720 h 381000"/>
              <a:gd name="connsiteX6" fmla="*/ 362712 w 752856"/>
              <a:gd name="connsiteY6" fmla="*/ 0 h 381000"/>
              <a:gd name="connsiteX7" fmla="*/ 0 w 752856"/>
              <a:gd name="connsiteY7" fmla="*/ 30480 h 381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752856" h="381000">
                <a:moveTo>
                  <a:pt x="0" y="30480"/>
                </a:moveTo>
                <a:lnTo>
                  <a:pt x="91440" y="158496"/>
                </a:lnTo>
                <a:lnTo>
                  <a:pt x="335280" y="377952"/>
                </a:lnTo>
                <a:lnTo>
                  <a:pt x="390144" y="381000"/>
                </a:lnTo>
                <a:lnTo>
                  <a:pt x="673608" y="164592"/>
                </a:lnTo>
                <a:lnTo>
                  <a:pt x="752856" y="45720"/>
                </a:lnTo>
                <a:lnTo>
                  <a:pt x="362712" y="0"/>
                </a:lnTo>
                <a:lnTo>
                  <a:pt x="0" y="30480"/>
                </a:lnTo>
                <a:close/>
              </a:path>
            </a:pathLst>
          </a:cu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832.939955787035" createdVersion="8" refreshedVersion="8" minRefreshableVersion="3" recordCount="2" xr:uid="{2A9EE969-5BA1-46DA-B470-8A2958C7FC96}">
  <cacheSource type="worksheet">
    <worksheetSource name="_02_channels"/>
  </cacheSource>
  <cacheFields count="1">
    <cacheField name="channel" numFmtId="0">
      <sharedItems count="2">
        <s v="In store"/>
        <s v="Online"/>
      </sharedItems>
    </cacheField>
  </cacheFields>
  <extLst>
    <ext xmlns:x14="http://schemas.microsoft.com/office/spreadsheetml/2009/9/main" uri="{725AE2AE-9491-48be-B2B4-4EB974FC3084}">
      <x14:pivotCacheDefinition pivotCacheId="927018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840.440848495367" missingItemsLimit="0" createdVersion="8" refreshedVersion="8" minRefreshableVersion="3" recordCount="32" xr:uid="{FC6D6B2B-1EBB-4A54-8F8A-91837A37F0E1}">
  <cacheSource type="worksheet">
    <worksheetSource name="_04_categories"/>
  </cacheSource>
  <cacheFields count="2">
    <cacheField name="category" numFmtId="0">
      <sharedItems count="2">
        <s v="Domestic Appliances"/>
        <s v="Small Appliances"/>
      </sharedItems>
    </cacheField>
    <cacheField name="subcategory" numFmtId="0">
      <sharedItems count="32">
        <s v="Ventiladores"/>
        <s v="Ollas"/>
        <s v="Depiladores"/>
        <s v="Rizadores"/>
        <s v="Licuadoras"/>
        <s v="Planchas"/>
        <s v="Dispensadores"/>
        <s v="Air Coolers"/>
        <s v="Sandwicheras"/>
        <s v="Radios"/>
        <s v="Hervidores"/>
        <s v="Hornos"/>
        <s v="Exprimidores"/>
        <s v="Dvds"/>
        <s v="Extractores"/>
        <s v="Cepillos"/>
        <s v="Batidoras"/>
        <s v="Laceadores"/>
        <s v="Cafeteras"/>
        <s v="Televisores"/>
        <s v="Diversion"/>
        <s v="Otros"/>
        <s v="Secadoras"/>
        <s v="Tostadoras"/>
        <s v="Estufas"/>
        <s v="Blu Rays"/>
        <s v="Fun Products"/>
        <s v="Combos"/>
        <s v="Freidoras"/>
        <s v="Aspiradoras"/>
        <s v="Cortadoras"/>
        <s v="Masajeadores"/>
      </sharedItems>
    </cacheField>
  </cacheFields>
  <extLst>
    <ext xmlns:x14="http://schemas.microsoft.com/office/spreadsheetml/2009/9/main" uri="{725AE2AE-9491-48be-B2B4-4EB974FC3084}">
      <x14:pivotCacheDefinition pivotCacheId="107266720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840.443568055554" createdVersion="8" refreshedVersion="8" minRefreshableVersion="3" recordCount="3" xr:uid="{8DA7FD31-A56A-467E-AD13-756E809DAC6C}">
  <cacheSource type="worksheet">
    <worksheetSource name="_07_client_type"/>
  </cacheSource>
  <cacheFields count="1">
    <cacheField name="client type" numFmtId="0">
      <sharedItems count="3">
        <s v="Bookstores"/>
        <s v="Retailers"/>
        <s v="Wholesaler"/>
      </sharedItems>
    </cacheField>
  </cacheFields>
  <extLst>
    <ext xmlns:x14="http://schemas.microsoft.com/office/spreadsheetml/2009/9/main" uri="{725AE2AE-9491-48be-B2B4-4EB974FC3084}">
      <x14:pivotCacheDefinition pivotCacheId="36369894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840.443963773148" missingItemsLimit="0" createdVersion="8" refreshedVersion="8" minRefreshableVersion="3" recordCount="3" xr:uid="{0441B9A3-9E5B-42CD-9CE9-B17D7DF3638F}">
  <cacheSource type="worksheet">
    <worksheetSource name="_09_sort_by_selection"/>
  </cacheSource>
  <cacheFields count="2">
    <cacheField name="Sort By" numFmtId="0">
      <sharedItems count="3">
        <s v="1. Sub Category"/>
        <s v="2. Online"/>
        <s v="3. In store"/>
      </sharedItems>
    </cacheField>
    <cacheField name="Sort order" numFmtId="0">
      <sharedItems containsSemiMixedTypes="0" containsString="0" containsNumber="1" containsInteger="1" minValue="1" maxValue="3" count="3">
        <n v="1"/>
        <n v="2"/>
        <n v="3"/>
      </sharedItems>
    </cacheField>
  </cacheFields>
  <extLst>
    <ext xmlns:x14="http://schemas.microsoft.com/office/spreadsheetml/2009/9/main" uri="{725AE2AE-9491-48be-B2B4-4EB974FC3084}">
      <x14:pivotCacheDefinition pivotCacheId="642849549"/>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840.444122685185" createdVersion="8" refreshedVersion="8" minRefreshableVersion="3" recordCount="2" xr:uid="{920AAE97-049E-4E3C-B96A-2B17318BD12E}">
  <cacheSource type="worksheet">
    <worksheetSource name="_11_sort_type"/>
  </cacheSource>
  <cacheFields count="2">
    <cacheField name="Sort type" numFmtId="0">
      <sharedItems count="2">
        <s v="Ascending"/>
        <s v="Descending"/>
      </sharedItems>
    </cacheField>
    <cacheField name="Sort Order" numFmtId="0">
      <sharedItems containsSemiMixedTypes="0" containsString="0" containsNumber="1" containsInteger="1" minValue="-1" maxValue="1" count="2">
        <n v="1"/>
        <n v="-1"/>
      </sharedItems>
    </cacheField>
  </cacheFields>
  <extLst>
    <ext xmlns:x14="http://schemas.microsoft.com/office/spreadsheetml/2009/9/main" uri="{725AE2AE-9491-48be-B2B4-4EB974FC3084}">
      <x14:pivotCacheDefinition pivotCacheId="9869008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r>
  <r>
    <x v="1"/>
    <x v="1"/>
  </r>
  <r>
    <x v="0"/>
    <x v="2"/>
  </r>
  <r>
    <x v="0"/>
    <x v="3"/>
  </r>
  <r>
    <x v="1"/>
    <x v="4"/>
  </r>
  <r>
    <x v="1"/>
    <x v="5"/>
  </r>
  <r>
    <x v="1"/>
    <x v="6"/>
  </r>
  <r>
    <x v="0"/>
    <x v="7"/>
  </r>
  <r>
    <x v="1"/>
    <x v="8"/>
  </r>
  <r>
    <x v="0"/>
    <x v="9"/>
  </r>
  <r>
    <x v="1"/>
    <x v="10"/>
  </r>
  <r>
    <x v="1"/>
    <x v="11"/>
  </r>
  <r>
    <x v="1"/>
    <x v="12"/>
  </r>
  <r>
    <x v="0"/>
    <x v="13"/>
  </r>
  <r>
    <x v="1"/>
    <x v="14"/>
  </r>
  <r>
    <x v="0"/>
    <x v="15"/>
  </r>
  <r>
    <x v="1"/>
    <x v="16"/>
  </r>
  <r>
    <x v="0"/>
    <x v="17"/>
  </r>
  <r>
    <x v="1"/>
    <x v="18"/>
  </r>
  <r>
    <x v="0"/>
    <x v="19"/>
  </r>
  <r>
    <x v="1"/>
    <x v="20"/>
  </r>
  <r>
    <x v="1"/>
    <x v="21"/>
  </r>
  <r>
    <x v="0"/>
    <x v="22"/>
  </r>
  <r>
    <x v="1"/>
    <x v="23"/>
  </r>
  <r>
    <x v="0"/>
    <x v="24"/>
  </r>
  <r>
    <x v="0"/>
    <x v="25"/>
  </r>
  <r>
    <x v="1"/>
    <x v="26"/>
  </r>
  <r>
    <x v="1"/>
    <x v="27"/>
  </r>
  <r>
    <x v="1"/>
    <x v="28"/>
  </r>
  <r>
    <x v="0"/>
    <x v="29"/>
  </r>
  <r>
    <x v="0"/>
    <x v="30"/>
  </r>
  <r>
    <x v="0"/>
    <x v="3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x v="0"/>
  </r>
  <r>
    <x v="1"/>
    <x v="1"/>
  </r>
  <r>
    <x v="2"/>
    <x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r>
  <r>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46A348-05EB-4997-A9D8-7A68DC38FA51}" name="pt_categories" cacheId="1"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P11:P13" firstHeaderRow="1" firstDataRow="1" firstDataCol="1"/>
  <pivotFields count="2">
    <pivotField axis="axisRow" compact="0" outline="0" showAll="0">
      <items count="3">
        <item x="0"/>
        <item x="1"/>
        <item t="default"/>
      </items>
    </pivotField>
    <pivotField compact="0" outline="0" showAll="0"/>
  </pivotFields>
  <rowFields count="1">
    <field x="0"/>
  </rowFields>
  <rowItems count="2">
    <i>
      <x/>
    </i>
    <i>
      <x v="1"/>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F482976-F5F5-44C8-855E-305A64AC8F61}" name="pt_subcategories" cacheId="1"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R11:R43" firstHeaderRow="1" firstDataRow="1" firstDataCol="1"/>
  <pivotFields count="2">
    <pivotField compact="0" outline="0" showAll="0">
      <items count="3">
        <item x="0"/>
        <item x="1"/>
        <item t="default"/>
      </items>
    </pivotField>
    <pivotField axis="axisRow" compact="0" outline="0" showAll="0">
      <items count="33">
        <item x="7"/>
        <item x="29"/>
        <item x="16"/>
        <item x="25"/>
        <item x="18"/>
        <item x="15"/>
        <item x="27"/>
        <item x="30"/>
        <item x="2"/>
        <item x="6"/>
        <item x="20"/>
        <item x="13"/>
        <item x="24"/>
        <item x="12"/>
        <item x="14"/>
        <item x="28"/>
        <item x="26"/>
        <item x="10"/>
        <item x="11"/>
        <item x="17"/>
        <item x="4"/>
        <item x="31"/>
        <item x="1"/>
        <item x="21"/>
        <item x="5"/>
        <item x="9"/>
        <item x="3"/>
        <item x="8"/>
        <item x="22"/>
        <item x="19"/>
        <item x="23"/>
        <item x="0"/>
        <item t="default"/>
      </items>
    </pivotField>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B4A48F-9748-4162-B35B-E6A5CF623469}" name="pt_channels" cacheId="0"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K11:K13" firstHeaderRow="1" firstDataRow="1" firstDataCol="1"/>
  <pivotFields count="1">
    <pivotField axis="axisRow" compact="0" outline="0" showAll="0">
      <items count="3">
        <item x="0"/>
        <item x="1"/>
        <item t="default"/>
      </items>
    </pivotField>
  </pivotFields>
  <rowFields count="1">
    <field x="0"/>
  </rowFields>
  <rowItems count="2">
    <i>
      <x/>
    </i>
    <i>
      <x v="1"/>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1609C5-4F83-4339-8B31-1C83CD9D0B47}" name="pt_client_type" cacheId="2"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V11:V12" firstHeaderRow="1" firstDataRow="1" firstDataCol="1"/>
  <pivotFields count="1">
    <pivotField axis="axisRow" compact="0" outline="0" showAll="0">
      <items count="4">
        <item x="0"/>
        <item h="1" x="1"/>
        <item h="1" x="2"/>
        <item t="default"/>
      </items>
    </pivotField>
  </pivotFields>
  <rowFields count="1">
    <field x="0"/>
  </rowFields>
  <rowItems count="1">
    <i>
      <x/>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EA7177-3C34-4F65-B576-05C859CD5543}" name="pt_sort_order" cacheId="4"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AB11:AB12" firstHeaderRow="1" firstDataRow="1" firstDataCol="1"/>
  <pivotFields count="2">
    <pivotField compact="0" outline="0" showAll="0">
      <items count="3">
        <item h="1" x="0"/>
        <item x="1"/>
        <item t="default"/>
      </items>
    </pivotField>
    <pivotField axis="axisRow" compact="0" outline="0" showAll="0">
      <items count="3">
        <item x="1"/>
        <item x="0"/>
        <item t="default"/>
      </items>
    </pivotField>
  </pivotFields>
  <rowFields count="1">
    <field x="1"/>
  </rowFields>
  <rowItems count="1">
    <i>
      <x/>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323D8D6-5202-4C25-8B24-B988ED923EA1}" name="pt_sort_selection" cacheId="3" applyNumberFormats="0" applyBorderFormats="0" applyFontFormats="0" applyPatternFormats="0" applyAlignmentFormats="0" applyWidthHeightFormats="1" dataCaption="Values" showError="1" updatedVersion="8" minRefreshableVersion="3" rowGrandTotals="0" itemPrintTitles="1" createdVersion="8" indent="0" compact="0" compactData="0" multipleFieldFilters="0">
  <location ref="Y11:Y12" firstHeaderRow="1" firstDataRow="1" firstDataCol="1"/>
  <pivotFields count="2">
    <pivotField compact="0" outline="0" showAll="0">
      <items count="4">
        <item h="1" x="0"/>
        <item h="1" x="1"/>
        <item x="2"/>
        <item t="default"/>
      </items>
    </pivotField>
    <pivotField axis="axisRow" compact="0" outline="0" showAll="0">
      <items count="4">
        <item x="0"/>
        <item x="1"/>
        <item x="2"/>
        <item t="default"/>
      </items>
    </pivotField>
  </pivotFields>
  <rowFields count="1">
    <field x="1"/>
  </rowFields>
  <rowItems count="1">
    <i>
      <x v="2"/>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3_channel_slicer" xr10:uid="{049ABCB9-C971-4090-9A78-8665AEFC2FA0}" sourceName="channel">
  <pivotTables>
    <pivotTable tabId="4" name="pt_channels"/>
  </pivotTables>
  <data>
    <tabular pivotCacheId="92701887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8_client_type_slicer" xr10:uid="{723A5852-9F54-4F72-9767-E5D1EDE9BAEE}" sourceName="client type">
  <pivotTables>
    <pivotTable tabId="4" name="pt_client_type"/>
  </pivotTables>
  <data>
    <tabular pivotCacheId="363698949">
      <items count="3">
        <i x="0" s="1"/>
        <i x="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0_Sort_By_slicer" xr10:uid="{B34B29D9-74A7-48D6-BFB9-6F5326EF7113}" sourceName="Sort By">
  <pivotTables>
    <pivotTable tabId="4" name="pt_sort_selection"/>
  </pivotTables>
  <data>
    <tabular pivotCacheId="642849549">
      <items count="3">
        <i x="0"/>
        <i x="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2_Sort_type_slicer" xr10:uid="{BD8D32B4-860B-42EB-AC35-6277FA1981B5}" sourceName="Sort type">
  <pivotTables>
    <pivotTable tabId="4" name="pt_sort_order"/>
  </pivotTables>
  <data>
    <tabular pivotCacheId="986900895">
      <items count="2">
        <i x="0"/>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5_category_slicer" xr10:uid="{E1E2CDBA-7E97-4BF7-9DF7-A93671E89E4A}" sourceName="category">
  <pivotTables>
    <pivotTable tabId="4" name="pt_categories"/>
    <pivotTable tabId="4" name="pt_subcategories"/>
  </pivotTables>
  <data>
    <tabular pivotCacheId="1072667208">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6_subcategory_slicer" xr10:uid="{64F004B0-A332-4571-9FC0-2BC95B385A38}" sourceName="subcategory">
  <pivotTables>
    <pivotTable tabId="4" name="pt_subcategories"/>
  </pivotTables>
  <data>
    <tabular pivotCacheId="1072667208">
      <items count="32">
        <i x="7" s="1"/>
        <i x="29" s="1"/>
        <i x="16" s="1"/>
        <i x="25" s="1"/>
        <i x="18" s="1"/>
        <i x="15" s="1"/>
        <i x="27" s="1"/>
        <i x="30" s="1"/>
        <i x="2" s="1"/>
        <i x="6" s="1"/>
        <i x="20" s="1"/>
        <i x="13" s="1"/>
        <i x="24" s="1"/>
        <i x="12" s="1"/>
        <i x="14" s="1"/>
        <i x="28" s="1"/>
        <i x="26" s="1"/>
        <i x="10" s="1"/>
        <i x="11" s="1"/>
        <i x="17" s="1"/>
        <i x="4" s="1"/>
        <i x="31" s="1"/>
        <i x="1" s="1"/>
        <i x="21" s="1"/>
        <i x="5" s="1"/>
        <i x="9" s="1"/>
        <i x="3" s="1"/>
        <i x="8" s="1"/>
        <i x="22" s="1"/>
        <i x="19" s="1"/>
        <i x="23"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annel" xr10:uid="{16C8C3C9-7793-463F-8EBA-2C5D462636BA}" cache="_03_channel_slicer" caption="channel" columnCount="2" style="xlorla" rowHeight="144000"/>
  <slicer name="client type" xr10:uid="{38D6C731-021A-43F2-B58B-A014801C0E11}" cache="_08_client_type_slicer" caption="client type" columnCount="2" style="xlorla" rowHeight="144000"/>
  <slicer name="Sort By" xr10:uid="{D12FF1FA-84B4-48CE-9999-9C1632C2D6B7}" cache="_10_Sort_By_slicer" caption="Sort By" style="xlorla" rowHeight="171450"/>
  <slicer name="Sort type" xr10:uid="{2816A677-6126-4824-8188-0B3080AD1FAA}" cache="_12_Sort_type_slicer" caption="Sort type" columnCount="2" style="xlorla" rowHeight="171450"/>
  <slicer name="category" xr10:uid="{C413F646-EAE3-4A05-8B0A-6F9086788969}" cache="_05_category_slicer" caption="category" style="xlorla" rowHeight="144000"/>
  <slicer name="subcategory" xr10:uid="{6156C969-AE0E-40B2-ACA9-C6D2AA8B38E6}" cache="_06_subcategory_slicer" caption="subcategory" style="xlorla"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7DF7CD-0DBD-4981-B298-8966BD4387D2}" name="_01_data" displayName="_01_data" ref="B11:F203" totalsRowShown="0">
  <autoFilter ref="B11:F203" xr:uid="{357DF7CD-0DBD-4981-B298-8966BD4387D2}"/>
  <sortState xmlns:xlrd2="http://schemas.microsoft.com/office/spreadsheetml/2017/richdata2" ref="B12:F14">
    <sortCondition ref="C11:C14"/>
  </sortState>
  <tableColumns count="5">
    <tableColumn id="3" xr3:uid="{A81532DA-9046-4A69-873B-EC028C20905B}" name="channel" dataDxfId="2"/>
    <tableColumn id="1" xr3:uid="{83DE81F7-E848-49B9-ABDF-58E8AEFFE8CC}" name="category"/>
    <tableColumn id="2" xr3:uid="{2B564560-0D4E-425E-9644-D467B15CF2B5}" name="subcategory"/>
    <tableColumn id="5" xr3:uid="{768F3F8B-E0E9-4D54-BAF6-874C559E0608}" name="client type" dataDxfId="1"/>
    <tableColumn id="4" xr3:uid="{1F24DA2F-5ED7-4C2E-9C52-910BDDC202E7}" name="Value" dataDxfId="0"/>
  </tableColumns>
  <tableStyleInfo name="Peltier Tech Minimal 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oebr.github.io/ggplot2_extended_dumbbell_plot_tutorial/" TargetMode="External"/><Relationship Id="rId2" Type="http://schemas.openxmlformats.org/officeDocument/2006/relationships/hyperlink" Target="https://coolors.co/ffffff-f1eaf3-b993c0-762a83-d6dadf-009688-5cbcb2-e6f5f3" TargetMode="External"/><Relationship Id="rId1" Type="http://schemas.openxmlformats.org/officeDocument/2006/relationships/hyperlink" Target="https://www.pinterest.com/pin/761812093230193876/"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dailydoseofexcel.com/archives/2004/12/22/functions-that-do-things/" TargetMode="External"/><Relationship Id="rId13"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hyperlink" Target="https://peltiertech.com/chart-udf-control-axis-scale/" TargetMode="External"/><Relationship Id="rId12"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hyperlink" Target="https://exceloffthegrid.com/chart-axis-min-mix/" TargetMode="External"/><Relationship Id="rId5" Type="http://schemas.openxmlformats.org/officeDocument/2006/relationships/pivotTable" Target="../pivotTables/pivotTable5.xml"/><Relationship Id="rId15" Type="http://schemas.microsoft.com/office/2007/relationships/slicer" Target="../slicers/slicer1.xml"/><Relationship Id="rId10" Type="http://schemas.openxmlformats.org/officeDocument/2006/relationships/hyperlink" Target="http://dailydoseofexcel.com/archives/2007/01/12/modifying-shapes-and-charts-with-udfs/" TargetMode="External"/><Relationship Id="rId4" Type="http://schemas.openxmlformats.org/officeDocument/2006/relationships/pivotTable" Target="../pivotTables/pivotTable4.xml"/><Relationship Id="rId9" Type="http://schemas.openxmlformats.org/officeDocument/2006/relationships/hyperlink" Target="http://dailydoseofexcel.com/archives/2006/02/05/in-cell-charting/" TargetMode="Externa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s://www.linkedin.com/in/ca-bc"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572DC-9BC9-45C1-8380-C09C792AA42A}">
  <sheetPr codeName="Sheet1"/>
  <dimension ref="A1:S48"/>
  <sheetViews>
    <sheetView showGridLines="0" zoomScaleNormal="100" workbookViewId="0"/>
  </sheetViews>
  <sheetFormatPr defaultColWidth="0" defaultRowHeight="10.199999999999999" customHeight="1" zeroHeight="1"/>
  <cols>
    <col min="1" max="17" width="9.140625" customWidth="1"/>
    <col min="18" max="18" width="4.85546875" customWidth="1"/>
    <col min="19" max="19" width="0" hidden="1" customWidth="1"/>
    <col min="20" max="16384" width="9.140625" hidden="1"/>
  </cols>
  <sheetData>
    <row r="1" spans="2:11" ht="10.5"/>
    <row r="2" spans="2:11" ht="10.5">
      <c r="B2" s="7" t="s">
        <v>44</v>
      </c>
      <c r="C2" s="8" t="s">
        <v>45</v>
      </c>
      <c r="J2" s="9" t="s">
        <v>46</v>
      </c>
      <c r="K2" s="10" t="s">
        <v>47</v>
      </c>
    </row>
    <row r="3" spans="2:11" ht="10.5">
      <c r="B3" s="7" t="s">
        <v>64</v>
      </c>
      <c r="C3" s="10" t="s">
        <v>63</v>
      </c>
      <c r="J3" s="9"/>
      <c r="K3" s="10"/>
    </row>
    <row r="4" spans="2:11" ht="10.5"/>
    <row r="5" spans="2:11" ht="10.5"/>
    <row r="6" spans="2:11" ht="10.5"/>
    <row r="7" spans="2:11" ht="10.5"/>
    <row r="8" spans="2:11" ht="10.5"/>
    <row r="9" spans="2:11" ht="10.5"/>
    <row r="10" spans="2:11" ht="10.5"/>
    <row r="11" spans="2:11" ht="10.5"/>
    <row r="12" spans="2:11" ht="10.5"/>
    <row r="13" spans="2:11" ht="10.5"/>
    <row r="14" spans="2:11" ht="10.5"/>
    <row r="15" spans="2:11" ht="10.5"/>
    <row r="16" spans="2:11" ht="10.5"/>
    <row r="17" ht="10.5"/>
    <row r="18" ht="10.5"/>
    <row r="19" ht="10.5"/>
    <row r="20" ht="10.5"/>
    <row r="21" ht="10.5"/>
    <row r="22" ht="10.5"/>
    <row r="23" ht="10.5"/>
    <row r="24" ht="10.5"/>
    <row r="25" ht="10.5"/>
    <row r="26" ht="10.5"/>
    <row r="27" ht="10.5"/>
    <row r="28" ht="10.5"/>
    <row r="29" ht="10.5"/>
    <row r="30" ht="10.5"/>
    <row r="31" ht="10.5"/>
    <row r="32" ht="10.5"/>
    <row r="33" spans="11:11" ht="10.5"/>
    <row r="34" spans="11:11" ht="10.5"/>
    <row r="35" spans="11:11" ht="10.5"/>
    <row r="36" spans="11:11" ht="10.5">
      <c r="K36" t="s">
        <v>65</v>
      </c>
    </row>
    <row r="37" spans="11:11" ht="10.5">
      <c r="K37" s="15"/>
    </row>
    <row r="38" spans="11:11" ht="10.5">
      <c r="K38" s="13"/>
    </row>
    <row r="39" spans="11:11" ht="10.5">
      <c r="K39" s="14"/>
    </row>
    <row r="40" spans="11:11" ht="10.5">
      <c r="K40" s="16"/>
    </row>
    <row r="41" spans="11:11" ht="10.5"/>
    <row r="42" spans="11:11" ht="10.5"/>
    <row r="43" spans="11:11" ht="10.5"/>
    <row r="44" spans="11:11" ht="10.5"/>
    <row r="45" spans="11:11" ht="10.5"/>
    <row r="46" spans="11:11" ht="10.5"/>
    <row r="47" spans="11:11" ht="10.5"/>
    <row r="48" spans="11:11" ht="10.5"/>
  </sheetData>
  <hyperlinks>
    <hyperlink ref="C2" r:id="rId1" xr:uid="{7E9F5360-3619-48F0-8207-EA0EA3FBFC4F}"/>
    <hyperlink ref="K2" r:id="rId2" xr:uid="{ACCD2A01-D11E-4597-B6AD-0BDDCDE8EE01}"/>
    <hyperlink ref="C3" r:id="rId3" xr:uid="{B97177F8-CE32-4F1E-8FBD-1E7485D9533A}"/>
  </hyperlinks>
  <pageMargins left="0.7" right="0.7" top="0.75" bottom="0.75" header="0.3" footer="0.3"/>
  <pageSetup orientation="portrait" horizontalDpi="200" verticalDpi="200"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9C0EF-BA00-42C2-BBFA-4AAA4010BE5F}">
  <sheetPr codeName="Sheet2"/>
  <dimension ref="A1:BO5030"/>
  <sheetViews>
    <sheetView showGridLines="0" topLeftCell="X1" workbookViewId="0">
      <selection activeCell="BJ1" sqref="BJ1"/>
    </sheetView>
  </sheetViews>
  <sheetFormatPr defaultColWidth="0" defaultRowHeight="10.5" zeroHeight="1"/>
  <cols>
    <col min="1" max="1" width="3.85546875" customWidth="1"/>
    <col min="2" max="2" width="9.5703125" bestFit="1" customWidth="1"/>
    <col min="3" max="3" width="10" bestFit="1" customWidth="1"/>
    <col min="4" max="4" width="12.85546875" bestFit="1" customWidth="1"/>
    <col min="5" max="5" width="11.42578125" bestFit="1" customWidth="1"/>
    <col min="6" max="6" width="7.7109375" bestFit="1" customWidth="1"/>
    <col min="7" max="7" width="3.42578125" customWidth="1"/>
    <col min="8" max="8" width="3.28515625" customWidth="1"/>
    <col min="9" max="9" width="9.140625" customWidth="1"/>
    <col min="10" max="10" width="3.5703125" customWidth="1"/>
    <col min="11" max="11" width="17.7109375" bestFit="1" customWidth="1"/>
    <col min="12" max="12" width="4.42578125" customWidth="1"/>
    <col min="13" max="13" width="17.7109375" bestFit="1" customWidth="1"/>
    <col min="14" max="14" width="10.140625" bestFit="1" customWidth="1"/>
    <col min="15" max="15" width="3" customWidth="1"/>
    <col min="16" max="16" width="9.140625" customWidth="1"/>
    <col min="17" max="17" width="3" customWidth="1"/>
    <col min="18" max="18" width="17.7109375" bestFit="1" customWidth="1"/>
    <col min="19" max="19" width="3" customWidth="1"/>
    <col min="20" max="20" width="12.7109375" bestFit="1" customWidth="1"/>
    <col min="21" max="21" width="3.5703125" customWidth="1"/>
    <col min="22" max="22" width="11.5703125" bestFit="1" customWidth="1"/>
    <col min="23" max="23" width="4.28515625" customWidth="1"/>
    <col min="24" max="25" width="11.5703125" customWidth="1"/>
    <col min="26" max="26" width="3.42578125" customWidth="1"/>
    <col min="27" max="28" width="11.5703125" customWidth="1"/>
    <col min="29" max="30" width="3.140625" customWidth="1"/>
    <col min="31" max="31" width="7.5703125" bestFit="1" customWidth="1"/>
    <col min="32" max="32" width="15.140625" customWidth="1"/>
    <col min="33" max="33" width="9.140625" customWidth="1"/>
    <col min="34" max="34" width="3.7109375" customWidth="1"/>
    <col min="35" max="35" width="12.7109375" bestFit="1" customWidth="1"/>
    <col min="36" max="38" width="9.140625" customWidth="1"/>
    <col min="39" max="39" width="6.5703125" customWidth="1"/>
    <col min="40" max="40" width="9.140625" customWidth="1"/>
    <col min="41" max="41" width="2.5703125" customWidth="1"/>
    <col min="42" max="46" width="9.140625" customWidth="1"/>
    <col min="47" max="47" width="4.42578125" customWidth="1"/>
    <col min="48" max="48" width="4.140625" customWidth="1"/>
    <col min="49" max="60" width="9.140625" customWidth="1"/>
    <col min="61" max="61" width="5.5703125" customWidth="1"/>
    <col min="62" max="62" width="12.5703125" customWidth="1"/>
    <col min="63" max="67" width="0" hidden="1" customWidth="1"/>
    <col min="68" max="16384" width="9.140625" hidden="1"/>
  </cols>
  <sheetData>
    <row r="1" spans="2:46"/>
    <row r="2" spans="2:46"/>
    <row r="3" spans="2:46"/>
    <row r="4" spans="2:46"/>
    <row r="5" spans="2:46"/>
    <row r="6" spans="2:46">
      <c r="AJ6" t="str">
        <f xml:space="preserve"> "Average: " &amp; TEXT( AJ7, "#,###" )</f>
        <v>Average: 90,064</v>
      </c>
      <c r="AK6" t="str">
        <f xml:space="preserve"> "Average: " &amp; TEXT( AK7, "#,###" )</f>
        <v>Average: 113,355</v>
      </c>
    </row>
    <row r="7" spans="2:46">
      <c r="AI7" s="9" t="s">
        <v>51</v>
      </c>
      <c r="AJ7" s="11">
        <f xml:space="preserve"> AVERAGE(_xlfn.ANCHORARRAY( AJ20) )</f>
        <v>90064.34375</v>
      </c>
      <c r="AK7" s="11">
        <f xml:space="preserve"> AVERAGE(_xlfn.ANCHORARRAY( AK20) )</f>
        <v>113355.34375</v>
      </c>
      <c r="AL7" s="17" t="s">
        <v>54</v>
      </c>
      <c r="AM7" t="s">
        <v>55</v>
      </c>
    </row>
    <row r="8" spans="2:46">
      <c r="K8">
        <f>COUNTA( K12:K13 )</f>
        <v>2</v>
      </c>
      <c r="AI8" s="9" t="s">
        <v>52</v>
      </c>
      <c r="AJ8" s="11">
        <f xml:space="preserve"> STDEV(_xlfn.ANCHORARRAY( AJ20) ) * AJ9</f>
        <v>7176.9672164787889</v>
      </c>
      <c r="AK8" s="11">
        <f xml:space="preserve"> STDEV(_xlfn.ANCHORARRAY( AK20) ) * AK9</f>
        <v>7608.0957204104252</v>
      </c>
      <c r="AL8" s="17">
        <v>1</v>
      </c>
      <c r="AM8" s="11" t="str">
        <f xml:space="preserve"> "Dumbell plot with average lines and "&amp; AK9 &amp; " std. dev. reference bands"</f>
        <v>Dumbell plot with average lines and 1 std. dev. reference bands</v>
      </c>
      <c r="AN8" t="s">
        <v>50</v>
      </c>
      <c r="AP8" s="9" t="s">
        <v>82</v>
      </c>
      <c r="AQ8" s="9" t="s">
        <v>83</v>
      </c>
      <c r="AR8" s="9" t="s">
        <v>84</v>
      </c>
    </row>
    <row r="9" spans="2:46">
      <c r="AI9" s="9" t="s">
        <v>53</v>
      </c>
      <c r="AJ9" s="17">
        <v>1</v>
      </c>
      <c r="AK9" s="17">
        <v>1</v>
      </c>
      <c r="AP9" s="11" cm="1">
        <f t="array" ref="AP9" xml:space="preserve"> MROUND(
             MIN(
                 MIN( _xlfn.IFNA(_xlfn.ANCHORARRAY( AJ20),_xlfn.ANCHORARRAY( AK20) ) ),
                 MIN( _xlfn.IFNA(_xlfn.ANCHORARRAY( AK20),_xlfn.ANCHORARRAY( AJ20) ) )
              ),
             10000 ) - 10000</f>
        <v>60000</v>
      </c>
      <c r="AQ9" s="11" cm="1">
        <f t="array" ref="AQ9" xml:space="preserve"> MROUND(
             MAX(
                 MAX( _xlfn.IFNA(_xlfn.ANCHORARRAY( AJ20),_xlfn.ANCHORARRAY( AK20) ) ),
                 MAX( _xlfn.IFNA(_xlfn.ANCHORARRAY( AK20),_xlfn.ANCHORARRAY( AJ20) ) )
              ),
             10000 ) + 10000</f>
        <v>140000</v>
      </c>
      <c r="AR9" s="11">
        <f xml:space="preserve"> COUNTA( K12:K13 ) * 10000</f>
        <v>20000</v>
      </c>
      <c r="AS9" s="11" t="str" cm="1">
        <f t="array" aca="1" ref="AS9" ca="1">ScaleChartAxis("example","Chart 1","X","Primary",AP9,AQ9,AR9 )</f>
        <v>Sheet 'example' Chart 'Chart 1' Primary X Axis {60000, 140000, 20000, null}</v>
      </c>
      <c r="AT9" t="s">
        <v>50</v>
      </c>
    </row>
    <row r="10" spans="2:46">
      <c r="AI10" s="9" t="s">
        <v>61</v>
      </c>
      <c r="AJ10">
        <f xml:space="preserve"> AJ7 - ( AJ9 * AJ8 )</f>
        <v>82887.376533521208</v>
      </c>
      <c r="AK10">
        <f xml:space="preserve"> AK7 - ( AK9 * AK8 )</f>
        <v>105747.24802958958</v>
      </c>
    </row>
    <row r="11" spans="2:46">
      <c r="B11" t="s">
        <v>2</v>
      </c>
      <c r="C11" t="s">
        <v>3</v>
      </c>
      <c r="D11" t="s">
        <v>4</v>
      </c>
      <c r="E11" t="s">
        <v>5</v>
      </c>
      <c r="F11" t="s">
        <v>6</v>
      </c>
      <c r="I11" s="11" t="str" cm="1">
        <f t="array" ref="I11:I13" xml:space="preserve"> _xlfn.UNIQUE( _01_data[[#All],[channel]] )</f>
        <v>channel</v>
      </c>
      <c r="K11" s="12" t="s">
        <v>2</v>
      </c>
      <c r="M11" s="11" t="str" cm="1">
        <f t="array" ref="M11:N43" xml:space="preserve"> _xlfn.UNIQUE( _01_data[[#All],[category]:[subcategory]] )</f>
        <v>category</v>
      </c>
      <c r="N11" t="str">
        <v>subcategory</v>
      </c>
      <c r="P11" s="12" t="s">
        <v>3</v>
      </c>
      <c r="R11" s="12" t="s">
        <v>4</v>
      </c>
      <c r="T11" s="11" t="str" cm="1">
        <f t="array" ref="T11:T14" xml:space="preserve"> _xlfn.UNIQUE( _01_data[[#All],[client type]] )</f>
        <v>client type</v>
      </c>
      <c r="V11" s="12" t="s">
        <v>5</v>
      </c>
      <c r="W11" s="12"/>
      <c r="Y11" s="12" t="s">
        <v>69</v>
      </c>
      <c r="Z11" s="12"/>
      <c r="AB11" s="12" t="s">
        <v>70</v>
      </c>
      <c r="AC11" s="12"/>
      <c r="AE11" s="11" t="str" cm="1">
        <f t="array" ref="AE11:AG11" xml:space="preserve"> CHOOSE(
            {1,2,3},
            _01_data[[#Headers],[channel]],
            _01_data[[#Headers],[subcategory]],
            _01_data[[#Headers],[Value]] )</f>
        <v>channel</v>
      </c>
      <c r="AF11" t="str">
        <v>subcategory</v>
      </c>
      <c r="AG11" t="str">
        <v>Value</v>
      </c>
      <c r="AI11" s="9" t="s">
        <v>62</v>
      </c>
      <c r="AJ11">
        <f xml:space="preserve"> AJ7 + ( AJ9 * AJ8 )</f>
        <v>97241.310966478792</v>
      </c>
      <c r="AK11">
        <f xml:space="preserve"> AK7 + ( AK9 * AK8 )</f>
        <v>120963.43947041042</v>
      </c>
    </row>
    <row r="12" spans="2:46">
      <c r="B12" t="s">
        <v>7</v>
      </c>
      <c r="C12" t="s">
        <v>48</v>
      </c>
      <c r="D12" t="s">
        <v>8</v>
      </c>
      <c r="E12" t="s">
        <v>9</v>
      </c>
      <c r="F12">
        <v>104669</v>
      </c>
      <c r="I12" t="str">
        <v>In store</v>
      </c>
      <c r="K12" t="s">
        <v>7</v>
      </c>
      <c r="M12" t="str">
        <v>Domestic Appliances</v>
      </c>
      <c r="N12" t="str">
        <v>Ventiladores</v>
      </c>
      <c r="P12" t="s">
        <v>48</v>
      </c>
      <c r="R12" t="s">
        <v>18</v>
      </c>
      <c r="T12" t="str">
        <v>Bookstores</v>
      </c>
      <c r="V12" t="s">
        <v>9</v>
      </c>
      <c r="Y12">
        <v>3</v>
      </c>
      <c r="AB12">
        <v>-1</v>
      </c>
      <c r="AE12" s="11" t="str" cm="1">
        <f t="array" ref="AE12:AG75" xml:space="preserve"> _xlfn._xlws.FILTER(
        CHOOSE(
                 {1,2,3},
                 _01_data[channel],
                 _01_data[subcategory],
                 _01_data[Value] ),
        ISNUMBER( _xlfn.XMATCH( _01_data[subcategory], R12:R43 ) )
        * ISNUMBER( _xlfn.XMATCH( _01_data[channel], K12:K13 ) )
        * ISNUMBER( _xlfn.XMATCH( _01_data[client type], V12:V14 ) )
       )</f>
        <v>In store</v>
      </c>
      <c r="AF12" t="str">
        <v>Ventiladores</v>
      </c>
      <c r="AG12">
        <v>104669</v>
      </c>
    </row>
    <row r="13" spans="2:46">
      <c r="B13" t="s">
        <v>7</v>
      </c>
      <c r="C13" t="s">
        <v>48</v>
      </c>
      <c r="D13" t="s">
        <v>8</v>
      </c>
      <c r="E13" t="s">
        <v>10</v>
      </c>
      <c r="F13">
        <v>117944</v>
      </c>
      <c r="I13" t="str">
        <v>Online</v>
      </c>
      <c r="K13" t="s">
        <v>43</v>
      </c>
      <c r="M13" t="str">
        <v>Small Appliances</v>
      </c>
      <c r="N13" t="str">
        <v>Ollas</v>
      </c>
      <c r="P13" t="s">
        <v>49</v>
      </c>
      <c r="R13" t="s">
        <v>40</v>
      </c>
      <c r="T13" t="str">
        <v>Retailers</v>
      </c>
      <c r="X13" s="11" t="str" cm="1">
        <f t="array" ref="X13:Y16" xml:space="preserve"> {"Sort By","Sort order";"1. Sub Category",1;"2. Online",2;"3. In store",3}</f>
        <v>Sort By</v>
      </c>
      <c r="Y13" t="str">
        <v>Sort order</v>
      </c>
      <c r="AA13" s="11" t="str" cm="1">
        <f t="array" ref="AA13:AB15">{"Sort type","Sort Order";"Ascending",1;"Descending",-1}</f>
        <v>Sort type</v>
      </c>
      <c r="AB13" t="str">
        <v>Sort Order</v>
      </c>
      <c r="AE13" t="str">
        <v>In store</v>
      </c>
      <c r="AF13" t="str">
        <v>Ollas</v>
      </c>
      <c r="AG13">
        <v>106387</v>
      </c>
    </row>
    <row r="14" spans="2:46">
      <c r="B14" t="s">
        <v>7</v>
      </c>
      <c r="C14" t="s">
        <v>48</v>
      </c>
      <c r="D14" t="s">
        <v>8</v>
      </c>
      <c r="E14" t="s">
        <v>11</v>
      </c>
      <c r="F14">
        <v>143528</v>
      </c>
      <c r="M14" t="str">
        <v>Domestic Appliances</v>
      </c>
      <c r="N14" t="str">
        <v>Depiladores</v>
      </c>
      <c r="R14" t="s">
        <v>27</v>
      </c>
      <c r="T14" t="str">
        <v>Wholesaler</v>
      </c>
      <c r="X14" t="str">
        <v>1. Sub Category</v>
      </c>
      <c r="Y14">
        <v>1</v>
      </c>
      <c r="AA14" t="str">
        <v>Ascending</v>
      </c>
      <c r="AB14">
        <v>1</v>
      </c>
      <c r="AE14" t="str">
        <v>In store</v>
      </c>
      <c r="AF14" t="str">
        <v>Depiladores</v>
      </c>
      <c r="AG14">
        <v>104897</v>
      </c>
    </row>
    <row r="15" spans="2:46">
      <c r="B15" t="s">
        <v>7</v>
      </c>
      <c r="C15" t="s">
        <v>49</v>
      </c>
      <c r="D15" t="s">
        <v>12</v>
      </c>
      <c r="E15" t="s">
        <v>9</v>
      </c>
      <c r="F15">
        <v>106387</v>
      </c>
      <c r="M15" t="str">
        <v>Domestic Appliances</v>
      </c>
      <c r="N15" t="str">
        <v>Rizadores</v>
      </c>
      <c r="R15" t="s">
        <v>36</v>
      </c>
      <c r="X15" t="str">
        <v>2. Online</v>
      </c>
      <c r="Y15">
        <v>2</v>
      </c>
      <c r="AA15" t="str">
        <v>Descending</v>
      </c>
      <c r="AB15">
        <v>-1</v>
      </c>
      <c r="AE15" t="str">
        <v>In store</v>
      </c>
      <c r="AF15" t="str">
        <v>Rizadores</v>
      </c>
      <c r="AG15">
        <v>102823</v>
      </c>
    </row>
    <row r="16" spans="2:46">
      <c r="B16" t="s">
        <v>7</v>
      </c>
      <c r="C16" t="s">
        <v>49</v>
      </c>
      <c r="D16" t="s">
        <v>12</v>
      </c>
      <c r="E16" t="s">
        <v>10</v>
      </c>
      <c r="F16">
        <v>127170</v>
      </c>
      <c r="M16" t="str">
        <v>Small Appliances</v>
      </c>
      <c r="N16" t="str">
        <v>Licuadoras</v>
      </c>
      <c r="R16" t="s">
        <v>29</v>
      </c>
      <c r="X16" t="str">
        <v>3. In store</v>
      </c>
      <c r="Y16">
        <v>3</v>
      </c>
      <c r="AE16" t="str">
        <v>In store</v>
      </c>
      <c r="AF16" t="str">
        <v>Licuadoras</v>
      </c>
      <c r="AG16">
        <v>97523</v>
      </c>
    </row>
    <row r="17" spans="2:46">
      <c r="B17" t="s">
        <v>7</v>
      </c>
      <c r="C17" t="s">
        <v>49</v>
      </c>
      <c r="D17" t="s">
        <v>12</v>
      </c>
      <c r="E17" t="s">
        <v>11</v>
      </c>
      <c r="F17">
        <v>155085</v>
      </c>
      <c r="M17" t="str">
        <v>Small Appliances</v>
      </c>
      <c r="N17" t="str">
        <v>Planchas</v>
      </c>
      <c r="R17" t="s">
        <v>26</v>
      </c>
      <c r="AE17" t="str">
        <v>In store</v>
      </c>
      <c r="AF17" t="str">
        <v>Planchas</v>
      </c>
      <c r="AG17">
        <v>100561</v>
      </c>
    </row>
    <row r="18" spans="2:46">
      <c r="B18" t="s">
        <v>7</v>
      </c>
      <c r="C18" t="s">
        <v>48</v>
      </c>
      <c r="D18" t="s">
        <v>13</v>
      </c>
      <c r="E18" t="s">
        <v>9</v>
      </c>
      <c r="F18">
        <v>104897</v>
      </c>
      <c r="M18" t="str">
        <v>Small Appliances</v>
      </c>
      <c r="N18" t="str">
        <v>Dispensadores</v>
      </c>
      <c r="R18" t="s">
        <v>38</v>
      </c>
      <c r="AE18" t="str">
        <v>In store</v>
      </c>
      <c r="AF18" t="str">
        <v>Dispensadores</v>
      </c>
      <c r="AG18">
        <v>105157</v>
      </c>
      <c r="AQ18" s="20" t="s">
        <v>68</v>
      </c>
      <c r="AS18" s="21" t="s">
        <v>67</v>
      </c>
    </row>
    <row r="19" spans="2:46">
      <c r="B19" t="s">
        <v>7</v>
      </c>
      <c r="C19" t="s">
        <v>48</v>
      </c>
      <c r="D19" t="s">
        <v>13</v>
      </c>
      <c r="E19" t="s">
        <v>10</v>
      </c>
      <c r="F19">
        <v>123474</v>
      </c>
      <c r="M19" t="str">
        <v>Domestic Appliances</v>
      </c>
      <c r="N19" t="str">
        <v>Air Coolers</v>
      </c>
      <c r="R19" t="s">
        <v>41</v>
      </c>
      <c r="AE19" t="str">
        <v>In store</v>
      </c>
      <c r="AF19" t="str">
        <v>Air Coolers</v>
      </c>
      <c r="AG19">
        <v>110442</v>
      </c>
      <c r="AJ19" s="11" t="str">
        <f xml:space="preserve"> IF( K12 = "Online",
         "Online",
         IF( COUNTA( K12:K13 ) &gt; 1, "Online", "" )
        )</f>
        <v>Online</v>
      </c>
      <c r="AK19" s="11" t="str">
        <f xml:space="preserve"> IF( K12 = "in store", "In store", "" )</f>
        <v>In store</v>
      </c>
      <c r="AL19" t="s">
        <v>60</v>
      </c>
      <c r="AM19" t="s">
        <v>54</v>
      </c>
      <c r="AN19" t="s">
        <v>59</v>
      </c>
      <c r="AP19" s="17" t="s">
        <v>56</v>
      </c>
      <c r="AQ19" s="18" t="s">
        <v>57</v>
      </c>
      <c r="AR19" s="18" t="s">
        <v>66</v>
      </c>
      <c r="AS19" s="19" t="s">
        <v>58</v>
      </c>
      <c r="AT19" s="19" t="s">
        <v>66</v>
      </c>
    </row>
    <row r="20" spans="2:46">
      <c r="B20" t="s">
        <v>7</v>
      </c>
      <c r="C20" t="s">
        <v>48</v>
      </c>
      <c r="D20" t="s">
        <v>13</v>
      </c>
      <c r="E20" t="s">
        <v>11</v>
      </c>
      <c r="F20">
        <v>151472</v>
      </c>
      <c r="M20" t="str">
        <v>Small Appliances</v>
      </c>
      <c r="N20" t="str">
        <v>Sandwicheras</v>
      </c>
      <c r="R20" t="s">
        <v>13</v>
      </c>
      <c r="AE20" t="str">
        <v>In store</v>
      </c>
      <c r="AF20" t="str">
        <v>Sandwicheras</v>
      </c>
      <c r="AG20">
        <v>114622</v>
      </c>
      <c r="AI20" s="11" t="str" cm="1">
        <f t="array" ref="AI20:AI51" xml:space="preserve"> _xlfn.LET(  _xlpm.subcategories,
                   _xlfn.UNIQUE( INDEX(_xlfn.ANCHORARRAY( AE12),, 2) ),
            _xlpm.total_values,
                   INDEX(_xlfn.ANCHORARRAY( $AE12),,3 ),
            _xlpm.online_values,
                   SUMIFS(
                            _xlpm.total_values,
                            INDEX(_xlfn.ANCHORARRAY( $AE12),,2 ), _xlpm.subcategories,
                            INDEX(_xlfn.ANCHORARRAY( $AE12),,1 ), AJ19 ),
            _xlpm.instore_values,
                   SUMIFS(
                            _xlpm.total_values,
                            INDEX(_xlfn.ANCHORARRAY( $AE12),,2 ), _xlpm.subcategories,
                            INDEX(_xlfn.ANCHORARRAY( $AE12),,1 ), AK19 ),
            _xlpm.SortBySelection,
                          CHOOSE( Y12,
                                           _xlpm.subcategories,
                                           _xlpm.online_values,
                                           _xlpm.instore_values ),
            _xlfn.SORTBY( _xlpm.subcategories, _xlpm.SortBySelection, AB12 )
          )</f>
        <v>Fun Products</v>
      </c>
      <c r="AJ20" s="11" cm="1">
        <f t="array" ref="AJ20:AJ51" xml:space="preserve"> _xlfn.LET( _xlpm.result_array,
                   SUMIFS(
                            INDEX(_xlfn.ANCHORARRAY( $AE12),,3 ),
                            INDEX(_xlfn.ANCHORARRAY( $AE12),,2 ),_xlfn.ANCHORARRAY( $AI20),
                            INDEX(_xlfn.ANCHORARRAY( $AE12),,1 ), AJ19 ),
           IF( NOT( _xlpm.result_array = 0), _xlpm.result_array, NA() )
         )</f>
        <v>101605</v>
      </c>
      <c r="AK20" s="11" cm="1">
        <f t="array" ref="AK20:AK51" xml:space="preserve"> _xlfn.LET( _xlpm.result_array,
                   SUMIFS(
                            INDEX(_xlfn.ANCHORARRAY( $AE12),,3 ),
                            INDEX(_xlfn.ANCHORARRAY( $AE12),,2 ),_xlfn.ANCHORARRAY( $AI20),
                            INDEX(_xlfn.ANCHORARRAY( $AE12),,1 ), AK19 ),
           IF( NOT( _xlpm.result_array = 0), _xlpm.result_array, NA() )
         )</f>
        <v>127437</v>
      </c>
      <c r="AL20" s="11" cm="1">
        <f t="array" ref="AL20:AL51">_xlfn.ANCHORARRAY( AK20) -_xlfn.ANCHORARRAY( AJ20)</f>
        <v>25832</v>
      </c>
      <c r="AM20" s="11" cm="1">
        <f t="array" ref="AM20:AM51" xml:space="preserve"> _xlfn.SEQUENCE( COUNTA(_xlfn.ANCHORARRAY( AI20) ) )</f>
        <v>1</v>
      </c>
      <c r="AN20" s="11" cm="1">
        <f t="array" ref="AN20:AN51" xml:space="preserve"> IF(
         ISNUMBER(_xlfn.ANCHORARRAY( AM20) ),
         IF(  NOT( ISNA(_xlfn.ANCHORARRAY( AJ20) ) ),
               AP9,
               AP9
         ),
         NA()
      )</f>
        <v>60000</v>
      </c>
      <c r="AP20" s="11" cm="1">
        <f t="array" ref="AP20:AP5019" xml:space="preserve"> _xlfn.LET( _xlpm.min,
              IF( NOT( ISNA( AJ20 ) ),
                    MIN(_xlfn.ANCHORARRAY( AJ20) ),
                    MIN(_xlfn.ANCHORARRAY( AK20) )
                   ),
            _xlfn.SEQUENCE(
                         5000, ,
                         MROUND( MIN( _xlpm.min ), 1000 ),
                         50 )
            )</f>
        <v>74000</v>
      </c>
      <c r="AQ20" s="11" t="e" cm="1">
        <f t="array" ref="AQ20:AQ5019" xml:space="preserve"> IF(
         (_xlfn.ANCHORARRAY( $AP20) &gt;=AJ10 ) * (_xlfn.ANCHORARRAY( $AP20) &lt;= AJ11 ),_xlfn.ANCHORARRAY(
         AP20),
         NA()
       )</f>
        <v>#N/A</v>
      </c>
      <c r="AR20" s="11" t="e" cm="1">
        <f t="array" ref="AR20:AR5019" xml:space="preserve"> _xlfn.IFNA(_xlfn.ANCHORARRAY( AQ20), NA() ) * 0 + 1</f>
        <v>#N/A</v>
      </c>
      <c r="AS20" s="11" t="e" cm="1">
        <f t="array" ref="AS20:AS5019" xml:space="preserve"> IF(
        (_xlfn.ANCHORARRAY( $AP20) &gt;=AK10 ) * (_xlfn.ANCHORARRAY( $AP20) &lt;= AK11 ),_xlfn.ANCHORARRAY(
        AP20),
        NA()
       )</f>
        <v>#N/A</v>
      </c>
      <c r="AT20" s="11" t="e" cm="1">
        <f t="array" ref="AT20:AT5019" xml:space="preserve"> _xlfn.IFNA(_xlfn.ANCHORARRAY( AS20), NA() ) * 0 + 1</f>
        <v>#N/A</v>
      </c>
    </row>
    <row r="21" spans="2:46">
      <c r="B21" t="s">
        <v>7</v>
      </c>
      <c r="C21" t="s">
        <v>48</v>
      </c>
      <c r="D21" t="s">
        <v>14</v>
      </c>
      <c r="E21" t="s">
        <v>9</v>
      </c>
      <c r="F21">
        <v>102823</v>
      </c>
      <c r="M21" t="str">
        <v>Domestic Appliances</v>
      </c>
      <c r="N21" t="str">
        <v>Radios</v>
      </c>
      <c r="R21" t="s">
        <v>17</v>
      </c>
      <c r="AE21" t="str">
        <v>In store</v>
      </c>
      <c r="AF21" t="str">
        <v>Radios</v>
      </c>
      <c r="AG21">
        <v>116397</v>
      </c>
      <c r="AI21" t="str">
        <v>Combos</v>
      </c>
      <c r="AJ21">
        <v>100526</v>
      </c>
      <c r="AK21">
        <v>126160</v>
      </c>
      <c r="AL21">
        <v>25634</v>
      </c>
      <c r="AM21">
        <v>2</v>
      </c>
      <c r="AN21">
        <v>60000</v>
      </c>
      <c r="AP21">
        <v>74050</v>
      </c>
      <c r="AQ21" t="e">
        <v>#N/A</v>
      </c>
      <c r="AR21" t="e">
        <v>#N/A</v>
      </c>
      <c r="AS21" t="e">
        <v>#N/A</v>
      </c>
      <c r="AT21" t="e">
        <v>#N/A</v>
      </c>
    </row>
    <row r="22" spans="2:46">
      <c r="B22" t="s">
        <v>7</v>
      </c>
      <c r="C22" t="s">
        <v>48</v>
      </c>
      <c r="D22" t="s">
        <v>14</v>
      </c>
      <c r="E22" t="s">
        <v>10</v>
      </c>
      <c r="F22">
        <v>124696</v>
      </c>
      <c r="M22" t="str">
        <v>Small Appliances</v>
      </c>
      <c r="N22" t="str">
        <v>Hervidores</v>
      </c>
      <c r="R22" t="s">
        <v>31</v>
      </c>
      <c r="AE22" t="str">
        <v>In store</v>
      </c>
      <c r="AF22" t="str">
        <v>Hervidores</v>
      </c>
      <c r="AG22">
        <v>114006</v>
      </c>
      <c r="AI22" t="str">
        <v>Blu Rays</v>
      </c>
      <c r="AJ22">
        <v>100590</v>
      </c>
      <c r="AK22">
        <v>125728</v>
      </c>
      <c r="AL22">
        <v>25138</v>
      </c>
      <c r="AM22">
        <v>3</v>
      </c>
      <c r="AN22">
        <v>60000</v>
      </c>
      <c r="AP22">
        <v>74100</v>
      </c>
      <c r="AQ22" t="e">
        <v>#N/A</v>
      </c>
      <c r="AR22" t="e">
        <v>#N/A</v>
      </c>
      <c r="AS22" t="e">
        <v>#N/A</v>
      </c>
      <c r="AT22" t="e">
        <v>#N/A</v>
      </c>
    </row>
    <row r="23" spans="2:46">
      <c r="B23" t="s">
        <v>7</v>
      </c>
      <c r="C23" t="s">
        <v>48</v>
      </c>
      <c r="D23" t="s">
        <v>14</v>
      </c>
      <c r="E23" t="s">
        <v>11</v>
      </c>
      <c r="F23">
        <v>151289</v>
      </c>
      <c r="M23" t="str">
        <v>Small Appliances</v>
      </c>
      <c r="N23" t="str">
        <v>Hornos</v>
      </c>
      <c r="R23" t="s">
        <v>24</v>
      </c>
      <c r="AE23" t="str">
        <v>In store</v>
      </c>
      <c r="AF23" t="str">
        <v>Hornos</v>
      </c>
      <c r="AG23">
        <v>112637</v>
      </c>
      <c r="AI23" t="str">
        <v>Estufas</v>
      </c>
      <c r="AJ23">
        <v>98634</v>
      </c>
      <c r="AK23">
        <v>121873</v>
      </c>
      <c r="AL23">
        <v>23239</v>
      </c>
      <c r="AM23">
        <v>4</v>
      </c>
      <c r="AN23">
        <v>60000</v>
      </c>
      <c r="AP23">
        <v>74150</v>
      </c>
      <c r="AQ23" t="e">
        <v>#N/A</v>
      </c>
      <c r="AR23" t="e">
        <v>#N/A</v>
      </c>
      <c r="AS23" t="e">
        <v>#N/A</v>
      </c>
      <c r="AT23" t="e">
        <v>#N/A</v>
      </c>
    </row>
    <row r="24" spans="2:46">
      <c r="B24" t="s">
        <v>7</v>
      </c>
      <c r="C24" t="s">
        <v>49</v>
      </c>
      <c r="D24" t="s">
        <v>15</v>
      </c>
      <c r="E24" t="s">
        <v>9</v>
      </c>
      <c r="F24">
        <v>97523</v>
      </c>
      <c r="M24" t="str">
        <v>Small Appliances</v>
      </c>
      <c r="N24" t="str">
        <v>Exprimidores</v>
      </c>
      <c r="R24" t="s">
        <v>35</v>
      </c>
      <c r="AE24" t="str">
        <v>In store</v>
      </c>
      <c r="AF24" t="str">
        <v>Exprimidores</v>
      </c>
      <c r="AG24">
        <v>109498</v>
      </c>
      <c r="AI24" t="str">
        <v>Freidoras</v>
      </c>
      <c r="AJ24">
        <v>96079</v>
      </c>
      <c r="AK24">
        <v>121719</v>
      </c>
      <c r="AL24">
        <v>25640</v>
      </c>
      <c r="AM24">
        <v>5</v>
      </c>
      <c r="AN24">
        <v>60000</v>
      </c>
      <c r="AP24">
        <v>74200</v>
      </c>
      <c r="AQ24" t="e">
        <v>#N/A</v>
      </c>
      <c r="AR24" t="e">
        <v>#N/A</v>
      </c>
      <c r="AS24" t="e">
        <v>#N/A</v>
      </c>
      <c r="AT24" t="e">
        <v>#N/A</v>
      </c>
    </row>
    <row r="25" spans="2:46">
      <c r="B25" t="s">
        <v>7</v>
      </c>
      <c r="C25" t="s">
        <v>49</v>
      </c>
      <c r="D25" t="s">
        <v>15</v>
      </c>
      <c r="E25" t="s">
        <v>10</v>
      </c>
      <c r="F25">
        <v>125752</v>
      </c>
      <c r="M25" t="str">
        <v>Domestic Appliances</v>
      </c>
      <c r="N25" t="str">
        <v>Dvds</v>
      </c>
      <c r="R25" t="s">
        <v>23</v>
      </c>
      <c r="AE25" t="str">
        <v>In store</v>
      </c>
      <c r="AF25" t="str">
        <v>Dvds</v>
      </c>
      <c r="AG25">
        <v>106865</v>
      </c>
      <c r="AI25" t="str">
        <v>Otros</v>
      </c>
      <c r="AJ25">
        <v>96891</v>
      </c>
      <c r="AK25">
        <v>120023</v>
      </c>
      <c r="AL25">
        <v>23132</v>
      </c>
      <c r="AM25">
        <v>6</v>
      </c>
      <c r="AN25">
        <v>60000</v>
      </c>
      <c r="AP25">
        <v>74250</v>
      </c>
      <c r="AQ25" t="e">
        <v>#N/A</v>
      </c>
      <c r="AR25" t="e">
        <v>#N/A</v>
      </c>
      <c r="AS25" t="e">
        <v>#N/A</v>
      </c>
      <c r="AT25" t="e">
        <v>#N/A</v>
      </c>
    </row>
    <row r="26" spans="2:46">
      <c r="B26" t="s">
        <v>7</v>
      </c>
      <c r="C26" t="s">
        <v>49</v>
      </c>
      <c r="D26" t="s">
        <v>15</v>
      </c>
      <c r="E26" t="s">
        <v>11</v>
      </c>
      <c r="F26">
        <v>147631</v>
      </c>
      <c r="M26" t="str">
        <v>Small Appliances</v>
      </c>
      <c r="N26" t="str">
        <v>Extractores</v>
      </c>
      <c r="R26" t="s">
        <v>25</v>
      </c>
      <c r="AE26" t="str">
        <v>In store</v>
      </c>
      <c r="AF26" t="str">
        <v>Extractores</v>
      </c>
      <c r="AG26">
        <v>108752</v>
      </c>
      <c r="AI26" t="str">
        <v>Aspiradoras</v>
      </c>
      <c r="AJ26">
        <v>92491</v>
      </c>
      <c r="AK26">
        <v>119299</v>
      </c>
      <c r="AL26">
        <v>26808</v>
      </c>
      <c r="AM26">
        <v>7</v>
      </c>
      <c r="AN26">
        <v>60000</v>
      </c>
      <c r="AP26">
        <v>74300</v>
      </c>
      <c r="AQ26" t="e">
        <v>#N/A</v>
      </c>
      <c r="AR26" t="e">
        <v>#N/A</v>
      </c>
      <c r="AS26" t="e">
        <v>#N/A</v>
      </c>
      <c r="AT26" t="e">
        <v>#N/A</v>
      </c>
    </row>
    <row r="27" spans="2:46">
      <c r="B27" t="s">
        <v>7</v>
      </c>
      <c r="C27" t="s">
        <v>49</v>
      </c>
      <c r="D27" t="s">
        <v>16</v>
      </c>
      <c r="E27" t="s">
        <v>9</v>
      </c>
      <c r="F27">
        <v>100561</v>
      </c>
      <c r="M27" t="str">
        <v>Domestic Appliances</v>
      </c>
      <c r="N27" t="str">
        <v>Cepillos</v>
      </c>
      <c r="R27" t="s">
        <v>39</v>
      </c>
      <c r="AE27" t="str">
        <v>In store</v>
      </c>
      <c r="AF27" t="str">
        <v>Cepillos</v>
      </c>
      <c r="AG27">
        <v>108301</v>
      </c>
      <c r="AI27" t="str">
        <v>Secadoras</v>
      </c>
      <c r="AJ27">
        <v>96508</v>
      </c>
      <c r="AK27">
        <v>118865</v>
      </c>
      <c r="AL27">
        <v>22357</v>
      </c>
      <c r="AM27">
        <v>8</v>
      </c>
      <c r="AN27">
        <v>60000</v>
      </c>
      <c r="AP27">
        <v>74350</v>
      </c>
      <c r="AQ27" t="e">
        <v>#N/A</v>
      </c>
      <c r="AR27" t="e">
        <v>#N/A</v>
      </c>
      <c r="AS27" t="e">
        <v>#N/A</v>
      </c>
      <c r="AT27" t="e">
        <v>#N/A</v>
      </c>
    </row>
    <row r="28" spans="2:46">
      <c r="B28" t="s">
        <v>7</v>
      </c>
      <c r="C28" t="s">
        <v>49</v>
      </c>
      <c r="D28" t="s">
        <v>16</v>
      </c>
      <c r="E28" t="s">
        <v>10</v>
      </c>
      <c r="F28">
        <v>139194</v>
      </c>
      <c r="M28" t="str">
        <v>Small Appliances</v>
      </c>
      <c r="N28" t="str">
        <v>Batidoras</v>
      </c>
      <c r="R28" t="s">
        <v>37</v>
      </c>
      <c r="AE28" t="str">
        <v>In store</v>
      </c>
      <c r="AF28" t="str">
        <v>Batidoras</v>
      </c>
      <c r="AG28">
        <v>108164</v>
      </c>
      <c r="AI28" t="str">
        <v>Tostadoras</v>
      </c>
      <c r="AJ28">
        <v>96313</v>
      </c>
      <c r="AK28">
        <v>118640</v>
      </c>
      <c r="AL28">
        <v>22327</v>
      </c>
      <c r="AM28">
        <v>9</v>
      </c>
      <c r="AN28">
        <v>60000</v>
      </c>
      <c r="AP28">
        <v>74400</v>
      </c>
      <c r="AQ28" t="e">
        <v>#N/A</v>
      </c>
      <c r="AR28" t="e">
        <v>#N/A</v>
      </c>
      <c r="AS28" t="e">
        <v>#N/A</v>
      </c>
      <c r="AT28" t="e">
        <v>#N/A</v>
      </c>
    </row>
    <row r="29" spans="2:46">
      <c r="B29" t="s">
        <v>7</v>
      </c>
      <c r="C29" t="s">
        <v>49</v>
      </c>
      <c r="D29" t="s">
        <v>16</v>
      </c>
      <c r="E29" t="s">
        <v>11</v>
      </c>
      <c r="F29">
        <v>158606</v>
      </c>
      <c r="M29" t="str">
        <v>Domestic Appliances</v>
      </c>
      <c r="N29" t="str">
        <v>Laceadores</v>
      </c>
      <c r="R29" t="s">
        <v>21</v>
      </c>
      <c r="AE29" t="str">
        <v>In store</v>
      </c>
      <c r="AF29" t="str">
        <v>Laceadores</v>
      </c>
      <c r="AG29">
        <v>112874</v>
      </c>
      <c r="AI29" t="str">
        <v>Diversion</v>
      </c>
      <c r="AJ29">
        <v>96750</v>
      </c>
      <c r="AK29">
        <v>118129</v>
      </c>
      <c r="AL29">
        <v>21379</v>
      </c>
      <c r="AM29">
        <v>10</v>
      </c>
      <c r="AN29">
        <v>60000</v>
      </c>
      <c r="AP29">
        <v>74450</v>
      </c>
      <c r="AQ29" t="e">
        <v>#N/A</v>
      </c>
      <c r="AR29" t="e">
        <v>#N/A</v>
      </c>
      <c r="AS29" t="e">
        <v>#N/A</v>
      </c>
      <c r="AT29" t="e">
        <v>#N/A</v>
      </c>
    </row>
    <row r="30" spans="2:46">
      <c r="B30" t="s">
        <v>7</v>
      </c>
      <c r="C30" t="s">
        <v>49</v>
      </c>
      <c r="D30" t="s">
        <v>17</v>
      </c>
      <c r="E30" t="s">
        <v>9</v>
      </c>
      <c r="F30">
        <v>105157</v>
      </c>
      <c r="M30" t="str">
        <v>Small Appliances</v>
      </c>
      <c r="N30" t="str">
        <v>Cafeteras</v>
      </c>
      <c r="R30" t="s">
        <v>22</v>
      </c>
      <c r="AE30" t="str">
        <v>In store</v>
      </c>
      <c r="AF30" t="str">
        <v>Cafeteras</v>
      </c>
      <c r="AG30">
        <v>115466</v>
      </c>
      <c r="AI30" t="str">
        <v>Televisores</v>
      </c>
      <c r="AJ30">
        <v>95703</v>
      </c>
      <c r="AK30">
        <v>117795</v>
      </c>
      <c r="AL30">
        <v>22092</v>
      </c>
      <c r="AM30">
        <v>11</v>
      </c>
      <c r="AN30">
        <v>60000</v>
      </c>
      <c r="AP30">
        <v>74500</v>
      </c>
      <c r="AQ30" t="e">
        <v>#N/A</v>
      </c>
      <c r="AR30" t="e">
        <v>#N/A</v>
      </c>
      <c r="AS30" t="e">
        <v>#N/A</v>
      </c>
      <c r="AT30" t="e">
        <v>#N/A</v>
      </c>
    </row>
    <row r="31" spans="2:46">
      <c r="B31" t="s">
        <v>7</v>
      </c>
      <c r="C31" t="s">
        <v>49</v>
      </c>
      <c r="D31" t="s">
        <v>17</v>
      </c>
      <c r="E31" t="s">
        <v>10</v>
      </c>
      <c r="F31">
        <v>151995</v>
      </c>
      <c r="M31" t="str">
        <v>Domestic Appliances</v>
      </c>
      <c r="N31" t="str">
        <v>Televisores</v>
      </c>
      <c r="R31" t="s">
        <v>28</v>
      </c>
      <c r="AE31" t="str">
        <v>In store</v>
      </c>
      <c r="AF31" t="str">
        <v>Televisores</v>
      </c>
      <c r="AG31">
        <v>117795</v>
      </c>
      <c r="AI31" t="str">
        <v>Radios</v>
      </c>
      <c r="AJ31">
        <v>93110</v>
      </c>
      <c r="AK31">
        <v>116397</v>
      </c>
      <c r="AL31">
        <v>23287</v>
      </c>
      <c r="AM31">
        <v>12</v>
      </c>
      <c r="AN31">
        <v>60000</v>
      </c>
      <c r="AP31">
        <v>74550</v>
      </c>
      <c r="AQ31" t="e">
        <v>#N/A</v>
      </c>
      <c r="AR31" t="e">
        <v>#N/A</v>
      </c>
      <c r="AS31" t="e">
        <v>#N/A</v>
      </c>
      <c r="AT31" t="e">
        <v>#N/A</v>
      </c>
    </row>
    <row r="32" spans="2:46">
      <c r="B32" t="s">
        <v>7</v>
      </c>
      <c r="C32" t="s">
        <v>49</v>
      </c>
      <c r="D32" t="s">
        <v>17</v>
      </c>
      <c r="E32" t="s">
        <v>11</v>
      </c>
      <c r="F32">
        <v>171969</v>
      </c>
      <c r="M32" t="str">
        <v>Small Appliances</v>
      </c>
      <c r="N32" t="str">
        <v>Diversion</v>
      </c>
      <c r="R32" t="s">
        <v>15</v>
      </c>
      <c r="AE32" t="str">
        <v>In store</v>
      </c>
      <c r="AF32" t="str">
        <v>Diversion</v>
      </c>
      <c r="AG32">
        <v>118129</v>
      </c>
      <c r="AI32" t="str">
        <v>Cortadoras</v>
      </c>
      <c r="AJ32">
        <v>88469</v>
      </c>
      <c r="AK32">
        <v>115837</v>
      </c>
      <c r="AL32">
        <v>27368</v>
      </c>
      <c r="AM32">
        <v>13</v>
      </c>
      <c r="AN32">
        <v>60000</v>
      </c>
      <c r="AP32">
        <v>74600</v>
      </c>
      <c r="AQ32" t="e">
        <v>#N/A</v>
      </c>
      <c r="AR32" t="e">
        <v>#N/A</v>
      </c>
      <c r="AS32" t="e">
        <v>#N/A</v>
      </c>
      <c r="AT32" t="e">
        <v>#N/A</v>
      </c>
    </row>
    <row r="33" spans="2:54">
      <c r="B33" t="s">
        <v>7</v>
      </c>
      <c r="C33" t="s">
        <v>48</v>
      </c>
      <c r="D33" t="s">
        <v>18</v>
      </c>
      <c r="E33" t="s">
        <v>9</v>
      </c>
      <c r="F33">
        <v>110442</v>
      </c>
      <c r="M33" t="str">
        <v>Small Appliances</v>
      </c>
      <c r="N33" t="str">
        <v>Otros</v>
      </c>
      <c r="R33" t="s">
        <v>42</v>
      </c>
      <c r="AE33" t="str">
        <v>In store</v>
      </c>
      <c r="AF33" t="str">
        <v>Otros</v>
      </c>
      <c r="AG33">
        <v>120023</v>
      </c>
      <c r="AI33" t="str">
        <v>Masajeadores</v>
      </c>
      <c r="AJ33">
        <v>86905</v>
      </c>
      <c r="AK33">
        <v>115825</v>
      </c>
      <c r="AL33">
        <v>28920</v>
      </c>
      <c r="AM33">
        <v>14</v>
      </c>
      <c r="AN33">
        <v>60000</v>
      </c>
      <c r="AP33">
        <v>74650</v>
      </c>
      <c r="AQ33" t="e">
        <v>#N/A</v>
      </c>
      <c r="AR33" t="e">
        <v>#N/A</v>
      </c>
      <c r="AS33" t="e">
        <v>#N/A</v>
      </c>
      <c r="AT33" t="e">
        <v>#N/A</v>
      </c>
    </row>
    <row r="34" spans="2:54">
      <c r="B34" t="s">
        <v>7</v>
      </c>
      <c r="C34" t="s">
        <v>48</v>
      </c>
      <c r="D34" t="s">
        <v>18</v>
      </c>
      <c r="E34" t="s">
        <v>10</v>
      </c>
      <c r="F34">
        <v>158893</v>
      </c>
      <c r="M34" t="str">
        <v>Domestic Appliances</v>
      </c>
      <c r="N34" t="str">
        <v>Secadoras</v>
      </c>
      <c r="R34" t="s">
        <v>12</v>
      </c>
      <c r="AE34" t="str">
        <v>In store</v>
      </c>
      <c r="AF34" t="str">
        <v>Secadoras</v>
      </c>
      <c r="AG34">
        <v>118865</v>
      </c>
      <c r="AI34" t="str">
        <v>Cafeteras</v>
      </c>
      <c r="AJ34">
        <v>93538</v>
      </c>
      <c r="AK34">
        <v>115466</v>
      </c>
      <c r="AL34">
        <v>21928</v>
      </c>
      <c r="AM34">
        <v>15</v>
      </c>
      <c r="AN34">
        <v>60000</v>
      </c>
      <c r="AP34">
        <v>74700</v>
      </c>
      <c r="AQ34" t="e">
        <v>#N/A</v>
      </c>
      <c r="AR34" t="e">
        <v>#N/A</v>
      </c>
      <c r="AS34" t="e">
        <v>#N/A</v>
      </c>
      <c r="AT34" t="e">
        <v>#N/A</v>
      </c>
    </row>
    <row r="35" spans="2:54">
      <c r="B35" t="s">
        <v>7</v>
      </c>
      <c r="C35" t="s">
        <v>48</v>
      </c>
      <c r="D35" t="s">
        <v>18</v>
      </c>
      <c r="E35" t="s">
        <v>11</v>
      </c>
      <c r="F35">
        <v>182204</v>
      </c>
      <c r="M35" t="str">
        <v>Small Appliances</v>
      </c>
      <c r="N35" t="str">
        <v>Tostadoras</v>
      </c>
      <c r="R35" t="s">
        <v>32</v>
      </c>
      <c r="AE35" t="str">
        <v>In store</v>
      </c>
      <c r="AF35" t="str">
        <v>Tostadoras</v>
      </c>
      <c r="AG35">
        <v>118640</v>
      </c>
      <c r="AI35" t="str">
        <v>Sandwicheras</v>
      </c>
      <c r="AJ35">
        <v>91949</v>
      </c>
      <c r="AK35">
        <v>114622</v>
      </c>
      <c r="AL35">
        <v>22673</v>
      </c>
      <c r="AM35">
        <v>16</v>
      </c>
      <c r="AN35">
        <v>60000</v>
      </c>
      <c r="AP35">
        <v>74750</v>
      </c>
      <c r="AQ35" t="e">
        <v>#N/A</v>
      </c>
      <c r="AR35" t="e">
        <v>#N/A</v>
      </c>
      <c r="AS35" t="e">
        <v>#N/A</v>
      </c>
      <c r="AT35" t="e">
        <v>#N/A</v>
      </c>
    </row>
    <row r="36" spans="2:54">
      <c r="B36" t="s">
        <v>7</v>
      </c>
      <c r="C36" t="s">
        <v>49</v>
      </c>
      <c r="D36" t="s">
        <v>19</v>
      </c>
      <c r="E36" t="s">
        <v>9</v>
      </c>
      <c r="F36">
        <v>114622</v>
      </c>
      <c r="M36" t="str">
        <v>Domestic Appliances</v>
      </c>
      <c r="N36" t="str">
        <v>Estufas</v>
      </c>
      <c r="R36" t="s">
        <v>16</v>
      </c>
      <c r="AE36" t="str">
        <v>In store</v>
      </c>
      <c r="AF36" t="str">
        <v>Estufas</v>
      </c>
      <c r="AG36">
        <v>121873</v>
      </c>
      <c r="AI36" t="str">
        <v>Hervidores</v>
      </c>
      <c r="AJ36">
        <v>91908</v>
      </c>
      <c r="AK36">
        <v>114006</v>
      </c>
      <c r="AL36">
        <v>22098</v>
      </c>
      <c r="AM36">
        <v>17</v>
      </c>
      <c r="AN36">
        <v>60000</v>
      </c>
      <c r="AP36">
        <v>74800</v>
      </c>
      <c r="AQ36" t="e">
        <v>#N/A</v>
      </c>
      <c r="AR36" t="e">
        <v>#N/A</v>
      </c>
      <c r="AS36" t="e">
        <v>#N/A</v>
      </c>
      <c r="AT36" t="e">
        <v>#N/A</v>
      </c>
    </row>
    <row r="37" spans="2:54">
      <c r="B37" t="s">
        <v>7</v>
      </c>
      <c r="C37" t="s">
        <v>49</v>
      </c>
      <c r="D37" t="s">
        <v>19</v>
      </c>
      <c r="E37" t="s">
        <v>10</v>
      </c>
      <c r="F37">
        <v>164919</v>
      </c>
      <c r="M37" t="str">
        <v>Domestic Appliances</v>
      </c>
      <c r="N37" t="str">
        <v>Blu Rays</v>
      </c>
      <c r="R37" t="s">
        <v>20</v>
      </c>
      <c r="AE37" t="str">
        <v>In store</v>
      </c>
      <c r="AF37" t="str">
        <v>Blu Rays</v>
      </c>
      <c r="AG37">
        <v>125728</v>
      </c>
      <c r="AI37" t="str">
        <v>Laceadores</v>
      </c>
      <c r="AJ37">
        <v>90718</v>
      </c>
      <c r="AK37">
        <v>112874</v>
      </c>
      <c r="AL37">
        <v>22156</v>
      </c>
      <c r="AM37">
        <v>18</v>
      </c>
      <c r="AN37">
        <v>60000</v>
      </c>
      <c r="AP37">
        <v>74850</v>
      </c>
      <c r="AQ37" t="e">
        <v>#N/A</v>
      </c>
      <c r="AR37" t="e">
        <v>#N/A</v>
      </c>
      <c r="AS37" t="e">
        <v>#N/A</v>
      </c>
      <c r="AT37" t="e">
        <v>#N/A</v>
      </c>
    </row>
    <row r="38" spans="2:54">
      <c r="B38" t="s">
        <v>7</v>
      </c>
      <c r="C38" t="s">
        <v>49</v>
      </c>
      <c r="D38" t="s">
        <v>19</v>
      </c>
      <c r="E38" t="s">
        <v>11</v>
      </c>
      <c r="F38">
        <v>188143</v>
      </c>
      <c r="M38" t="str">
        <v>Small Appliances</v>
      </c>
      <c r="N38" t="str">
        <v>Fun Products</v>
      </c>
      <c r="R38" t="s">
        <v>14</v>
      </c>
      <c r="AE38" t="str">
        <v>In store</v>
      </c>
      <c r="AF38" t="str">
        <v>Fun Products</v>
      </c>
      <c r="AG38">
        <v>127437</v>
      </c>
      <c r="AI38" t="str">
        <v>Hornos</v>
      </c>
      <c r="AJ38">
        <v>91132</v>
      </c>
      <c r="AK38">
        <v>112637</v>
      </c>
      <c r="AL38">
        <v>21505</v>
      </c>
      <c r="AM38">
        <v>19</v>
      </c>
      <c r="AN38">
        <v>60000</v>
      </c>
      <c r="AP38">
        <v>74900</v>
      </c>
      <c r="AQ38" t="e">
        <v>#N/A</v>
      </c>
      <c r="AR38" t="e">
        <v>#N/A</v>
      </c>
      <c r="AS38" t="e">
        <v>#N/A</v>
      </c>
      <c r="AT38" t="e">
        <v>#N/A</v>
      </c>
    </row>
    <row r="39" spans="2:54">
      <c r="B39" t="s">
        <v>7</v>
      </c>
      <c r="C39" t="s">
        <v>48</v>
      </c>
      <c r="D39" t="s">
        <v>20</v>
      </c>
      <c r="E39" t="s">
        <v>9</v>
      </c>
      <c r="F39">
        <v>116397</v>
      </c>
      <c r="M39" t="str">
        <v>Small Appliances</v>
      </c>
      <c r="N39" t="str">
        <v>Combos</v>
      </c>
      <c r="R39" t="s">
        <v>19</v>
      </c>
      <c r="AE39" t="str">
        <v>In store</v>
      </c>
      <c r="AF39" t="str">
        <v>Combos</v>
      </c>
      <c r="AG39">
        <v>126160</v>
      </c>
      <c r="AI39" t="str">
        <v>Air Coolers</v>
      </c>
      <c r="AJ39">
        <v>87380</v>
      </c>
      <c r="AK39">
        <v>110442</v>
      </c>
      <c r="AL39">
        <v>23062</v>
      </c>
      <c r="AM39">
        <v>20</v>
      </c>
      <c r="AN39">
        <v>60000</v>
      </c>
      <c r="AP39">
        <v>74950</v>
      </c>
      <c r="AQ39" t="e">
        <v>#N/A</v>
      </c>
      <c r="AR39" t="e">
        <v>#N/A</v>
      </c>
      <c r="AS39" t="e">
        <v>#N/A</v>
      </c>
      <c r="AT39" t="e">
        <v>#N/A</v>
      </c>
    </row>
    <row r="40" spans="2:54">
      <c r="B40" t="s">
        <v>7</v>
      </c>
      <c r="C40" t="s">
        <v>48</v>
      </c>
      <c r="D40" t="s">
        <v>20</v>
      </c>
      <c r="E40" t="s">
        <v>10</v>
      </c>
      <c r="F40">
        <v>166459</v>
      </c>
      <c r="M40" t="str">
        <v>Small Appliances</v>
      </c>
      <c r="N40" t="str">
        <v>Freidoras</v>
      </c>
      <c r="R40" t="s">
        <v>33</v>
      </c>
      <c r="AE40" t="str">
        <v>In store</v>
      </c>
      <c r="AF40" t="str">
        <v>Freidoras</v>
      </c>
      <c r="AG40">
        <v>121719</v>
      </c>
      <c r="AI40" t="str">
        <v>Exprimidores</v>
      </c>
      <c r="AJ40">
        <v>88306</v>
      </c>
      <c r="AK40">
        <v>109498</v>
      </c>
      <c r="AL40">
        <v>21192</v>
      </c>
      <c r="AM40">
        <v>21</v>
      </c>
      <c r="AN40">
        <v>60000</v>
      </c>
      <c r="AP40">
        <v>75000</v>
      </c>
      <c r="AQ40" t="e">
        <v>#N/A</v>
      </c>
      <c r="AR40" t="e">
        <v>#N/A</v>
      </c>
      <c r="AS40" t="e">
        <v>#N/A</v>
      </c>
      <c r="AT40" t="e">
        <v>#N/A</v>
      </c>
    </row>
    <row r="41" spans="2:54">
      <c r="B41" t="s">
        <v>7</v>
      </c>
      <c r="C41" t="s">
        <v>48</v>
      </c>
      <c r="D41" t="s">
        <v>20</v>
      </c>
      <c r="E41" t="s">
        <v>11</v>
      </c>
      <c r="F41">
        <v>189032</v>
      </c>
      <c r="M41" t="str">
        <v>Domestic Appliances</v>
      </c>
      <c r="N41" t="str">
        <v>Aspiradoras</v>
      </c>
      <c r="R41" t="s">
        <v>30</v>
      </c>
      <c r="AE41" t="str">
        <v>In store</v>
      </c>
      <c r="AF41" t="str">
        <v>Aspiradoras</v>
      </c>
      <c r="AG41">
        <v>119299</v>
      </c>
      <c r="AI41" t="str">
        <v>Extractores</v>
      </c>
      <c r="AJ41">
        <v>87163</v>
      </c>
      <c r="AK41">
        <v>108752</v>
      </c>
      <c r="AL41">
        <v>21589</v>
      </c>
      <c r="AM41">
        <v>22</v>
      </c>
      <c r="AN41">
        <v>60000</v>
      </c>
      <c r="AP41">
        <v>75050</v>
      </c>
      <c r="AQ41" t="e">
        <v>#N/A</v>
      </c>
      <c r="AR41" t="e">
        <v>#N/A</v>
      </c>
      <c r="AS41" t="e">
        <v>#N/A</v>
      </c>
      <c r="AT41" t="e">
        <v>#N/A</v>
      </c>
    </row>
    <row r="42" spans="2:54">
      <c r="B42" t="s">
        <v>7</v>
      </c>
      <c r="C42" t="s">
        <v>49</v>
      </c>
      <c r="D42" t="s">
        <v>21</v>
      </c>
      <c r="E42" t="s">
        <v>9</v>
      </c>
      <c r="F42">
        <v>114006</v>
      </c>
      <c r="M42" t="str">
        <v>Domestic Appliances</v>
      </c>
      <c r="N42" t="str">
        <v>Cortadoras</v>
      </c>
      <c r="R42" t="s">
        <v>34</v>
      </c>
      <c r="AE42" t="str">
        <v>In store</v>
      </c>
      <c r="AF42" t="str">
        <v>Cortadoras</v>
      </c>
      <c r="AG42">
        <v>115837</v>
      </c>
      <c r="AI42" t="str">
        <v>Cepillos</v>
      </c>
      <c r="AJ42">
        <v>87987</v>
      </c>
      <c r="AK42">
        <v>108301</v>
      </c>
      <c r="AL42">
        <v>20314</v>
      </c>
      <c r="AM42">
        <v>23</v>
      </c>
      <c r="AN42">
        <v>60000</v>
      </c>
      <c r="AP42">
        <v>75100</v>
      </c>
      <c r="AQ42" t="e">
        <v>#N/A</v>
      </c>
      <c r="AR42" t="e">
        <v>#N/A</v>
      </c>
      <c r="AS42" t="e">
        <v>#N/A</v>
      </c>
      <c r="AT42" t="e">
        <v>#N/A</v>
      </c>
    </row>
    <row r="43" spans="2:54">
      <c r="B43" t="s">
        <v>7</v>
      </c>
      <c r="C43" t="s">
        <v>49</v>
      </c>
      <c r="D43" t="s">
        <v>21</v>
      </c>
      <c r="E43" t="s">
        <v>10</v>
      </c>
      <c r="F43">
        <v>166065</v>
      </c>
      <c r="M43" t="str">
        <v>Domestic Appliances</v>
      </c>
      <c r="N43" t="str">
        <v>Masajeadores</v>
      </c>
      <c r="R43" t="s">
        <v>8</v>
      </c>
      <c r="AE43" t="str">
        <v>In store</v>
      </c>
      <c r="AF43" t="str">
        <v>Masajeadores</v>
      </c>
      <c r="AG43">
        <v>115825</v>
      </c>
      <c r="AI43" t="str">
        <v>Batidoras</v>
      </c>
      <c r="AJ43">
        <v>87319</v>
      </c>
      <c r="AK43">
        <v>108164</v>
      </c>
      <c r="AL43">
        <v>20845</v>
      </c>
      <c r="AM43">
        <v>24</v>
      </c>
      <c r="AN43">
        <v>60000</v>
      </c>
      <c r="AP43">
        <v>75150</v>
      </c>
      <c r="AQ43" t="e">
        <v>#N/A</v>
      </c>
      <c r="AR43" t="e">
        <v>#N/A</v>
      </c>
      <c r="AS43" t="e">
        <v>#N/A</v>
      </c>
      <c r="AT43" t="e">
        <v>#N/A</v>
      </c>
    </row>
    <row r="44" spans="2:54">
      <c r="B44" t="s">
        <v>7</v>
      </c>
      <c r="C44" t="s">
        <v>49</v>
      </c>
      <c r="D44" t="s">
        <v>21</v>
      </c>
      <c r="E44" t="s">
        <v>11</v>
      </c>
      <c r="F44">
        <v>187735</v>
      </c>
      <c r="AE44" t="str">
        <v>Online</v>
      </c>
      <c r="AF44" t="str">
        <v>Ventiladores</v>
      </c>
      <c r="AG44">
        <v>84492</v>
      </c>
      <c r="AI44" t="str">
        <v>Dvds</v>
      </c>
      <c r="AJ44">
        <v>86641</v>
      </c>
      <c r="AK44">
        <v>106865</v>
      </c>
      <c r="AL44">
        <v>20224</v>
      </c>
      <c r="AM44">
        <v>25</v>
      </c>
      <c r="AN44">
        <v>60000</v>
      </c>
      <c r="AP44">
        <v>75200</v>
      </c>
      <c r="AQ44" t="e">
        <v>#N/A</v>
      </c>
      <c r="AR44" t="e">
        <v>#N/A</v>
      </c>
      <c r="AS44" t="e">
        <v>#N/A</v>
      </c>
      <c r="AT44" t="e">
        <v>#N/A</v>
      </c>
    </row>
    <row r="45" spans="2:54">
      <c r="B45" t="s">
        <v>7</v>
      </c>
      <c r="C45" t="s">
        <v>49</v>
      </c>
      <c r="D45" t="s">
        <v>22</v>
      </c>
      <c r="E45" t="s">
        <v>9</v>
      </c>
      <c r="F45">
        <v>112637</v>
      </c>
      <c r="AE45" t="str">
        <v>Online</v>
      </c>
      <c r="AF45" t="str">
        <v>Ollas</v>
      </c>
      <c r="AG45">
        <v>81818</v>
      </c>
      <c r="AI45" t="str">
        <v>Ollas</v>
      </c>
      <c r="AJ45">
        <v>81818</v>
      </c>
      <c r="AK45">
        <v>106387</v>
      </c>
      <c r="AL45">
        <v>24569</v>
      </c>
      <c r="AM45">
        <v>26</v>
      </c>
      <c r="AN45">
        <v>60000</v>
      </c>
      <c r="AP45">
        <v>75250</v>
      </c>
      <c r="AQ45" t="e">
        <v>#N/A</v>
      </c>
      <c r="AR45" t="e">
        <v>#N/A</v>
      </c>
      <c r="AS45" t="e">
        <v>#N/A</v>
      </c>
      <c r="AT45" t="e">
        <v>#N/A</v>
      </c>
    </row>
    <row r="46" spans="2:54">
      <c r="B46" t="s">
        <v>7</v>
      </c>
      <c r="C46" t="s">
        <v>49</v>
      </c>
      <c r="D46" t="s">
        <v>22</v>
      </c>
      <c r="E46" t="s">
        <v>10</v>
      </c>
      <c r="F46">
        <v>166088</v>
      </c>
      <c r="AE46" t="str">
        <v>Online</v>
      </c>
      <c r="AF46" t="str">
        <v>Depiladores</v>
      </c>
      <c r="AG46">
        <v>78874</v>
      </c>
      <c r="AI46" t="str">
        <v>Dispensadores</v>
      </c>
      <c r="AJ46">
        <v>82897</v>
      </c>
      <c r="AK46">
        <v>105157</v>
      </c>
      <c r="AL46">
        <v>22260</v>
      </c>
      <c r="AM46">
        <v>27</v>
      </c>
      <c r="AN46">
        <v>60000</v>
      </c>
      <c r="AP46">
        <v>75300</v>
      </c>
      <c r="AQ46" t="e">
        <v>#N/A</v>
      </c>
      <c r="AR46" t="e">
        <v>#N/A</v>
      </c>
      <c r="AS46" t="e">
        <v>#N/A</v>
      </c>
      <c r="AT46" t="e">
        <v>#N/A</v>
      </c>
      <c r="AY46" s="9"/>
      <c r="AZ46" s="9"/>
      <c r="BA46" s="9"/>
      <c r="BB46" s="9"/>
    </row>
    <row r="47" spans="2:54">
      <c r="B47" t="s">
        <v>7</v>
      </c>
      <c r="C47" t="s">
        <v>49</v>
      </c>
      <c r="D47" t="s">
        <v>22</v>
      </c>
      <c r="E47" t="s">
        <v>11</v>
      </c>
      <c r="F47">
        <v>186278</v>
      </c>
      <c r="AE47" t="str">
        <v>Online</v>
      </c>
      <c r="AF47" t="str">
        <v>Rizadores</v>
      </c>
      <c r="AG47">
        <v>76819</v>
      </c>
      <c r="AI47" t="str">
        <v>Depiladores</v>
      </c>
      <c r="AJ47">
        <v>78874</v>
      </c>
      <c r="AK47">
        <v>104897</v>
      </c>
      <c r="AL47">
        <v>26023</v>
      </c>
      <c r="AM47">
        <v>28</v>
      </c>
      <c r="AN47">
        <v>60000</v>
      </c>
      <c r="AP47">
        <v>75350</v>
      </c>
      <c r="AQ47" t="e">
        <v>#N/A</v>
      </c>
      <c r="AR47" t="e">
        <v>#N/A</v>
      </c>
      <c r="AS47" t="e">
        <v>#N/A</v>
      </c>
      <c r="AT47" t="e">
        <v>#N/A</v>
      </c>
      <c r="AX47" s="22"/>
      <c r="AY47" s="9"/>
      <c r="AZ47" s="9"/>
      <c r="BA47" s="9"/>
      <c r="BB47" s="9"/>
    </row>
    <row r="48" spans="2:54">
      <c r="B48" t="s">
        <v>7</v>
      </c>
      <c r="C48" t="s">
        <v>49</v>
      </c>
      <c r="D48" t="s">
        <v>23</v>
      </c>
      <c r="E48" t="s">
        <v>9</v>
      </c>
      <c r="F48">
        <v>109498</v>
      </c>
      <c r="AE48" t="str">
        <v>Online</v>
      </c>
      <c r="AF48" t="str">
        <v>Licuadoras</v>
      </c>
      <c r="AG48">
        <v>74276</v>
      </c>
      <c r="AI48" t="str">
        <v>Ventiladores</v>
      </c>
      <c r="AJ48">
        <v>84492</v>
      </c>
      <c r="AK48">
        <v>104669</v>
      </c>
      <c r="AL48">
        <v>20177</v>
      </c>
      <c r="AM48">
        <v>29</v>
      </c>
      <c r="AN48">
        <v>60000</v>
      </c>
      <c r="AP48">
        <v>75400</v>
      </c>
      <c r="AQ48" t="e">
        <v>#N/A</v>
      </c>
      <c r="AR48" t="e">
        <v>#N/A</v>
      </c>
      <c r="AS48" t="e">
        <v>#N/A</v>
      </c>
      <c r="AT48" t="e">
        <v>#N/A</v>
      </c>
    </row>
    <row r="49" spans="2:54">
      <c r="B49" t="s">
        <v>7</v>
      </c>
      <c r="C49" t="s">
        <v>49</v>
      </c>
      <c r="D49" t="s">
        <v>23</v>
      </c>
      <c r="E49" t="s">
        <v>10</v>
      </c>
      <c r="F49">
        <v>163520</v>
      </c>
      <c r="AE49" t="str">
        <v>Online</v>
      </c>
      <c r="AF49" t="str">
        <v>Planchas</v>
      </c>
      <c r="AG49">
        <v>78268</v>
      </c>
      <c r="AI49" t="str">
        <v>Rizadores</v>
      </c>
      <c r="AJ49">
        <v>76819</v>
      </c>
      <c r="AK49">
        <v>102823</v>
      </c>
      <c r="AL49">
        <v>26004</v>
      </c>
      <c r="AM49">
        <v>30</v>
      </c>
      <c r="AN49">
        <v>60000</v>
      </c>
      <c r="AP49">
        <v>75450</v>
      </c>
      <c r="AQ49" t="e">
        <v>#N/A</v>
      </c>
      <c r="AR49" t="e">
        <v>#N/A</v>
      </c>
      <c r="AS49" t="e">
        <v>#N/A</v>
      </c>
      <c r="AT49" t="e">
        <v>#N/A</v>
      </c>
      <c r="AX49" s="9"/>
      <c r="AY49" s="9"/>
      <c r="AZ49" s="9"/>
      <c r="BA49" s="9"/>
      <c r="BB49" s="9"/>
    </row>
    <row r="50" spans="2:54">
      <c r="B50" t="s">
        <v>7</v>
      </c>
      <c r="C50" t="s">
        <v>49</v>
      </c>
      <c r="D50" t="s">
        <v>23</v>
      </c>
      <c r="E50" t="s">
        <v>11</v>
      </c>
      <c r="F50">
        <v>182063</v>
      </c>
      <c r="AE50" t="str">
        <v>Online</v>
      </c>
      <c r="AF50" t="str">
        <v>Dispensadores</v>
      </c>
      <c r="AG50">
        <v>82897</v>
      </c>
      <c r="AI50" t="str">
        <v>Planchas</v>
      </c>
      <c r="AJ50">
        <v>78268</v>
      </c>
      <c r="AK50">
        <v>100561</v>
      </c>
      <c r="AL50">
        <v>22293</v>
      </c>
      <c r="AM50">
        <v>31</v>
      </c>
      <c r="AN50">
        <v>60000</v>
      </c>
      <c r="AP50">
        <v>75500</v>
      </c>
      <c r="AQ50" t="e">
        <v>#N/A</v>
      </c>
      <c r="AR50" t="e">
        <v>#N/A</v>
      </c>
      <c r="AS50" t="e">
        <v>#N/A</v>
      </c>
      <c r="AT50" t="e">
        <v>#N/A</v>
      </c>
    </row>
    <row r="51" spans="2:54">
      <c r="B51" t="s">
        <v>7</v>
      </c>
      <c r="C51" t="s">
        <v>48</v>
      </c>
      <c r="D51" t="s">
        <v>24</v>
      </c>
      <c r="E51" t="s">
        <v>9</v>
      </c>
      <c r="F51">
        <v>106865</v>
      </c>
      <c r="AE51" t="str">
        <v>Online</v>
      </c>
      <c r="AF51" t="str">
        <v>Air Coolers</v>
      </c>
      <c r="AG51">
        <v>87380</v>
      </c>
      <c r="AI51" t="str">
        <v>Licuadoras</v>
      </c>
      <c r="AJ51">
        <v>74276</v>
      </c>
      <c r="AK51">
        <v>97523</v>
      </c>
      <c r="AL51">
        <v>23247</v>
      </c>
      <c r="AM51">
        <v>32</v>
      </c>
      <c r="AN51">
        <v>60000</v>
      </c>
      <c r="AP51">
        <v>75550</v>
      </c>
      <c r="AQ51" t="e">
        <v>#N/A</v>
      </c>
      <c r="AR51" t="e">
        <v>#N/A</v>
      </c>
      <c r="AS51" t="e">
        <v>#N/A</v>
      </c>
      <c r="AT51" t="e">
        <v>#N/A</v>
      </c>
    </row>
    <row r="52" spans="2:54">
      <c r="B52" t="s">
        <v>7</v>
      </c>
      <c r="C52" t="s">
        <v>48</v>
      </c>
      <c r="D52" t="s">
        <v>24</v>
      </c>
      <c r="E52" t="s">
        <v>10</v>
      </c>
      <c r="F52">
        <v>162302</v>
      </c>
      <c r="AE52" t="str">
        <v>Online</v>
      </c>
      <c r="AF52" t="str">
        <v>Sandwicheras</v>
      </c>
      <c r="AG52">
        <v>91949</v>
      </c>
      <c r="AP52">
        <v>75600</v>
      </c>
      <c r="AQ52" t="e">
        <v>#N/A</v>
      </c>
      <c r="AR52" t="e">
        <v>#N/A</v>
      </c>
      <c r="AS52" t="e">
        <v>#N/A</v>
      </c>
      <c r="AT52" t="e">
        <v>#N/A</v>
      </c>
    </row>
    <row r="53" spans="2:54">
      <c r="B53" t="s">
        <v>7</v>
      </c>
      <c r="C53" t="s">
        <v>48</v>
      </c>
      <c r="D53" t="s">
        <v>24</v>
      </c>
      <c r="E53" t="s">
        <v>11</v>
      </c>
      <c r="F53">
        <v>175297</v>
      </c>
      <c r="AE53" t="str">
        <v>Online</v>
      </c>
      <c r="AF53" t="str">
        <v>Radios</v>
      </c>
      <c r="AG53">
        <v>93110</v>
      </c>
      <c r="AP53">
        <v>75650</v>
      </c>
      <c r="AQ53" t="e">
        <v>#N/A</v>
      </c>
      <c r="AR53" t="e">
        <v>#N/A</v>
      </c>
      <c r="AS53" t="e">
        <v>#N/A</v>
      </c>
      <c r="AT53" t="e">
        <v>#N/A</v>
      </c>
    </row>
    <row r="54" spans="2:54">
      <c r="B54" t="s">
        <v>7</v>
      </c>
      <c r="C54" t="s">
        <v>49</v>
      </c>
      <c r="D54" t="s">
        <v>25</v>
      </c>
      <c r="E54" t="s">
        <v>9</v>
      </c>
      <c r="F54">
        <v>108752</v>
      </c>
      <c r="AE54" t="str">
        <v>Online</v>
      </c>
      <c r="AF54" t="str">
        <v>Hervidores</v>
      </c>
      <c r="AG54">
        <v>91908</v>
      </c>
      <c r="AP54">
        <v>75700</v>
      </c>
      <c r="AQ54" t="e">
        <v>#N/A</v>
      </c>
      <c r="AR54" t="e">
        <v>#N/A</v>
      </c>
      <c r="AS54" t="e">
        <v>#N/A</v>
      </c>
      <c r="AT54" t="e">
        <v>#N/A</v>
      </c>
      <c r="AX54" s="9"/>
    </row>
    <row r="55" spans="2:54">
      <c r="B55" t="s">
        <v>7</v>
      </c>
      <c r="C55" t="s">
        <v>49</v>
      </c>
      <c r="D55" t="s">
        <v>25</v>
      </c>
      <c r="E55" t="s">
        <v>10</v>
      </c>
      <c r="F55">
        <v>164720</v>
      </c>
      <c r="AE55" t="str">
        <v>Online</v>
      </c>
      <c r="AF55" t="str">
        <v>Hornos</v>
      </c>
      <c r="AG55">
        <v>91132</v>
      </c>
      <c r="AP55">
        <v>75750</v>
      </c>
      <c r="AQ55" t="e">
        <v>#N/A</v>
      </c>
      <c r="AR55" t="e">
        <v>#N/A</v>
      </c>
      <c r="AS55" t="e">
        <v>#N/A</v>
      </c>
      <c r="AT55" t="e">
        <v>#N/A</v>
      </c>
      <c r="AX55" s="9"/>
    </row>
    <row r="56" spans="2:54">
      <c r="B56" t="s">
        <v>7</v>
      </c>
      <c r="C56" t="s">
        <v>49</v>
      </c>
      <c r="D56" t="s">
        <v>25</v>
      </c>
      <c r="E56" t="s">
        <v>11</v>
      </c>
      <c r="F56">
        <v>174776</v>
      </c>
      <c r="AE56" t="str">
        <v>Online</v>
      </c>
      <c r="AF56" t="str">
        <v>Exprimidores</v>
      </c>
      <c r="AG56">
        <v>88306</v>
      </c>
      <c r="AP56">
        <v>75800</v>
      </c>
      <c r="AQ56" t="e">
        <v>#N/A</v>
      </c>
      <c r="AR56" t="e">
        <v>#N/A</v>
      </c>
      <c r="AS56" t="e">
        <v>#N/A</v>
      </c>
      <c r="AT56" t="e">
        <v>#N/A</v>
      </c>
    </row>
    <row r="57" spans="2:54">
      <c r="B57" t="s">
        <v>7</v>
      </c>
      <c r="C57" t="s">
        <v>48</v>
      </c>
      <c r="D57" t="s">
        <v>26</v>
      </c>
      <c r="E57" t="s">
        <v>9</v>
      </c>
      <c r="F57">
        <v>108301</v>
      </c>
      <c r="AE57" t="str">
        <v>Online</v>
      </c>
      <c r="AF57" t="str">
        <v>Dvds</v>
      </c>
      <c r="AG57">
        <v>86641</v>
      </c>
      <c r="AP57">
        <v>75850</v>
      </c>
      <c r="AQ57" t="e">
        <v>#N/A</v>
      </c>
      <c r="AR57" t="e">
        <v>#N/A</v>
      </c>
      <c r="AS57" t="e">
        <v>#N/A</v>
      </c>
      <c r="AT57" t="e">
        <v>#N/A</v>
      </c>
      <c r="AY57" s="9" t="s">
        <v>80</v>
      </c>
      <c r="AZ57" s="23" t="s">
        <v>81</v>
      </c>
    </row>
    <row r="58" spans="2:54">
      <c r="B58" t="s">
        <v>7</v>
      </c>
      <c r="C58" t="s">
        <v>48</v>
      </c>
      <c r="D58" t="s">
        <v>26</v>
      </c>
      <c r="E58" t="s">
        <v>10</v>
      </c>
      <c r="F58">
        <v>166020</v>
      </c>
      <c r="AE58" t="str">
        <v>Online</v>
      </c>
      <c r="AF58" t="str">
        <v>Extractores</v>
      </c>
      <c r="AG58">
        <v>87163</v>
      </c>
      <c r="AP58">
        <v>75900</v>
      </c>
      <c r="AQ58" t="e">
        <v>#N/A</v>
      </c>
      <c r="AR58" t="e">
        <v>#N/A</v>
      </c>
      <c r="AS58" t="e">
        <v>#N/A</v>
      </c>
      <c r="AT58" t="e">
        <v>#N/A</v>
      </c>
    </row>
    <row r="59" spans="2:54">
      <c r="B59" t="s">
        <v>7</v>
      </c>
      <c r="C59" t="s">
        <v>48</v>
      </c>
      <c r="D59" t="s">
        <v>26</v>
      </c>
      <c r="E59" t="s">
        <v>11</v>
      </c>
      <c r="F59">
        <v>175364</v>
      </c>
      <c r="AE59" t="str">
        <v>Online</v>
      </c>
      <c r="AF59" t="str">
        <v>Cepillos</v>
      </c>
      <c r="AG59">
        <v>87987</v>
      </c>
      <c r="AP59">
        <v>75950</v>
      </c>
      <c r="AQ59" t="e">
        <v>#N/A</v>
      </c>
      <c r="AR59" t="e">
        <v>#N/A</v>
      </c>
      <c r="AS59" t="e">
        <v>#N/A</v>
      </c>
      <c r="AT59" t="e">
        <v>#N/A</v>
      </c>
      <c r="AY59" s="9" t="s">
        <v>71</v>
      </c>
      <c r="AZ59" s="10" t="s">
        <v>72</v>
      </c>
    </row>
    <row r="60" spans="2:54">
      <c r="B60" t="s">
        <v>7</v>
      </c>
      <c r="C60" t="s">
        <v>49</v>
      </c>
      <c r="D60" t="s">
        <v>27</v>
      </c>
      <c r="E60" t="s">
        <v>9</v>
      </c>
      <c r="F60">
        <v>108164</v>
      </c>
      <c r="AE60" t="str">
        <v>Online</v>
      </c>
      <c r="AF60" t="str">
        <v>Batidoras</v>
      </c>
      <c r="AG60">
        <v>87319</v>
      </c>
      <c r="AP60">
        <v>76000</v>
      </c>
      <c r="AQ60" t="e">
        <v>#N/A</v>
      </c>
      <c r="AR60" t="e">
        <v>#N/A</v>
      </c>
      <c r="AS60" t="e">
        <v>#N/A</v>
      </c>
      <c r="AT60" t="e">
        <v>#N/A</v>
      </c>
    </row>
    <row r="61" spans="2:54">
      <c r="B61" t="s">
        <v>7</v>
      </c>
      <c r="C61" t="s">
        <v>49</v>
      </c>
      <c r="D61" t="s">
        <v>27</v>
      </c>
      <c r="E61" t="s">
        <v>10</v>
      </c>
      <c r="F61">
        <v>167516</v>
      </c>
      <c r="AE61" t="str">
        <v>Online</v>
      </c>
      <c r="AF61" t="str">
        <v>Laceadores</v>
      </c>
      <c r="AG61">
        <v>90718</v>
      </c>
      <c r="AP61">
        <v>76050</v>
      </c>
      <c r="AQ61" t="e">
        <v>#N/A</v>
      </c>
      <c r="AR61" t="e">
        <v>#N/A</v>
      </c>
      <c r="AS61" t="e">
        <v>#N/A</v>
      </c>
      <c r="AT61" t="e">
        <v>#N/A</v>
      </c>
      <c r="AY61" t="s">
        <v>73</v>
      </c>
    </row>
    <row r="62" spans="2:54">
      <c r="B62" t="s">
        <v>7</v>
      </c>
      <c r="C62" t="s">
        <v>49</v>
      </c>
      <c r="D62" t="s">
        <v>27</v>
      </c>
      <c r="E62" t="s">
        <v>11</v>
      </c>
      <c r="F62">
        <v>175404</v>
      </c>
      <c r="AE62" t="str">
        <v>Online</v>
      </c>
      <c r="AF62" t="str">
        <v>Cafeteras</v>
      </c>
      <c r="AG62">
        <v>93538</v>
      </c>
      <c r="AP62">
        <v>76100</v>
      </c>
      <c r="AQ62" t="e">
        <v>#N/A</v>
      </c>
      <c r="AR62" t="e">
        <v>#N/A</v>
      </c>
      <c r="AS62" t="e">
        <v>#N/A</v>
      </c>
      <c r="AT62" t="e">
        <v>#N/A</v>
      </c>
    </row>
    <row r="63" spans="2:54">
      <c r="B63" t="s">
        <v>7</v>
      </c>
      <c r="C63" t="s">
        <v>48</v>
      </c>
      <c r="D63" t="s">
        <v>28</v>
      </c>
      <c r="E63" t="s">
        <v>9</v>
      </c>
      <c r="F63">
        <v>112874</v>
      </c>
      <c r="AE63" t="str">
        <v>Online</v>
      </c>
      <c r="AF63" t="str">
        <v>Televisores</v>
      </c>
      <c r="AG63">
        <v>95703</v>
      </c>
      <c r="AP63">
        <v>76150</v>
      </c>
      <c r="AQ63" t="e">
        <v>#N/A</v>
      </c>
      <c r="AR63" t="e">
        <v>#N/A</v>
      </c>
      <c r="AS63" t="e">
        <v>#N/A</v>
      </c>
      <c r="AT63" t="e">
        <v>#N/A</v>
      </c>
      <c r="AY63" s="9" t="s">
        <v>74</v>
      </c>
      <c r="AZ63" s="10" t="s">
        <v>75</v>
      </c>
    </row>
    <row r="64" spans="2:54">
      <c r="B64" t="s">
        <v>7</v>
      </c>
      <c r="C64" t="s">
        <v>48</v>
      </c>
      <c r="D64" t="s">
        <v>28</v>
      </c>
      <c r="E64" t="s">
        <v>10</v>
      </c>
      <c r="F64">
        <v>177111</v>
      </c>
      <c r="AE64" t="str">
        <v>Online</v>
      </c>
      <c r="AF64" t="str">
        <v>Diversion</v>
      </c>
      <c r="AG64">
        <v>96750</v>
      </c>
      <c r="AP64">
        <v>76200</v>
      </c>
      <c r="AQ64" t="e">
        <v>#N/A</v>
      </c>
      <c r="AR64" t="e">
        <v>#N/A</v>
      </c>
      <c r="AS64" t="e">
        <v>#N/A</v>
      </c>
      <c r="AT64" t="e">
        <v>#N/A</v>
      </c>
    </row>
    <row r="65" spans="2:52">
      <c r="B65" t="s">
        <v>7</v>
      </c>
      <c r="C65" t="s">
        <v>48</v>
      </c>
      <c r="D65" t="s">
        <v>28</v>
      </c>
      <c r="E65" t="s">
        <v>11</v>
      </c>
      <c r="F65">
        <v>181346</v>
      </c>
      <c r="AE65" t="str">
        <v>Online</v>
      </c>
      <c r="AF65" t="str">
        <v>Otros</v>
      </c>
      <c r="AG65">
        <v>96891</v>
      </c>
      <c r="AP65">
        <v>76250</v>
      </c>
      <c r="AQ65" t="e">
        <v>#N/A</v>
      </c>
      <c r="AR65" t="e">
        <v>#N/A</v>
      </c>
      <c r="AS65" t="e">
        <v>#N/A</v>
      </c>
      <c r="AT65" t="e">
        <v>#N/A</v>
      </c>
      <c r="AY65" s="9" t="s">
        <v>76</v>
      </c>
      <c r="AZ65" s="23" t="s">
        <v>77</v>
      </c>
    </row>
    <row r="66" spans="2:52">
      <c r="B66" t="s">
        <v>7</v>
      </c>
      <c r="C66" t="s">
        <v>49</v>
      </c>
      <c r="D66" t="s">
        <v>29</v>
      </c>
      <c r="E66" t="s">
        <v>9</v>
      </c>
      <c r="F66">
        <v>115466</v>
      </c>
      <c r="AE66" t="str">
        <v>Online</v>
      </c>
      <c r="AF66" t="str">
        <v>Secadoras</v>
      </c>
      <c r="AG66">
        <v>96508</v>
      </c>
      <c r="AP66">
        <v>76300</v>
      </c>
      <c r="AQ66" t="e">
        <v>#N/A</v>
      </c>
      <c r="AR66" t="e">
        <v>#N/A</v>
      </c>
      <c r="AS66" t="e">
        <v>#N/A</v>
      </c>
      <c r="AT66" t="e">
        <v>#N/A</v>
      </c>
    </row>
    <row r="67" spans="2:52">
      <c r="B67" t="s">
        <v>7</v>
      </c>
      <c r="C67" t="s">
        <v>49</v>
      </c>
      <c r="D67" t="s">
        <v>29</v>
      </c>
      <c r="E67" t="s">
        <v>10</v>
      </c>
      <c r="F67">
        <v>183575</v>
      </c>
      <c r="AE67" t="str">
        <v>Online</v>
      </c>
      <c r="AF67" t="str">
        <v>Tostadoras</v>
      </c>
      <c r="AG67">
        <v>96313</v>
      </c>
      <c r="AP67">
        <v>76350</v>
      </c>
      <c r="AQ67" t="e">
        <v>#N/A</v>
      </c>
      <c r="AR67" t="e">
        <v>#N/A</v>
      </c>
      <c r="AS67" t="e">
        <v>#N/A</v>
      </c>
      <c r="AT67" t="e">
        <v>#N/A</v>
      </c>
      <c r="AY67" s="9" t="s">
        <v>78</v>
      </c>
      <c r="AZ67" s="10" t="s">
        <v>79</v>
      </c>
    </row>
    <row r="68" spans="2:52">
      <c r="B68" t="s">
        <v>7</v>
      </c>
      <c r="C68" t="s">
        <v>49</v>
      </c>
      <c r="D68" t="s">
        <v>29</v>
      </c>
      <c r="E68" t="s">
        <v>11</v>
      </c>
      <c r="F68">
        <v>189183</v>
      </c>
      <c r="AE68" t="str">
        <v>Online</v>
      </c>
      <c r="AF68" t="str">
        <v>Estufas</v>
      </c>
      <c r="AG68">
        <v>98634</v>
      </c>
      <c r="AP68">
        <v>76400</v>
      </c>
      <c r="AQ68" t="e">
        <v>#N/A</v>
      </c>
      <c r="AR68" t="e">
        <v>#N/A</v>
      </c>
      <c r="AS68" t="e">
        <v>#N/A</v>
      </c>
      <c r="AT68" t="e">
        <v>#N/A</v>
      </c>
    </row>
    <row r="69" spans="2:52">
      <c r="B69" t="s">
        <v>7</v>
      </c>
      <c r="C69" t="s">
        <v>48</v>
      </c>
      <c r="D69" t="s">
        <v>30</v>
      </c>
      <c r="E69" t="s">
        <v>9</v>
      </c>
      <c r="F69">
        <v>117795</v>
      </c>
      <c r="AE69" t="str">
        <v>Online</v>
      </c>
      <c r="AF69" t="str">
        <v>Blu Rays</v>
      </c>
      <c r="AG69">
        <v>100590</v>
      </c>
      <c r="AP69">
        <v>76450</v>
      </c>
      <c r="AQ69" t="e">
        <v>#N/A</v>
      </c>
      <c r="AR69" t="e">
        <v>#N/A</v>
      </c>
      <c r="AS69" t="e">
        <v>#N/A</v>
      </c>
      <c r="AT69" t="e">
        <v>#N/A</v>
      </c>
    </row>
    <row r="70" spans="2:52">
      <c r="B70" t="s">
        <v>7</v>
      </c>
      <c r="C70" t="s">
        <v>48</v>
      </c>
      <c r="D70" t="s">
        <v>30</v>
      </c>
      <c r="E70" t="s">
        <v>10</v>
      </c>
      <c r="F70">
        <v>188932</v>
      </c>
      <c r="AE70" t="str">
        <v>Online</v>
      </c>
      <c r="AF70" t="str">
        <v>Fun Products</v>
      </c>
      <c r="AG70">
        <v>101605</v>
      </c>
      <c r="AP70">
        <v>76500</v>
      </c>
      <c r="AQ70" t="e">
        <v>#N/A</v>
      </c>
      <c r="AR70" t="e">
        <v>#N/A</v>
      </c>
      <c r="AS70" t="e">
        <v>#N/A</v>
      </c>
      <c r="AT70" t="e">
        <v>#N/A</v>
      </c>
    </row>
    <row r="71" spans="2:52">
      <c r="B71" t="s">
        <v>7</v>
      </c>
      <c r="C71" t="s">
        <v>48</v>
      </c>
      <c r="D71" t="s">
        <v>30</v>
      </c>
      <c r="E71" t="s">
        <v>11</v>
      </c>
      <c r="F71">
        <v>196077</v>
      </c>
      <c r="AE71" t="str">
        <v>Online</v>
      </c>
      <c r="AF71" t="str">
        <v>Combos</v>
      </c>
      <c r="AG71">
        <v>100526</v>
      </c>
      <c r="AP71">
        <v>76550</v>
      </c>
      <c r="AQ71" t="e">
        <v>#N/A</v>
      </c>
      <c r="AR71" t="e">
        <v>#N/A</v>
      </c>
      <c r="AS71" t="e">
        <v>#N/A</v>
      </c>
      <c r="AT71" t="e">
        <v>#N/A</v>
      </c>
    </row>
    <row r="72" spans="2:52">
      <c r="B72" t="s">
        <v>7</v>
      </c>
      <c r="C72" t="s">
        <v>49</v>
      </c>
      <c r="D72" t="s">
        <v>31</v>
      </c>
      <c r="E72" t="s">
        <v>9</v>
      </c>
      <c r="F72">
        <v>118129</v>
      </c>
      <c r="AE72" t="str">
        <v>Online</v>
      </c>
      <c r="AF72" t="str">
        <v>Freidoras</v>
      </c>
      <c r="AG72">
        <v>96079</v>
      </c>
      <c r="AP72">
        <v>76600</v>
      </c>
      <c r="AQ72" t="e">
        <v>#N/A</v>
      </c>
      <c r="AR72" t="e">
        <v>#N/A</v>
      </c>
      <c r="AS72" t="e">
        <v>#N/A</v>
      </c>
      <c r="AT72" t="e">
        <v>#N/A</v>
      </c>
    </row>
    <row r="73" spans="2:52">
      <c r="B73" t="s">
        <v>7</v>
      </c>
      <c r="C73" t="s">
        <v>49</v>
      </c>
      <c r="D73" t="s">
        <v>31</v>
      </c>
      <c r="E73" t="s">
        <v>10</v>
      </c>
      <c r="F73">
        <v>190810</v>
      </c>
      <c r="AE73" t="str">
        <v>Online</v>
      </c>
      <c r="AF73" t="str">
        <v>Aspiradoras</v>
      </c>
      <c r="AG73">
        <v>92491</v>
      </c>
      <c r="AP73">
        <v>76650</v>
      </c>
      <c r="AQ73" t="e">
        <v>#N/A</v>
      </c>
      <c r="AR73" t="e">
        <v>#N/A</v>
      </c>
      <c r="AS73" t="e">
        <v>#N/A</v>
      </c>
      <c r="AT73" t="e">
        <v>#N/A</v>
      </c>
    </row>
    <row r="74" spans="2:52">
      <c r="B74" t="s">
        <v>7</v>
      </c>
      <c r="C74" t="s">
        <v>49</v>
      </c>
      <c r="D74" t="s">
        <v>31</v>
      </c>
      <c r="E74" t="s">
        <v>11</v>
      </c>
      <c r="F74">
        <v>198810</v>
      </c>
      <c r="AE74" t="str">
        <v>Online</v>
      </c>
      <c r="AF74" t="str">
        <v>Cortadoras</v>
      </c>
      <c r="AG74">
        <v>88469</v>
      </c>
      <c r="AP74">
        <v>76700</v>
      </c>
      <c r="AQ74" t="e">
        <v>#N/A</v>
      </c>
      <c r="AR74" t="e">
        <v>#N/A</v>
      </c>
      <c r="AS74" t="e">
        <v>#N/A</v>
      </c>
      <c r="AT74" t="e">
        <v>#N/A</v>
      </c>
    </row>
    <row r="75" spans="2:52">
      <c r="B75" t="s">
        <v>7</v>
      </c>
      <c r="C75" t="s">
        <v>49</v>
      </c>
      <c r="D75" t="s">
        <v>32</v>
      </c>
      <c r="E75" t="s">
        <v>9</v>
      </c>
      <c r="F75">
        <v>120023</v>
      </c>
      <c r="AE75" t="str">
        <v>Online</v>
      </c>
      <c r="AF75" t="str">
        <v>Masajeadores</v>
      </c>
      <c r="AG75">
        <v>86905</v>
      </c>
      <c r="AP75">
        <v>76750</v>
      </c>
      <c r="AQ75" t="e">
        <v>#N/A</v>
      </c>
      <c r="AR75" t="e">
        <v>#N/A</v>
      </c>
      <c r="AS75" t="e">
        <v>#N/A</v>
      </c>
      <c r="AT75" t="e">
        <v>#N/A</v>
      </c>
    </row>
    <row r="76" spans="2:52">
      <c r="B76" t="s">
        <v>7</v>
      </c>
      <c r="C76" t="s">
        <v>49</v>
      </c>
      <c r="D76" t="s">
        <v>32</v>
      </c>
      <c r="E76" t="s">
        <v>10</v>
      </c>
      <c r="F76">
        <v>191745</v>
      </c>
      <c r="AP76">
        <v>76800</v>
      </c>
      <c r="AQ76" t="e">
        <v>#N/A</v>
      </c>
      <c r="AR76" t="e">
        <v>#N/A</v>
      </c>
      <c r="AS76" t="e">
        <v>#N/A</v>
      </c>
      <c r="AT76" t="e">
        <v>#N/A</v>
      </c>
    </row>
    <row r="77" spans="2:52">
      <c r="B77" t="s">
        <v>7</v>
      </c>
      <c r="C77" t="s">
        <v>49</v>
      </c>
      <c r="D77" t="s">
        <v>32</v>
      </c>
      <c r="E77" t="s">
        <v>11</v>
      </c>
      <c r="F77">
        <v>197200</v>
      </c>
      <c r="AP77">
        <v>76850</v>
      </c>
      <c r="AQ77" t="e">
        <v>#N/A</v>
      </c>
      <c r="AR77" t="e">
        <v>#N/A</v>
      </c>
      <c r="AS77" t="e">
        <v>#N/A</v>
      </c>
      <c r="AT77" t="e">
        <v>#N/A</v>
      </c>
    </row>
    <row r="78" spans="2:52">
      <c r="B78" t="s">
        <v>7</v>
      </c>
      <c r="C78" t="s">
        <v>48</v>
      </c>
      <c r="D78" t="s">
        <v>33</v>
      </c>
      <c r="E78" t="s">
        <v>9</v>
      </c>
      <c r="F78">
        <v>118865</v>
      </c>
      <c r="AP78">
        <v>76900</v>
      </c>
      <c r="AQ78" t="e">
        <v>#N/A</v>
      </c>
      <c r="AR78" t="e">
        <v>#N/A</v>
      </c>
      <c r="AS78" t="e">
        <v>#N/A</v>
      </c>
      <c r="AT78" t="e">
        <v>#N/A</v>
      </c>
    </row>
    <row r="79" spans="2:52">
      <c r="B79" t="s">
        <v>7</v>
      </c>
      <c r="C79" t="s">
        <v>48</v>
      </c>
      <c r="D79" t="s">
        <v>33</v>
      </c>
      <c r="E79" t="s">
        <v>10</v>
      </c>
      <c r="F79">
        <v>189909</v>
      </c>
      <c r="AP79">
        <v>76950</v>
      </c>
      <c r="AQ79" t="e">
        <v>#N/A</v>
      </c>
      <c r="AR79" t="e">
        <v>#N/A</v>
      </c>
      <c r="AS79" t="e">
        <v>#N/A</v>
      </c>
      <c r="AT79" t="e">
        <v>#N/A</v>
      </c>
    </row>
    <row r="80" spans="2:52">
      <c r="B80" t="s">
        <v>7</v>
      </c>
      <c r="C80" t="s">
        <v>48</v>
      </c>
      <c r="D80" t="s">
        <v>33</v>
      </c>
      <c r="E80" t="s">
        <v>11</v>
      </c>
      <c r="F80">
        <v>198676</v>
      </c>
      <c r="AP80">
        <v>77000</v>
      </c>
      <c r="AQ80" t="e">
        <v>#N/A</v>
      </c>
      <c r="AR80" t="e">
        <v>#N/A</v>
      </c>
      <c r="AS80" t="e">
        <v>#N/A</v>
      </c>
      <c r="AT80" t="e">
        <v>#N/A</v>
      </c>
    </row>
    <row r="81" spans="2:46">
      <c r="B81" t="s">
        <v>7</v>
      </c>
      <c r="C81" t="s">
        <v>49</v>
      </c>
      <c r="D81" t="s">
        <v>34</v>
      </c>
      <c r="E81" t="s">
        <v>9</v>
      </c>
      <c r="F81">
        <v>118640</v>
      </c>
      <c r="AP81">
        <v>77050</v>
      </c>
      <c r="AQ81" t="e">
        <v>#N/A</v>
      </c>
      <c r="AR81" t="e">
        <v>#N/A</v>
      </c>
      <c r="AS81" t="e">
        <v>#N/A</v>
      </c>
      <c r="AT81" t="e">
        <v>#N/A</v>
      </c>
    </row>
    <row r="82" spans="2:46">
      <c r="B82" t="s">
        <v>7</v>
      </c>
      <c r="C82" t="s">
        <v>49</v>
      </c>
      <c r="D82" t="s">
        <v>34</v>
      </c>
      <c r="E82" t="s">
        <v>10</v>
      </c>
      <c r="F82">
        <v>187875</v>
      </c>
      <c r="AP82">
        <v>77100</v>
      </c>
      <c r="AQ82" t="e">
        <v>#N/A</v>
      </c>
      <c r="AR82" t="e">
        <v>#N/A</v>
      </c>
      <c r="AS82" t="e">
        <v>#N/A</v>
      </c>
      <c r="AT82" t="e">
        <v>#N/A</v>
      </c>
    </row>
    <row r="83" spans="2:46">
      <c r="B83" t="s">
        <v>7</v>
      </c>
      <c r="C83" t="s">
        <v>49</v>
      </c>
      <c r="D83" t="s">
        <v>34</v>
      </c>
      <c r="E83" t="s">
        <v>11</v>
      </c>
      <c r="F83">
        <v>198300</v>
      </c>
      <c r="AP83">
        <v>77150</v>
      </c>
      <c r="AQ83" t="e">
        <v>#N/A</v>
      </c>
      <c r="AR83" t="e">
        <v>#N/A</v>
      </c>
      <c r="AS83" t="e">
        <v>#N/A</v>
      </c>
      <c r="AT83" t="e">
        <v>#N/A</v>
      </c>
    </row>
    <row r="84" spans="2:46">
      <c r="B84" t="s">
        <v>7</v>
      </c>
      <c r="C84" t="s">
        <v>48</v>
      </c>
      <c r="D84" t="s">
        <v>35</v>
      </c>
      <c r="E84" t="s">
        <v>9</v>
      </c>
      <c r="F84">
        <v>121873</v>
      </c>
      <c r="AP84">
        <v>77200</v>
      </c>
      <c r="AQ84" t="e">
        <v>#N/A</v>
      </c>
      <c r="AR84" t="e">
        <v>#N/A</v>
      </c>
      <c r="AS84" t="e">
        <v>#N/A</v>
      </c>
      <c r="AT84" t="e">
        <v>#N/A</v>
      </c>
    </row>
    <row r="85" spans="2:46">
      <c r="B85" t="s">
        <v>7</v>
      </c>
      <c r="C85" t="s">
        <v>48</v>
      </c>
      <c r="D85" t="s">
        <v>35</v>
      </c>
      <c r="E85" t="s">
        <v>10</v>
      </c>
      <c r="F85">
        <v>191618</v>
      </c>
      <c r="AP85">
        <v>77250</v>
      </c>
      <c r="AQ85" t="e">
        <v>#N/A</v>
      </c>
      <c r="AR85" t="e">
        <v>#N/A</v>
      </c>
      <c r="AS85" t="e">
        <v>#N/A</v>
      </c>
      <c r="AT85" t="e">
        <v>#N/A</v>
      </c>
    </row>
    <row r="86" spans="2:46">
      <c r="B86" t="s">
        <v>7</v>
      </c>
      <c r="C86" t="s">
        <v>48</v>
      </c>
      <c r="D86" t="s">
        <v>35</v>
      </c>
      <c r="E86" t="s">
        <v>11</v>
      </c>
      <c r="F86">
        <v>197025</v>
      </c>
      <c r="AP86">
        <v>77300</v>
      </c>
      <c r="AQ86" t="e">
        <v>#N/A</v>
      </c>
      <c r="AR86" t="e">
        <v>#N/A</v>
      </c>
      <c r="AS86" t="e">
        <v>#N/A</v>
      </c>
      <c r="AT86" t="e">
        <v>#N/A</v>
      </c>
    </row>
    <row r="87" spans="2:46">
      <c r="B87" t="s">
        <v>7</v>
      </c>
      <c r="C87" t="s">
        <v>48</v>
      </c>
      <c r="D87" t="s">
        <v>36</v>
      </c>
      <c r="E87" t="s">
        <v>9</v>
      </c>
      <c r="F87">
        <v>125728</v>
      </c>
      <c r="AP87">
        <v>77350</v>
      </c>
      <c r="AQ87" t="e">
        <v>#N/A</v>
      </c>
      <c r="AR87" t="e">
        <v>#N/A</v>
      </c>
      <c r="AS87" t="e">
        <v>#N/A</v>
      </c>
      <c r="AT87" t="e">
        <v>#N/A</v>
      </c>
    </row>
    <row r="88" spans="2:46">
      <c r="B88" t="s">
        <v>7</v>
      </c>
      <c r="C88" t="s">
        <v>48</v>
      </c>
      <c r="D88" t="s">
        <v>36</v>
      </c>
      <c r="E88" t="s">
        <v>10</v>
      </c>
      <c r="F88">
        <v>197132</v>
      </c>
      <c r="AP88">
        <v>77400</v>
      </c>
      <c r="AQ88" t="e">
        <v>#N/A</v>
      </c>
      <c r="AR88" t="e">
        <v>#N/A</v>
      </c>
      <c r="AS88" t="e">
        <v>#N/A</v>
      </c>
      <c r="AT88" t="e">
        <v>#N/A</v>
      </c>
    </row>
    <row r="89" spans="2:46">
      <c r="B89" t="s">
        <v>7</v>
      </c>
      <c r="C89" t="s">
        <v>48</v>
      </c>
      <c r="D89" t="s">
        <v>36</v>
      </c>
      <c r="E89" t="s">
        <v>11</v>
      </c>
      <c r="F89">
        <v>204016</v>
      </c>
      <c r="AP89">
        <v>77450</v>
      </c>
      <c r="AQ89" t="e">
        <v>#N/A</v>
      </c>
      <c r="AR89" t="e">
        <v>#N/A</v>
      </c>
      <c r="AS89" t="e">
        <v>#N/A</v>
      </c>
      <c r="AT89" t="e">
        <v>#N/A</v>
      </c>
    </row>
    <row r="90" spans="2:46">
      <c r="B90" t="s">
        <v>7</v>
      </c>
      <c r="C90" t="s">
        <v>49</v>
      </c>
      <c r="D90" t="s">
        <v>37</v>
      </c>
      <c r="E90" t="s">
        <v>9</v>
      </c>
      <c r="F90">
        <v>127437</v>
      </c>
      <c r="AP90">
        <v>77500</v>
      </c>
      <c r="AQ90" t="e">
        <v>#N/A</v>
      </c>
      <c r="AR90" t="e">
        <v>#N/A</v>
      </c>
      <c r="AS90" t="e">
        <v>#N/A</v>
      </c>
      <c r="AT90" t="e">
        <v>#N/A</v>
      </c>
    </row>
    <row r="91" spans="2:46">
      <c r="B91" t="s">
        <v>7</v>
      </c>
      <c r="C91" t="s">
        <v>49</v>
      </c>
      <c r="D91" t="s">
        <v>37</v>
      </c>
      <c r="E91" t="s">
        <v>10</v>
      </c>
      <c r="F91">
        <v>199177</v>
      </c>
      <c r="AP91">
        <v>77550</v>
      </c>
      <c r="AQ91" t="e">
        <v>#N/A</v>
      </c>
      <c r="AR91" t="e">
        <v>#N/A</v>
      </c>
      <c r="AS91" t="e">
        <v>#N/A</v>
      </c>
      <c r="AT91" t="e">
        <v>#N/A</v>
      </c>
    </row>
    <row r="92" spans="2:46">
      <c r="B92" t="s">
        <v>7</v>
      </c>
      <c r="C92" t="s">
        <v>49</v>
      </c>
      <c r="D92" t="s">
        <v>37</v>
      </c>
      <c r="E92" t="s">
        <v>11</v>
      </c>
      <c r="F92">
        <v>205774</v>
      </c>
      <c r="AP92">
        <v>77600</v>
      </c>
      <c r="AQ92" t="e">
        <v>#N/A</v>
      </c>
      <c r="AR92" t="e">
        <v>#N/A</v>
      </c>
      <c r="AS92" t="e">
        <v>#N/A</v>
      </c>
      <c r="AT92" t="e">
        <v>#N/A</v>
      </c>
    </row>
    <row r="93" spans="2:46">
      <c r="B93" t="s">
        <v>7</v>
      </c>
      <c r="C93" t="s">
        <v>49</v>
      </c>
      <c r="D93" t="s">
        <v>38</v>
      </c>
      <c r="E93" t="s">
        <v>9</v>
      </c>
      <c r="F93">
        <v>126160</v>
      </c>
      <c r="AP93">
        <v>77650</v>
      </c>
      <c r="AQ93" t="e">
        <v>#N/A</v>
      </c>
      <c r="AR93" t="e">
        <v>#N/A</v>
      </c>
      <c r="AS93" t="e">
        <v>#N/A</v>
      </c>
      <c r="AT93" t="e">
        <v>#N/A</v>
      </c>
    </row>
    <row r="94" spans="2:46">
      <c r="B94" t="s">
        <v>7</v>
      </c>
      <c r="C94" t="s">
        <v>49</v>
      </c>
      <c r="D94" t="s">
        <v>38</v>
      </c>
      <c r="E94" t="s">
        <v>10</v>
      </c>
      <c r="F94">
        <v>197488</v>
      </c>
      <c r="AP94">
        <v>77700</v>
      </c>
      <c r="AQ94" t="e">
        <v>#N/A</v>
      </c>
      <c r="AR94" t="e">
        <v>#N/A</v>
      </c>
      <c r="AS94" t="e">
        <v>#N/A</v>
      </c>
      <c r="AT94" t="e">
        <v>#N/A</v>
      </c>
    </row>
    <row r="95" spans="2:46">
      <c r="B95" t="s">
        <v>7</v>
      </c>
      <c r="C95" t="s">
        <v>49</v>
      </c>
      <c r="D95" t="s">
        <v>38</v>
      </c>
      <c r="E95" t="s">
        <v>11</v>
      </c>
      <c r="F95">
        <v>204363</v>
      </c>
      <c r="AP95">
        <v>77750</v>
      </c>
      <c r="AQ95" t="e">
        <v>#N/A</v>
      </c>
      <c r="AR95" t="e">
        <v>#N/A</v>
      </c>
      <c r="AS95" t="e">
        <v>#N/A</v>
      </c>
      <c r="AT95" t="e">
        <v>#N/A</v>
      </c>
    </row>
    <row r="96" spans="2:46">
      <c r="B96" t="s">
        <v>7</v>
      </c>
      <c r="C96" t="s">
        <v>49</v>
      </c>
      <c r="D96" t="s">
        <v>39</v>
      </c>
      <c r="E96" t="s">
        <v>9</v>
      </c>
      <c r="F96">
        <v>121719</v>
      </c>
      <c r="AP96">
        <v>77800</v>
      </c>
      <c r="AQ96" t="e">
        <v>#N/A</v>
      </c>
      <c r="AR96" t="e">
        <v>#N/A</v>
      </c>
      <c r="AS96" t="e">
        <v>#N/A</v>
      </c>
      <c r="AT96" t="e">
        <v>#N/A</v>
      </c>
    </row>
    <row r="97" spans="2:46">
      <c r="B97" t="s">
        <v>7</v>
      </c>
      <c r="C97" t="s">
        <v>49</v>
      </c>
      <c r="D97" t="s">
        <v>39</v>
      </c>
      <c r="E97" t="s">
        <v>10</v>
      </c>
      <c r="F97">
        <v>190719</v>
      </c>
      <c r="AP97">
        <v>77850</v>
      </c>
      <c r="AQ97" t="e">
        <v>#N/A</v>
      </c>
      <c r="AR97" t="e">
        <v>#N/A</v>
      </c>
      <c r="AS97" t="e">
        <v>#N/A</v>
      </c>
      <c r="AT97" t="e">
        <v>#N/A</v>
      </c>
    </row>
    <row r="98" spans="2:46">
      <c r="B98" t="s">
        <v>7</v>
      </c>
      <c r="C98" t="s">
        <v>49</v>
      </c>
      <c r="D98" t="s">
        <v>39</v>
      </c>
      <c r="E98" t="s">
        <v>11</v>
      </c>
      <c r="F98">
        <v>198568</v>
      </c>
      <c r="AP98">
        <v>77900</v>
      </c>
      <c r="AQ98" t="e">
        <v>#N/A</v>
      </c>
      <c r="AR98" t="e">
        <v>#N/A</v>
      </c>
      <c r="AS98" t="e">
        <v>#N/A</v>
      </c>
      <c r="AT98" t="e">
        <v>#N/A</v>
      </c>
    </row>
    <row r="99" spans="2:46">
      <c r="B99" t="s">
        <v>7</v>
      </c>
      <c r="C99" t="s">
        <v>48</v>
      </c>
      <c r="D99" t="s">
        <v>40</v>
      </c>
      <c r="E99" t="s">
        <v>9</v>
      </c>
      <c r="F99">
        <v>119299</v>
      </c>
      <c r="AP99">
        <v>77950</v>
      </c>
      <c r="AQ99" t="e">
        <v>#N/A</v>
      </c>
      <c r="AR99" t="e">
        <v>#N/A</v>
      </c>
      <c r="AS99" t="e">
        <v>#N/A</v>
      </c>
      <c r="AT99" t="e">
        <v>#N/A</v>
      </c>
    </row>
    <row r="100" spans="2:46">
      <c r="B100" t="s">
        <v>7</v>
      </c>
      <c r="C100" t="s">
        <v>48</v>
      </c>
      <c r="D100" t="s">
        <v>40</v>
      </c>
      <c r="E100" t="s">
        <v>10</v>
      </c>
      <c r="F100">
        <v>183892</v>
      </c>
      <c r="AP100">
        <v>78000</v>
      </c>
      <c r="AQ100" t="e">
        <v>#N/A</v>
      </c>
      <c r="AR100" t="e">
        <v>#N/A</v>
      </c>
      <c r="AS100" t="e">
        <v>#N/A</v>
      </c>
      <c r="AT100" t="e">
        <v>#N/A</v>
      </c>
    </row>
    <row r="101" spans="2:46">
      <c r="B101" t="s">
        <v>7</v>
      </c>
      <c r="C101" t="s">
        <v>48</v>
      </c>
      <c r="D101" t="s">
        <v>40</v>
      </c>
      <c r="E101" t="s">
        <v>11</v>
      </c>
      <c r="F101">
        <v>191918</v>
      </c>
      <c r="AP101">
        <v>78050</v>
      </c>
      <c r="AQ101" t="e">
        <v>#N/A</v>
      </c>
      <c r="AR101" t="e">
        <v>#N/A</v>
      </c>
      <c r="AS101" t="e">
        <v>#N/A</v>
      </c>
      <c r="AT101" t="e">
        <v>#N/A</v>
      </c>
    </row>
    <row r="102" spans="2:46">
      <c r="B102" t="s">
        <v>7</v>
      </c>
      <c r="C102" t="s">
        <v>48</v>
      </c>
      <c r="D102" t="s">
        <v>41</v>
      </c>
      <c r="E102" t="s">
        <v>9</v>
      </c>
      <c r="F102">
        <v>115837</v>
      </c>
      <c r="AP102">
        <v>78100</v>
      </c>
      <c r="AQ102" t="e">
        <v>#N/A</v>
      </c>
      <c r="AR102" t="e">
        <v>#N/A</v>
      </c>
      <c r="AS102" t="e">
        <v>#N/A</v>
      </c>
      <c r="AT102" t="e">
        <v>#N/A</v>
      </c>
    </row>
    <row r="103" spans="2:46">
      <c r="B103" t="s">
        <v>7</v>
      </c>
      <c r="C103" t="s">
        <v>48</v>
      </c>
      <c r="D103" t="s">
        <v>41</v>
      </c>
      <c r="E103" t="s">
        <v>10</v>
      </c>
      <c r="F103">
        <v>178479</v>
      </c>
      <c r="AP103">
        <v>78150</v>
      </c>
      <c r="AQ103" t="e">
        <v>#N/A</v>
      </c>
      <c r="AR103" t="e">
        <v>#N/A</v>
      </c>
      <c r="AS103" t="e">
        <v>#N/A</v>
      </c>
      <c r="AT103" t="e">
        <v>#N/A</v>
      </c>
    </row>
    <row r="104" spans="2:46">
      <c r="B104" t="s">
        <v>7</v>
      </c>
      <c r="C104" t="s">
        <v>48</v>
      </c>
      <c r="D104" t="s">
        <v>41</v>
      </c>
      <c r="E104" t="s">
        <v>11</v>
      </c>
      <c r="F104">
        <v>185899</v>
      </c>
      <c r="AP104">
        <v>78200</v>
      </c>
      <c r="AQ104" t="e">
        <v>#N/A</v>
      </c>
      <c r="AR104" t="e">
        <v>#N/A</v>
      </c>
      <c r="AS104" t="e">
        <v>#N/A</v>
      </c>
      <c r="AT104" t="e">
        <v>#N/A</v>
      </c>
    </row>
    <row r="105" spans="2:46">
      <c r="B105" t="s">
        <v>7</v>
      </c>
      <c r="C105" t="s">
        <v>48</v>
      </c>
      <c r="D105" t="s">
        <v>42</v>
      </c>
      <c r="E105" t="s">
        <v>9</v>
      </c>
      <c r="F105">
        <v>115825</v>
      </c>
      <c r="AP105">
        <v>78250</v>
      </c>
      <c r="AQ105" t="e">
        <v>#N/A</v>
      </c>
      <c r="AR105" t="e">
        <v>#N/A</v>
      </c>
      <c r="AS105" t="e">
        <v>#N/A</v>
      </c>
      <c r="AT105" t="e">
        <v>#N/A</v>
      </c>
    </row>
    <row r="106" spans="2:46">
      <c r="B106" t="s">
        <v>7</v>
      </c>
      <c r="C106" t="s">
        <v>48</v>
      </c>
      <c r="D106" t="s">
        <v>42</v>
      </c>
      <c r="E106" t="s">
        <v>10</v>
      </c>
      <c r="F106">
        <v>177563</v>
      </c>
      <c r="AP106">
        <v>78300</v>
      </c>
      <c r="AQ106" t="e">
        <v>#N/A</v>
      </c>
      <c r="AR106" t="e">
        <v>#N/A</v>
      </c>
      <c r="AS106" t="e">
        <v>#N/A</v>
      </c>
      <c r="AT106" t="e">
        <v>#N/A</v>
      </c>
    </row>
    <row r="107" spans="2:46">
      <c r="B107" t="s">
        <v>7</v>
      </c>
      <c r="C107" t="s">
        <v>48</v>
      </c>
      <c r="D107" t="s">
        <v>42</v>
      </c>
      <c r="E107" t="s">
        <v>11</v>
      </c>
      <c r="F107">
        <v>184587</v>
      </c>
      <c r="AP107">
        <v>78350</v>
      </c>
      <c r="AQ107" t="e">
        <v>#N/A</v>
      </c>
      <c r="AR107" t="e">
        <v>#N/A</v>
      </c>
      <c r="AS107" t="e">
        <v>#N/A</v>
      </c>
      <c r="AT107" t="e">
        <v>#N/A</v>
      </c>
    </row>
    <row r="108" spans="2:46">
      <c r="B108" t="s">
        <v>43</v>
      </c>
      <c r="C108" t="s">
        <v>48</v>
      </c>
      <c r="D108" t="s">
        <v>8</v>
      </c>
      <c r="E108" t="s">
        <v>9</v>
      </c>
      <c r="F108">
        <v>84492</v>
      </c>
      <c r="AP108">
        <v>78400</v>
      </c>
      <c r="AQ108" t="e">
        <v>#N/A</v>
      </c>
      <c r="AR108" t="e">
        <v>#N/A</v>
      </c>
      <c r="AS108" t="e">
        <v>#N/A</v>
      </c>
      <c r="AT108" t="e">
        <v>#N/A</v>
      </c>
    </row>
    <row r="109" spans="2:46">
      <c r="B109" t="s">
        <v>43</v>
      </c>
      <c r="C109" t="s">
        <v>48</v>
      </c>
      <c r="D109" t="s">
        <v>8</v>
      </c>
      <c r="E109" t="s">
        <v>10</v>
      </c>
      <c r="F109">
        <v>105813</v>
      </c>
      <c r="AP109">
        <v>78450</v>
      </c>
      <c r="AQ109" t="e">
        <v>#N/A</v>
      </c>
      <c r="AR109" t="e">
        <v>#N/A</v>
      </c>
      <c r="AS109" t="e">
        <v>#N/A</v>
      </c>
      <c r="AT109" t="e">
        <v>#N/A</v>
      </c>
    </row>
    <row r="110" spans="2:46">
      <c r="B110" t="s">
        <v>43</v>
      </c>
      <c r="C110" t="s">
        <v>48</v>
      </c>
      <c r="D110" t="s">
        <v>8</v>
      </c>
      <c r="E110" t="s">
        <v>11</v>
      </c>
      <c r="F110">
        <v>121851</v>
      </c>
      <c r="AP110">
        <v>78500</v>
      </c>
      <c r="AQ110" t="e">
        <v>#N/A</v>
      </c>
      <c r="AR110" t="e">
        <v>#N/A</v>
      </c>
      <c r="AS110" t="e">
        <v>#N/A</v>
      </c>
      <c r="AT110" t="e">
        <v>#N/A</v>
      </c>
    </row>
    <row r="111" spans="2:46">
      <c r="B111" t="s">
        <v>43</v>
      </c>
      <c r="C111" t="s">
        <v>49</v>
      </c>
      <c r="D111" t="s">
        <v>12</v>
      </c>
      <c r="E111" t="s">
        <v>9</v>
      </c>
      <c r="F111">
        <v>81818</v>
      </c>
      <c r="AP111">
        <v>78550</v>
      </c>
      <c r="AQ111" t="e">
        <v>#N/A</v>
      </c>
      <c r="AR111" t="e">
        <v>#N/A</v>
      </c>
      <c r="AS111" t="e">
        <v>#N/A</v>
      </c>
      <c r="AT111" t="e">
        <v>#N/A</v>
      </c>
    </row>
    <row r="112" spans="2:46">
      <c r="B112" t="s">
        <v>43</v>
      </c>
      <c r="C112" t="s">
        <v>49</v>
      </c>
      <c r="D112" t="s">
        <v>12</v>
      </c>
      <c r="E112" t="s">
        <v>10</v>
      </c>
      <c r="F112">
        <v>109171</v>
      </c>
      <c r="AP112">
        <v>78600</v>
      </c>
      <c r="AQ112" t="e">
        <v>#N/A</v>
      </c>
      <c r="AR112" t="e">
        <v>#N/A</v>
      </c>
      <c r="AS112" t="e">
        <v>#N/A</v>
      </c>
      <c r="AT112" t="e">
        <v>#N/A</v>
      </c>
    </row>
    <row r="113" spans="2:46">
      <c r="B113" t="s">
        <v>43</v>
      </c>
      <c r="C113" t="s">
        <v>49</v>
      </c>
      <c r="D113" t="s">
        <v>12</v>
      </c>
      <c r="E113" t="s">
        <v>11</v>
      </c>
      <c r="F113">
        <v>124236</v>
      </c>
      <c r="AP113">
        <v>78650</v>
      </c>
      <c r="AQ113" t="e">
        <v>#N/A</v>
      </c>
      <c r="AR113" t="e">
        <v>#N/A</v>
      </c>
      <c r="AS113" t="e">
        <v>#N/A</v>
      </c>
      <c r="AT113" t="e">
        <v>#N/A</v>
      </c>
    </row>
    <row r="114" spans="2:46">
      <c r="B114" t="s">
        <v>43</v>
      </c>
      <c r="C114" t="s">
        <v>48</v>
      </c>
      <c r="D114" t="s">
        <v>13</v>
      </c>
      <c r="E114" t="s">
        <v>9</v>
      </c>
      <c r="F114">
        <v>78874</v>
      </c>
      <c r="AP114">
        <v>78700</v>
      </c>
      <c r="AQ114" t="e">
        <v>#N/A</v>
      </c>
      <c r="AR114" t="e">
        <v>#N/A</v>
      </c>
      <c r="AS114" t="e">
        <v>#N/A</v>
      </c>
      <c r="AT114" t="e">
        <v>#N/A</v>
      </c>
    </row>
    <row r="115" spans="2:46">
      <c r="B115" t="s">
        <v>43</v>
      </c>
      <c r="C115" t="s">
        <v>48</v>
      </c>
      <c r="D115" t="s">
        <v>13</v>
      </c>
      <c r="E115" t="s">
        <v>10</v>
      </c>
      <c r="F115">
        <v>103765</v>
      </c>
      <c r="AP115">
        <v>78750</v>
      </c>
      <c r="AQ115" t="e">
        <v>#N/A</v>
      </c>
      <c r="AR115" t="e">
        <v>#N/A</v>
      </c>
      <c r="AS115" t="e">
        <v>#N/A</v>
      </c>
      <c r="AT115" t="e">
        <v>#N/A</v>
      </c>
    </row>
    <row r="116" spans="2:46">
      <c r="B116" t="s">
        <v>43</v>
      </c>
      <c r="C116" t="s">
        <v>48</v>
      </c>
      <c r="D116" t="s">
        <v>13</v>
      </c>
      <c r="E116" t="s">
        <v>11</v>
      </c>
      <c r="F116">
        <v>117562</v>
      </c>
      <c r="AP116">
        <v>78800</v>
      </c>
      <c r="AQ116" t="e">
        <v>#N/A</v>
      </c>
      <c r="AR116" t="e">
        <v>#N/A</v>
      </c>
      <c r="AS116" t="e">
        <v>#N/A</v>
      </c>
      <c r="AT116" t="e">
        <v>#N/A</v>
      </c>
    </row>
    <row r="117" spans="2:46">
      <c r="B117" t="s">
        <v>43</v>
      </c>
      <c r="C117" t="s">
        <v>48</v>
      </c>
      <c r="D117" t="s">
        <v>14</v>
      </c>
      <c r="E117" t="s">
        <v>9</v>
      </c>
      <c r="F117">
        <v>76819</v>
      </c>
      <c r="AP117">
        <v>78850</v>
      </c>
      <c r="AQ117" t="e">
        <v>#N/A</v>
      </c>
      <c r="AR117" t="e">
        <v>#N/A</v>
      </c>
      <c r="AS117" t="e">
        <v>#N/A</v>
      </c>
      <c r="AT117" t="e">
        <v>#N/A</v>
      </c>
    </row>
    <row r="118" spans="2:46">
      <c r="B118" t="s">
        <v>43</v>
      </c>
      <c r="C118" t="s">
        <v>48</v>
      </c>
      <c r="D118" t="s">
        <v>14</v>
      </c>
      <c r="E118" t="s">
        <v>10</v>
      </c>
      <c r="F118">
        <v>103984</v>
      </c>
      <c r="AP118">
        <v>78900</v>
      </c>
      <c r="AQ118" t="e">
        <v>#N/A</v>
      </c>
      <c r="AR118" t="e">
        <v>#N/A</v>
      </c>
      <c r="AS118" t="e">
        <v>#N/A</v>
      </c>
      <c r="AT118" t="e">
        <v>#N/A</v>
      </c>
    </row>
    <row r="119" spans="2:46">
      <c r="B119" t="s">
        <v>43</v>
      </c>
      <c r="C119" t="s">
        <v>48</v>
      </c>
      <c r="D119" t="s">
        <v>14</v>
      </c>
      <c r="E119" t="s">
        <v>11</v>
      </c>
      <c r="F119">
        <v>116845</v>
      </c>
      <c r="AP119">
        <v>78950</v>
      </c>
      <c r="AQ119" t="e">
        <v>#N/A</v>
      </c>
      <c r="AR119" t="e">
        <v>#N/A</v>
      </c>
      <c r="AS119" t="e">
        <v>#N/A</v>
      </c>
      <c r="AT119" t="e">
        <v>#N/A</v>
      </c>
    </row>
    <row r="120" spans="2:46">
      <c r="B120" t="s">
        <v>43</v>
      </c>
      <c r="C120" t="s">
        <v>49</v>
      </c>
      <c r="D120" t="s">
        <v>15</v>
      </c>
      <c r="E120" t="s">
        <v>9</v>
      </c>
      <c r="F120">
        <v>74276</v>
      </c>
      <c r="AP120">
        <v>79000</v>
      </c>
      <c r="AQ120" t="e">
        <v>#N/A</v>
      </c>
      <c r="AR120" t="e">
        <v>#N/A</v>
      </c>
      <c r="AS120" t="e">
        <v>#N/A</v>
      </c>
      <c r="AT120" t="e">
        <v>#N/A</v>
      </c>
    </row>
    <row r="121" spans="2:46">
      <c r="B121" t="s">
        <v>43</v>
      </c>
      <c r="C121" t="s">
        <v>49</v>
      </c>
      <c r="D121" t="s">
        <v>15</v>
      </c>
      <c r="E121" t="s">
        <v>10</v>
      </c>
      <c r="F121">
        <v>104352</v>
      </c>
      <c r="AP121">
        <v>79050</v>
      </c>
      <c r="AQ121" t="e">
        <v>#N/A</v>
      </c>
      <c r="AR121" t="e">
        <v>#N/A</v>
      </c>
      <c r="AS121" t="e">
        <v>#N/A</v>
      </c>
      <c r="AT121" t="e">
        <v>#N/A</v>
      </c>
    </row>
    <row r="122" spans="2:46">
      <c r="B122" t="s">
        <v>43</v>
      </c>
      <c r="C122" t="s">
        <v>49</v>
      </c>
      <c r="D122" t="s">
        <v>15</v>
      </c>
      <c r="E122" t="s">
        <v>11</v>
      </c>
      <c r="F122">
        <v>114502</v>
      </c>
      <c r="AP122">
        <v>79100</v>
      </c>
      <c r="AQ122" t="e">
        <v>#N/A</v>
      </c>
      <c r="AR122" t="e">
        <v>#N/A</v>
      </c>
      <c r="AS122" t="e">
        <v>#N/A</v>
      </c>
      <c r="AT122" t="e">
        <v>#N/A</v>
      </c>
    </row>
    <row r="123" spans="2:46">
      <c r="B123" t="s">
        <v>43</v>
      </c>
      <c r="C123" t="s">
        <v>49</v>
      </c>
      <c r="D123" t="s">
        <v>16</v>
      </c>
      <c r="E123" t="s">
        <v>9</v>
      </c>
      <c r="F123">
        <v>78268</v>
      </c>
      <c r="AP123">
        <v>79150</v>
      </c>
      <c r="AQ123" t="e">
        <v>#N/A</v>
      </c>
      <c r="AR123" t="e">
        <v>#N/A</v>
      </c>
      <c r="AS123" t="e">
        <v>#N/A</v>
      </c>
      <c r="AT123" t="e">
        <v>#N/A</v>
      </c>
    </row>
    <row r="124" spans="2:46">
      <c r="B124" t="s">
        <v>43</v>
      </c>
      <c r="C124" t="s">
        <v>49</v>
      </c>
      <c r="D124" t="s">
        <v>16</v>
      </c>
      <c r="E124" t="s">
        <v>10</v>
      </c>
      <c r="F124">
        <v>115883</v>
      </c>
      <c r="AP124">
        <v>79200</v>
      </c>
      <c r="AQ124" t="e">
        <v>#N/A</v>
      </c>
      <c r="AR124" t="e">
        <v>#N/A</v>
      </c>
      <c r="AS124" t="e">
        <v>#N/A</v>
      </c>
      <c r="AT124" t="e">
        <v>#N/A</v>
      </c>
    </row>
    <row r="125" spans="2:46">
      <c r="B125" t="s">
        <v>43</v>
      </c>
      <c r="C125" t="s">
        <v>49</v>
      </c>
      <c r="D125" t="s">
        <v>16</v>
      </c>
      <c r="E125" t="s">
        <v>11</v>
      </c>
      <c r="F125">
        <v>124438</v>
      </c>
      <c r="AP125">
        <v>79250</v>
      </c>
      <c r="AQ125" t="e">
        <v>#N/A</v>
      </c>
      <c r="AR125" t="e">
        <v>#N/A</v>
      </c>
      <c r="AS125" t="e">
        <v>#N/A</v>
      </c>
      <c r="AT125" t="e">
        <v>#N/A</v>
      </c>
    </row>
    <row r="126" spans="2:46">
      <c r="B126" t="s">
        <v>43</v>
      </c>
      <c r="C126" t="s">
        <v>49</v>
      </c>
      <c r="D126" t="s">
        <v>17</v>
      </c>
      <c r="E126" t="s">
        <v>9</v>
      </c>
      <c r="F126">
        <v>82897</v>
      </c>
      <c r="AP126">
        <v>79300</v>
      </c>
      <c r="AQ126" t="e">
        <v>#N/A</v>
      </c>
      <c r="AR126" t="e">
        <v>#N/A</v>
      </c>
      <c r="AS126" t="e">
        <v>#N/A</v>
      </c>
      <c r="AT126" t="e">
        <v>#N/A</v>
      </c>
    </row>
    <row r="127" spans="2:46">
      <c r="B127" t="s">
        <v>43</v>
      </c>
      <c r="C127" t="s">
        <v>49</v>
      </c>
      <c r="D127" t="s">
        <v>17</v>
      </c>
      <c r="E127" t="s">
        <v>10</v>
      </c>
      <c r="F127">
        <v>125785</v>
      </c>
      <c r="AP127">
        <v>79350</v>
      </c>
      <c r="AQ127" t="e">
        <v>#N/A</v>
      </c>
      <c r="AR127" t="e">
        <v>#N/A</v>
      </c>
      <c r="AS127" t="e">
        <v>#N/A</v>
      </c>
      <c r="AT127" t="e">
        <v>#N/A</v>
      </c>
    </row>
    <row r="128" spans="2:46">
      <c r="B128" t="s">
        <v>43</v>
      </c>
      <c r="C128" t="s">
        <v>49</v>
      </c>
      <c r="D128" t="s">
        <v>17</v>
      </c>
      <c r="E128" t="s">
        <v>11</v>
      </c>
      <c r="F128">
        <v>134924</v>
      </c>
      <c r="AP128">
        <v>79400</v>
      </c>
      <c r="AQ128" t="e">
        <v>#N/A</v>
      </c>
      <c r="AR128" t="e">
        <v>#N/A</v>
      </c>
      <c r="AS128" t="e">
        <v>#N/A</v>
      </c>
      <c r="AT128" t="e">
        <v>#N/A</v>
      </c>
    </row>
    <row r="129" spans="2:46">
      <c r="B129" t="s">
        <v>43</v>
      </c>
      <c r="C129" t="s">
        <v>48</v>
      </c>
      <c r="D129" t="s">
        <v>18</v>
      </c>
      <c r="E129" t="s">
        <v>9</v>
      </c>
      <c r="F129">
        <v>87380</v>
      </c>
      <c r="AP129">
        <v>79450</v>
      </c>
      <c r="AQ129" t="e">
        <v>#N/A</v>
      </c>
      <c r="AR129" t="e">
        <v>#N/A</v>
      </c>
      <c r="AS129" t="e">
        <v>#N/A</v>
      </c>
      <c r="AT129" t="e">
        <v>#N/A</v>
      </c>
    </row>
    <row r="130" spans="2:46">
      <c r="B130" t="s">
        <v>43</v>
      </c>
      <c r="C130" t="s">
        <v>48</v>
      </c>
      <c r="D130" t="s">
        <v>18</v>
      </c>
      <c r="E130" t="s">
        <v>10</v>
      </c>
      <c r="F130">
        <v>130986</v>
      </c>
      <c r="AP130">
        <v>79500</v>
      </c>
      <c r="AQ130" t="e">
        <v>#N/A</v>
      </c>
      <c r="AR130" t="e">
        <v>#N/A</v>
      </c>
      <c r="AS130" t="e">
        <v>#N/A</v>
      </c>
      <c r="AT130" t="e">
        <v>#N/A</v>
      </c>
    </row>
    <row r="131" spans="2:46">
      <c r="B131" t="s">
        <v>43</v>
      </c>
      <c r="C131" t="s">
        <v>48</v>
      </c>
      <c r="D131" t="s">
        <v>18</v>
      </c>
      <c r="E131" t="s">
        <v>11</v>
      </c>
      <c r="F131">
        <v>143411</v>
      </c>
      <c r="AP131">
        <v>79550</v>
      </c>
      <c r="AQ131" t="e">
        <v>#N/A</v>
      </c>
      <c r="AR131" t="e">
        <v>#N/A</v>
      </c>
      <c r="AS131" t="e">
        <v>#N/A</v>
      </c>
      <c r="AT131" t="e">
        <v>#N/A</v>
      </c>
    </row>
    <row r="132" spans="2:46">
      <c r="B132" t="s">
        <v>43</v>
      </c>
      <c r="C132" t="s">
        <v>49</v>
      </c>
      <c r="D132" t="s">
        <v>19</v>
      </c>
      <c r="E132" t="s">
        <v>9</v>
      </c>
      <c r="F132">
        <v>91949</v>
      </c>
      <c r="AP132">
        <v>79600</v>
      </c>
      <c r="AQ132" t="e">
        <v>#N/A</v>
      </c>
      <c r="AR132" t="e">
        <v>#N/A</v>
      </c>
      <c r="AS132" t="e">
        <v>#N/A</v>
      </c>
      <c r="AT132" t="e">
        <v>#N/A</v>
      </c>
    </row>
    <row r="133" spans="2:46">
      <c r="B133" t="s">
        <v>43</v>
      </c>
      <c r="C133" t="s">
        <v>49</v>
      </c>
      <c r="D133" t="s">
        <v>19</v>
      </c>
      <c r="E133" t="s">
        <v>10</v>
      </c>
      <c r="F133">
        <v>137014</v>
      </c>
      <c r="AP133">
        <v>79650</v>
      </c>
      <c r="AQ133" t="e">
        <v>#N/A</v>
      </c>
      <c r="AR133" t="e">
        <v>#N/A</v>
      </c>
      <c r="AS133" t="e">
        <v>#N/A</v>
      </c>
      <c r="AT133" t="e">
        <v>#N/A</v>
      </c>
    </row>
    <row r="134" spans="2:46">
      <c r="B134" t="s">
        <v>43</v>
      </c>
      <c r="C134" t="s">
        <v>49</v>
      </c>
      <c r="D134" t="s">
        <v>19</v>
      </c>
      <c r="E134" t="s">
        <v>11</v>
      </c>
      <c r="F134">
        <v>149754</v>
      </c>
      <c r="AP134">
        <v>79700</v>
      </c>
      <c r="AQ134" t="e">
        <v>#N/A</v>
      </c>
      <c r="AR134" t="e">
        <v>#N/A</v>
      </c>
      <c r="AS134" t="e">
        <v>#N/A</v>
      </c>
      <c r="AT134" t="e">
        <v>#N/A</v>
      </c>
    </row>
    <row r="135" spans="2:46">
      <c r="B135" t="s">
        <v>43</v>
      </c>
      <c r="C135" t="s">
        <v>48</v>
      </c>
      <c r="D135" t="s">
        <v>20</v>
      </c>
      <c r="E135" t="s">
        <v>9</v>
      </c>
      <c r="F135">
        <v>93110</v>
      </c>
      <c r="AP135">
        <v>79750</v>
      </c>
      <c r="AQ135" t="e">
        <v>#N/A</v>
      </c>
      <c r="AR135" t="e">
        <v>#N/A</v>
      </c>
      <c r="AS135" t="e">
        <v>#N/A</v>
      </c>
      <c r="AT135" t="e">
        <v>#N/A</v>
      </c>
    </row>
    <row r="136" spans="2:46">
      <c r="B136" t="s">
        <v>43</v>
      </c>
      <c r="C136" t="s">
        <v>48</v>
      </c>
      <c r="D136" t="s">
        <v>20</v>
      </c>
      <c r="E136" t="s">
        <v>10</v>
      </c>
      <c r="F136">
        <v>138088</v>
      </c>
      <c r="AP136">
        <v>79800</v>
      </c>
      <c r="AQ136" t="e">
        <v>#N/A</v>
      </c>
      <c r="AR136" t="e">
        <v>#N/A</v>
      </c>
      <c r="AS136" t="e">
        <v>#N/A</v>
      </c>
      <c r="AT136" t="e">
        <v>#N/A</v>
      </c>
    </row>
    <row r="137" spans="2:46">
      <c r="B137" t="s">
        <v>43</v>
      </c>
      <c r="C137" t="s">
        <v>48</v>
      </c>
      <c r="D137" t="s">
        <v>20</v>
      </c>
      <c r="E137" t="s">
        <v>11</v>
      </c>
      <c r="F137">
        <v>150867</v>
      </c>
      <c r="AP137">
        <v>79850</v>
      </c>
      <c r="AQ137" t="e">
        <v>#N/A</v>
      </c>
      <c r="AR137" t="e">
        <v>#N/A</v>
      </c>
      <c r="AS137" t="e">
        <v>#N/A</v>
      </c>
      <c r="AT137" t="e">
        <v>#N/A</v>
      </c>
    </row>
    <row r="138" spans="2:46">
      <c r="B138" t="s">
        <v>43</v>
      </c>
      <c r="C138" t="s">
        <v>49</v>
      </c>
      <c r="D138" t="s">
        <v>21</v>
      </c>
      <c r="E138" t="s">
        <v>9</v>
      </c>
      <c r="F138">
        <v>91908</v>
      </c>
      <c r="AP138">
        <v>79900</v>
      </c>
      <c r="AQ138" t="e">
        <v>#N/A</v>
      </c>
      <c r="AR138" t="e">
        <v>#N/A</v>
      </c>
      <c r="AS138" t="e">
        <v>#N/A</v>
      </c>
      <c r="AT138" t="e">
        <v>#N/A</v>
      </c>
    </row>
    <row r="139" spans="2:46">
      <c r="B139" t="s">
        <v>43</v>
      </c>
      <c r="C139" t="s">
        <v>49</v>
      </c>
      <c r="D139" t="s">
        <v>21</v>
      </c>
      <c r="E139" t="s">
        <v>10</v>
      </c>
      <c r="F139">
        <v>138254</v>
      </c>
      <c r="AP139">
        <v>79950</v>
      </c>
      <c r="AQ139" t="e">
        <v>#N/A</v>
      </c>
      <c r="AR139" t="e">
        <v>#N/A</v>
      </c>
      <c r="AS139" t="e">
        <v>#N/A</v>
      </c>
      <c r="AT139" t="e">
        <v>#N/A</v>
      </c>
    </row>
    <row r="140" spans="2:46">
      <c r="B140" t="s">
        <v>43</v>
      </c>
      <c r="C140" t="s">
        <v>49</v>
      </c>
      <c r="D140" t="s">
        <v>21</v>
      </c>
      <c r="E140" t="s">
        <v>11</v>
      </c>
      <c r="F140">
        <v>150682</v>
      </c>
      <c r="AP140">
        <v>80000</v>
      </c>
      <c r="AQ140" t="e">
        <v>#N/A</v>
      </c>
      <c r="AR140" t="e">
        <v>#N/A</v>
      </c>
      <c r="AS140" t="e">
        <v>#N/A</v>
      </c>
      <c r="AT140" t="e">
        <v>#N/A</v>
      </c>
    </row>
    <row r="141" spans="2:46">
      <c r="B141" t="s">
        <v>43</v>
      </c>
      <c r="C141" t="s">
        <v>49</v>
      </c>
      <c r="D141" t="s">
        <v>22</v>
      </c>
      <c r="E141" t="s">
        <v>9</v>
      </c>
      <c r="F141">
        <v>91132</v>
      </c>
      <c r="AP141">
        <v>80050</v>
      </c>
      <c r="AQ141" t="e">
        <v>#N/A</v>
      </c>
      <c r="AR141" t="e">
        <v>#N/A</v>
      </c>
      <c r="AS141" t="e">
        <v>#N/A</v>
      </c>
      <c r="AT141" t="e">
        <v>#N/A</v>
      </c>
    </row>
    <row r="142" spans="2:46">
      <c r="B142" t="s">
        <v>43</v>
      </c>
      <c r="C142" t="s">
        <v>49</v>
      </c>
      <c r="D142" t="s">
        <v>22</v>
      </c>
      <c r="E142" t="s">
        <v>10</v>
      </c>
      <c r="F142">
        <v>138286</v>
      </c>
      <c r="AP142">
        <v>80100</v>
      </c>
      <c r="AQ142" t="e">
        <v>#N/A</v>
      </c>
      <c r="AR142" t="e">
        <v>#N/A</v>
      </c>
      <c r="AS142" t="e">
        <v>#N/A</v>
      </c>
      <c r="AT142" t="e">
        <v>#N/A</v>
      </c>
    </row>
    <row r="143" spans="2:46">
      <c r="B143" t="s">
        <v>43</v>
      </c>
      <c r="C143" t="s">
        <v>49</v>
      </c>
      <c r="D143" t="s">
        <v>22</v>
      </c>
      <c r="E143" t="s">
        <v>11</v>
      </c>
      <c r="F143">
        <v>149661</v>
      </c>
      <c r="AP143">
        <v>80150</v>
      </c>
      <c r="AQ143" t="e">
        <v>#N/A</v>
      </c>
      <c r="AR143" t="e">
        <v>#N/A</v>
      </c>
      <c r="AS143" t="e">
        <v>#N/A</v>
      </c>
      <c r="AT143" t="e">
        <v>#N/A</v>
      </c>
    </row>
    <row r="144" spans="2:46">
      <c r="B144" t="s">
        <v>43</v>
      </c>
      <c r="C144" t="s">
        <v>49</v>
      </c>
      <c r="D144" t="s">
        <v>23</v>
      </c>
      <c r="E144" t="s">
        <v>9</v>
      </c>
      <c r="F144">
        <v>88306</v>
      </c>
      <c r="AP144">
        <v>80200</v>
      </c>
      <c r="AQ144" t="e">
        <v>#N/A</v>
      </c>
      <c r="AR144" t="e">
        <v>#N/A</v>
      </c>
      <c r="AS144" t="e">
        <v>#N/A</v>
      </c>
      <c r="AT144" t="e">
        <v>#N/A</v>
      </c>
    </row>
    <row r="145" spans="2:46">
      <c r="B145" t="s">
        <v>43</v>
      </c>
      <c r="C145" t="s">
        <v>49</v>
      </c>
      <c r="D145" t="s">
        <v>23</v>
      </c>
      <c r="E145" t="s">
        <v>10</v>
      </c>
      <c r="F145">
        <v>135895</v>
      </c>
      <c r="AP145">
        <v>80250</v>
      </c>
      <c r="AQ145" t="e">
        <v>#N/A</v>
      </c>
      <c r="AR145" t="e">
        <v>#N/A</v>
      </c>
      <c r="AS145" t="e">
        <v>#N/A</v>
      </c>
      <c r="AT145" t="e">
        <v>#N/A</v>
      </c>
    </row>
    <row r="146" spans="2:46">
      <c r="B146" t="s">
        <v>43</v>
      </c>
      <c r="C146" t="s">
        <v>49</v>
      </c>
      <c r="D146" t="s">
        <v>23</v>
      </c>
      <c r="E146" t="s">
        <v>11</v>
      </c>
      <c r="F146">
        <v>146753</v>
      </c>
      <c r="AP146">
        <v>80300</v>
      </c>
      <c r="AQ146" t="e">
        <v>#N/A</v>
      </c>
      <c r="AR146" t="e">
        <v>#N/A</v>
      </c>
      <c r="AS146" t="e">
        <v>#N/A</v>
      </c>
      <c r="AT146" t="e">
        <v>#N/A</v>
      </c>
    </row>
    <row r="147" spans="2:46">
      <c r="B147" t="s">
        <v>43</v>
      </c>
      <c r="C147" t="s">
        <v>48</v>
      </c>
      <c r="D147" t="s">
        <v>24</v>
      </c>
      <c r="E147" t="s">
        <v>9</v>
      </c>
      <c r="F147">
        <v>86641</v>
      </c>
      <c r="AP147">
        <v>80350</v>
      </c>
      <c r="AQ147" t="e">
        <v>#N/A</v>
      </c>
      <c r="AR147" t="e">
        <v>#N/A</v>
      </c>
      <c r="AS147" t="e">
        <v>#N/A</v>
      </c>
      <c r="AT147" t="e">
        <v>#N/A</v>
      </c>
    </row>
    <row r="148" spans="2:46">
      <c r="B148" t="s">
        <v>43</v>
      </c>
      <c r="C148" t="s">
        <v>48</v>
      </c>
      <c r="D148" t="s">
        <v>24</v>
      </c>
      <c r="E148" t="s">
        <v>10</v>
      </c>
      <c r="F148">
        <v>135690</v>
      </c>
      <c r="AP148">
        <v>80400</v>
      </c>
      <c r="AQ148" t="e">
        <v>#N/A</v>
      </c>
      <c r="AR148" t="e">
        <v>#N/A</v>
      </c>
      <c r="AS148" t="e">
        <v>#N/A</v>
      </c>
      <c r="AT148" t="e">
        <v>#N/A</v>
      </c>
    </row>
    <row r="149" spans="2:46">
      <c r="B149" t="s">
        <v>43</v>
      </c>
      <c r="C149" t="s">
        <v>48</v>
      </c>
      <c r="D149" t="s">
        <v>24</v>
      </c>
      <c r="E149" t="s">
        <v>11</v>
      </c>
      <c r="F149">
        <v>142326</v>
      </c>
      <c r="AP149">
        <v>80450</v>
      </c>
      <c r="AQ149" t="e">
        <v>#N/A</v>
      </c>
      <c r="AR149" t="e">
        <v>#N/A</v>
      </c>
      <c r="AS149" t="e">
        <v>#N/A</v>
      </c>
      <c r="AT149" t="e">
        <v>#N/A</v>
      </c>
    </row>
    <row r="150" spans="2:46">
      <c r="B150" t="s">
        <v>43</v>
      </c>
      <c r="C150" t="s">
        <v>49</v>
      </c>
      <c r="D150" t="s">
        <v>25</v>
      </c>
      <c r="E150" t="s">
        <v>9</v>
      </c>
      <c r="F150">
        <v>87163</v>
      </c>
      <c r="AP150">
        <v>80500</v>
      </c>
      <c r="AQ150" t="e">
        <v>#N/A</v>
      </c>
      <c r="AR150" t="e">
        <v>#N/A</v>
      </c>
      <c r="AS150" t="e">
        <v>#N/A</v>
      </c>
      <c r="AT150" t="e">
        <v>#N/A</v>
      </c>
    </row>
    <row r="151" spans="2:46">
      <c r="B151" t="s">
        <v>43</v>
      </c>
      <c r="C151" t="s">
        <v>49</v>
      </c>
      <c r="D151" t="s">
        <v>25</v>
      </c>
      <c r="E151" t="s">
        <v>10</v>
      </c>
      <c r="F151">
        <v>136582</v>
      </c>
      <c r="AP151">
        <v>80550</v>
      </c>
      <c r="AQ151" t="e">
        <v>#N/A</v>
      </c>
      <c r="AR151" t="e">
        <v>#N/A</v>
      </c>
      <c r="AS151" t="e">
        <v>#N/A</v>
      </c>
      <c r="AT151" t="e">
        <v>#N/A</v>
      </c>
    </row>
    <row r="152" spans="2:46">
      <c r="B152" t="s">
        <v>43</v>
      </c>
      <c r="C152" t="s">
        <v>49</v>
      </c>
      <c r="D152" t="s">
        <v>25</v>
      </c>
      <c r="E152" t="s">
        <v>11</v>
      </c>
      <c r="F152">
        <v>142985</v>
      </c>
      <c r="AP152">
        <v>80600</v>
      </c>
      <c r="AQ152" t="e">
        <v>#N/A</v>
      </c>
      <c r="AR152" t="e">
        <v>#N/A</v>
      </c>
      <c r="AS152" t="e">
        <v>#N/A</v>
      </c>
      <c r="AT152" t="e">
        <v>#N/A</v>
      </c>
    </row>
    <row r="153" spans="2:46">
      <c r="B153" t="s">
        <v>43</v>
      </c>
      <c r="C153" t="s">
        <v>48</v>
      </c>
      <c r="D153" t="s">
        <v>26</v>
      </c>
      <c r="E153" t="s">
        <v>9</v>
      </c>
      <c r="F153">
        <v>87987</v>
      </c>
      <c r="AP153">
        <v>80650</v>
      </c>
      <c r="AQ153" t="e">
        <v>#N/A</v>
      </c>
      <c r="AR153" t="e">
        <v>#N/A</v>
      </c>
      <c r="AS153" t="e">
        <v>#N/A</v>
      </c>
      <c r="AT153" t="e">
        <v>#N/A</v>
      </c>
    </row>
    <row r="154" spans="2:46">
      <c r="B154" t="s">
        <v>43</v>
      </c>
      <c r="C154" t="s">
        <v>48</v>
      </c>
      <c r="D154" t="s">
        <v>26</v>
      </c>
      <c r="E154" t="s">
        <v>10</v>
      </c>
      <c r="F154">
        <v>138605</v>
      </c>
      <c r="AP154">
        <v>80700</v>
      </c>
      <c r="AQ154" t="e">
        <v>#N/A</v>
      </c>
      <c r="AR154" t="e">
        <v>#N/A</v>
      </c>
      <c r="AS154" t="e">
        <v>#N/A</v>
      </c>
      <c r="AT154" t="e">
        <v>#N/A</v>
      </c>
    </row>
    <row r="155" spans="2:46">
      <c r="B155" t="s">
        <v>43</v>
      </c>
      <c r="C155" t="s">
        <v>48</v>
      </c>
      <c r="D155" t="s">
        <v>26</v>
      </c>
      <c r="E155" t="s">
        <v>11</v>
      </c>
      <c r="F155">
        <v>144166</v>
      </c>
      <c r="AP155">
        <v>80750</v>
      </c>
      <c r="AQ155" t="e">
        <v>#N/A</v>
      </c>
      <c r="AR155" t="e">
        <v>#N/A</v>
      </c>
      <c r="AS155" t="e">
        <v>#N/A</v>
      </c>
      <c r="AT155" t="e">
        <v>#N/A</v>
      </c>
    </row>
    <row r="156" spans="2:46">
      <c r="B156" t="s">
        <v>43</v>
      </c>
      <c r="C156" t="s">
        <v>49</v>
      </c>
      <c r="D156" t="s">
        <v>27</v>
      </c>
      <c r="E156" t="s">
        <v>9</v>
      </c>
      <c r="F156">
        <v>87319</v>
      </c>
      <c r="AP156">
        <v>80800</v>
      </c>
      <c r="AQ156" t="e">
        <v>#N/A</v>
      </c>
      <c r="AR156" t="e">
        <v>#N/A</v>
      </c>
      <c r="AS156" t="e">
        <v>#N/A</v>
      </c>
      <c r="AT156" t="e">
        <v>#N/A</v>
      </c>
    </row>
    <row r="157" spans="2:46">
      <c r="B157" t="s">
        <v>43</v>
      </c>
      <c r="C157" t="s">
        <v>49</v>
      </c>
      <c r="D157" t="s">
        <v>27</v>
      </c>
      <c r="E157" t="s">
        <v>10</v>
      </c>
      <c r="F157">
        <v>139920</v>
      </c>
      <c r="AP157">
        <v>80850</v>
      </c>
      <c r="AQ157" t="e">
        <v>#N/A</v>
      </c>
      <c r="AR157" t="e">
        <v>#N/A</v>
      </c>
      <c r="AS157" t="e">
        <v>#N/A</v>
      </c>
      <c r="AT157" t="e">
        <v>#N/A</v>
      </c>
    </row>
    <row r="158" spans="2:46">
      <c r="B158" t="s">
        <v>43</v>
      </c>
      <c r="C158" t="s">
        <v>49</v>
      </c>
      <c r="D158" t="s">
        <v>27</v>
      </c>
      <c r="E158" t="s">
        <v>11</v>
      </c>
      <c r="F158">
        <v>145277</v>
      </c>
      <c r="AP158">
        <v>80900</v>
      </c>
      <c r="AQ158" t="e">
        <v>#N/A</v>
      </c>
      <c r="AR158" t="e">
        <v>#N/A</v>
      </c>
      <c r="AS158" t="e">
        <v>#N/A</v>
      </c>
      <c r="AT158" t="e">
        <v>#N/A</v>
      </c>
    </row>
    <row r="159" spans="2:46">
      <c r="B159" t="s">
        <v>43</v>
      </c>
      <c r="C159" t="s">
        <v>48</v>
      </c>
      <c r="D159" t="s">
        <v>28</v>
      </c>
      <c r="E159" t="s">
        <v>9</v>
      </c>
      <c r="F159">
        <v>90718</v>
      </c>
      <c r="AP159">
        <v>80950</v>
      </c>
      <c r="AQ159" t="e">
        <v>#N/A</v>
      </c>
      <c r="AR159" t="e">
        <v>#N/A</v>
      </c>
      <c r="AS159" t="e">
        <v>#N/A</v>
      </c>
      <c r="AT159" t="e">
        <v>#N/A</v>
      </c>
    </row>
    <row r="160" spans="2:46">
      <c r="B160" t="s">
        <v>43</v>
      </c>
      <c r="C160" t="s">
        <v>48</v>
      </c>
      <c r="D160" t="s">
        <v>28</v>
      </c>
      <c r="E160" t="s">
        <v>10</v>
      </c>
      <c r="F160">
        <v>147920</v>
      </c>
      <c r="AP160">
        <v>81000</v>
      </c>
      <c r="AQ160" t="e">
        <v>#N/A</v>
      </c>
      <c r="AR160" t="e">
        <v>#N/A</v>
      </c>
      <c r="AS160" t="e">
        <v>#N/A</v>
      </c>
      <c r="AT160" t="e">
        <v>#N/A</v>
      </c>
    </row>
    <row r="161" spans="2:46">
      <c r="B161" t="s">
        <v>43</v>
      </c>
      <c r="C161" t="s">
        <v>48</v>
      </c>
      <c r="D161" t="s">
        <v>28</v>
      </c>
      <c r="E161" t="s">
        <v>11</v>
      </c>
      <c r="F161">
        <v>150831</v>
      </c>
      <c r="AP161">
        <v>81050</v>
      </c>
      <c r="AQ161" t="e">
        <v>#N/A</v>
      </c>
      <c r="AR161" t="e">
        <v>#N/A</v>
      </c>
      <c r="AS161" t="e">
        <v>#N/A</v>
      </c>
      <c r="AT161" t="e">
        <v>#N/A</v>
      </c>
    </row>
    <row r="162" spans="2:46">
      <c r="B162" t="s">
        <v>43</v>
      </c>
      <c r="C162" t="s">
        <v>49</v>
      </c>
      <c r="D162" t="s">
        <v>29</v>
      </c>
      <c r="E162" t="s">
        <v>9</v>
      </c>
      <c r="F162">
        <v>93538</v>
      </c>
      <c r="AP162">
        <v>81100</v>
      </c>
      <c r="AQ162" t="e">
        <v>#N/A</v>
      </c>
      <c r="AR162" t="e">
        <v>#N/A</v>
      </c>
      <c r="AS162" t="e">
        <v>#N/A</v>
      </c>
      <c r="AT162" t="e">
        <v>#N/A</v>
      </c>
    </row>
    <row r="163" spans="2:46">
      <c r="B163" t="s">
        <v>43</v>
      </c>
      <c r="C163" t="s">
        <v>49</v>
      </c>
      <c r="D163" t="s">
        <v>29</v>
      </c>
      <c r="E163" t="s">
        <v>10</v>
      </c>
      <c r="F163">
        <v>153754</v>
      </c>
      <c r="AP163">
        <v>81150</v>
      </c>
      <c r="AQ163" t="e">
        <v>#N/A</v>
      </c>
      <c r="AR163" t="e">
        <v>#N/A</v>
      </c>
      <c r="AS163" t="e">
        <v>#N/A</v>
      </c>
      <c r="AT163" t="e">
        <v>#N/A</v>
      </c>
    </row>
    <row r="164" spans="2:46">
      <c r="B164" t="s">
        <v>43</v>
      </c>
      <c r="C164" t="s">
        <v>49</v>
      </c>
      <c r="D164" t="s">
        <v>29</v>
      </c>
      <c r="E164" t="s">
        <v>11</v>
      </c>
      <c r="F164">
        <v>157507</v>
      </c>
      <c r="AP164">
        <v>81200</v>
      </c>
      <c r="AQ164" t="e">
        <v>#N/A</v>
      </c>
      <c r="AR164" t="e">
        <v>#N/A</v>
      </c>
      <c r="AS164" t="e">
        <v>#N/A</v>
      </c>
      <c r="AT164" t="e">
        <v>#N/A</v>
      </c>
    </row>
    <row r="165" spans="2:46">
      <c r="B165" t="s">
        <v>43</v>
      </c>
      <c r="C165" t="s">
        <v>48</v>
      </c>
      <c r="D165" t="s">
        <v>30</v>
      </c>
      <c r="E165" t="s">
        <v>9</v>
      </c>
      <c r="F165">
        <v>95703</v>
      </c>
      <c r="AP165">
        <v>81250</v>
      </c>
      <c r="AQ165" t="e">
        <v>#N/A</v>
      </c>
      <c r="AR165" t="e">
        <v>#N/A</v>
      </c>
      <c r="AS165" t="e">
        <v>#N/A</v>
      </c>
      <c r="AT165" t="e">
        <v>#N/A</v>
      </c>
    </row>
    <row r="166" spans="2:46">
      <c r="B166" t="s">
        <v>43</v>
      </c>
      <c r="C166" t="s">
        <v>48</v>
      </c>
      <c r="D166" t="s">
        <v>30</v>
      </c>
      <c r="E166" t="s">
        <v>10</v>
      </c>
      <c r="F166">
        <v>157554</v>
      </c>
      <c r="AP166">
        <v>81300</v>
      </c>
      <c r="AQ166" t="e">
        <v>#N/A</v>
      </c>
      <c r="AR166" t="e">
        <v>#N/A</v>
      </c>
      <c r="AS166" t="e">
        <v>#N/A</v>
      </c>
      <c r="AT166" t="e">
        <v>#N/A</v>
      </c>
    </row>
    <row r="167" spans="2:46">
      <c r="B167" t="s">
        <v>43</v>
      </c>
      <c r="C167" t="s">
        <v>48</v>
      </c>
      <c r="D167" t="s">
        <v>30</v>
      </c>
      <c r="E167" t="s">
        <v>11</v>
      </c>
      <c r="F167">
        <v>163977</v>
      </c>
      <c r="AP167">
        <v>81350</v>
      </c>
      <c r="AQ167" t="e">
        <v>#N/A</v>
      </c>
      <c r="AR167" t="e">
        <v>#N/A</v>
      </c>
      <c r="AS167" t="e">
        <v>#N/A</v>
      </c>
      <c r="AT167" t="e">
        <v>#N/A</v>
      </c>
    </row>
    <row r="168" spans="2:46">
      <c r="B168" t="s">
        <v>43</v>
      </c>
      <c r="C168" t="s">
        <v>49</v>
      </c>
      <c r="D168" t="s">
        <v>31</v>
      </c>
      <c r="E168" t="s">
        <v>9</v>
      </c>
      <c r="F168">
        <v>96750</v>
      </c>
      <c r="AP168">
        <v>81400</v>
      </c>
      <c r="AQ168" t="e">
        <v>#N/A</v>
      </c>
      <c r="AR168" t="e">
        <v>#N/A</v>
      </c>
      <c r="AS168" t="e">
        <v>#N/A</v>
      </c>
      <c r="AT168" t="e">
        <v>#N/A</v>
      </c>
    </row>
    <row r="169" spans="2:46">
      <c r="B169" t="s">
        <v>43</v>
      </c>
      <c r="C169" t="s">
        <v>49</v>
      </c>
      <c r="D169" t="s">
        <v>31</v>
      </c>
      <c r="E169" t="s">
        <v>10</v>
      </c>
      <c r="F169">
        <v>160795</v>
      </c>
      <c r="AP169">
        <v>81450</v>
      </c>
      <c r="AQ169" t="e">
        <v>#N/A</v>
      </c>
      <c r="AR169" t="e">
        <v>#N/A</v>
      </c>
      <c r="AS169" t="e">
        <v>#N/A</v>
      </c>
      <c r="AT169" t="e">
        <v>#N/A</v>
      </c>
    </row>
    <row r="170" spans="2:46">
      <c r="B170" t="s">
        <v>43</v>
      </c>
      <c r="C170" t="s">
        <v>49</v>
      </c>
      <c r="D170" t="s">
        <v>31</v>
      </c>
      <c r="E170" t="s">
        <v>11</v>
      </c>
      <c r="F170">
        <v>168619</v>
      </c>
      <c r="AP170">
        <v>81500</v>
      </c>
      <c r="AQ170" t="e">
        <v>#N/A</v>
      </c>
      <c r="AR170" t="e">
        <v>#N/A</v>
      </c>
      <c r="AS170" t="e">
        <v>#N/A</v>
      </c>
      <c r="AT170" t="e">
        <v>#N/A</v>
      </c>
    </row>
    <row r="171" spans="2:46">
      <c r="B171" t="s">
        <v>43</v>
      </c>
      <c r="C171" t="s">
        <v>49</v>
      </c>
      <c r="D171" t="s">
        <v>32</v>
      </c>
      <c r="E171" t="s">
        <v>9</v>
      </c>
      <c r="F171">
        <v>96891</v>
      </c>
      <c r="AP171">
        <v>81550</v>
      </c>
      <c r="AQ171" t="e">
        <v>#N/A</v>
      </c>
      <c r="AR171" t="e">
        <v>#N/A</v>
      </c>
      <c r="AS171" t="e">
        <v>#N/A</v>
      </c>
      <c r="AT171" t="e">
        <v>#N/A</v>
      </c>
    </row>
    <row r="172" spans="2:46">
      <c r="B172" t="s">
        <v>43</v>
      </c>
      <c r="C172" t="s">
        <v>49</v>
      </c>
      <c r="D172" t="s">
        <v>32</v>
      </c>
      <c r="E172" t="s">
        <v>10</v>
      </c>
      <c r="F172">
        <v>159693</v>
      </c>
      <c r="AP172">
        <v>81600</v>
      </c>
      <c r="AQ172" t="e">
        <v>#N/A</v>
      </c>
      <c r="AR172" t="e">
        <v>#N/A</v>
      </c>
      <c r="AS172" t="e">
        <v>#N/A</v>
      </c>
      <c r="AT172" t="e">
        <v>#N/A</v>
      </c>
    </row>
    <row r="173" spans="2:46">
      <c r="B173" t="s">
        <v>43</v>
      </c>
      <c r="C173" t="s">
        <v>49</v>
      </c>
      <c r="D173" t="s">
        <v>32</v>
      </c>
      <c r="E173" t="s">
        <v>11</v>
      </c>
      <c r="F173">
        <v>167916</v>
      </c>
      <c r="AP173">
        <v>81650</v>
      </c>
      <c r="AQ173" t="e">
        <v>#N/A</v>
      </c>
      <c r="AR173" t="e">
        <v>#N/A</v>
      </c>
      <c r="AS173" t="e">
        <v>#N/A</v>
      </c>
      <c r="AT173" t="e">
        <v>#N/A</v>
      </c>
    </row>
    <row r="174" spans="2:46">
      <c r="B174" t="s">
        <v>43</v>
      </c>
      <c r="C174" t="s">
        <v>48</v>
      </c>
      <c r="D174" t="s">
        <v>33</v>
      </c>
      <c r="E174" t="s">
        <v>9</v>
      </c>
      <c r="F174">
        <v>96508</v>
      </c>
      <c r="AP174">
        <v>81700</v>
      </c>
      <c r="AQ174" t="e">
        <v>#N/A</v>
      </c>
      <c r="AR174" t="e">
        <v>#N/A</v>
      </c>
      <c r="AS174" t="e">
        <v>#N/A</v>
      </c>
      <c r="AT174" t="e">
        <v>#N/A</v>
      </c>
    </row>
    <row r="175" spans="2:46">
      <c r="B175" t="s">
        <v>43</v>
      </c>
      <c r="C175" t="s">
        <v>48</v>
      </c>
      <c r="D175" t="s">
        <v>33</v>
      </c>
      <c r="E175" t="s">
        <v>10</v>
      </c>
      <c r="F175">
        <v>158642</v>
      </c>
      <c r="AP175">
        <v>81750</v>
      </c>
      <c r="AQ175" t="e">
        <v>#N/A</v>
      </c>
      <c r="AR175" t="e">
        <v>#N/A</v>
      </c>
      <c r="AS175" t="e">
        <v>#N/A</v>
      </c>
      <c r="AT175" t="e">
        <v>#N/A</v>
      </c>
    </row>
    <row r="176" spans="2:46">
      <c r="B176" t="s">
        <v>43</v>
      </c>
      <c r="C176" t="s">
        <v>48</v>
      </c>
      <c r="D176" t="s">
        <v>33</v>
      </c>
      <c r="E176" t="s">
        <v>11</v>
      </c>
      <c r="F176">
        <v>169365</v>
      </c>
      <c r="AP176">
        <v>81800</v>
      </c>
      <c r="AQ176" t="e">
        <v>#N/A</v>
      </c>
      <c r="AR176" t="e">
        <v>#N/A</v>
      </c>
      <c r="AS176" t="e">
        <v>#N/A</v>
      </c>
      <c r="AT176" t="e">
        <v>#N/A</v>
      </c>
    </row>
    <row r="177" spans="2:46">
      <c r="B177" t="s">
        <v>43</v>
      </c>
      <c r="C177" t="s">
        <v>49</v>
      </c>
      <c r="D177" t="s">
        <v>34</v>
      </c>
      <c r="E177" t="s">
        <v>9</v>
      </c>
      <c r="F177">
        <v>96313</v>
      </c>
      <c r="AP177">
        <v>81850</v>
      </c>
      <c r="AQ177" t="e">
        <v>#N/A</v>
      </c>
      <c r="AR177" t="e">
        <v>#N/A</v>
      </c>
      <c r="AS177" t="e">
        <v>#N/A</v>
      </c>
      <c r="AT177" t="e">
        <v>#N/A</v>
      </c>
    </row>
    <row r="178" spans="2:46">
      <c r="B178" t="s">
        <v>43</v>
      </c>
      <c r="C178" t="s">
        <v>49</v>
      </c>
      <c r="D178" t="s">
        <v>34</v>
      </c>
      <c r="E178" t="s">
        <v>10</v>
      </c>
      <c r="F178">
        <v>157102</v>
      </c>
      <c r="AP178">
        <v>81900</v>
      </c>
      <c r="AQ178" t="e">
        <v>#N/A</v>
      </c>
      <c r="AR178" t="e">
        <v>#N/A</v>
      </c>
      <c r="AS178" t="e">
        <v>#N/A</v>
      </c>
      <c r="AT178" t="e">
        <v>#N/A</v>
      </c>
    </row>
    <row r="179" spans="2:46">
      <c r="B179" t="s">
        <v>43</v>
      </c>
      <c r="C179" t="s">
        <v>49</v>
      </c>
      <c r="D179" t="s">
        <v>34</v>
      </c>
      <c r="E179" t="s">
        <v>11</v>
      </c>
      <c r="F179">
        <v>168906</v>
      </c>
      <c r="AP179">
        <v>81950</v>
      </c>
      <c r="AQ179" t="e">
        <v>#N/A</v>
      </c>
      <c r="AR179" t="e">
        <v>#N/A</v>
      </c>
      <c r="AS179" t="e">
        <v>#N/A</v>
      </c>
      <c r="AT179" t="e">
        <v>#N/A</v>
      </c>
    </row>
    <row r="180" spans="2:46">
      <c r="B180" t="s">
        <v>43</v>
      </c>
      <c r="C180" t="s">
        <v>48</v>
      </c>
      <c r="D180" t="s">
        <v>35</v>
      </c>
      <c r="E180" t="s">
        <v>9</v>
      </c>
      <c r="F180">
        <v>98634</v>
      </c>
      <c r="AP180">
        <v>82000</v>
      </c>
      <c r="AQ180" t="e">
        <v>#N/A</v>
      </c>
      <c r="AR180" t="e">
        <v>#N/A</v>
      </c>
      <c r="AS180" t="e">
        <v>#N/A</v>
      </c>
      <c r="AT180" t="e">
        <v>#N/A</v>
      </c>
    </row>
    <row r="181" spans="2:46">
      <c r="B181" t="s">
        <v>43</v>
      </c>
      <c r="C181" t="s">
        <v>48</v>
      </c>
      <c r="D181" t="s">
        <v>35</v>
      </c>
      <c r="E181" t="s">
        <v>10</v>
      </c>
      <c r="F181">
        <v>159769</v>
      </c>
      <c r="AP181">
        <v>82050</v>
      </c>
      <c r="AQ181" t="e">
        <v>#N/A</v>
      </c>
      <c r="AR181" t="e">
        <v>#N/A</v>
      </c>
      <c r="AS181" t="e">
        <v>#N/A</v>
      </c>
      <c r="AT181" t="e">
        <v>#N/A</v>
      </c>
    </row>
    <row r="182" spans="2:46">
      <c r="B182" t="s">
        <v>43</v>
      </c>
      <c r="C182" t="s">
        <v>48</v>
      </c>
      <c r="D182" t="s">
        <v>35</v>
      </c>
      <c r="E182" t="s">
        <v>11</v>
      </c>
      <c r="F182">
        <v>168299</v>
      </c>
      <c r="AP182">
        <v>82100</v>
      </c>
      <c r="AQ182" t="e">
        <v>#N/A</v>
      </c>
      <c r="AR182" t="e">
        <v>#N/A</v>
      </c>
      <c r="AS182" t="e">
        <v>#N/A</v>
      </c>
      <c r="AT182" t="e">
        <v>#N/A</v>
      </c>
    </row>
    <row r="183" spans="2:46">
      <c r="B183" t="s">
        <v>43</v>
      </c>
      <c r="C183" t="s">
        <v>48</v>
      </c>
      <c r="D183" t="s">
        <v>36</v>
      </c>
      <c r="E183" t="s">
        <v>9</v>
      </c>
      <c r="F183">
        <v>100590</v>
      </c>
      <c r="AP183">
        <v>82150</v>
      </c>
      <c r="AQ183" t="e">
        <v>#N/A</v>
      </c>
      <c r="AR183" t="e">
        <v>#N/A</v>
      </c>
      <c r="AS183" t="e">
        <v>#N/A</v>
      </c>
      <c r="AT183" t="e">
        <v>#N/A</v>
      </c>
    </row>
    <row r="184" spans="2:46">
      <c r="B184" t="s">
        <v>43</v>
      </c>
      <c r="C184" t="s">
        <v>48</v>
      </c>
      <c r="D184" t="s">
        <v>36</v>
      </c>
      <c r="E184" t="s">
        <v>10</v>
      </c>
      <c r="F184">
        <v>163502</v>
      </c>
      <c r="AP184">
        <v>82200</v>
      </c>
      <c r="AQ184" t="e">
        <v>#N/A</v>
      </c>
      <c r="AR184" t="e">
        <v>#N/A</v>
      </c>
      <c r="AS184" t="e">
        <v>#N/A</v>
      </c>
      <c r="AT184" t="e">
        <v>#N/A</v>
      </c>
    </row>
    <row r="185" spans="2:46">
      <c r="B185" t="s">
        <v>43</v>
      </c>
      <c r="C185" t="s">
        <v>48</v>
      </c>
      <c r="D185" t="s">
        <v>36</v>
      </c>
      <c r="E185" t="s">
        <v>11</v>
      </c>
      <c r="F185">
        <v>174099</v>
      </c>
      <c r="AP185">
        <v>82250</v>
      </c>
      <c r="AQ185" t="e">
        <v>#N/A</v>
      </c>
      <c r="AR185" t="e">
        <v>#N/A</v>
      </c>
      <c r="AS185" t="e">
        <v>#N/A</v>
      </c>
      <c r="AT185" t="e">
        <v>#N/A</v>
      </c>
    </row>
    <row r="186" spans="2:46">
      <c r="B186" t="s">
        <v>43</v>
      </c>
      <c r="C186" t="s">
        <v>49</v>
      </c>
      <c r="D186" t="s">
        <v>37</v>
      </c>
      <c r="E186" t="s">
        <v>9</v>
      </c>
      <c r="F186">
        <v>101605</v>
      </c>
      <c r="AP186">
        <v>82300</v>
      </c>
      <c r="AQ186" t="e">
        <v>#N/A</v>
      </c>
      <c r="AR186" t="e">
        <v>#N/A</v>
      </c>
      <c r="AS186" t="e">
        <v>#N/A</v>
      </c>
      <c r="AT186" t="e">
        <v>#N/A</v>
      </c>
    </row>
    <row r="187" spans="2:46">
      <c r="B187" t="s">
        <v>43</v>
      </c>
      <c r="C187" t="s">
        <v>49</v>
      </c>
      <c r="D187" t="s">
        <v>37</v>
      </c>
      <c r="E187" t="s">
        <v>10</v>
      </c>
      <c r="F187">
        <v>164303</v>
      </c>
      <c r="AP187">
        <v>82350</v>
      </c>
      <c r="AQ187" t="e">
        <v>#N/A</v>
      </c>
      <c r="AR187" t="e">
        <v>#N/A</v>
      </c>
      <c r="AS187" t="e">
        <v>#N/A</v>
      </c>
      <c r="AT187" t="e">
        <v>#N/A</v>
      </c>
    </row>
    <row r="188" spans="2:46">
      <c r="B188" t="s">
        <v>43</v>
      </c>
      <c r="C188" t="s">
        <v>49</v>
      </c>
      <c r="D188" t="s">
        <v>37</v>
      </c>
      <c r="E188" t="s">
        <v>11</v>
      </c>
      <c r="F188">
        <v>173233</v>
      </c>
      <c r="AP188">
        <v>82400</v>
      </c>
      <c r="AQ188" t="e">
        <v>#N/A</v>
      </c>
      <c r="AR188" t="e">
        <v>#N/A</v>
      </c>
      <c r="AS188" t="e">
        <v>#N/A</v>
      </c>
      <c r="AT188" t="e">
        <v>#N/A</v>
      </c>
    </row>
    <row r="189" spans="2:46">
      <c r="B189" t="s">
        <v>43</v>
      </c>
      <c r="C189" t="s">
        <v>49</v>
      </c>
      <c r="D189" t="s">
        <v>38</v>
      </c>
      <c r="E189" t="s">
        <v>9</v>
      </c>
      <c r="F189">
        <v>100526</v>
      </c>
      <c r="AP189">
        <v>82450</v>
      </c>
      <c r="AQ189" t="e">
        <v>#N/A</v>
      </c>
      <c r="AR189" t="e">
        <v>#N/A</v>
      </c>
      <c r="AS189" t="e">
        <v>#N/A</v>
      </c>
      <c r="AT189" t="e">
        <v>#N/A</v>
      </c>
    </row>
    <row r="190" spans="2:46">
      <c r="B190" t="s">
        <v>43</v>
      </c>
      <c r="C190" t="s">
        <v>49</v>
      </c>
      <c r="D190" t="s">
        <v>38</v>
      </c>
      <c r="E190" t="s">
        <v>10</v>
      </c>
      <c r="F190">
        <v>162909</v>
      </c>
      <c r="AP190">
        <v>82500</v>
      </c>
      <c r="AQ190" t="e">
        <v>#N/A</v>
      </c>
      <c r="AR190" t="e">
        <v>#N/A</v>
      </c>
      <c r="AS190" t="e">
        <v>#N/A</v>
      </c>
      <c r="AT190" t="e">
        <v>#N/A</v>
      </c>
    </row>
    <row r="191" spans="2:46">
      <c r="B191" t="s">
        <v>43</v>
      </c>
      <c r="C191" t="s">
        <v>49</v>
      </c>
      <c r="D191" t="s">
        <v>38</v>
      </c>
      <c r="E191" t="s">
        <v>11</v>
      </c>
      <c r="F191">
        <v>171664</v>
      </c>
      <c r="AP191">
        <v>82550</v>
      </c>
      <c r="AQ191" t="e">
        <v>#N/A</v>
      </c>
      <c r="AR191" t="e">
        <v>#N/A</v>
      </c>
      <c r="AS191" t="e">
        <v>#N/A</v>
      </c>
      <c r="AT191" t="e">
        <v>#N/A</v>
      </c>
    </row>
    <row r="192" spans="2:46">
      <c r="B192" t="s">
        <v>43</v>
      </c>
      <c r="C192" t="s">
        <v>49</v>
      </c>
      <c r="D192" t="s">
        <v>39</v>
      </c>
      <c r="E192" t="s">
        <v>9</v>
      </c>
      <c r="F192">
        <v>96079</v>
      </c>
      <c r="AP192">
        <v>82600</v>
      </c>
      <c r="AQ192" t="e">
        <v>#N/A</v>
      </c>
      <c r="AR192" t="e">
        <v>#N/A</v>
      </c>
      <c r="AS192" t="e">
        <v>#N/A</v>
      </c>
      <c r="AT192" t="e">
        <v>#N/A</v>
      </c>
    </row>
    <row r="193" spans="2:46">
      <c r="B193" t="s">
        <v>43</v>
      </c>
      <c r="C193" t="s">
        <v>49</v>
      </c>
      <c r="D193" t="s">
        <v>39</v>
      </c>
      <c r="E193" t="s">
        <v>10</v>
      </c>
      <c r="F193">
        <v>155448</v>
      </c>
      <c r="AP193">
        <v>82650</v>
      </c>
      <c r="AQ193" t="e">
        <v>#N/A</v>
      </c>
      <c r="AR193" t="e">
        <v>#N/A</v>
      </c>
      <c r="AS193" t="e">
        <v>#N/A</v>
      </c>
      <c r="AT193" t="e">
        <v>#N/A</v>
      </c>
    </row>
    <row r="194" spans="2:46">
      <c r="B194" t="s">
        <v>43</v>
      </c>
      <c r="C194" t="s">
        <v>49</v>
      </c>
      <c r="D194" t="s">
        <v>39</v>
      </c>
      <c r="E194" t="s">
        <v>11</v>
      </c>
      <c r="F194">
        <v>164578</v>
      </c>
      <c r="AP194">
        <v>82700</v>
      </c>
      <c r="AQ194" t="e">
        <v>#N/A</v>
      </c>
      <c r="AR194" t="e">
        <v>#N/A</v>
      </c>
      <c r="AS194" t="e">
        <v>#N/A</v>
      </c>
      <c r="AT194" t="e">
        <v>#N/A</v>
      </c>
    </row>
    <row r="195" spans="2:46">
      <c r="B195" t="s">
        <v>43</v>
      </c>
      <c r="C195" t="s">
        <v>48</v>
      </c>
      <c r="D195" t="s">
        <v>40</v>
      </c>
      <c r="E195" t="s">
        <v>9</v>
      </c>
      <c r="F195">
        <v>92491</v>
      </c>
      <c r="AP195">
        <v>82750</v>
      </c>
      <c r="AQ195" t="e">
        <v>#N/A</v>
      </c>
      <c r="AR195" t="e">
        <v>#N/A</v>
      </c>
      <c r="AS195" t="e">
        <v>#N/A</v>
      </c>
      <c r="AT195" t="e">
        <v>#N/A</v>
      </c>
    </row>
    <row r="196" spans="2:46">
      <c r="B196" t="s">
        <v>43</v>
      </c>
      <c r="C196" t="s">
        <v>48</v>
      </c>
      <c r="D196" t="s">
        <v>40</v>
      </c>
      <c r="E196" t="s">
        <v>10</v>
      </c>
      <c r="F196">
        <v>148994</v>
      </c>
      <c r="AP196">
        <v>82800</v>
      </c>
      <c r="AQ196" t="e">
        <v>#N/A</v>
      </c>
      <c r="AR196" t="e">
        <v>#N/A</v>
      </c>
      <c r="AS196" t="e">
        <v>#N/A</v>
      </c>
      <c r="AT196" t="e">
        <v>#N/A</v>
      </c>
    </row>
    <row r="197" spans="2:46">
      <c r="B197" t="s">
        <v>43</v>
      </c>
      <c r="C197" t="s">
        <v>48</v>
      </c>
      <c r="D197" t="s">
        <v>40</v>
      </c>
      <c r="E197" t="s">
        <v>11</v>
      </c>
      <c r="F197">
        <v>157640</v>
      </c>
      <c r="AP197">
        <v>82850</v>
      </c>
      <c r="AQ197" t="e">
        <v>#N/A</v>
      </c>
      <c r="AR197" t="e">
        <v>#N/A</v>
      </c>
      <c r="AS197" t="e">
        <v>#N/A</v>
      </c>
      <c r="AT197" t="e">
        <v>#N/A</v>
      </c>
    </row>
    <row r="198" spans="2:46">
      <c r="B198" t="s">
        <v>43</v>
      </c>
      <c r="C198" t="s">
        <v>48</v>
      </c>
      <c r="D198" t="s">
        <v>41</v>
      </c>
      <c r="E198" t="s">
        <v>9</v>
      </c>
      <c r="F198">
        <v>88469</v>
      </c>
      <c r="AP198">
        <v>82900</v>
      </c>
      <c r="AQ198">
        <v>82900</v>
      </c>
      <c r="AR198">
        <v>1</v>
      </c>
      <c r="AS198" t="e">
        <v>#N/A</v>
      </c>
      <c r="AT198" t="e">
        <v>#N/A</v>
      </c>
    </row>
    <row r="199" spans="2:46">
      <c r="B199" t="s">
        <v>43</v>
      </c>
      <c r="C199" t="s">
        <v>48</v>
      </c>
      <c r="D199" t="s">
        <v>41</v>
      </c>
      <c r="E199" t="s">
        <v>10</v>
      </c>
      <c r="F199">
        <v>143419</v>
      </c>
      <c r="AP199">
        <v>82950</v>
      </c>
      <c r="AQ199">
        <v>82950</v>
      </c>
      <c r="AR199">
        <v>1</v>
      </c>
      <c r="AS199" t="e">
        <v>#N/A</v>
      </c>
      <c r="AT199" t="e">
        <v>#N/A</v>
      </c>
    </row>
    <row r="200" spans="2:46">
      <c r="B200" t="s">
        <v>43</v>
      </c>
      <c r="C200" t="s">
        <v>48</v>
      </c>
      <c r="D200" t="s">
        <v>41</v>
      </c>
      <c r="E200" t="s">
        <v>11</v>
      </c>
      <c r="F200">
        <v>150383</v>
      </c>
      <c r="AP200">
        <v>83000</v>
      </c>
      <c r="AQ200">
        <v>83000</v>
      </c>
      <c r="AR200">
        <v>1</v>
      </c>
      <c r="AS200" t="e">
        <v>#N/A</v>
      </c>
      <c r="AT200" t="e">
        <v>#N/A</v>
      </c>
    </row>
    <row r="201" spans="2:46">
      <c r="B201" t="s">
        <v>43</v>
      </c>
      <c r="C201" t="s">
        <v>48</v>
      </c>
      <c r="D201" t="s">
        <v>42</v>
      </c>
      <c r="E201" t="s">
        <v>9</v>
      </c>
      <c r="F201">
        <v>86905</v>
      </c>
      <c r="AP201">
        <v>83050</v>
      </c>
      <c r="AQ201">
        <v>83050</v>
      </c>
      <c r="AR201">
        <v>1</v>
      </c>
      <c r="AS201" t="e">
        <v>#N/A</v>
      </c>
      <c r="AT201" t="e">
        <v>#N/A</v>
      </c>
    </row>
    <row r="202" spans="2:46">
      <c r="B202" t="s">
        <v>43</v>
      </c>
      <c r="C202" t="s">
        <v>48</v>
      </c>
      <c r="D202" t="s">
        <v>42</v>
      </c>
      <c r="E202" t="s">
        <v>10</v>
      </c>
      <c r="F202">
        <v>141358</v>
      </c>
      <c r="AP202">
        <v>83100</v>
      </c>
      <c r="AQ202">
        <v>83100</v>
      </c>
      <c r="AR202">
        <v>1</v>
      </c>
      <c r="AS202" t="e">
        <v>#N/A</v>
      </c>
      <c r="AT202" t="e">
        <v>#N/A</v>
      </c>
    </row>
    <row r="203" spans="2:46">
      <c r="B203" t="s">
        <v>43</v>
      </c>
      <c r="C203" t="s">
        <v>48</v>
      </c>
      <c r="D203" t="s">
        <v>42</v>
      </c>
      <c r="E203" t="s">
        <v>11</v>
      </c>
      <c r="F203">
        <v>147577</v>
      </c>
      <c r="AP203">
        <v>83150</v>
      </c>
      <c r="AQ203">
        <v>83150</v>
      </c>
      <c r="AR203">
        <v>1</v>
      </c>
      <c r="AS203" t="e">
        <v>#N/A</v>
      </c>
      <c r="AT203" t="e">
        <v>#N/A</v>
      </c>
    </row>
    <row r="204" spans="2:46">
      <c r="AP204">
        <v>83200</v>
      </c>
      <c r="AQ204">
        <v>83200</v>
      </c>
      <c r="AR204">
        <v>1</v>
      </c>
      <c r="AS204" t="e">
        <v>#N/A</v>
      </c>
      <c r="AT204" t="e">
        <v>#N/A</v>
      </c>
    </row>
    <row r="205" spans="2:46">
      <c r="AP205">
        <v>83250</v>
      </c>
      <c r="AQ205">
        <v>83250</v>
      </c>
      <c r="AR205">
        <v>1</v>
      </c>
      <c r="AS205" t="e">
        <v>#N/A</v>
      </c>
      <c r="AT205" t="e">
        <v>#N/A</v>
      </c>
    </row>
    <row r="206" spans="2:46">
      <c r="AP206">
        <v>83300</v>
      </c>
      <c r="AQ206">
        <v>83300</v>
      </c>
      <c r="AR206">
        <v>1</v>
      </c>
      <c r="AS206" t="e">
        <v>#N/A</v>
      </c>
      <c r="AT206" t="e">
        <v>#N/A</v>
      </c>
    </row>
    <row r="207" spans="2:46">
      <c r="AP207">
        <v>83350</v>
      </c>
      <c r="AQ207">
        <v>83350</v>
      </c>
      <c r="AR207">
        <v>1</v>
      </c>
      <c r="AS207" t="e">
        <v>#N/A</v>
      </c>
      <c r="AT207" t="e">
        <v>#N/A</v>
      </c>
    </row>
    <row r="208" spans="2:46">
      <c r="AP208">
        <v>83400</v>
      </c>
      <c r="AQ208">
        <v>83400</v>
      </c>
      <c r="AR208">
        <v>1</v>
      </c>
      <c r="AS208" t="e">
        <v>#N/A</v>
      </c>
      <c r="AT208" t="e">
        <v>#N/A</v>
      </c>
    </row>
    <row r="209" spans="42:46">
      <c r="AP209">
        <v>83450</v>
      </c>
      <c r="AQ209">
        <v>83450</v>
      </c>
      <c r="AR209">
        <v>1</v>
      </c>
      <c r="AS209" t="e">
        <v>#N/A</v>
      </c>
      <c r="AT209" t="e">
        <v>#N/A</v>
      </c>
    </row>
    <row r="210" spans="42:46">
      <c r="AP210">
        <v>83500</v>
      </c>
      <c r="AQ210">
        <v>83500</v>
      </c>
      <c r="AR210">
        <v>1</v>
      </c>
      <c r="AS210" t="e">
        <v>#N/A</v>
      </c>
      <c r="AT210" t="e">
        <v>#N/A</v>
      </c>
    </row>
    <row r="211" spans="42:46">
      <c r="AP211">
        <v>83550</v>
      </c>
      <c r="AQ211">
        <v>83550</v>
      </c>
      <c r="AR211">
        <v>1</v>
      </c>
      <c r="AS211" t="e">
        <v>#N/A</v>
      </c>
      <c r="AT211" t="e">
        <v>#N/A</v>
      </c>
    </row>
    <row r="212" spans="42:46">
      <c r="AP212">
        <v>83600</v>
      </c>
      <c r="AQ212">
        <v>83600</v>
      </c>
      <c r="AR212">
        <v>1</v>
      </c>
      <c r="AS212" t="e">
        <v>#N/A</v>
      </c>
      <c r="AT212" t="e">
        <v>#N/A</v>
      </c>
    </row>
    <row r="213" spans="42:46">
      <c r="AP213">
        <v>83650</v>
      </c>
      <c r="AQ213">
        <v>83650</v>
      </c>
      <c r="AR213">
        <v>1</v>
      </c>
      <c r="AS213" t="e">
        <v>#N/A</v>
      </c>
      <c r="AT213" t="e">
        <v>#N/A</v>
      </c>
    </row>
    <row r="214" spans="42:46">
      <c r="AP214">
        <v>83700</v>
      </c>
      <c r="AQ214">
        <v>83700</v>
      </c>
      <c r="AR214">
        <v>1</v>
      </c>
      <c r="AS214" t="e">
        <v>#N/A</v>
      </c>
      <c r="AT214" t="e">
        <v>#N/A</v>
      </c>
    </row>
    <row r="215" spans="42:46">
      <c r="AP215">
        <v>83750</v>
      </c>
      <c r="AQ215">
        <v>83750</v>
      </c>
      <c r="AR215">
        <v>1</v>
      </c>
      <c r="AS215" t="e">
        <v>#N/A</v>
      </c>
      <c r="AT215" t="e">
        <v>#N/A</v>
      </c>
    </row>
    <row r="216" spans="42:46">
      <c r="AP216">
        <v>83800</v>
      </c>
      <c r="AQ216">
        <v>83800</v>
      </c>
      <c r="AR216">
        <v>1</v>
      </c>
      <c r="AS216" t="e">
        <v>#N/A</v>
      </c>
      <c r="AT216" t="e">
        <v>#N/A</v>
      </c>
    </row>
    <row r="217" spans="42:46">
      <c r="AP217">
        <v>83850</v>
      </c>
      <c r="AQ217">
        <v>83850</v>
      </c>
      <c r="AR217">
        <v>1</v>
      </c>
      <c r="AS217" t="e">
        <v>#N/A</v>
      </c>
      <c r="AT217" t="e">
        <v>#N/A</v>
      </c>
    </row>
    <row r="218" spans="42:46">
      <c r="AP218">
        <v>83900</v>
      </c>
      <c r="AQ218">
        <v>83900</v>
      </c>
      <c r="AR218">
        <v>1</v>
      </c>
      <c r="AS218" t="e">
        <v>#N/A</v>
      </c>
      <c r="AT218" t="e">
        <v>#N/A</v>
      </c>
    </row>
    <row r="219" spans="42:46">
      <c r="AP219">
        <v>83950</v>
      </c>
      <c r="AQ219">
        <v>83950</v>
      </c>
      <c r="AR219">
        <v>1</v>
      </c>
      <c r="AS219" t="e">
        <v>#N/A</v>
      </c>
      <c r="AT219" t="e">
        <v>#N/A</v>
      </c>
    </row>
    <row r="220" spans="42:46">
      <c r="AP220">
        <v>84000</v>
      </c>
      <c r="AQ220">
        <v>84000</v>
      </c>
      <c r="AR220">
        <v>1</v>
      </c>
      <c r="AS220" t="e">
        <v>#N/A</v>
      </c>
      <c r="AT220" t="e">
        <v>#N/A</v>
      </c>
    </row>
    <row r="221" spans="42:46">
      <c r="AP221">
        <v>84050</v>
      </c>
      <c r="AQ221">
        <v>84050</v>
      </c>
      <c r="AR221">
        <v>1</v>
      </c>
      <c r="AS221" t="e">
        <v>#N/A</v>
      </c>
      <c r="AT221" t="e">
        <v>#N/A</v>
      </c>
    </row>
    <row r="222" spans="42:46">
      <c r="AP222">
        <v>84100</v>
      </c>
      <c r="AQ222">
        <v>84100</v>
      </c>
      <c r="AR222">
        <v>1</v>
      </c>
      <c r="AS222" t="e">
        <v>#N/A</v>
      </c>
      <c r="AT222" t="e">
        <v>#N/A</v>
      </c>
    </row>
    <row r="223" spans="42:46">
      <c r="AP223">
        <v>84150</v>
      </c>
      <c r="AQ223">
        <v>84150</v>
      </c>
      <c r="AR223">
        <v>1</v>
      </c>
      <c r="AS223" t="e">
        <v>#N/A</v>
      </c>
      <c r="AT223" t="e">
        <v>#N/A</v>
      </c>
    </row>
    <row r="224" spans="42:46">
      <c r="AP224">
        <v>84200</v>
      </c>
      <c r="AQ224">
        <v>84200</v>
      </c>
      <c r="AR224">
        <v>1</v>
      </c>
      <c r="AS224" t="e">
        <v>#N/A</v>
      </c>
      <c r="AT224" t="e">
        <v>#N/A</v>
      </c>
    </row>
    <row r="225" spans="42:46">
      <c r="AP225">
        <v>84250</v>
      </c>
      <c r="AQ225">
        <v>84250</v>
      </c>
      <c r="AR225">
        <v>1</v>
      </c>
      <c r="AS225" t="e">
        <v>#N/A</v>
      </c>
      <c r="AT225" t="e">
        <v>#N/A</v>
      </c>
    </row>
    <row r="226" spans="42:46">
      <c r="AP226">
        <v>84300</v>
      </c>
      <c r="AQ226">
        <v>84300</v>
      </c>
      <c r="AR226">
        <v>1</v>
      </c>
      <c r="AS226" t="e">
        <v>#N/A</v>
      </c>
      <c r="AT226" t="e">
        <v>#N/A</v>
      </c>
    </row>
    <row r="227" spans="42:46">
      <c r="AP227">
        <v>84350</v>
      </c>
      <c r="AQ227">
        <v>84350</v>
      </c>
      <c r="AR227">
        <v>1</v>
      </c>
      <c r="AS227" t="e">
        <v>#N/A</v>
      </c>
      <c r="AT227" t="e">
        <v>#N/A</v>
      </c>
    </row>
    <row r="228" spans="42:46">
      <c r="AP228">
        <v>84400</v>
      </c>
      <c r="AQ228">
        <v>84400</v>
      </c>
      <c r="AR228">
        <v>1</v>
      </c>
      <c r="AS228" t="e">
        <v>#N/A</v>
      </c>
      <c r="AT228" t="e">
        <v>#N/A</v>
      </c>
    </row>
    <row r="229" spans="42:46">
      <c r="AP229">
        <v>84450</v>
      </c>
      <c r="AQ229">
        <v>84450</v>
      </c>
      <c r="AR229">
        <v>1</v>
      </c>
      <c r="AS229" t="e">
        <v>#N/A</v>
      </c>
      <c r="AT229" t="e">
        <v>#N/A</v>
      </c>
    </row>
    <row r="230" spans="42:46">
      <c r="AP230">
        <v>84500</v>
      </c>
      <c r="AQ230">
        <v>84500</v>
      </c>
      <c r="AR230">
        <v>1</v>
      </c>
      <c r="AS230" t="e">
        <v>#N/A</v>
      </c>
      <c r="AT230" t="e">
        <v>#N/A</v>
      </c>
    </row>
    <row r="231" spans="42:46">
      <c r="AP231">
        <v>84550</v>
      </c>
      <c r="AQ231">
        <v>84550</v>
      </c>
      <c r="AR231">
        <v>1</v>
      </c>
      <c r="AS231" t="e">
        <v>#N/A</v>
      </c>
      <c r="AT231" t="e">
        <v>#N/A</v>
      </c>
    </row>
    <row r="232" spans="42:46">
      <c r="AP232">
        <v>84600</v>
      </c>
      <c r="AQ232">
        <v>84600</v>
      </c>
      <c r="AR232">
        <v>1</v>
      </c>
      <c r="AS232" t="e">
        <v>#N/A</v>
      </c>
      <c r="AT232" t="e">
        <v>#N/A</v>
      </c>
    </row>
    <row r="233" spans="42:46">
      <c r="AP233">
        <v>84650</v>
      </c>
      <c r="AQ233">
        <v>84650</v>
      </c>
      <c r="AR233">
        <v>1</v>
      </c>
      <c r="AS233" t="e">
        <v>#N/A</v>
      </c>
      <c r="AT233" t="e">
        <v>#N/A</v>
      </c>
    </row>
    <row r="234" spans="42:46">
      <c r="AP234">
        <v>84700</v>
      </c>
      <c r="AQ234">
        <v>84700</v>
      </c>
      <c r="AR234">
        <v>1</v>
      </c>
      <c r="AS234" t="e">
        <v>#N/A</v>
      </c>
      <c r="AT234" t="e">
        <v>#N/A</v>
      </c>
    </row>
    <row r="235" spans="42:46">
      <c r="AP235">
        <v>84750</v>
      </c>
      <c r="AQ235">
        <v>84750</v>
      </c>
      <c r="AR235">
        <v>1</v>
      </c>
      <c r="AS235" t="e">
        <v>#N/A</v>
      </c>
      <c r="AT235" t="e">
        <v>#N/A</v>
      </c>
    </row>
    <row r="236" spans="42:46">
      <c r="AP236">
        <v>84800</v>
      </c>
      <c r="AQ236">
        <v>84800</v>
      </c>
      <c r="AR236">
        <v>1</v>
      </c>
      <c r="AS236" t="e">
        <v>#N/A</v>
      </c>
      <c r="AT236" t="e">
        <v>#N/A</v>
      </c>
    </row>
    <row r="237" spans="42:46">
      <c r="AP237">
        <v>84850</v>
      </c>
      <c r="AQ237">
        <v>84850</v>
      </c>
      <c r="AR237">
        <v>1</v>
      </c>
      <c r="AS237" t="e">
        <v>#N/A</v>
      </c>
      <c r="AT237" t="e">
        <v>#N/A</v>
      </c>
    </row>
    <row r="238" spans="42:46">
      <c r="AP238">
        <v>84900</v>
      </c>
      <c r="AQ238">
        <v>84900</v>
      </c>
      <c r="AR238">
        <v>1</v>
      </c>
      <c r="AS238" t="e">
        <v>#N/A</v>
      </c>
      <c r="AT238" t="e">
        <v>#N/A</v>
      </c>
    </row>
    <row r="239" spans="42:46">
      <c r="AP239">
        <v>84950</v>
      </c>
      <c r="AQ239">
        <v>84950</v>
      </c>
      <c r="AR239">
        <v>1</v>
      </c>
      <c r="AS239" t="e">
        <v>#N/A</v>
      </c>
      <c r="AT239" t="e">
        <v>#N/A</v>
      </c>
    </row>
    <row r="240" spans="42:46">
      <c r="AP240">
        <v>85000</v>
      </c>
      <c r="AQ240">
        <v>85000</v>
      </c>
      <c r="AR240">
        <v>1</v>
      </c>
      <c r="AS240" t="e">
        <v>#N/A</v>
      </c>
      <c r="AT240" t="e">
        <v>#N/A</v>
      </c>
    </row>
    <row r="241" spans="42:46">
      <c r="AP241">
        <v>85050</v>
      </c>
      <c r="AQ241">
        <v>85050</v>
      </c>
      <c r="AR241">
        <v>1</v>
      </c>
      <c r="AS241" t="e">
        <v>#N/A</v>
      </c>
      <c r="AT241" t="e">
        <v>#N/A</v>
      </c>
    </row>
    <row r="242" spans="42:46">
      <c r="AP242">
        <v>85100</v>
      </c>
      <c r="AQ242">
        <v>85100</v>
      </c>
      <c r="AR242">
        <v>1</v>
      </c>
      <c r="AS242" t="e">
        <v>#N/A</v>
      </c>
      <c r="AT242" t="e">
        <v>#N/A</v>
      </c>
    </row>
    <row r="243" spans="42:46">
      <c r="AP243">
        <v>85150</v>
      </c>
      <c r="AQ243">
        <v>85150</v>
      </c>
      <c r="AR243">
        <v>1</v>
      </c>
      <c r="AS243" t="e">
        <v>#N/A</v>
      </c>
      <c r="AT243" t="e">
        <v>#N/A</v>
      </c>
    </row>
    <row r="244" spans="42:46">
      <c r="AP244">
        <v>85200</v>
      </c>
      <c r="AQ244">
        <v>85200</v>
      </c>
      <c r="AR244">
        <v>1</v>
      </c>
      <c r="AS244" t="e">
        <v>#N/A</v>
      </c>
      <c r="AT244" t="e">
        <v>#N/A</v>
      </c>
    </row>
    <row r="245" spans="42:46">
      <c r="AP245">
        <v>85250</v>
      </c>
      <c r="AQ245">
        <v>85250</v>
      </c>
      <c r="AR245">
        <v>1</v>
      </c>
      <c r="AS245" t="e">
        <v>#N/A</v>
      </c>
      <c r="AT245" t="e">
        <v>#N/A</v>
      </c>
    </row>
    <row r="246" spans="42:46">
      <c r="AP246">
        <v>85300</v>
      </c>
      <c r="AQ246">
        <v>85300</v>
      </c>
      <c r="AR246">
        <v>1</v>
      </c>
      <c r="AS246" t="e">
        <v>#N/A</v>
      </c>
      <c r="AT246" t="e">
        <v>#N/A</v>
      </c>
    </row>
    <row r="247" spans="42:46">
      <c r="AP247">
        <v>85350</v>
      </c>
      <c r="AQ247">
        <v>85350</v>
      </c>
      <c r="AR247">
        <v>1</v>
      </c>
      <c r="AS247" t="e">
        <v>#N/A</v>
      </c>
      <c r="AT247" t="e">
        <v>#N/A</v>
      </c>
    </row>
    <row r="248" spans="42:46">
      <c r="AP248">
        <v>85400</v>
      </c>
      <c r="AQ248">
        <v>85400</v>
      </c>
      <c r="AR248">
        <v>1</v>
      </c>
      <c r="AS248" t="e">
        <v>#N/A</v>
      </c>
      <c r="AT248" t="e">
        <v>#N/A</v>
      </c>
    </row>
    <row r="249" spans="42:46">
      <c r="AP249">
        <v>85450</v>
      </c>
      <c r="AQ249">
        <v>85450</v>
      </c>
      <c r="AR249">
        <v>1</v>
      </c>
      <c r="AS249" t="e">
        <v>#N/A</v>
      </c>
      <c r="AT249" t="e">
        <v>#N/A</v>
      </c>
    </row>
    <row r="250" spans="42:46">
      <c r="AP250">
        <v>85500</v>
      </c>
      <c r="AQ250">
        <v>85500</v>
      </c>
      <c r="AR250">
        <v>1</v>
      </c>
      <c r="AS250" t="e">
        <v>#N/A</v>
      </c>
      <c r="AT250" t="e">
        <v>#N/A</v>
      </c>
    </row>
    <row r="251" spans="42:46">
      <c r="AP251">
        <v>85550</v>
      </c>
      <c r="AQ251">
        <v>85550</v>
      </c>
      <c r="AR251">
        <v>1</v>
      </c>
      <c r="AS251" t="e">
        <v>#N/A</v>
      </c>
      <c r="AT251" t="e">
        <v>#N/A</v>
      </c>
    </row>
    <row r="252" spans="42:46">
      <c r="AP252">
        <v>85600</v>
      </c>
      <c r="AQ252">
        <v>85600</v>
      </c>
      <c r="AR252">
        <v>1</v>
      </c>
      <c r="AS252" t="e">
        <v>#N/A</v>
      </c>
      <c r="AT252" t="e">
        <v>#N/A</v>
      </c>
    </row>
    <row r="253" spans="42:46">
      <c r="AP253">
        <v>85650</v>
      </c>
      <c r="AQ253">
        <v>85650</v>
      </c>
      <c r="AR253">
        <v>1</v>
      </c>
      <c r="AS253" t="e">
        <v>#N/A</v>
      </c>
      <c r="AT253" t="e">
        <v>#N/A</v>
      </c>
    </row>
    <row r="254" spans="42:46">
      <c r="AP254">
        <v>85700</v>
      </c>
      <c r="AQ254">
        <v>85700</v>
      </c>
      <c r="AR254">
        <v>1</v>
      </c>
      <c r="AS254" t="e">
        <v>#N/A</v>
      </c>
      <c r="AT254" t="e">
        <v>#N/A</v>
      </c>
    </row>
    <row r="255" spans="42:46">
      <c r="AP255">
        <v>85750</v>
      </c>
      <c r="AQ255">
        <v>85750</v>
      </c>
      <c r="AR255">
        <v>1</v>
      </c>
      <c r="AS255" t="e">
        <v>#N/A</v>
      </c>
      <c r="AT255" t="e">
        <v>#N/A</v>
      </c>
    </row>
    <row r="256" spans="42:46">
      <c r="AP256">
        <v>85800</v>
      </c>
      <c r="AQ256">
        <v>85800</v>
      </c>
      <c r="AR256">
        <v>1</v>
      </c>
      <c r="AS256" t="e">
        <v>#N/A</v>
      </c>
      <c r="AT256" t="e">
        <v>#N/A</v>
      </c>
    </row>
    <row r="257" spans="42:46">
      <c r="AP257">
        <v>85850</v>
      </c>
      <c r="AQ257">
        <v>85850</v>
      </c>
      <c r="AR257">
        <v>1</v>
      </c>
      <c r="AS257" t="e">
        <v>#N/A</v>
      </c>
      <c r="AT257" t="e">
        <v>#N/A</v>
      </c>
    </row>
    <row r="258" spans="42:46">
      <c r="AP258">
        <v>85900</v>
      </c>
      <c r="AQ258">
        <v>85900</v>
      </c>
      <c r="AR258">
        <v>1</v>
      </c>
      <c r="AS258" t="e">
        <v>#N/A</v>
      </c>
      <c r="AT258" t="e">
        <v>#N/A</v>
      </c>
    </row>
    <row r="259" spans="42:46">
      <c r="AP259">
        <v>85950</v>
      </c>
      <c r="AQ259">
        <v>85950</v>
      </c>
      <c r="AR259">
        <v>1</v>
      </c>
      <c r="AS259" t="e">
        <v>#N/A</v>
      </c>
      <c r="AT259" t="e">
        <v>#N/A</v>
      </c>
    </row>
    <row r="260" spans="42:46">
      <c r="AP260">
        <v>86000</v>
      </c>
      <c r="AQ260">
        <v>86000</v>
      </c>
      <c r="AR260">
        <v>1</v>
      </c>
      <c r="AS260" t="e">
        <v>#N/A</v>
      </c>
      <c r="AT260" t="e">
        <v>#N/A</v>
      </c>
    </row>
    <row r="261" spans="42:46">
      <c r="AP261">
        <v>86050</v>
      </c>
      <c r="AQ261">
        <v>86050</v>
      </c>
      <c r="AR261">
        <v>1</v>
      </c>
      <c r="AS261" t="e">
        <v>#N/A</v>
      </c>
      <c r="AT261" t="e">
        <v>#N/A</v>
      </c>
    </row>
    <row r="262" spans="42:46">
      <c r="AP262">
        <v>86100</v>
      </c>
      <c r="AQ262">
        <v>86100</v>
      </c>
      <c r="AR262">
        <v>1</v>
      </c>
      <c r="AS262" t="e">
        <v>#N/A</v>
      </c>
      <c r="AT262" t="e">
        <v>#N/A</v>
      </c>
    </row>
    <row r="263" spans="42:46">
      <c r="AP263">
        <v>86150</v>
      </c>
      <c r="AQ263">
        <v>86150</v>
      </c>
      <c r="AR263">
        <v>1</v>
      </c>
      <c r="AS263" t="e">
        <v>#N/A</v>
      </c>
      <c r="AT263" t="e">
        <v>#N/A</v>
      </c>
    </row>
    <row r="264" spans="42:46">
      <c r="AP264">
        <v>86200</v>
      </c>
      <c r="AQ264">
        <v>86200</v>
      </c>
      <c r="AR264">
        <v>1</v>
      </c>
      <c r="AS264" t="e">
        <v>#N/A</v>
      </c>
      <c r="AT264" t="e">
        <v>#N/A</v>
      </c>
    </row>
    <row r="265" spans="42:46">
      <c r="AP265">
        <v>86250</v>
      </c>
      <c r="AQ265">
        <v>86250</v>
      </c>
      <c r="AR265">
        <v>1</v>
      </c>
      <c r="AS265" t="e">
        <v>#N/A</v>
      </c>
      <c r="AT265" t="e">
        <v>#N/A</v>
      </c>
    </row>
    <row r="266" spans="42:46">
      <c r="AP266">
        <v>86300</v>
      </c>
      <c r="AQ266">
        <v>86300</v>
      </c>
      <c r="AR266">
        <v>1</v>
      </c>
      <c r="AS266" t="e">
        <v>#N/A</v>
      </c>
      <c r="AT266" t="e">
        <v>#N/A</v>
      </c>
    </row>
    <row r="267" spans="42:46">
      <c r="AP267">
        <v>86350</v>
      </c>
      <c r="AQ267">
        <v>86350</v>
      </c>
      <c r="AR267">
        <v>1</v>
      </c>
      <c r="AS267" t="e">
        <v>#N/A</v>
      </c>
      <c r="AT267" t="e">
        <v>#N/A</v>
      </c>
    </row>
    <row r="268" spans="42:46">
      <c r="AP268">
        <v>86400</v>
      </c>
      <c r="AQ268">
        <v>86400</v>
      </c>
      <c r="AR268">
        <v>1</v>
      </c>
      <c r="AS268" t="e">
        <v>#N/A</v>
      </c>
      <c r="AT268" t="e">
        <v>#N/A</v>
      </c>
    </row>
    <row r="269" spans="42:46">
      <c r="AP269">
        <v>86450</v>
      </c>
      <c r="AQ269">
        <v>86450</v>
      </c>
      <c r="AR269">
        <v>1</v>
      </c>
      <c r="AS269" t="e">
        <v>#N/A</v>
      </c>
      <c r="AT269" t="e">
        <v>#N/A</v>
      </c>
    </row>
    <row r="270" spans="42:46">
      <c r="AP270">
        <v>86500</v>
      </c>
      <c r="AQ270">
        <v>86500</v>
      </c>
      <c r="AR270">
        <v>1</v>
      </c>
      <c r="AS270" t="e">
        <v>#N/A</v>
      </c>
      <c r="AT270" t="e">
        <v>#N/A</v>
      </c>
    </row>
    <row r="271" spans="42:46">
      <c r="AP271">
        <v>86550</v>
      </c>
      <c r="AQ271">
        <v>86550</v>
      </c>
      <c r="AR271">
        <v>1</v>
      </c>
      <c r="AS271" t="e">
        <v>#N/A</v>
      </c>
      <c r="AT271" t="e">
        <v>#N/A</v>
      </c>
    </row>
    <row r="272" spans="42:46">
      <c r="AP272">
        <v>86600</v>
      </c>
      <c r="AQ272">
        <v>86600</v>
      </c>
      <c r="AR272">
        <v>1</v>
      </c>
      <c r="AS272" t="e">
        <v>#N/A</v>
      </c>
      <c r="AT272" t="e">
        <v>#N/A</v>
      </c>
    </row>
    <row r="273" spans="42:46">
      <c r="AP273">
        <v>86650</v>
      </c>
      <c r="AQ273">
        <v>86650</v>
      </c>
      <c r="AR273">
        <v>1</v>
      </c>
      <c r="AS273" t="e">
        <v>#N/A</v>
      </c>
      <c r="AT273" t="e">
        <v>#N/A</v>
      </c>
    </row>
    <row r="274" spans="42:46">
      <c r="AP274">
        <v>86700</v>
      </c>
      <c r="AQ274">
        <v>86700</v>
      </c>
      <c r="AR274">
        <v>1</v>
      </c>
      <c r="AS274" t="e">
        <v>#N/A</v>
      </c>
      <c r="AT274" t="e">
        <v>#N/A</v>
      </c>
    </row>
    <row r="275" spans="42:46">
      <c r="AP275">
        <v>86750</v>
      </c>
      <c r="AQ275">
        <v>86750</v>
      </c>
      <c r="AR275">
        <v>1</v>
      </c>
      <c r="AS275" t="e">
        <v>#N/A</v>
      </c>
      <c r="AT275" t="e">
        <v>#N/A</v>
      </c>
    </row>
    <row r="276" spans="42:46">
      <c r="AP276">
        <v>86800</v>
      </c>
      <c r="AQ276">
        <v>86800</v>
      </c>
      <c r="AR276">
        <v>1</v>
      </c>
      <c r="AS276" t="e">
        <v>#N/A</v>
      </c>
      <c r="AT276" t="e">
        <v>#N/A</v>
      </c>
    </row>
    <row r="277" spans="42:46">
      <c r="AP277">
        <v>86850</v>
      </c>
      <c r="AQ277">
        <v>86850</v>
      </c>
      <c r="AR277">
        <v>1</v>
      </c>
      <c r="AS277" t="e">
        <v>#N/A</v>
      </c>
      <c r="AT277" t="e">
        <v>#N/A</v>
      </c>
    </row>
    <row r="278" spans="42:46">
      <c r="AP278">
        <v>86900</v>
      </c>
      <c r="AQ278">
        <v>86900</v>
      </c>
      <c r="AR278">
        <v>1</v>
      </c>
      <c r="AS278" t="e">
        <v>#N/A</v>
      </c>
      <c r="AT278" t="e">
        <v>#N/A</v>
      </c>
    </row>
    <row r="279" spans="42:46">
      <c r="AP279">
        <v>86950</v>
      </c>
      <c r="AQ279">
        <v>86950</v>
      </c>
      <c r="AR279">
        <v>1</v>
      </c>
      <c r="AS279" t="e">
        <v>#N/A</v>
      </c>
      <c r="AT279" t="e">
        <v>#N/A</v>
      </c>
    </row>
    <row r="280" spans="42:46">
      <c r="AP280">
        <v>87000</v>
      </c>
      <c r="AQ280">
        <v>87000</v>
      </c>
      <c r="AR280">
        <v>1</v>
      </c>
      <c r="AS280" t="e">
        <v>#N/A</v>
      </c>
      <c r="AT280" t="e">
        <v>#N/A</v>
      </c>
    </row>
    <row r="281" spans="42:46">
      <c r="AP281">
        <v>87050</v>
      </c>
      <c r="AQ281">
        <v>87050</v>
      </c>
      <c r="AR281">
        <v>1</v>
      </c>
      <c r="AS281" t="e">
        <v>#N/A</v>
      </c>
      <c r="AT281" t="e">
        <v>#N/A</v>
      </c>
    </row>
    <row r="282" spans="42:46">
      <c r="AP282">
        <v>87100</v>
      </c>
      <c r="AQ282">
        <v>87100</v>
      </c>
      <c r="AR282">
        <v>1</v>
      </c>
      <c r="AS282" t="e">
        <v>#N/A</v>
      </c>
      <c r="AT282" t="e">
        <v>#N/A</v>
      </c>
    </row>
    <row r="283" spans="42:46">
      <c r="AP283">
        <v>87150</v>
      </c>
      <c r="AQ283">
        <v>87150</v>
      </c>
      <c r="AR283">
        <v>1</v>
      </c>
      <c r="AS283" t="e">
        <v>#N/A</v>
      </c>
      <c r="AT283" t="e">
        <v>#N/A</v>
      </c>
    </row>
    <row r="284" spans="42:46">
      <c r="AP284">
        <v>87200</v>
      </c>
      <c r="AQ284">
        <v>87200</v>
      </c>
      <c r="AR284">
        <v>1</v>
      </c>
      <c r="AS284" t="e">
        <v>#N/A</v>
      </c>
      <c r="AT284" t="e">
        <v>#N/A</v>
      </c>
    </row>
    <row r="285" spans="42:46">
      <c r="AP285">
        <v>87250</v>
      </c>
      <c r="AQ285">
        <v>87250</v>
      </c>
      <c r="AR285">
        <v>1</v>
      </c>
      <c r="AS285" t="e">
        <v>#N/A</v>
      </c>
      <c r="AT285" t="e">
        <v>#N/A</v>
      </c>
    </row>
    <row r="286" spans="42:46">
      <c r="AP286">
        <v>87300</v>
      </c>
      <c r="AQ286">
        <v>87300</v>
      </c>
      <c r="AR286">
        <v>1</v>
      </c>
      <c r="AS286" t="e">
        <v>#N/A</v>
      </c>
      <c r="AT286" t="e">
        <v>#N/A</v>
      </c>
    </row>
    <row r="287" spans="42:46">
      <c r="AP287">
        <v>87350</v>
      </c>
      <c r="AQ287">
        <v>87350</v>
      </c>
      <c r="AR287">
        <v>1</v>
      </c>
      <c r="AS287" t="e">
        <v>#N/A</v>
      </c>
      <c r="AT287" t="e">
        <v>#N/A</v>
      </c>
    </row>
    <row r="288" spans="42:46">
      <c r="AP288">
        <v>87400</v>
      </c>
      <c r="AQ288">
        <v>87400</v>
      </c>
      <c r="AR288">
        <v>1</v>
      </c>
      <c r="AS288" t="e">
        <v>#N/A</v>
      </c>
      <c r="AT288" t="e">
        <v>#N/A</v>
      </c>
    </row>
    <row r="289" spans="42:46">
      <c r="AP289">
        <v>87450</v>
      </c>
      <c r="AQ289">
        <v>87450</v>
      </c>
      <c r="AR289">
        <v>1</v>
      </c>
      <c r="AS289" t="e">
        <v>#N/A</v>
      </c>
      <c r="AT289" t="e">
        <v>#N/A</v>
      </c>
    </row>
    <row r="290" spans="42:46">
      <c r="AP290">
        <v>87500</v>
      </c>
      <c r="AQ290">
        <v>87500</v>
      </c>
      <c r="AR290">
        <v>1</v>
      </c>
      <c r="AS290" t="e">
        <v>#N/A</v>
      </c>
      <c r="AT290" t="e">
        <v>#N/A</v>
      </c>
    </row>
    <row r="291" spans="42:46">
      <c r="AP291">
        <v>87550</v>
      </c>
      <c r="AQ291">
        <v>87550</v>
      </c>
      <c r="AR291">
        <v>1</v>
      </c>
      <c r="AS291" t="e">
        <v>#N/A</v>
      </c>
      <c r="AT291" t="e">
        <v>#N/A</v>
      </c>
    </row>
    <row r="292" spans="42:46">
      <c r="AP292">
        <v>87600</v>
      </c>
      <c r="AQ292">
        <v>87600</v>
      </c>
      <c r="AR292">
        <v>1</v>
      </c>
      <c r="AS292" t="e">
        <v>#N/A</v>
      </c>
      <c r="AT292" t="e">
        <v>#N/A</v>
      </c>
    </row>
    <row r="293" spans="42:46">
      <c r="AP293">
        <v>87650</v>
      </c>
      <c r="AQ293">
        <v>87650</v>
      </c>
      <c r="AR293">
        <v>1</v>
      </c>
      <c r="AS293" t="e">
        <v>#N/A</v>
      </c>
      <c r="AT293" t="e">
        <v>#N/A</v>
      </c>
    </row>
    <row r="294" spans="42:46">
      <c r="AP294">
        <v>87700</v>
      </c>
      <c r="AQ294">
        <v>87700</v>
      </c>
      <c r="AR294">
        <v>1</v>
      </c>
      <c r="AS294" t="e">
        <v>#N/A</v>
      </c>
      <c r="AT294" t="e">
        <v>#N/A</v>
      </c>
    </row>
    <row r="295" spans="42:46">
      <c r="AP295">
        <v>87750</v>
      </c>
      <c r="AQ295">
        <v>87750</v>
      </c>
      <c r="AR295">
        <v>1</v>
      </c>
      <c r="AS295" t="e">
        <v>#N/A</v>
      </c>
      <c r="AT295" t="e">
        <v>#N/A</v>
      </c>
    </row>
    <row r="296" spans="42:46">
      <c r="AP296">
        <v>87800</v>
      </c>
      <c r="AQ296">
        <v>87800</v>
      </c>
      <c r="AR296">
        <v>1</v>
      </c>
      <c r="AS296" t="e">
        <v>#N/A</v>
      </c>
      <c r="AT296" t="e">
        <v>#N/A</v>
      </c>
    </row>
    <row r="297" spans="42:46">
      <c r="AP297">
        <v>87850</v>
      </c>
      <c r="AQ297">
        <v>87850</v>
      </c>
      <c r="AR297">
        <v>1</v>
      </c>
      <c r="AS297" t="e">
        <v>#N/A</v>
      </c>
      <c r="AT297" t="e">
        <v>#N/A</v>
      </c>
    </row>
    <row r="298" spans="42:46">
      <c r="AP298">
        <v>87900</v>
      </c>
      <c r="AQ298">
        <v>87900</v>
      </c>
      <c r="AR298">
        <v>1</v>
      </c>
      <c r="AS298" t="e">
        <v>#N/A</v>
      </c>
      <c r="AT298" t="e">
        <v>#N/A</v>
      </c>
    </row>
    <row r="299" spans="42:46">
      <c r="AP299">
        <v>87950</v>
      </c>
      <c r="AQ299">
        <v>87950</v>
      </c>
      <c r="AR299">
        <v>1</v>
      </c>
      <c r="AS299" t="e">
        <v>#N/A</v>
      </c>
      <c r="AT299" t="e">
        <v>#N/A</v>
      </c>
    </row>
    <row r="300" spans="42:46">
      <c r="AP300">
        <v>88000</v>
      </c>
      <c r="AQ300">
        <v>88000</v>
      </c>
      <c r="AR300">
        <v>1</v>
      </c>
      <c r="AS300" t="e">
        <v>#N/A</v>
      </c>
      <c r="AT300" t="e">
        <v>#N/A</v>
      </c>
    </row>
    <row r="301" spans="42:46">
      <c r="AP301">
        <v>88050</v>
      </c>
      <c r="AQ301">
        <v>88050</v>
      </c>
      <c r="AR301">
        <v>1</v>
      </c>
      <c r="AS301" t="e">
        <v>#N/A</v>
      </c>
      <c r="AT301" t="e">
        <v>#N/A</v>
      </c>
    </row>
    <row r="302" spans="42:46">
      <c r="AP302">
        <v>88100</v>
      </c>
      <c r="AQ302">
        <v>88100</v>
      </c>
      <c r="AR302">
        <v>1</v>
      </c>
      <c r="AS302" t="e">
        <v>#N/A</v>
      </c>
      <c r="AT302" t="e">
        <v>#N/A</v>
      </c>
    </row>
    <row r="303" spans="42:46">
      <c r="AP303">
        <v>88150</v>
      </c>
      <c r="AQ303">
        <v>88150</v>
      </c>
      <c r="AR303">
        <v>1</v>
      </c>
      <c r="AS303" t="e">
        <v>#N/A</v>
      </c>
      <c r="AT303" t="e">
        <v>#N/A</v>
      </c>
    </row>
    <row r="304" spans="42:46">
      <c r="AP304">
        <v>88200</v>
      </c>
      <c r="AQ304">
        <v>88200</v>
      </c>
      <c r="AR304">
        <v>1</v>
      </c>
      <c r="AS304" t="e">
        <v>#N/A</v>
      </c>
      <c r="AT304" t="e">
        <v>#N/A</v>
      </c>
    </row>
    <row r="305" spans="42:46">
      <c r="AP305">
        <v>88250</v>
      </c>
      <c r="AQ305">
        <v>88250</v>
      </c>
      <c r="AR305">
        <v>1</v>
      </c>
      <c r="AS305" t="e">
        <v>#N/A</v>
      </c>
      <c r="AT305" t="e">
        <v>#N/A</v>
      </c>
    </row>
    <row r="306" spans="42:46">
      <c r="AP306">
        <v>88300</v>
      </c>
      <c r="AQ306">
        <v>88300</v>
      </c>
      <c r="AR306">
        <v>1</v>
      </c>
      <c r="AS306" t="e">
        <v>#N/A</v>
      </c>
      <c r="AT306" t="e">
        <v>#N/A</v>
      </c>
    </row>
    <row r="307" spans="42:46">
      <c r="AP307">
        <v>88350</v>
      </c>
      <c r="AQ307">
        <v>88350</v>
      </c>
      <c r="AR307">
        <v>1</v>
      </c>
      <c r="AS307" t="e">
        <v>#N/A</v>
      </c>
      <c r="AT307" t="e">
        <v>#N/A</v>
      </c>
    </row>
    <row r="308" spans="42:46">
      <c r="AP308">
        <v>88400</v>
      </c>
      <c r="AQ308">
        <v>88400</v>
      </c>
      <c r="AR308">
        <v>1</v>
      </c>
      <c r="AS308" t="e">
        <v>#N/A</v>
      </c>
      <c r="AT308" t="e">
        <v>#N/A</v>
      </c>
    </row>
    <row r="309" spans="42:46">
      <c r="AP309">
        <v>88450</v>
      </c>
      <c r="AQ309">
        <v>88450</v>
      </c>
      <c r="AR309">
        <v>1</v>
      </c>
      <c r="AS309" t="e">
        <v>#N/A</v>
      </c>
      <c r="AT309" t="e">
        <v>#N/A</v>
      </c>
    </row>
    <row r="310" spans="42:46">
      <c r="AP310">
        <v>88500</v>
      </c>
      <c r="AQ310">
        <v>88500</v>
      </c>
      <c r="AR310">
        <v>1</v>
      </c>
      <c r="AS310" t="e">
        <v>#N/A</v>
      </c>
      <c r="AT310" t="e">
        <v>#N/A</v>
      </c>
    </row>
    <row r="311" spans="42:46">
      <c r="AP311">
        <v>88550</v>
      </c>
      <c r="AQ311">
        <v>88550</v>
      </c>
      <c r="AR311">
        <v>1</v>
      </c>
      <c r="AS311" t="e">
        <v>#N/A</v>
      </c>
      <c r="AT311" t="e">
        <v>#N/A</v>
      </c>
    </row>
    <row r="312" spans="42:46">
      <c r="AP312">
        <v>88600</v>
      </c>
      <c r="AQ312">
        <v>88600</v>
      </c>
      <c r="AR312">
        <v>1</v>
      </c>
      <c r="AS312" t="e">
        <v>#N/A</v>
      </c>
      <c r="AT312" t="e">
        <v>#N/A</v>
      </c>
    </row>
    <row r="313" spans="42:46">
      <c r="AP313">
        <v>88650</v>
      </c>
      <c r="AQ313">
        <v>88650</v>
      </c>
      <c r="AR313">
        <v>1</v>
      </c>
      <c r="AS313" t="e">
        <v>#N/A</v>
      </c>
      <c r="AT313" t="e">
        <v>#N/A</v>
      </c>
    </row>
    <row r="314" spans="42:46">
      <c r="AP314">
        <v>88700</v>
      </c>
      <c r="AQ314">
        <v>88700</v>
      </c>
      <c r="AR314">
        <v>1</v>
      </c>
      <c r="AS314" t="e">
        <v>#N/A</v>
      </c>
      <c r="AT314" t="e">
        <v>#N/A</v>
      </c>
    </row>
    <row r="315" spans="42:46">
      <c r="AP315">
        <v>88750</v>
      </c>
      <c r="AQ315">
        <v>88750</v>
      </c>
      <c r="AR315">
        <v>1</v>
      </c>
      <c r="AS315" t="e">
        <v>#N/A</v>
      </c>
      <c r="AT315" t="e">
        <v>#N/A</v>
      </c>
    </row>
    <row r="316" spans="42:46">
      <c r="AP316">
        <v>88800</v>
      </c>
      <c r="AQ316">
        <v>88800</v>
      </c>
      <c r="AR316">
        <v>1</v>
      </c>
      <c r="AS316" t="e">
        <v>#N/A</v>
      </c>
      <c r="AT316" t="e">
        <v>#N/A</v>
      </c>
    </row>
    <row r="317" spans="42:46">
      <c r="AP317">
        <v>88850</v>
      </c>
      <c r="AQ317">
        <v>88850</v>
      </c>
      <c r="AR317">
        <v>1</v>
      </c>
      <c r="AS317" t="e">
        <v>#N/A</v>
      </c>
      <c r="AT317" t="e">
        <v>#N/A</v>
      </c>
    </row>
    <row r="318" spans="42:46">
      <c r="AP318">
        <v>88900</v>
      </c>
      <c r="AQ318">
        <v>88900</v>
      </c>
      <c r="AR318">
        <v>1</v>
      </c>
      <c r="AS318" t="e">
        <v>#N/A</v>
      </c>
      <c r="AT318" t="e">
        <v>#N/A</v>
      </c>
    </row>
    <row r="319" spans="42:46">
      <c r="AP319">
        <v>88950</v>
      </c>
      <c r="AQ319">
        <v>88950</v>
      </c>
      <c r="AR319">
        <v>1</v>
      </c>
      <c r="AS319" t="e">
        <v>#N/A</v>
      </c>
      <c r="AT319" t="e">
        <v>#N/A</v>
      </c>
    </row>
    <row r="320" spans="42:46">
      <c r="AP320">
        <v>89000</v>
      </c>
      <c r="AQ320">
        <v>89000</v>
      </c>
      <c r="AR320">
        <v>1</v>
      </c>
      <c r="AS320" t="e">
        <v>#N/A</v>
      </c>
      <c r="AT320" t="e">
        <v>#N/A</v>
      </c>
    </row>
    <row r="321" spans="42:46">
      <c r="AP321">
        <v>89050</v>
      </c>
      <c r="AQ321">
        <v>89050</v>
      </c>
      <c r="AR321">
        <v>1</v>
      </c>
      <c r="AS321" t="e">
        <v>#N/A</v>
      </c>
      <c r="AT321" t="e">
        <v>#N/A</v>
      </c>
    </row>
    <row r="322" spans="42:46">
      <c r="AP322">
        <v>89100</v>
      </c>
      <c r="AQ322">
        <v>89100</v>
      </c>
      <c r="AR322">
        <v>1</v>
      </c>
      <c r="AS322" t="e">
        <v>#N/A</v>
      </c>
      <c r="AT322" t="e">
        <v>#N/A</v>
      </c>
    </row>
    <row r="323" spans="42:46">
      <c r="AP323">
        <v>89150</v>
      </c>
      <c r="AQ323">
        <v>89150</v>
      </c>
      <c r="AR323">
        <v>1</v>
      </c>
      <c r="AS323" t="e">
        <v>#N/A</v>
      </c>
      <c r="AT323" t="e">
        <v>#N/A</v>
      </c>
    </row>
    <row r="324" spans="42:46">
      <c r="AP324">
        <v>89200</v>
      </c>
      <c r="AQ324">
        <v>89200</v>
      </c>
      <c r="AR324">
        <v>1</v>
      </c>
      <c r="AS324" t="e">
        <v>#N/A</v>
      </c>
      <c r="AT324" t="e">
        <v>#N/A</v>
      </c>
    </row>
    <row r="325" spans="42:46">
      <c r="AP325">
        <v>89250</v>
      </c>
      <c r="AQ325">
        <v>89250</v>
      </c>
      <c r="AR325">
        <v>1</v>
      </c>
      <c r="AS325" t="e">
        <v>#N/A</v>
      </c>
      <c r="AT325" t="e">
        <v>#N/A</v>
      </c>
    </row>
    <row r="326" spans="42:46">
      <c r="AP326">
        <v>89300</v>
      </c>
      <c r="AQ326">
        <v>89300</v>
      </c>
      <c r="AR326">
        <v>1</v>
      </c>
      <c r="AS326" t="e">
        <v>#N/A</v>
      </c>
      <c r="AT326" t="e">
        <v>#N/A</v>
      </c>
    </row>
    <row r="327" spans="42:46">
      <c r="AP327">
        <v>89350</v>
      </c>
      <c r="AQ327">
        <v>89350</v>
      </c>
      <c r="AR327">
        <v>1</v>
      </c>
      <c r="AS327" t="e">
        <v>#N/A</v>
      </c>
      <c r="AT327" t="e">
        <v>#N/A</v>
      </c>
    </row>
    <row r="328" spans="42:46">
      <c r="AP328">
        <v>89400</v>
      </c>
      <c r="AQ328">
        <v>89400</v>
      </c>
      <c r="AR328">
        <v>1</v>
      </c>
      <c r="AS328" t="e">
        <v>#N/A</v>
      </c>
      <c r="AT328" t="e">
        <v>#N/A</v>
      </c>
    </row>
    <row r="329" spans="42:46">
      <c r="AP329">
        <v>89450</v>
      </c>
      <c r="AQ329">
        <v>89450</v>
      </c>
      <c r="AR329">
        <v>1</v>
      </c>
      <c r="AS329" t="e">
        <v>#N/A</v>
      </c>
      <c r="AT329" t="e">
        <v>#N/A</v>
      </c>
    </row>
    <row r="330" spans="42:46">
      <c r="AP330">
        <v>89500</v>
      </c>
      <c r="AQ330">
        <v>89500</v>
      </c>
      <c r="AR330">
        <v>1</v>
      </c>
      <c r="AS330" t="e">
        <v>#N/A</v>
      </c>
      <c r="AT330" t="e">
        <v>#N/A</v>
      </c>
    </row>
    <row r="331" spans="42:46">
      <c r="AP331">
        <v>89550</v>
      </c>
      <c r="AQ331">
        <v>89550</v>
      </c>
      <c r="AR331">
        <v>1</v>
      </c>
      <c r="AS331" t="e">
        <v>#N/A</v>
      </c>
      <c r="AT331" t="e">
        <v>#N/A</v>
      </c>
    </row>
    <row r="332" spans="42:46">
      <c r="AP332">
        <v>89600</v>
      </c>
      <c r="AQ332">
        <v>89600</v>
      </c>
      <c r="AR332">
        <v>1</v>
      </c>
      <c r="AS332" t="e">
        <v>#N/A</v>
      </c>
      <c r="AT332" t="e">
        <v>#N/A</v>
      </c>
    </row>
    <row r="333" spans="42:46">
      <c r="AP333">
        <v>89650</v>
      </c>
      <c r="AQ333">
        <v>89650</v>
      </c>
      <c r="AR333">
        <v>1</v>
      </c>
      <c r="AS333" t="e">
        <v>#N/A</v>
      </c>
      <c r="AT333" t="e">
        <v>#N/A</v>
      </c>
    </row>
    <row r="334" spans="42:46">
      <c r="AP334">
        <v>89700</v>
      </c>
      <c r="AQ334">
        <v>89700</v>
      </c>
      <c r="AR334">
        <v>1</v>
      </c>
      <c r="AS334" t="e">
        <v>#N/A</v>
      </c>
      <c r="AT334" t="e">
        <v>#N/A</v>
      </c>
    </row>
    <row r="335" spans="42:46">
      <c r="AP335">
        <v>89750</v>
      </c>
      <c r="AQ335">
        <v>89750</v>
      </c>
      <c r="AR335">
        <v>1</v>
      </c>
      <c r="AS335" t="e">
        <v>#N/A</v>
      </c>
      <c r="AT335" t="e">
        <v>#N/A</v>
      </c>
    </row>
    <row r="336" spans="42:46">
      <c r="AP336">
        <v>89800</v>
      </c>
      <c r="AQ336">
        <v>89800</v>
      </c>
      <c r="AR336">
        <v>1</v>
      </c>
      <c r="AS336" t="e">
        <v>#N/A</v>
      </c>
      <c r="AT336" t="e">
        <v>#N/A</v>
      </c>
    </row>
    <row r="337" spans="42:46">
      <c r="AP337">
        <v>89850</v>
      </c>
      <c r="AQ337">
        <v>89850</v>
      </c>
      <c r="AR337">
        <v>1</v>
      </c>
      <c r="AS337" t="e">
        <v>#N/A</v>
      </c>
      <c r="AT337" t="e">
        <v>#N/A</v>
      </c>
    </row>
    <row r="338" spans="42:46">
      <c r="AP338">
        <v>89900</v>
      </c>
      <c r="AQ338">
        <v>89900</v>
      </c>
      <c r="AR338">
        <v>1</v>
      </c>
      <c r="AS338" t="e">
        <v>#N/A</v>
      </c>
      <c r="AT338" t="e">
        <v>#N/A</v>
      </c>
    </row>
    <row r="339" spans="42:46">
      <c r="AP339">
        <v>89950</v>
      </c>
      <c r="AQ339">
        <v>89950</v>
      </c>
      <c r="AR339">
        <v>1</v>
      </c>
      <c r="AS339" t="e">
        <v>#N/A</v>
      </c>
      <c r="AT339" t="e">
        <v>#N/A</v>
      </c>
    </row>
    <row r="340" spans="42:46">
      <c r="AP340">
        <v>90000</v>
      </c>
      <c r="AQ340">
        <v>90000</v>
      </c>
      <c r="AR340">
        <v>1</v>
      </c>
      <c r="AS340" t="e">
        <v>#N/A</v>
      </c>
      <c r="AT340" t="e">
        <v>#N/A</v>
      </c>
    </row>
    <row r="341" spans="42:46">
      <c r="AP341">
        <v>90050</v>
      </c>
      <c r="AQ341">
        <v>90050</v>
      </c>
      <c r="AR341">
        <v>1</v>
      </c>
      <c r="AS341" t="e">
        <v>#N/A</v>
      </c>
      <c r="AT341" t="e">
        <v>#N/A</v>
      </c>
    </row>
    <row r="342" spans="42:46">
      <c r="AP342">
        <v>90100</v>
      </c>
      <c r="AQ342">
        <v>90100</v>
      </c>
      <c r="AR342">
        <v>1</v>
      </c>
      <c r="AS342" t="e">
        <v>#N/A</v>
      </c>
      <c r="AT342" t="e">
        <v>#N/A</v>
      </c>
    </row>
    <row r="343" spans="42:46">
      <c r="AP343">
        <v>90150</v>
      </c>
      <c r="AQ343">
        <v>90150</v>
      </c>
      <c r="AR343">
        <v>1</v>
      </c>
      <c r="AS343" t="e">
        <v>#N/A</v>
      </c>
      <c r="AT343" t="e">
        <v>#N/A</v>
      </c>
    </row>
    <row r="344" spans="42:46">
      <c r="AP344">
        <v>90200</v>
      </c>
      <c r="AQ344">
        <v>90200</v>
      </c>
      <c r="AR344">
        <v>1</v>
      </c>
      <c r="AS344" t="e">
        <v>#N/A</v>
      </c>
      <c r="AT344" t="e">
        <v>#N/A</v>
      </c>
    </row>
    <row r="345" spans="42:46">
      <c r="AP345">
        <v>90250</v>
      </c>
      <c r="AQ345">
        <v>90250</v>
      </c>
      <c r="AR345">
        <v>1</v>
      </c>
      <c r="AS345" t="e">
        <v>#N/A</v>
      </c>
      <c r="AT345" t="e">
        <v>#N/A</v>
      </c>
    </row>
    <row r="346" spans="42:46">
      <c r="AP346">
        <v>90300</v>
      </c>
      <c r="AQ346">
        <v>90300</v>
      </c>
      <c r="AR346">
        <v>1</v>
      </c>
      <c r="AS346" t="e">
        <v>#N/A</v>
      </c>
      <c r="AT346" t="e">
        <v>#N/A</v>
      </c>
    </row>
    <row r="347" spans="42:46">
      <c r="AP347">
        <v>90350</v>
      </c>
      <c r="AQ347">
        <v>90350</v>
      </c>
      <c r="AR347">
        <v>1</v>
      </c>
      <c r="AS347" t="e">
        <v>#N/A</v>
      </c>
      <c r="AT347" t="e">
        <v>#N/A</v>
      </c>
    </row>
    <row r="348" spans="42:46">
      <c r="AP348">
        <v>90400</v>
      </c>
      <c r="AQ348">
        <v>90400</v>
      </c>
      <c r="AR348">
        <v>1</v>
      </c>
      <c r="AS348" t="e">
        <v>#N/A</v>
      </c>
      <c r="AT348" t="e">
        <v>#N/A</v>
      </c>
    </row>
    <row r="349" spans="42:46">
      <c r="AP349">
        <v>90450</v>
      </c>
      <c r="AQ349">
        <v>90450</v>
      </c>
      <c r="AR349">
        <v>1</v>
      </c>
      <c r="AS349" t="e">
        <v>#N/A</v>
      </c>
      <c r="AT349" t="e">
        <v>#N/A</v>
      </c>
    </row>
    <row r="350" spans="42:46">
      <c r="AP350">
        <v>90500</v>
      </c>
      <c r="AQ350">
        <v>90500</v>
      </c>
      <c r="AR350">
        <v>1</v>
      </c>
      <c r="AS350" t="e">
        <v>#N/A</v>
      </c>
      <c r="AT350" t="e">
        <v>#N/A</v>
      </c>
    </row>
    <row r="351" spans="42:46">
      <c r="AP351">
        <v>90550</v>
      </c>
      <c r="AQ351">
        <v>90550</v>
      </c>
      <c r="AR351">
        <v>1</v>
      </c>
      <c r="AS351" t="e">
        <v>#N/A</v>
      </c>
      <c r="AT351" t="e">
        <v>#N/A</v>
      </c>
    </row>
    <row r="352" spans="42:46">
      <c r="AP352">
        <v>90600</v>
      </c>
      <c r="AQ352">
        <v>90600</v>
      </c>
      <c r="AR352">
        <v>1</v>
      </c>
      <c r="AS352" t="e">
        <v>#N/A</v>
      </c>
      <c r="AT352" t="e">
        <v>#N/A</v>
      </c>
    </row>
    <row r="353" spans="42:46">
      <c r="AP353">
        <v>90650</v>
      </c>
      <c r="AQ353">
        <v>90650</v>
      </c>
      <c r="AR353">
        <v>1</v>
      </c>
      <c r="AS353" t="e">
        <v>#N/A</v>
      </c>
      <c r="AT353" t="e">
        <v>#N/A</v>
      </c>
    </row>
    <row r="354" spans="42:46">
      <c r="AP354">
        <v>90700</v>
      </c>
      <c r="AQ354">
        <v>90700</v>
      </c>
      <c r="AR354">
        <v>1</v>
      </c>
      <c r="AS354" t="e">
        <v>#N/A</v>
      </c>
      <c r="AT354" t="e">
        <v>#N/A</v>
      </c>
    </row>
    <row r="355" spans="42:46">
      <c r="AP355">
        <v>90750</v>
      </c>
      <c r="AQ355">
        <v>90750</v>
      </c>
      <c r="AR355">
        <v>1</v>
      </c>
      <c r="AS355" t="e">
        <v>#N/A</v>
      </c>
      <c r="AT355" t="e">
        <v>#N/A</v>
      </c>
    </row>
    <row r="356" spans="42:46">
      <c r="AP356">
        <v>90800</v>
      </c>
      <c r="AQ356">
        <v>90800</v>
      </c>
      <c r="AR356">
        <v>1</v>
      </c>
      <c r="AS356" t="e">
        <v>#N/A</v>
      </c>
      <c r="AT356" t="e">
        <v>#N/A</v>
      </c>
    </row>
    <row r="357" spans="42:46">
      <c r="AP357">
        <v>90850</v>
      </c>
      <c r="AQ357">
        <v>90850</v>
      </c>
      <c r="AR357">
        <v>1</v>
      </c>
      <c r="AS357" t="e">
        <v>#N/A</v>
      </c>
      <c r="AT357" t="e">
        <v>#N/A</v>
      </c>
    </row>
    <row r="358" spans="42:46">
      <c r="AP358">
        <v>90900</v>
      </c>
      <c r="AQ358">
        <v>90900</v>
      </c>
      <c r="AR358">
        <v>1</v>
      </c>
      <c r="AS358" t="e">
        <v>#N/A</v>
      </c>
      <c r="AT358" t="e">
        <v>#N/A</v>
      </c>
    </row>
    <row r="359" spans="42:46">
      <c r="AP359">
        <v>90950</v>
      </c>
      <c r="AQ359">
        <v>90950</v>
      </c>
      <c r="AR359">
        <v>1</v>
      </c>
      <c r="AS359" t="e">
        <v>#N/A</v>
      </c>
      <c r="AT359" t="e">
        <v>#N/A</v>
      </c>
    </row>
    <row r="360" spans="42:46">
      <c r="AP360">
        <v>91000</v>
      </c>
      <c r="AQ360">
        <v>91000</v>
      </c>
      <c r="AR360">
        <v>1</v>
      </c>
      <c r="AS360" t="e">
        <v>#N/A</v>
      </c>
      <c r="AT360" t="e">
        <v>#N/A</v>
      </c>
    </row>
    <row r="361" spans="42:46">
      <c r="AP361">
        <v>91050</v>
      </c>
      <c r="AQ361">
        <v>91050</v>
      </c>
      <c r="AR361">
        <v>1</v>
      </c>
      <c r="AS361" t="e">
        <v>#N/A</v>
      </c>
      <c r="AT361" t="e">
        <v>#N/A</v>
      </c>
    </row>
    <row r="362" spans="42:46">
      <c r="AP362">
        <v>91100</v>
      </c>
      <c r="AQ362">
        <v>91100</v>
      </c>
      <c r="AR362">
        <v>1</v>
      </c>
      <c r="AS362" t="e">
        <v>#N/A</v>
      </c>
      <c r="AT362" t="e">
        <v>#N/A</v>
      </c>
    </row>
    <row r="363" spans="42:46">
      <c r="AP363">
        <v>91150</v>
      </c>
      <c r="AQ363">
        <v>91150</v>
      </c>
      <c r="AR363">
        <v>1</v>
      </c>
      <c r="AS363" t="e">
        <v>#N/A</v>
      </c>
      <c r="AT363" t="e">
        <v>#N/A</v>
      </c>
    </row>
    <row r="364" spans="42:46">
      <c r="AP364">
        <v>91200</v>
      </c>
      <c r="AQ364">
        <v>91200</v>
      </c>
      <c r="AR364">
        <v>1</v>
      </c>
      <c r="AS364" t="e">
        <v>#N/A</v>
      </c>
      <c r="AT364" t="e">
        <v>#N/A</v>
      </c>
    </row>
    <row r="365" spans="42:46">
      <c r="AP365">
        <v>91250</v>
      </c>
      <c r="AQ365">
        <v>91250</v>
      </c>
      <c r="AR365">
        <v>1</v>
      </c>
      <c r="AS365" t="e">
        <v>#N/A</v>
      </c>
      <c r="AT365" t="e">
        <v>#N/A</v>
      </c>
    </row>
    <row r="366" spans="42:46">
      <c r="AP366">
        <v>91300</v>
      </c>
      <c r="AQ366">
        <v>91300</v>
      </c>
      <c r="AR366">
        <v>1</v>
      </c>
      <c r="AS366" t="e">
        <v>#N/A</v>
      </c>
      <c r="AT366" t="e">
        <v>#N/A</v>
      </c>
    </row>
    <row r="367" spans="42:46">
      <c r="AP367">
        <v>91350</v>
      </c>
      <c r="AQ367">
        <v>91350</v>
      </c>
      <c r="AR367">
        <v>1</v>
      </c>
      <c r="AS367" t="e">
        <v>#N/A</v>
      </c>
      <c r="AT367" t="e">
        <v>#N/A</v>
      </c>
    </row>
    <row r="368" spans="42:46">
      <c r="AP368">
        <v>91400</v>
      </c>
      <c r="AQ368">
        <v>91400</v>
      </c>
      <c r="AR368">
        <v>1</v>
      </c>
      <c r="AS368" t="e">
        <v>#N/A</v>
      </c>
      <c r="AT368" t="e">
        <v>#N/A</v>
      </c>
    </row>
    <row r="369" spans="42:46">
      <c r="AP369">
        <v>91450</v>
      </c>
      <c r="AQ369">
        <v>91450</v>
      </c>
      <c r="AR369">
        <v>1</v>
      </c>
      <c r="AS369" t="e">
        <v>#N/A</v>
      </c>
      <c r="AT369" t="e">
        <v>#N/A</v>
      </c>
    </row>
    <row r="370" spans="42:46">
      <c r="AP370">
        <v>91500</v>
      </c>
      <c r="AQ370">
        <v>91500</v>
      </c>
      <c r="AR370">
        <v>1</v>
      </c>
      <c r="AS370" t="e">
        <v>#N/A</v>
      </c>
      <c r="AT370" t="e">
        <v>#N/A</v>
      </c>
    </row>
    <row r="371" spans="42:46">
      <c r="AP371">
        <v>91550</v>
      </c>
      <c r="AQ371">
        <v>91550</v>
      </c>
      <c r="AR371">
        <v>1</v>
      </c>
      <c r="AS371" t="e">
        <v>#N/A</v>
      </c>
      <c r="AT371" t="e">
        <v>#N/A</v>
      </c>
    </row>
    <row r="372" spans="42:46">
      <c r="AP372">
        <v>91600</v>
      </c>
      <c r="AQ372">
        <v>91600</v>
      </c>
      <c r="AR372">
        <v>1</v>
      </c>
      <c r="AS372" t="e">
        <v>#N/A</v>
      </c>
      <c r="AT372" t="e">
        <v>#N/A</v>
      </c>
    </row>
    <row r="373" spans="42:46">
      <c r="AP373">
        <v>91650</v>
      </c>
      <c r="AQ373">
        <v>91650</v>
      </c>
      <c r="AR373">
        <v>1</v>
      </c>
      <c r="AS373" t="e">
        <v>#N/A</v>
      </c>
      <c r="AT373" t="e">
        <v>#N/A</v>
      </c>
    </row>
    <row r="374" spans="42:46">
      <c r="AP374">
        <v>91700</v>
      </c>
      <c r="AQ374">
        <v>91700</v>
      </c>
      <c r="AR374">
        <v>1</v>
      </c>
      <c r="AS374" t="e">
        <v>#N/A</v>
      </c>
      <c r="AT374" t="e">
        <v>#N/A</v>
      </c>
    </row>
    <row r="375" spans="42:46">
      <c r="AP375">
        <v>91750</v>
      </c>
      <c r="AQ375">
        <v>91750</v>
      </c>
      <c r="AR375">
        <v>1</v>
      </c>
      <c r="AS375" t="e">
        <v>#N/A</v>
      </c>
      <c r="AT375" t="e">
        <v>#N/A</v>
      </c>
    </row>
    <row r="376" spans="42:46">
      <c r="AP376">
        <v>91800</v>
      </c>
      <c r="AQ376">
        <v>91800</v>
      </c>
      <c r="AR376">
        <v>1</v>
      </c>
      <c r="AS376" t="e">
        <v>#N/A</v>
      </c>
      <c r="AT376" t="e">
        <v>#N/A</v>
      </c>
    </row>
    <row r="377" spans="42:46">
      <c r="AP377">
        <v>91850</v>
      </c>
      <c r="AQ377">
        <v>91850</v>
      </c>
      <c r="AR377">
        <v>1</v>
      </c>
      <c r="AS377" t="e">
        <v>#N/A</v>
      </c>
      <c r="AT377" t="e">
        <v>#N/A</v>
      </c>
    </row>
    <row r="378" spans="42:46">
      <c r="AP378">
        <v>91900</v>
      </c>
      <c r="AQ378">
        <v>91900</v>
      </c>
      <c r="AR378">
        <v>1</v>
      </c>
      <c r="AS378" t="e">
        <v>#N/A</v>
      </c>
      <c r="AT378" t="e">
        <v>#N/A</v>
      </c>
    </row>
    <row r="379" spans="42:46">
      <c r="AP379">
        <v>91950</v>
      </c>
      <c r="AQ379">
        <v>91950</v>
      </c>
      <c r="AR379">
        <v>1</v>
      </c>
      <c r="AS379" t="e">
        <v>#N/A</v>
      </c>
      <c r="AT379" t="e">
        <v>#N/A</v>
      </c>
    </row>
    <row r="380" spans="42:46">
      <c r="AP380">
        <v>92000</v>
      </c>
      <c r="AQ380">
        <v>92000</v>
      </c>
      <c r="AR380">
        <v>1</v>
      </c>
      <c r="AS380" t="e">
        <v>#N/A</v>
      </c>
      <c r="AT380" t="e">
        <v>#N/A</v>
      </c>
    </row>
    <row r="381" spans="42:46">
      <c r="AP381">
        <v>92050</v>
      </c>
      <c r="AQ381">
        <v>92050</v>
      </c>
      <c r="AR381">
        <v>1</v>
      </c>
      <c r="AS381" t="e">
        <v>#N/A</v>
      </c>
      <c r="AT381" t="e">
        <v>#N/A</v>
      </c>
    </row>
    <row r="382" spans="42:46">
      <c r="AP382">
        <v>92100</v>
      </c>
      <c r="AQ382">
        <v>92100</v>
      </c>
      <c r="AR382">
        <v>1</v>
      </c>
      <c r="AS382" t="e">
        <v>#N/A</v>
      </c>
      <c r="AT382" t="e">
        <v>#N/A</v>
      </c>
    </row>
    <row r="383" spans="42:46">
      <c r="AP383">
        <v>92150</v>
      </c>
      <c r="AQ383">
        <v>92150</v>
      </c>
      <c r="AR383">
        <v>1</v>
      </c>
      <c r="AS383" t="e">
        <v>#N/A</v>
      </c>
      <c r="AT383" t="e">
        <v>#N/A</v>
      </c>
    </row>
    <row r="384" spans="42:46">
      <c r="AP384">
        <v>92200</v>
      </c>
      <c r="AQ384">
        <v>92200</v>
      </c>
      <c r="AR384">
        <v>1</v>
      </c>
      <c r="AS384" t="e">
        <v>#N/A</v>
      </c>
      <c r="AT384" t="e">
        <v>#N/A</v>
      </c>
    </row>
    <row r="385" spans="42:46">
      <c r="AP385">
        <v>92250</v>
      </c>
      <c r="AQ385">
        <v>92250</v>
      </c>
      <c r="AR385">
        <v>1</v>
      </c>
      <c r="AS385" t="e">
        <v>#N/A</v>
      </c>
      <c r="AT385" t="e">
        <v>#N/A</v>
      </c>
    </row>
    <row r="386" spans="42:46">
      <c r="AP386">
        <v>92300</v>
      </c>
      <c r="AQ386">
        <v>92300</v>
      </c>
      <c r="AR386">
        <v>1</v>
      </c>
      <c r="AS386" t="e">
        <v>#N/A</v>
      </c>
      <c r="AT386" t="e">
        <v>#N/A</v>
      </c>
    </row>
    <row r="387" spans="42:46">
      <c r="AP387">
        <v>92350</v>
      </c>
      <c r="AQ387">
        <v>92350</v>
      </c>
      <c r="AR387">
        <v>1</v>
      </c>
      <c r="AS387" t="e">
        <v>#N/A</v>
      </c>
      <c r="AT387" t="e">
        <v>#N/A</v>
      </c>
    </row>
    <row r="388" spans="42:46">
      <c r="AP388">
        <v>92400</v>
      </c>
      <c r="AQ388">
        <v>92400</v>
      </c>
      <c r="AR388">
        <v>1</v>
      </c>
      <c r="AS388" t="e">
        <v>#N/A</v>
      </c>
      <c r="AT388" t="e">
        <v>#N/A</v>
      </c>
    </row>
    <row r="389" spans="42:46">
      <c r="AP389">
        <v>92450</v>
      </c>
      <c r="AQ389">
        <v>92450</v>
      </c>
      <c r="AR389">
        <v>1</v>
      </c>
      <c r="AS389" t="e">
        <v>#N/A</v>
      </c>
      <c r="AT389" t="e">
        <v>#N/A</v>
      </c>
    </row>
    <row r="390" spans="42:46">
      <c r="AP390">
        <v>92500</v>
      </c>
      <c r="AQ390">
        <v>92500</v>
      </c>
      <c r="AR390">
        <v>1</v>
      </c>
      <c r="AS390" t="e">
        <v>#N/A</v>
      </c>
      <c r="AT390" t="e">
        <v>#N/A</v>
      </c>
    </row>
    <row r="391" spans="42:46">
      <c r="AP391">
        <v>92550</v>
      </c>
      <c r="AQ391">
        <v>92550</v>
      </c>
      <c r="AR391">
        <v>1</v>
      </c>
      <c r="AS391" t="e">
        <v>#N/A</v>
      </c>
      <c r="AT391" t="e">
        <v>#N/A</v>
      </c>
    </row>
    <row r="392" spans="42:46">
      <c r="AP392">
        <v>92600</v>
      </c>
      <c r="AQ392">
        <v>92600</v>
      </c>
      <c r="AR392">
        <v>1</v>
      </c>
      <c r="AS392" t="e">
        <v>#N/A</v>
      </c>
      <c r="AT392" t="e">
        <v>#N/A</v>
      </c>
    </row>
    <row r="393" spans="42:46">
      <c r="AP393">
        <v>92650</v>
      </c>
      <c r="AQ393">
        <v>92650</v>
      </c>
      <c r="AR393">
        <v>1</v>
      </c>
      <c r="AS393" t="e">
        <v>#N/A</v>
      </c>
      <c r="AT393" t="e">
        <v>#N/A</v>
      </c>
    </row>
    <row r="394" spans="42:46">
      <c r="AP394">
        <v>92700</v>
      </c>
      <c r="AQ394">
        <v>92700</v>
      </c>
      <c r="AR394">
        <v>1</v>
      </c>
      <c r="AS394" t="e">
        <v>#N/A</v>
      </c>
      <c r="AT394" t="e">
        <v>#N/A</v>
      </c>
    </row>
    <row r="395" spans="42:46">
      <c r="AP395">
        <v>92750</v>
      </c>
      <c r="AQ395">
        <v>92750</v>
      </c>
      <c r="AR395">
        <v>1</v>
      </c>
      <c r="AS395" t="e">
        <v>#N/A</v>
      </c>
      <c r="AT395" t="e">
        <v>#N/A</v>
      </c>
    </row>
    <row r="396" spans="42:46">
      <c r="AP396">
        <v>92800</v>
      </c>
      <c r="AQ396">
        <v>92800</v>
      </c>
      <c r="AR396">
        <v>1</v>
      </c>
      <c r="AS396" t="e">
        <v>#N/A</v>
      </c>
      <c r="AT396" t="e">
        <v>#N/A</v>
      </c>
    </row>
    <row r="397" spans="42:46">
      <c r="AP397">
        <v>92850</v>
      </c>
      <c r="AQ397">
        <v>92850</v>
      </c>
      <c r="AR397">
        <v>1</v>
      </c>
      <c r="AS397" t="e">
        <v>#N/A</v>
      </c>
      <c r="AT397" t="e">
        <v>#N/A</v>
      </c>
    </row>
    <row r="398" spans="42:46">
      <c r="AP398">
        <v>92900</v>
      </c>
      <c r="AQ398">
        <v>92900</v>
      </c>
      <c r="AR398">
        <v>1</v>
      </c>
      <c r="AS398" t="e">
        <v>#N/A</v>
      </c>
      <c r="AT398" t="e">
        <v>#N/A</v>
      </c>
    </row>
    <row r="399" spans="42:46">
      <c r="AP399">
        <v>92950</v>
      </c>
      <c r="AQ399">
        <v>92950</v>
      </c>
      <c r="AR399">
        <v>1</v>
      </c>
      <c r="AS399" t="e">
        <v>#N/A</v>
      </c>
      <c r="AT399" t="e">
        <v>#N/A</v>
      </c>
    </row>
    <row r="400" spans="42:46">
      <c r="AP400">
        <v>93000</v>
      </c>
      <c r="AQ400">
        <v>93000</v>
      </c>
      <c r="AR400">
        <v>1</v>
      </c>
      <c r="AS400" t="e">
        <v>#N/A</v>
      </c>
      <c r="AT400" t="e">
        <v>#N/A</v>
      </c>
    </row>
    <row r="401" spans="42:46">
      <c r="AP401">
        <v>93050</v>
      </c>
      <c r="AQ401">
        <v>93050</v>
      </c>
      <c r="AR401">
        <v>1</v>
      </c>
      <c r="AS401" t="e">
        <v>#N/A</v>
      </c>
      <c r="AT401" t="e">
        <v>#N/A</v>
      </c>
    </row>
    <row r="402" spans="42:46">
      <c r="AP402">
        <v>93100</v>
      </c>
      <c r="AQ402">
        <v>93100</v>
      </c>
      <c r="AR402">
        <v>1</v>
      </c>
      <c r="AS402" t="e">
        <v>#N/A</v>
      </c>
      <c r="AT402" t="e">
        <v>#N/A</v>
      </c>
    </row>
    <row r="403" spans="42:46">
      <c r="AP403">
        <v>93150</v>
      </c>
      <c r="AQ403">
        <v>93150</v>
      </c>
      <c r="AR403">
        <v>1</v>
      </c>
      <c r="AS403" t="e">
        <v>#N/A</v>
      </c>
      <c r="AT403" t="e">
        <v>#N/A</v>
      </c>
    </row>
    <row r="404" spans="42:46">
      <c r="AP404">
        <v>93200</v>
      </c>
      <c r="AQ404">
        <v>93200</v>
      </c>
      <c r="AR404">
        <v>1</v>
      </c>
      <c r="AS404" t="e">
        <v>#N/A</v>
      </c>
      <c r="AT404" t="e">
        <v>#N/A</v>
      </c>
    </row>
    <row r="405" spans="42:46">
      <c r="AP405">
        <v>93250</v>
      </c>
      <c r="AQ405">
        <v>93250</v>
      </c>
      <c r="AR405">
        <v>1</v>
      </c>
      <c r="AS405" t="e">
        <v>#N/A</v>
      </c>
      <c r="AT405" t="e">
        <v>#N/A</v>
      </c>
    </row>
    <row r="406" spans="42:46">
      <c r="AP406">
        <v>93300</v>
      </c>
      <c r="AQ406">
        <v>93300</v>
      </c>
      <c r="AR406">
        <v>1</v>
      </c>
      <c r="AS406" t="e">
        <v>#N/A</v>
      </c>
      <c r="AT406" t="e">
        <v>#N/A</v>
      </c>
    </row>
    <row r="407" spans="42:46">
      <c r="AP407">
        <v>93350</v>
      </c>
      <c r="AQ407">
        <v>93350</v>
      </c>
      <c r="AR407">
        <v>1</v>
      </c>
      <c r="AS407" t="e">
        <v>#N/A</v>
      </c>
      <c r="AT407" t="e">
        <v>#N/A</v>
      </c>
    </row>
    <row r="408" spans="42:46">
      <c r="AP408">
        <v>93400</v>
      </c>
      <c r="AQ408">
        <v>93400</v>
      </c>
      <c r="AR408">
        <v>1</v>
      </c>
      <c r="AS408" t="e">
        <v>#N/A</v>
      </c>
      <c r="AT408" t="e">
        <v>#N/A</v>
      </c>
    </row>
    <row r="409" spans="42:46">
      <c r="AP409">
        <v>93450</v>
      </c>
      <c r="AQ409">
        <v>93450</v>
      </c>
      <c r="AR409">
        <v>1</v>
      </c>
      <c r="AS409" t="e">
        <v>#N/A</v>
      </c>
      <c r="AT409" t="e">
        <v>#N/A</v>
      </c>
    </row>
    <row r="410" spans="42:46">
      <c r="AP410">
        <v>93500</v>
      </c>
      <c r="AQ410">
        <v>93500</v>
      </c>
      <c r="AR410">
        <v>1</v>
      </c>
      <c r="AS410" t="e">
        <v>#N/A</v>
      </c>
      <c r="AT410" t="e">
        <v>#N/A</v>
      </c>
    </row>
    <row r="411" spans="42:46">
      <c r="AP411">
        <v>93550</v>
      </c>
      <c r="AQ411">
        <v>93550</v>
      </c>
      <c r="AR411">
        <v>1</v>
      </c>
      <c r="AS411" t="e">
        <v>#N/A</v>
      </c>
      <c r="AT411" t="e">
        <v>#N/A</v>
      </c>
    </row>
    <row r="412" spans="42:46">
      <c r="AP412">
        <v>93600</v>
      </c>
      <c r="AQ412">
        <v>93600</v>
      </c>
      <c r="AR412">
        <v>1</v>
      </c>
      <c r="AS412" t="e">
        <v>#N/A</v>
      </c>
      <c r="AT412" t="e">
        <v>#N/A</v>
      </c>
    </row>
    <row r="413" spans="42:46">
      <c r="AP413">
        <v>93650</v>
      </c>
      <c r="AQ413">
        <v>93650</v>
      </c>
      <c r="AR413">
        <v>1</v>
      </c>
      <c r="AS413" t="e">
        <v>#N/A</v>
      </c>
      <c r="AT413" t="e">
        <v>#N/A</v>
      </c>
    </row>
    <row r="414" spans="42:46">
      <c r="AP414">
        <v>93700</v>
      </c>
      <c r="AQ414">
        <v>93700</v>
      </c>
      <c r="AR414">
        <v>1</v>
      </c>
      <c r="AS414" t="e">
        <v>#N/A</v>
      </c>
      <c r="AT414" t="e">
        <v>#N/A</v>
      </c>
    </row>
    <row r="415" spans="42:46">
      <c r="AP415">
        <v>93750</v>
      </c>
      <c r="AQ415">
        <v>93750</v>
      </c>
      <c r="AR415">
        <v>1</v>
      </c>
      <c r="AS415" t="e">
        <v>#N/A</v>
      </c>
      <c r="AT415" t="e">
        <v>#N/A</v>
      </c>
    </row>
    <row r="416" spans="42:46">
      <c r="AP416">
        <v>93800</v>
      </c>
      <c r="AQ416">
        <v>93800</v>
      </c>
      <c r="AR416">
        <v>1</v>
      </c>
      <c r="AS416" t="e">
        <v>#N/A</v>
      </c>
      <c r="AT416" t="e">
        <v>#N/A</v>
      </c>
    </row>
    <row r="417" spans="42:46">
      <c r="AP417">
        <v>93850</v>
      </c>
      <c r="AQ417">
        <v>93850</v>
      </c>
      <c r="AR417">
        <v>1</v>
      </c>
      <c r="AS417" t="e">
        <v>#N/A</v>
      </c>
      <c r="AT417" t="e">
        <v>#N/A</v>
      </c>
    </row>
    <row r="418" spans="42:46">
      <c r="AP418">
        <v>93900</v>
      </c>
      <c r="AQ418">
        <v>93900</v>
      </c>
      <c r="AR418">
        <v>1</v>
      </c>
      <c r="AS418" t="e">
        <v>#N/A</v>
      </c>
      <c r="AT418" t="e">
        <v>#N/A</v>
      </c>
    </row>
    <row r="419" spans="42:46">
      <c r="AP419">
        <v>93950</v>
      </c>
      <c r="AQ419">
        <v>93950</v>
      </c>
      <c r="AR419">
        <v>1</v>
      </c>
      <c r="AS419" t="e">
        <v>#N/A</v>
      </c>
      <c r="AT419" t="e">
        <v>#N/A</v>
      </c>
    </row>
    <row r="420" spans="42:46">
      <c r="AP420">
        <v>94000</v>
      </c>
      <c r="AQ420">
        <v>94000</v>
      </c>
      <c r="AR420">
        <v>1</v>
      </c>
      <c r="AS420" t="e">
        <v>#N/A</v>
      </c>
      <c r="AT420" t="e">
        <v>#N/A</v>
      </c>
    </row>
    <row r="421" spans="42:46">
      <c r="AP421">
        <v>94050</v>
      </c>
      <c r="AQ421">
        <v>94050</v>
      </c>
      <c r="AR421">
        <v>1</v>
      </c>
      <c r="AS421" t="e">
        <v>#N/A</v>
      </c>
      <c r="AT421" t="e">
        <v>#N/A</v>
      </c>
    </row>
    <row r="422" spans="42:46">
      <c r="AP422">
        <v>94100</v>
      </c>
      <c r="AQ422">
        <v>94100</v>
      </c>
      <c r="AR422">
        <v>1</v>
      </c>
      <c r="AS422" t="e">
        <v>#N/A</v>
      </c>
      <c r="AT422" t="e">
        <v>#N/A</v>
      </c>
    </row>
    <row r="423" spans="42:46">
      <c r="AP423">
        <v>94150</v>
      </c>
      <c r="AQ423">
        <v>94150</v>
      </c>
      <c r="AR423">
        <v>1</v>
      </c>
      <c r="AS423" t="e">
        <v>#N/A</v>
      </c>
      <c r="AT423" t="e">
        <v>#N/A</v>
      </c>
    </row>
    <row r="424" spans="42:46">
      <c r="AP424">
        <v>94200</v>
      </c>
      <c r="AQ424">
        <v>94200</v>
      </c>
      <c r="AR424">
        <v>1</v>
      </c>
      <c r="AS424" t="e">
        <v>#N/A</v>
      </c>
      <c r="AT424" t="e">
        <v>#N/A</v>
      </c>
    </row>
    <row r="425" spans="42:46">
      <c r="AP425">
        <v>94250</v>
      </c>
      <c r="AQ425">
        <v>94250</v>
      </c>
      <c r="AR425">
        <v>1</v>
      </c>
      <c r="AS425" t="e">
        <v>#N/A</v>
      </c>
      <c r="AT425" t="e">
        <v>#N/A</v>
      </c>
    </row>
    <row r="426" spans="42:46">
      <c r="AP426">
        <v>94300</v>
      </c>
      <c r="AQ426">
        <v>94300</v>
      </c>
      <c r="AR426">
        <v>1</v>
      </c>
      <c r="AS426" t="e">
        <v>#N/A</v>
      </c>
      <c r="AT426" t="e">
        <v>#N/A</v>
      </c>
    </row>
    <row r="427" spans="42:46">
      <c r="AP427">
        <v>94350</v>
      </c>
      <c r="AQ427">
        <v>94350</v>
      </c>
      <c r="AR427">
        <v>1</v>
      </c>
      <c r="AS427" t="e">
        <v>#N/A</v>
      </c>
      <c r="AT427" t="e">
        <v>#N/A</v>
      </c>
    </row>
    <row r="428" spans="42:46">
      <c r="AP428">
        <v>94400</v>
      </c>
      <c r="AQ428">
        <v>94400</v>
      </c>
      <c r="AR428">
        <v>1</v>
      </c>
      <c r="AS428" t="e">
        <v>#N/A</v>
      </c>
      <c r="AT428" t="e">
        <v>#N/A</v>
      </c>
    </row>
    <row r="429" spans="42:46">
      <c r="AP429">
        <v>94450</v>
      </c>
      <c r="AQ429">
        <v>94450</v>
      </c>
      <c r="AR429">
        <v>1</v>
      </c>
      <c r="AS429" t="e">
        <v>#N/A</v>
      </c>
      <c r="AT429" t="e">
        <v>#N/A</v>
      </c>
    </row>
    <row r="430" spans="42:46">
      <c r="AP430">
        <v>94500</v>
      </c>
      <c r="AQ430">
        <v>94500</v>
      </c>
      <c r="AR430">
        <v>1</v>
      </c>
      <c r="AS430" t="e">
        <v>#N/A</v>
      </c>
      <c r="AT430" t="e">
        <v>#N/A</v>
      </c>
    </row>
    <row r="431" spans="42:46">
      <c r="AP431">
        <v>94550</v>
      </c>
      <c r="AQ431">
        <v>94550</v>
      </c>
      <c r="AR431">
        <v>1</v>
      </c>
      <c r="AS431" t="e">
        <v>#N/A</v>
      </c>
      <c r="AT431" t="e">
        <v>#N/A</v>
      </c>
    </row>
    <row r="432" spans="42:46">
      <c r="AP432">
        <v>94600</v>
      </c>
      <c r="AQ432">
        <v>94600</v>
      </c>
      <c r="AR432">
        <v>1</v>
      </c>
      <c r="AS432" t="e">
        <v>#N/A</v>
      </c>
      <c r="AT432" t="e">
        <v>#N/A</v>
      </c>
    </row>
    <row r="433" spans="42:46">
      <c r="AP433">
        <v>94650</v>
      </c>
      <c r="AQ433">
        <v>94650</v>
      </c>
      <c r="AR433">
        <v>1</v>
      </c>
      <c r="AS433" t="e">
        <v>#N/A</v>
      </c>
      <c r="AT433" t="e">
        <v>#N/A</v>
      </c>
    </row>
    <row r="434" spans="42:46">
      <c r="AP434">
        <v>94700</v>
      </c>
      <c r="AQ434">
        <v>94700</v>
      </c>
      <c r="AR434">
        <v>1</v>
      </c>
      <c r="AS434" t="e">
        <v>#N/A</v>
      </c>
      <c r="AT434" t="e">
        <v>#N/A</v>
      </c>
    </row>
    <row r="435" spans="42:46">
      <c r="AP435">
        <v>94750</v>
      </c>
      <c r="AQ435">
        <v>94750</v>
      </c>
      <c r="AR435">
        <v>1</v>
      </c>
      <c r="AS435" t="e">
        <v>#N/A</v>
      </c>
      <c r="AT435" t="e">
        <v>#N/A</v>
      </c>
    </row>
    <row r="436" spans="42:46">
      <c r="AP436">
        <v>94800</v>
      </c>
      <c r="AQ436">
        <v>94800</v>
      </c>
      <c r="AR436">
        <v>1</v>
      </c>
      <c r="AS436" t="e">
        <v>#N/A</v>
      </c>
      <c r="AT436" t="e">
        <v>#N/A</v>
      </c>
    </row>
    <row r="437" spans="42:46">
      <c r="AP437">
        <v>94850</v>
      </c>
      <c r="AQ437">
        <v>94850</v>
      </c>
      <c r="AR437">
        <v>1</v>
      </c>
      <c r="AS437" t="e">
        <v>#N/A</v>
      </c>
      <c r="AT437" t="e">
        <v>#N/A</v>
      </c>
    </row>
    <row r="438" spans="42:46">
      <c r="AP438">
        <v>94900</v>
      </c>
      <c r="AQ438">
        <v>94900</v>
      </c>
      <c r="AR438">
        <v>1</v>
      </c>
      <c r="AS438" t="e">
        <v>#N/A</v>
      </c>
      <c r="AT438" t="e">
        <v>#N/A</v>
      </c>
    </row>
    <row r="439" spans="42:46">
      <c r="AP439">
        <v>94950</v>
      </c>
      <c r="AQ439">
        <v>94950</v>
      </c>
      <c r="AR439">
        <v>1</v>
      </c>
      <c r="AS439" t="e">
        <v>#N/A</v>
      </c>
      <c r="AT439" t="e">
        <v>#N/A</v>
      </c>
    </row>
    <row r="440" spans="42:46">
      <c r="AP440">
        <v>95000</v>
      </c>
      <c r="AQ440">
        <v>95000</v>
      </c>
      <c r="AR440">
        <v>1</v>
      </c>
      <c r="AS440" t="e">
        <v>#N/A</v>
      </c>
      <c r="AT440" t="e">
        <v>#N/A</v>
      </c>
    </row>
    <row r="441" spans="42:46">
      <c r="AP441">
        <v>95050</v>
      </c>
      <c r="AQ441">
        <v>95050</v>
      </c>
      <c r="AR441">
        <v>1</v>
      </c>
      <c r="AS441" t="e">
        <v>#N/A</v>
      </c>
      <c r="AT441" t="e">
        <v>#N/A</v>
      </c>
    </row>
    <row r="442" spans="42:46">
      <c r="AP442">
        <v>95100</v>
      </c>
      <c r="AQ442">
        <v>95100</v>
      </c>
      <c r="AR442">
        <v>1</v>
      </c>
      <c r="AS442" t="e">
        <v>#N/A</v>
      </c>
      <c r="AT442" t="e">
        <v>#N/A</v>
      </c>
    </row>
    <row r="443" spans="42:46">
      <c r="AP443">
        <v>95150</v>
      </c>
      <c r="AQ443">
        <v>95150</v>
      </c>
      <c r="AR443">
        <v>1</v>
      </c>
      <c r="AS443" t="e">
        <v>#N/A</v>
      </c>
      <c r="AT443" t="e">
        <v>#N/A</v>
      </c>
    </row>
    <row r="444" spans="42:46">
      <c r="AP444">
        <v>95200</v>
      </c>
      <c r="AQ444">
        <v>95200</v>
      </c>
      <c r="AR444">
        <v>1</v>
      </c>
      <c r="AS444" t="e">
        <v>#N/A</v>
      </c>
      <c r="AT444" t="e">
        <v>#N/A</v>
      </c>
    </row>
    <row r="445" spans="42:46">
      <c r="AP445">
        <v>95250</v>
      </c>
      <c r="AQ445">
        <v>95250</v>
      </c>
      <c r="AR445">
        <v>1</v>
      </c>
      <c r="AS445" t="e">
        <v>#N/A</v>
      </c>
      <c r="AT445" t="e">
        <v>#N/A</v>
      </c>
    </row>
    <row r="446" spans="42:46">
      <c r="AP446">
        <v>95300</v>
      </c>
      <c r="AQ446">
        <v>95300</v>
      </c>
      <c r="AR446">
        <v>1</v>
      </c>
      <c r="AS446" t="e">
        <v>#N/A</v>
      </c>
      <c r="AT446" t="e">
        <v>#N/A</v>
      </c>
    </row>
    <row r="447" spans="42:46">
      <c r="AP447">
        <v>95350</v>
      </c>
      <c r="AQ447">
        <v>95350</v>
      </c>
      <c r="AR447">
        <v>1</v>
      </c>
      <c r="AS447" t="e">
        <v>#N/A</v>
      </c>
      <c r="AT447" t="e">
        <v>#N/A</v>
      </c>
    </row>
    <row r="448" spans="42:46">
      <c r="AP448">
        <v>95400</v>
      </c>
      <c r="AQ448">
        <v>95400</v>
      </c>
      <c r="AR448">
        <v>1</v>
      </c>
      <c r="AS448" t="e">
        <v>#N/A</v>
      </c>
      <c r="AT448" t="e">
        <v>#N/A</v>
      </c>
    </row>
    <row r="449" spans="42:46">
      <c r="AP449">
        <v>95450</v>
      </c>
      <c r="AQ449">
        <v>95450</v>
      </c>
      <c r="AR449">
        <v>1</v>
      </c>
      <c r="AS449" t="e">
        <v>#N/A</v>
      </c>
      <c r="AT449" t="e">
        <v>#N/A</v>
      </c>
    </row>
    <row r="450" spans="42:46">
      <c r="AP450">
        <v>95500</v>
      </c>
      <c r="AQ450">
        <v>95500</v>
      </c>
      <c r="AR450">
        <v>1</v>
      </c>
      <c r="AS450" t="e">
        <v>#N/A</v>
      </c>
      <c r="AT450" t="e">
        <v>#N/A</v>
      </c>
    </row>
    <row r="451" spans="42:46">
      <c r="AP451">
        <v>95550</v>
      </c>
      <c r="AQ451">
        <v>95550</v>
      </c>
      <c r="AR451">
        <v>1</v>
      </c>
      <c r="AS451" t="e">
        <v>#N/A</v>
      </c>
      <c r="AT451" t="e">
        <v>#N/A</v>
      </c>
    </row>
    <row r="452" spans="42:46">
      <c r="AP452">
        <v>95600</v>
      </c>
      <c r="AQ452">
        <v>95600</v>
      </c>
      <c r="AR452">
        <v>1</v>
      </c>
      <c r="AS452" t="e">
        <v>#N/A</v>
      </c>
      <c r="AT452" t="e">
        <v>#N/A</v>
      </c>
    </row>
    <row r="453" spans="42:46">
      <c r="AP453">
        <v>95650</v>
      </c>
      <c r="AQ453">
        <v>95650</v>
      </c>
      <c r="AR453">
        <v>1</v>
      </c>
      <c r="AS453" t="e">
        <v>#N/A</v>
      </c>
      <c r="AT453" t="e">
        <v>#N/A</v>
      </c>
    </row>
    <row r="454" spans="42:46">
      <c r="AP454">
        <v>95700</v>
      </c>
      <c r="AQ454">
        <v>95700</v>
      </c>
      <c r="AR454">
        <v>1</v>
      </c>
      <c r="AS454" t="e">
        <v>#N/A</v>
      </c>
      <c r="AT454" t="e">
        <v>#N/A</v>
      </c>
    </row>
    <row r="455" spans="42:46">
      <c r="AP455">
        <v>95750</v>
      </c>
      <c r="AQ455">
        <v>95750</v>
      </c>
      <c r="AR455">
        <v>1</v>
      </c>
      <c r="AS455" t="e">
        <v>#N/A</v>
      </c>
      <c r="AT455" t="e">
        <v>#N/A</v>
      </c>
    </row>
    <row r="456" spans="42:46">
      <c r="AP456">
        <v>95800</v>
      </c>
      <c r="AQ456">
        <v>95800</v>
      </c>
      <c r="AR456">
        <v>1</v>
      </c>
      <c r="AS456" t="e">
        <v>#N/A</v>
      </c>
      <c r="AT456" t="e">
        <v>#N/A</v>
      </c>
    </row>
    <row r="457" spans="42:46">
      <c r="AP457">
        <v>95850</v>
      </c>
      <c r="AQ457">
        <v>95850</v>
      </c>
      <c r="AR457">
        <v>1</v>
      </c>
      <c r="AS457" t="e">
        <v>#N/A</v>
      </c>
      <c r="AT457" t="e">
        <v>#N/A</v>
      </c>
    </row>
    <row r="458" spans="42:46">
      <c r="AP458">
        <v>95900</v>
      </c>
      <c r="AQ458">
        <v>95900</v>
      </c>
      <c r="AR458">
        <v>1</v>
      </c>
      <c r="AS458" t="e">
        <v>#N/A</v>
      </c>
      <c r="AT458" t="e">
        <v>#N/A</v>
      </c>
    </row>
    <row r="459" spans="42:46">
      <c r="AP459">
        <v>95950</v>
      </c>
      <c r="AQ459">
        <v>95950</v>
      </c>
      <c r="AR459">
        <v>1</v>
      </c>
      <c r="AS459" t="e">
        <v>#N/A</v>
      </c>
      <c r="AT459" t="e">
        <v>#N/A</v>
      </c>
    </row>
    <row r="460" spans="42:46">
      <c r="AP460">
        <v>96000</v>
      </c>
      <c r="AQ460">
        <v>96000</v>
      </c>
      <c r="AR460">
        <v>1</v>
      </c>
      <c r="AS460" t="e">
        <v>#N/A</v>
      </c>
      <c r="AT460" t="e">
        <v>#N/A</v>
      </c>
    </row>
    <row r="461" spans="42:46">
      <c r="AP461">
        <v>96050</v>
      </c>
      <c r="AQ461">
        <v>96050</v>
      </c>
      <c r="AR461">
        <v>1</v>
      </c>
      <c r="AS461" t="e">
        <v>#N/A</v>
      </c>
      <c r="AT461" t="e">
        <v>#N/A</v>
      </c>
    </row>
    <row r="462" spans="42:46">
      <c r="AP462">
        <v>96100</v>
      </c>
      <c r="AQ462">
        <v>96100</v>
      </c>
      <c r="AR462">
        <v>1</v>
      </c>
      <c r="AS462" t="e">
        <v>#N/A</v>
      </c>
      <c r="AT462" t="e">
        <v>#N/A</v>
      </c>
    </row>
    <row r="463" spans="42:46">
      <c r="AP463">
        <v>96150</v>
      </c>
      <c r="AQ463">
        <v>96150</v>
      </c>
      <c r="AR463">
        <v>1</v>
      </c>
      <c r="AS463" t="e">
        <v>#N/A</v>
      </c>
      <c r="AT463" t="e">
        <v>#N/A</v>
      </c>
    </row>
    <row r="464" spans="42:46">
      <c r="AP464">
        <v>96200</v>
      </c>
      <c r="AQ464">
        <v>96200</v>
      </c>
      <c r="AR464">
        <v>1</v>
      </c>
      <c r="AS464" t="e">
        <v>#N/A</v>
      </c>
      <c r="AT464" t="e">
        <v>#N/A</v>
      </c>
    </row>
    <row r="465" spans="42:46">
      <c r="AP465">
        <v>96250</v>
      </c>
      <c r="AQ465">
        <v>96250</v>
      </c>
      <c r="AR465">
        <v>1</v>
      </c>
      <c r="AS465" t="e">
        <v>#N/A</v>
      </c>
      <c r="AT465" t="e">
        <v>#N/A</v>
      </c>
    </row>
    <row r="466" spans="42:46">
      <c r="AP466">
        <v>96300</v>
      </c>
      <c r="AQ466">
        <v>96300</v>
      </c>
      <c r="AR466">
        <v>1</v>
      </c>
      <c r="AS466" t="e">
        <v>#N/A</v>
      </c>
      <c r="AT466" t="e">
        <v>#N/A</v>
      </c>
    </row>
    <row r="467" spans="42:46">
      <c r="AP467">
        <v>96350</v>
      </c>
      <c r="AQ467">
        <v>96350</v>
      </c>
      <c r="AR467">
        <v>1</v>
      </c>
      <c r="AS467" t="e">
        <v>#N/A</v>
      </c>
      <c r="AT467" t="e">
        <v>#N/A</v>
      </c>
    </row>
    <row r="468" spans="42:46">
      <c r="AP468">
        <v>96400</v>
      </c>
      <c r="AQ468">
        <v>96400</v>
      </c>
      <c r="AR468">
        <v>1</v>
      </c>
      <c r="AS468" t="e">
        <v>#N/A</v>
      </c>
      <c r="AT468" t="e">
        <v>#N/A</v>
      </c>
    </row>
    <row r="469" spans="42:46">
      <c r="AP469">
        <v>96450</v>
      </c>
      <c r="AQ469">
        <v>96450</v>
      </c>
      <c r="AR469">
        <v>1</v>
      </c>
      <c r="AS469" t="e">
        <v>#N/A</v>
      </c>
      <c r="AT469" t="e">
        <v>#N/A</v>
      </c>
    </row>
    <row r="470" spans="42:46">
      <c r="AP470">
        <v>96500</v>
      </c>
      <c r="AQ470">
        <v>96500</v>
      </c>
      <c r="AR470">
        <v>1</v>
      </c>
      <c r="AS470" t="e">
        <v>#N/A</v>
      </c>
      <c r="AT470" t="e">
        <v>#N/A</v>
      </c>
    </row>
    <row r="471" spans="42:46">
      <c r="AP471">
        <v>96550</v>
      </c>
      <c r="AQ471">
        <v>96550</v>
      </c>
      <c r="AR471">
        <v>1</v>
      </c>
      <c r="AS471" t="e">
        <v>#N/A</v>
      </c>
      <c r="AT471" t="e">
        <v>#N/A</v>
      </c>
    </row>
    <row r="472" spans="42:46">
      <c r="AP472">
        <v>96600</v>
      </c>
      <c r="AQ472">
        <v>96600</v>
      </c>
      <c r="AR472">
        <v>1</v>
      </c>
      <c r="AS472" t="e">
        <v>#N/A</v>
      </c>
      <c r="AT472" t="e">
        <v>#N/A</v>
      </c>
    </row>
    <row r="473" spans="42:46">
      <c r="AP473">
        <v>96650</v>
      </c>
      <c r="AQ473">
        <v>96650</v>
      </c>
      <c r="AR473">
        <v>1</v>
      </c>
      <c r="AS473" t="e">
        <v>#N/A</v>
      </c>
      <c r="AT473" t="e">
        <v>#N/A</v>
      </c>
    </row>
    <row r="474" spans="42:46">
      <c r="AP474">
        <v>96700</v>
      </c>
      <c r="AQ474">
        <v>96700</v>
      </c>
      <c r="AR474">
        <v>1</v>
      </c>
      <c r="AS474" t="e">
        <v>#N/A</v>
      </c>
      <c r="AT474" t="e">
        <v>#N/A</v>
      </c>
    </row>
    <row r="475" spans="42:46">
      <c r="AP475">
        <v>96750</v>
      </c>
      <c r="AQ475">
        <v>96750</v>
      </c>
      <c r="AR475">
        <v>1</v>
      </c>
      <c r="AS475" t="e">
        <v>#N/A</v>
      </c>
      <c r="AT475" t="e">
        <v>#N/A</v>
      </c>
    </row>
    <row r="476" spans="42:46">
      <c r="AP476">
        <v>96800</v>
      </c>
      <c r="AQ476">
        <v>96800</v>
      </c>
      <c r="AR476">
        <v>1</v>
      </c>
      <c r="AS476" t="e">
        <v>#N/A</v>
      </c>
      <c r="AT476" t="e">
        <v>#N/A</v>
      </c>
    </row>
    <row r="477" spans="42:46">
      <c r="AP477">
        <v>96850</v>
      </c>
      <c r="AQ477">
        <v>96850</v>
      </c>
      <c r="AR477">
        <v>1</v>
      </c>
      <c r="AS477" t="e">
        <v>#N/A</v>
      </c>
      <c r="AT477" t="e">
        <v>#N/A</v>
      </c>
    </row>
    <row r="478" spans="42:46">
      <c r="AP478">
        <v>96900</v>
      </c>
      <c r="AQ478">
        <v>96900</v>
      </c>
      <c r="AR478">
        <v>1</v>
      </c>
      <c r="AS478" t="e">
        <v>#N/A</v>
      </c>
      <c r="AT478" t="e">
        <v>#N/A</v>
      </c>
    </row>
    <row r="479" spans="42:46">
      <c r="AP479">
        <v>96950</v>
      </c>
      <c r="AQ479">
        <v>96950</v>
      </c>
      <c r="AR479">
        <v>1</v>
      </c>
      <c r="AS479" t="e">
        <v>#N/A</v>
      </c>
      <c r="AT479" t="e">
        <v>#N/A</v>
      </c>
    </row>
    <row r="480" spans="42:46">
      <c r="AP480">
        <v>97000</v>
      </c>
      <c r="AQ480">
        <v>97000</v>
      </c>
      <c r="AR480">
        <v>1</v>
      </c>
      <c r="AS480" t="e">
        <v>#N/A</v>
      </c>
      <c r="AT480" t="e">
        <v>#N/A</v>
      </c>
    </row>
    <row r="481" spans="42:46">
      <c r="AP481">
        <v>97050</v>
      </c>
      <c r="AQ481">
        <v>97050</v>
      </c>
      <c r="AR481">
        <v>1</v>
      </c>
      <c r="AS481" t="e">
        <v>#N/A</v>
      </c>
      <c r="AT481" t="e">
        <v>#N/A</v>
      </c>
    </row>
    <row r="482" spans="42:46">
      <c r="AP482">
        <v>97100</v>
      </c>
      <c r="AQ482">
        <v>97100</v>
      </c>
      <c r="AR482">
        <v>1</v>
      </c>
      <c r="AS482" t="e">
        <v>#N/A</v>
      </c>
      <c r="AT482" t="e">
        <v>#N/A</v>
      </c>
    </row>
    <row r="483" spans="42:46">
      <c r="AP483">
        <v>97150</v>
      </c>
      <c r="AQ483">
        <v>97150</v>
      </c>
      <c r="AR483">
        <v>1</v>
      </c>
      <c r="AS483" t="e">
        <v>#N/A</v>
      </c>
      <c r="AT483" t="e">
        <v>#N/A</v>
      </c>
    </row>
    <row r="484" spans="42:46">
      <c r="AP484">
        <v>97200</v>
      </c>
      <c r="AQ484">
        <v>97200</v>
      </c>
      <c r="AR484">
        <v>1</v>
      </c>
      <c r="AS484" t="e">
        <v>#N/A</v>
      </c>
      <c r="AT484" t="e">
        <v>#N/A</v>
      </c>
    </row>
    <row r="485" spans="42:46">
      <c r="AP485">
        <v>97250</v>
      </c>
      <c r="AQ485" t="e">
        <v>#N/A</v>
      </c>
      <c r="AR485" t="e">
        <v>#N/A</v>
      </c>
      <c r="AS485" t="e">
        <v>#N/A</v>
      </c>
      <c r="AT485" t="e">
        <v>#N/A</v>
      </c>
    </row>
    <row r="486" spans="42:46">
      <c r="AP486">
        <v>97300</v>
      </c>
      <c r="AQ486" t="e">
        <v>#N/A</v>
      </c>
      <c r="AR486" t="e">
        <v>#N/A</v>
      </c>
      <c r="AS486" t="e">
        <v>#N/A</v>
      </c>
      <c r="AT486" t="e">
        <v>#N/A</v>
      </c>
    </row>
    <row r="487" spans="42:46">
      <c r="AP487">
        <v>97350</v>
      </c>
      <c r="AQ487" t="e">
        <v>#N/A</v>
      </c>
      <c r="AR487" t="e">
        <v>#N/A</v>
      </c>
      <c r="AS487" t="e">
        <v>#N/A</v>
      </c>
      <c r="AT487" t="e">
        <v>#N/A</v>
      </c>
    </row>
    <row r="488" spans="42:46">
      <c r="AP488">
        <v>97400</v>
      </c>
      <c r="AQ488" t="e">
        <v>#N/A</v>
      </c>
      <c r="AR488" t="e">
        <v>#N/A</v>
      </c>
      <c r="AS488" t="e">
        <v>#N/A</v>
      </c>
      <c r="AT488" t="e">
        <v>#N/A</v>
      </c>
    </row>
    <row r="489" spans="42:46">
      <c r="AP489">
        <v>97450</v>
      </c>
      <c r="AQ489" t="e">
        <v>#N/A</v>
      </c>
      <c r="AR489" t="e">
        <v>#N/A</v>
      </c>
      <c r="AS489" t="e">
        <v>#N/A</v>
      </c>
      <c r="AT489" t="e">
        <v>#N/A</v>
      </c>
    </row>
    <row r="490" spans="42:46">
      <c r="AP490">
        <v>97500</v>
      </c>
      <c r="AQ490" t="e">
        <v>#N/A</v>
      </c>
      <c r="AR490" t="e">
        <v>#N/A</v>
      </c>
      <c r="AS490" t="e">
        <v>#N/A</v>
      </c>
      <c r="AT490" t="e">
        <v>#N/A</v>
      </c>
    </row>
    <row r="491" spans="42:46">
      <c r="AP491">
        <v>97550</v>
      </c>
      <c r="AQ491" t="e">
        <v>#N/A</v>
      </c>
      <c r="AR491" t="e">
        <v>#N/A</v>
      </c>
      <c r="AS491" t="e">
        <v>#N/A</v>
      </c>
      <c r="AT491" t="e">
        <v>#N/A</v>
      </c>
    </row>
    <row r="492" spans="42:46">
      <c r="AP492">
        <v>97600</v>
      </c>
      <c r="AQ492" t="e">
        <v>#N/A</v>
      </c>
      <c r="AR492" t="e">
        <v>#N/A</v>
      </c>
      <c r="AS492" t="e">
        <v>#N/A</v>
      </c>
      <c r="AT492" t="e">
        <v>#N/A</v>
      </c>
    </row>
    <row r="493" spans="42:46">
      <c r="AP493">
        <v>97650</v>
      </c>
      <c r="AQ493" t="e">
        <v>#N/A</v>
      </c>
      <c r="AR493" t="e">
        <v>#N/A</v>
      </c>
      <c r="AS493" t="e">
        <v>#N/A</v>
      </c>
      <c r="AT493" t="e">
        <v>#N/A</v>
      </c>
    </row>
    <row r="494" spans="42:46">
      <c r="AP494">
        <v>97700</v>
      </c>
      <c r="AQ494" t="e">
        <v>#N/A</v>
      </c>
      <c r="AR494" t="e">
        <v>#N/A</v>
      </c>
      <c r="AS494" t="e">
        <v>#N/A</v>
      </c>
      <c r="AT494" t="e">
        <v>#N/A</v>
      </c>
    </row>
    <row r="495" spans="42:46">
      <c r="AP495">
        <v>97750</v>
      </c>
      <c r="AQ495" t="e">
        <v>#N/A</v>
      </c>
      <c r="AR495" t="e">
        <v>#N/A</v>
      </c>
      <c r="AS495" t="e">
        <v>#N/A</v>
      </c>
      <c r="AT495" t="e">
        <v>#N/A</v>
      </c>
    </row>
    <row r="496" spans="42:46">
      <c r="AP496">
        <v>97800</v>
      </c>
      <c r="AQ496" t="e">
        <v>#N/A</v>
      </c>
      <c r="AR496" t="e">
        <v>#N/A</v>
      </c>
      <c r="AS496" t="e">
        <v>#N/A</v>
      </c>
      <c r="AT496" t="e">
        <v>#N/A</v>
      </c>
    </row>
    <row r="497" spans="42:46">
      <c r="AP497">
        <v>97850</v>
      </c>
      <c r="AQ497" t="e">
        <v>#N/A</v>
      </c>
      <c r="AR497" t="e">
        <v>#N/A</v>
      </c>
      <c r="AS497" t="e">
        <v>#N/A</v>
      </c>
      <c r="AT497" t="e">
        <v>#N/A</v>
      </c>
    </row>
    <row r="498" spans="42:46">
      <c r="AP498">
        <v>97900</v>
      </c>
      <c r="AQ498" t="e">
        <v>#N/A</v>
      </c>
      <c r="AR498" t="e">
        <v>#N/A</v>
      </c>
      <c r="AS498" t="e">
        <v>#N/A</v>
      </c>
      <c r="AT498" t="e">
        <v>#N/A</v>
      </c>
    </row>
    <row r="499" spans="42:46">
      <c r="AP499">
        <v>97950</v>
      </c>
      <c r="AQ499" t="e">
        <v>#N/A</v>
      </c>
      <c r="AR499" t="e">
        <v>#N/A</v>
      </c>
      <c r="AS499" t="e">
        <v>#N/A</v>
      </c>
      <c r="AT499" t="e">
        <v>#N/A</v>
      </c>
    </row>
    <row r="500" spans="42:46">
      <c r="AP500">
        <v>98000</v>
      </c>
      <c r="AQ500" t="e">
        <v>#N/A</v>
      </c>
      <c r="AR500" t="e">
        <v>#N/A</v>
      </c>
      <c r="AS500" t="e">
        <v>#N/A</v>
      </c>
      <c r="AT500" t="e">
        <v>#N/A</v>
      </c>
    </row>
    <row r="501" spans="42:46">
      <c r="AP501">
        <v>98050</v>
      </c>
      <c r="AQ501" t="e">
        <v>#N/A</v>
      </c>
      <c r="AR501" t="e">
        <v>#N/A</v>
      </c>
      <c r="AS501" t="e">
        <v>#N/A</v>
      </c>
      <c r="AT501" t="e">
        <v>#N/A</v>
      </c>
    </row>
    <row r="502" spans="42:46">
      <c r="AP502">
        <v>98100</v>
      </c>
      <c r="AQ502" t="e">
        <v>#N/A</v>
      </c>
      <c r="AR502" t="e">
        <v>#N/A</v>
      </c>
      <c r="AS502" t="e">
        <v>#N/A</v>
      </c>
      <c r="AT502" t="e">
        <v>#N/A</v>
      </c>
    </row>
    <row r="503" spans="42:46">
      <c r="AP503">
        <v>98150</v>
      </c>
      <c r="AQ503" t="e">
        <v>#N/A</v>
      </c>
      <c r="AR503" t="e">
        <v>#N/A</v>
      </c>
      <c r="AS503" t="e">
        <v>#N/A</v>
      </c>
      <c r="AT503" t="e">
        <v>#N/A</v>
      </c>
    </row>
    <row r="504" spans="42:46">
      <c r="AP504">
        <v>98200</v>
      </c>
      <c r="AQ504" t="e">
        <v>#N/A</v>
      </c>
      <c r="AR504" t="e">
        <v>#N/A</v>
      </c>
      <c r="AS504" t="e">
        <v>#N/A</v>
      </c>
      <c r="AT504" t="e">
        <v>#N/A</v>
      </c>
    </row>
    <row r="505" spans="42:46">
      <c r="AP505">
        <v>98250</v>
      </c>
      <c r="AQ505" t="e">
        <v>#N/A</v>
      </c>
      <c r="AR505" t="e">
        <v>#N/A</v>
      </c>
      <c r="AS505" t="e">
        <v>#N/A</v>
      </c>
      <c r="AT505" t="e">
        <v>#N/A</v>
      </c>
    </row>
    <row r="506" spans="42:46">
      <c r="AP506">
        <v>98300</v>
      </c>
      <c r="AQ506" t="e">
        <v>#N/A</v>
      </c>
      <c r="AR506" t="e">
        <v>#N/A</v>
      </c>
      <c r="AS506" t="e">
        <v>#N/A</v>
      </c>
      <c r="AT506" t="e">
        <v>#N/A</v>
      </c>
    </row>
    <row r="507" spans="42:46">
      <c r="AP507">
        <v>98350</v>
      </c>
      <c r="AQ507" t="e">
        <v>#N/A</v>
      </c>
      <c r="AR507" t="e">
        <v>#N/A</v>
      </c>
      <c r="AS507" t="e">
        <v>#N/A</v>
      </c>
      <c r="AT507" t="e">
        <v>#N/A</v>
      </c>
    </row>
    <row r="508" spans="42:46">
      <c r="AP508">
        <v>98400</v>
      </c>
      <c r="AQ508" t="e">
        <v>#N/A</v>
      </c>
      <c r="AR508" t="e">
        <v>#N/A</v>
      </c>
      <c r="AS508" t="e">
        <v>#N/A</v>
      </c>
      <c r="AT508" t="e">
        <v>#N/A</v>
      </c>
    </row>
    <row r="509" spans="42:46">
      <c r="AP509">
        <v>98450</v>
      </c>
      <c r="AQ509" t="e">
        <v>#N/A</v>
      </c>
      <c r="AR509" t="e">
        <v>#N/A</v>
      </c>
      <c r="AS509" t="e">
        <v>#N/A</v>
      </c>
      <c r="AT509" t="e">
        <v>#N/A</v>
      </c>
    </row>
    <row r="510" spans="42:46">
      <c r="AP510">
        <v>98500</v>
      </c>
      <c r="AQ510" t="e">
        <v>#N/A</v>
      </c>
      <c r="AR510" t="e">
        <v>#N/A</v>
      </c>
      <c r="AS510" t="e">
        <v>#N/A</v>
      </c>
      <c r="AT510" t="e">
        <v>#N/A</v>
      </c>
    </row>
    <row r="511" spans="42:46">
      <c r="AP511">
        <v>98550</v>
      </c>
      <c r="AQ511" t="e">
        <v>#N/A</v>
      </c>
      <c r="AR511" t="e">
        <v>#N/A</v>
      </c>
      <c r="AS511" t="e">
        <v>#N/A</v>
      </c>
      <c r="AT511" t="e">
        <v>#N/A</v>
      </c>
    </row>
    <row r="512" spans="42:46">
      <c r="AP512">
        <v>98600</v>
      </c>
      <c r="AQ512" t="e">
        <v>#N/A</v>
      </c>
      <c r="AR512" t="e">
        <v>#N/A</v>
      </c>
      <c r="AS512" t="e">
        <v>#N/A</v>
      </c>
      <c r="AT512" t="e">
        <v>#N/A</v>
      </c>
    </row>
    <row r="513" spans="42:46">
      <c r="AP513">
        <v>98650</v>
      </c>
      <c r="AQ513" t="e">
        <v>#N/A</v>
      </c>
      <c r="AR513" t="e">
        <v>#N/A</v>
      </c>
      <c r="AS513" t="e">
        <v>#N/A</v>
      </c>
      <c r="AT513" t="e">
        <v>#N/A</v>
      </c>
    </row>
    <row r="514" spans="42:46">
      <c r="AP514">
        <v>98700</v>
      </c>
      <c r="AQ514" t="e">
        <v>#N/A</v>
      </c>
      <c r="AR514" t="e">
        <v>#N/A</v>
      </c>
      <c r="AS514" t="e">
        <v>#N/A</v>
      </c>
      <c r="AT514" t="e">
        <v>#N/A</v>
      </c>
    </row>
    <row r="515" spans="42:46">
      <c r="AP515">
        <v>98750</v>
      </c>
      <c r="AQ515" t="e">
        <v>#N/A</v>
      </c>
      <c r="AR515" t="e">
        <v>#N/A</v>
      </c>
      <c r="AS515" t="e">
        <v>#N/A</v>
      </c>
      <c r="AT515" t="e">
        <v>#N/A</v>
      </c>
    </row>
    <row r="516" spans="42:46">
      <c r="AP516">
        <v>98800</v>
      </c>
      <c r="AQ516" t="e">
        <v>#N/A</v>
      </c>
      <c r="AR516" t="e">
        <v>#N/A</v>
      </c>
      <c r="AS516" t="e">
        <v>#N/A</v>
      </c>
      <c r="AT516" t="e">
        <v>#N/A</v>
      </c>
    </row>
    <row r="517" spans="42:46">
      <c r="AP517">
        <v>98850</v>
      </c>
      <c r="AQ517" t="e">
        <v>#N/A</v>
      </c>
      <c r="AR517" t="e">
        <v>#N/A</v>
      </c>
      <c r="AS517" t="e">
        <v>#N/A</v>
      </c>
      <c r="AT517" t="e">
        <v>#N/A</v>
      </c>
    </row>
    <row r="518" spans="42:46">
      <c r="AP518">
        <v>98900</v>
      </c>
      <c r="AQ518" t="e">
        <v>#N/A</v>
      </c>
      <c r="AR518" t="e">
        <v>#N/A</v>
      </c>
      <c r="AS518" t="e">
        <v>#N/A</v>
      </c>
      <c r="AT518" t="e">
        <v>#N/A</v>
      </c>
    </row>
    <row r="519" spans="42:46">
      <c r="AP519">
        <v>98950</v>
      </c>
      <c r="AQ519" t="e">
        <v>#N/A</v>
      </c>
      <c r="AR519" t="e">
        <v>#N/A</v>
      </c>
      <c r="AS519" t="e">
        <v>#N/A</v>
      </c>
      <c r="AT519" t="e">
        <v>#N/A</v>
      </c>
    </row>
    <row r="520" spans="42:46">
      <c r="AP520">
        <v>99000</v>
      </c>
      <c r="AQ520" t="e">
        <v>#N/A</v>
      </c>
      <c r="AR520" t="e">
        <v>#N/A</v>
      </c>
      <c r="AS520" t="e">
        <v>#N/A</v>
      </c>
      <c r="AT520" t="e">
        <v>#N/A</v>
      </c>
    </row>
    <row r="521" spans="42:46">
      <c r="AP521">
        <v>99050</v>
      </c>
      <c r="AQ521" t="e">
        <v>#N/A</v>
      </c>
      <c r="AR521" t="e">
        <v>#N/A</v>
      </c>
      <c r="AS521" t="e">
        <v>#N/A</v>
      </c>
      <c r="AT521" t="e">
        <v>#N/A</v>
      </c>
    </row>
    <row r="522" spans="42:46">
      <c r="AP522">
        <v>99100</v>
      </c>
      <c r="AQ522" t="e">
        <v>#N/A</v>
      </c>
      <c r="AR522" t="e">
        <v>#N/A</v>
      </c>
      <c r="AS522" t="e">
        <v>#N/A</v>
      </c>
      <c r="AT522" t="e">
        <v>#N/A</v>
      </c>
    </row>
    <row r="523" spans="42:46">
      <c r="AP523">
        <v>99150</v>
      </c>
      <c r="AQ523" t="e">
        <v>#N/A</v>
      </c>
      <c r="AR523" t="e">
        <v>#N/A</v>
      </c>
      <c r="AS523" t="e">
        <v>#N/A</v>
      </c>
      <c r="AT523" t="e">
        <v>#N/A</v>
      </c>
    </row>
    <row r="524" spans="42:46">
      <c r="AP524">
        <v>99200</v>
      </c>
      <c r="AQ524" t="e">
        <v>#N/A</v>
      </c>
      <c r="AR524" t="e">
        <v>#N/A</v>
      </c>
      <c r="AS524" t="e">
        <v>#N/A</v>
      </c>
      <c r="AT524" t="e">
        <v>#N/A</v>
      </c>
    </row>
    <row r="525" spans="42:46">
      <c r="AP525">
        <v>99250</v>
      </c>
      <c r="AQ525" t="e">
        <v>#N/A</v>
      </c>
      <c r="AR525" t="e">
        <v>#N/A</v>
      </c>
      <c r="AS525" t="e">
        <v>#N/A</v>
      </c>
      <c r="AT525" t="e">
        <v>#N/A</v>
      </c>
    </row>
    <row r="526" spans="42:46">
      <c r="AP526">
        <v>99300</v>
      </c>
      <c r="AQ526" t="e">
        <v>#N/A</v>
      </c>
      <c r="AR526" t="e">
        <v>#N/A</v>
      </c>
      <c r="AS526" t="e">
        <v>#N/A</v>
      </c>
      <c r="AT526" t="e">
        <v>#N/A</v>
      </c>
    </row>
    <row r="527" spans="42:46">
      <c r="AP527">
        <v>99350</v>
      </c>
      <c r="AQ527" t="e">
        <v>#N/A</v>
      </c>
      <c r="AR527" t="e">
        <v>#N/A</v>
      </c>
      <c r="AS527" t="e">
        <v>#N/A</v>
      </c>
      <c r="AT527" t="e">
        <v>#N/A</v>
      </c>
    </row>
    <row r="528" spans="42:46">
      <c r="AP528">
        <v>99400</v>
      </c>
      <c r="AQ528" t="e">
        <v>#N/A</v>
      </c>
      <c r="AR528" t="e">
        <v>#N/A</v>
      </c>
      <c r="AS528" t="e">
        <v>#N/A</v>
      </c>
      <c r="AT528" t="e">
        <v>#N/A</v>
      </c>
    </row>
    <row r="529" spans="42:46">
      <c r="AP529">
        <v>99450</v>
      </c>
      <c r="AQ529" t="e">
        <v>#N/A</v>
      </c>
      <c r="AR529" t="e">
        <v>#N/A</v>
      </c>
      <c r="AS529" t="e">
        <v>#N/A</v>
      </c>
      <c r="AT529" t="e">
        <v>#N/A</v>
      </c>
    </row>
    <row r="530" spans="42:46">
      <c r="AP530">
        <v>99500</v>
      </c>
      <c r="AQ530" t="e">
        <v>#N/A</v>
      </c>
      <c r="AR530" t="e">
        <v>#N/A</v>
      </c>
      <c r="AS530" t="e">
        <v>#N/A</v>
      </c>
      <c r="AT530" t="e">
        <v>#N/A</v>
      </c>
    </row>
    <row r="531" spans="42:46">
      <c r="AP531">
        <v>99550</v>
      </c>
      <c r="AQ531" t="e">
        <v>#N/A</v>
      </c>
      <c r="AR531" t="e">
        <v>#N/A</v>
      </c>
      <c r="AS531" t="e">
        <v>#N/A</v>
      </c>
      <c r="AT531" t="e">
        <v>#N/A</v>
      </c>
    </row>
    <row r="532" spans="42:46">
      <c r="AP532">
        <v>99600</v>
      </c>
      <c r="AQ532" t="e">
        <v>#N/A</v>
      </c>
      <c r="AR532" t="e">
        <v>#N/A</v>
      </c>
      <c r="AS532" t="e">
        <v>#N/A</v>
      </c>
      <c r="AT532" t="e">
        <v>#N/A</v>
      </c>
    </row>
    <row r="533" spans="42:46">
      <c r="AP533">
        <v>99650</v>
      </c>
      <c r="AQ533" t="e">
        <v>#N/A</v>
      </c>
      <c r="AR533" t="e">
        <v>#N/A</v>
      </c>
      <c r="AS533" t="e">
        <v>#N/A</v>
      </c>
      <c r="AT533" t="e">
        <v>#N/A</v>
      </c>
    </row>
    <row r="534" spans="42:46">
      <c r="AP534">
        <v>99700</v>
      </c>
      <c r="AQ534" t="e">
        <v>#N/A</v>
      </c>
      <c r="AR534" t="e">
        <v>#N/A</v>
      </c>
      <c r="AS534" t="e">
        <v>#N/A</v>
      </c>
      <c r="AT534" t="e">
        <v>#N/A</v>
      </c>
    </row>
    <row r="535" spans="42:46">
      <c r="AP535">
        <v>99750</v>
      </c>
      <c r="AQ535" t="e">
        <v>#N/A</v>
      </c>
      <c r="AR535" t="e">
        <v>#N/A</v>
      </c>
      <c r="AS535" t="e">
        <v>#N/A</v>
      </c>
      <c r="AT535" t="e">
        <v>#N/A</v>
      </c>
    </row>
    <row r="536" spans="42:46">
      <c r="AP536">
        <v>99800</v>
      </c>
      <c r="AQ536" t="e">
        <v>#N/A</v>
      </c>
      <c r="AR536" t="e">
        <v>#N/A</v>
      </c>
      <c r="AS536" t="e">
        <v>#N/A</v>
      </c>
      <c r="AT536" t="e">
        <v>#N/A</v>
      </c>
    </row>
    <row r="537" spans="42:46">
      <c r="AP537">
        <v>99850</v>
      </c>
      <c r="AQ537" t="e">
        <v>#N/A</v>
      </c>
      <c r="AR537" t="e">
        <v>#N/A</v>
      </c>
      <c r="AS537" t="e">
        <v>#N/A</v>
      </c>
      <c r="AT537" t="e">
        <v>#N/A</v>
      </c>
    </row>
    <row r="538" spans="42:46">
      <c r="AP538">
        <v>99900</v>
      </c>
      <c r="AQ538" t="e">
        <v>#N/A</v>
      </c>
      <c r="AR538" t="e">
        <v>#N/A</v>
      </c>
      <c r="AS538" t="e">
        <v>#N/A</v>
      </c>
      <c r="AT538" t="e">
        <v>#N/A</v>
      </c>
    </row>
    <row r="539" spans="42:46">
      <c r="AP539">
        <v>99950</v>
      </c>
      <c r="AQ539" t="e">
        <v>#N/A</v>
      </c>
      <c r="AR539" t="e">
        <v>#N/A</v>
      </c>
      <c r="AS539" t="e">
        <v>#N/A</v>
      </c>
      <c r="AT539" t="e">
        <v>#N/A</v>
      </c>
    </row>
    <row r="540" spans="42:46">
      <c r="AP540">
        <v>100000</v>
      </c>
      <c r="AQ540" t="e">
        <v>#N/A</v>
      </c>
      <c r="AR540" t="e">
        <v>#N/A</v>
      </c>
      <c r="AS540" t="e">
        <v>#N/A</v>
      </c>
      <c r="AT540" t="e">
        <v>#N/A</v>
      </c>
    </row>
    <row r="541" spans="42:46">
      <c r="AP541">
        <v>100050</v>
      </c>
      <c r="AQ541" t="e">
        <v>#N/A</v>
      </c>
      <c r="AR541" t="e">
        <v>#N/A</v>
      </c>
      <c r="AS541" t="e">
        <v>#N/A</v>
      </c>
      <c r="AT541" t="e">
        <v>#N/A</v>
      </c>
    </row>
    <row r="542" spans="42:46">
      <c r="AP542">
        <v>100100</v>
      </c>
      <c r="AQ542" t="e">
        <v>#N/A</v>
      </c>
      <c r="AR542" t="e">
        <v>#N/A</v>
      </c>
      <c r="AS542" t="e">
        <v>#N/A</v>
      </c>
      <c r="AT542" t="e">
        <v>#N/A</v>
      </c>
    </row>
    <row r="543" spans="42:46">
      <c r="AP543">
        <v>100150</v>
      </c>
      <c r="AQ543" t="e">
        <v>#N/A</v>
      </c>
      <c r="AR543" t="e">
        <v>#N/A</v>
      </c>
      <c r="AS543" t="e">
        <v>#N/A</v>
      </c>
      <c r="AT543" t="e">
        <v>#N/A</v>
      </c>
    </row>
    <row r="544" spans="42:46">
      <c r="AP544">
        <v>100200</v>
      </c>
      <c r="AQ544" t="e">
        <v>#N/A</v>
      </c>
      <c r="AR544" t="e">
        <v>#N/A</v>
      </c>
      <c r="AS544" t="e">
        <v>#N/A</v>
      </c>
      <c r="AT544" t="e">
        <v>#N/A</v>
      </c>
    </row>
    <row r="545" spans="42:46">
      <c r="AP545">
        <v>100250</v>
      </c>
      <c r="AQ545" t="e">
        <v>#N/A</v>
      </c>
      <c r="AR545" t="e">
        <v>#N/A</v>
      </c>
      <c r="AS545" t="e">
        <v>#N/A</v>
      </c>
      <c r="AT545" t="e">
        <v>#N/A</v>
      </c>
    </row>
    <row r="546" spans="42:46">
      <c r="AP546">
        <v>100300</v>
      </c>
      <c r="AQ546" t="e">
        <v>#N/A</v>
      </c>
      <c r="AR546" t="e">
        <v>#N/A</v>
      </c>
      <c r="AS546" t="e">
        <v>#N/A</v>
      </c>
      <c r="AT546" t="e">
        <v>#N/A</v>
      </c>
    </row>
    <row r="547" spans="42:46">
      <c r="AP547">
        <v>100350</v>
      </c>
      <c r="AQ547" t="e">
        <v>#N/A</v>
      </c>
      <c r="AR547" t="e">
        <v>#N/A</v>
      </c>
      <c r="AS547" t="e">
        <v>#N/A</v>
      </c>
      <c r="AT547" t="e">
        <v>#N/A</v>
      </c>
    </row>
    <row r="548" spans="42:46">
      <c r="AP548">
        <v>100400</v>
      </c>
      <c r="AQ548" t="e">
        <v>#N/A</v>
      </c>
      <c r="AR548" t="e">
        <v>#N/A</v>
      </c>
      <c r="AS548" t="e">
        <v>#N/A</v>
      </c>
      <c r="AT548" t="e">
        <v>#N/A</v>
      </c>
    </row>
    <row r="549" spans="42:46">
      <c r="AP549">
        <v>100450</v>
      </c>
      <c r="AQ549" t="e">
        <v>#N/A</v>
      </c>
      <c r="AR549" t="e">
        <v>#N/A</v>
      </c>
      <c r="AS549" t="e">
        <v>#N/A</v>
      </c>
      <c r="AT549" t="e">
        <v>#N/A</v>
      </c>
    </row>
    <row r="550" spans="42:46">
      <c r="AP550">
        <v>100500</v>
      </c>
      <c r="AQ550" t="e">
        <v>#N/A</v>
      </c>
      <c r="AR550" t="e">
        <v>#N/A</v>
      </c>
      <c r="AS550" t="e">
        <v>#N/A</v>
      </c>
      <c r="AT550" t="e">
        <v>#N/A</v>
      </c>
    </row>
    <row r="551" spans="42:46">
      <c r="AP551">
        <v>100550</v>
      </c>
      <c r="AQ551" t="e">
        <v>#N/A</v>
      </c>
      <c r="AR551" t="e">
        <v>#N/A</v>
      </c>
      <c r="AS551" t="e">
        <v>#N/A</v>
      </c>
      <c r="AT551" t="e">
        <v>#N/A</v>
      </c>
    </row>
    <row r="552" spans="42:46">
      <c r="AP552">
        <v>100600</v>
      </c>
      <c r="AQ552" t="e">
        <v>#N/A</v>
      </c>
      <c r="AR552" t="e">
        <v>#N/A</v>
      </c>
      <c r="AS552" t="e">
        <v>#N/A</v>
      </c>
      <c r="AT552" t="e">
        <v>#N/A</v>
      </c>
    </row>
    <row r="553" spans="42:46">
      <c r="AP553">
        <v>100650</v>
      </c>
      <c r="AQ553" t="e">
        <v>#N/A</v>
      </c>
      <c r="AR553" t="e">
        <v>#N/A</v>
      </c>
      <c r="AS553" t="e">
        <v>#N/A</v>
      </c>
      <c r="AT553" t="e">
        <v>#N/A</v>
      </c>
    </row>
    <row r="554" spans="42:46">
      <c r="AP554">
        <v>100700</v>
      </c>
      <c r="AQ554" t="e">
        <v>#N/A</v>
      </c>
      <c r="AR554" t="e">
        <v>#N/A</v>
      </c>
      <c r="AS554" t="e">
        <v>#N/A</v>
      </c>
      <c r="AT554" t="e">
        <v>#N/A</v>
      </c>
    </row>
    <row r="555" spans="42:46">
      <c r="AP555">
        <v>100750</v>
      </c>
      <c r="AQ555" t="e">
        <v>#N/A</v>
      </c>
      <c r="AR555" t="e">
        <v>#N/A</v>
      </c>
      <c r="AS555" t="e">
        <v>#N/A</v>
      </c>
      <c r="AT555" t="e">
        <v>#N/A</v>
      </c>
    </row>
    <row r="556" spans="42:46">
      <c r="AP556">
        <v>100800</v>
      </c>
      <c r="AQ556" t="e">
        <v>#N/A</v>
      </c>
      <c r="AR556" t="e">
        <v>#N/A</v>
      </c>
      <c r="AS556" t="e">
        <v>#N/A</v>
      </c>
      <c r="AT556" t="e">
        <v>#N/A</v>
      </c>
    </row>
    <row r="557" spans="42:46">
      <c r="AP557">
        <v>100850</v>
      </c>
      <c r="AQ557" t="e">
        <v>#N/A</v>
      </c>
      <c r="AR557" t="e">
        <v>#N/A</v>
      </c>
      <c r="AS557" t="e">
        <v>#N/A</v>
      </c>
      <c r="AT557" t="e">
        <v>#N/A</v>
      </c>
    </row>
    <row r="558" spans="42:46">
      <c r="AP558">
        <v>100900</v>
      </c>
      <c r="AQ558" t="e">
        <v>#N/A</v>
      </c>
      <c r="AR558" t="e">
        <v>#N/A</v>
      </c>
      <c r="AS558" t="e">
        <v>#N/A</v>
      </c>
      <c r="AT558" t="e">
        <v>#N/A</v>
      </c>
    </row>
    <row r="559" spans="42:46">
      <c r="AP559">
        <v>100950</v>
      </c>
      <c r="AQ559" t="e">
        <v>#N/A</v>
      </c>
      <c r="AR559" t="e">
        <v>#N/A</v>
      </c>
      <c r="AS559" t="e">
        <v>#N/A</v>
      </c>
      <c r="AT559" t="e">
        <v>#N/A</v>
      </c>
    </row>
    <row r="560" spans="42:46">
      <c r="AP560">
        <v>101000</v>
      </c>
      <c r="AQ560" t="e">
        <v>#N/A</v>
      </c>
      <c r="AR560" t="e">
        <v>#N/A</v>
      </c>
      <c r="AS560" t="e">
        <v>#N/A</v>
      </c>
      <c r="AT560" t="e">
        <v>#N/A</v>
      </c>
    </row>
    <row r="561" spans="42:46">
      <c r="AP561">
        <v>101050</v>
      </c>
      <c r="AQ561" t="e">
        <v>#N/A</v>
      </c>
      <c r="AR561" t="e">
        <v>#N/A</v>
      </c>
      <c r="AS561" t="e">
        <v>#N/A</v>
      </c>
      <c r="AT561" t="e">
        <v>#N/A</v>
      </c>
    </row>
    <row r="562" spans="42:46">
      <c r="AP562">
        <v>101100</v>
      </c>
      <c r="AQ562" t="e">
        <v>#N/A</v>
      </c>
      <c r="AR562" t="e">
        <v>#N/A</v>
      </c>
      <c r="AS562" t="e">
        <v>#N/A</v>
      </c>
      <c r="AT562" t="e">
        <v>#N/A</v>
      </c>
    </row>
    <row r="563" spans="42:46">
      <c r="AP563">
        <v>101150</v>
      </c>
      <c r="AQ563" t="e">
        <v>#N/A</v>
      </c>
      <c r="AR563" t="e">
        <v>#N/A</v>
      </c>
      <c r="AS563" t="e">
        <v>#N/A</v>
      </c>
      <c r="AT563" t="e">
        <v>#N/A</v>
      </c>
    </row>
    <row r="564" spans="42:46">
      <c r="AP564">
        <v>101200</v>
      </c>
      <c r="AQ564" t="e">
        <v>#N/A</v>
      </c>
      <c r="AR564" t="e">
        <v>#N/A</v>
      </c>
      <c r="AS564" t="e">
        <v>#N/A</v>
      </c>
      <c r="AT564" t="e">
        <v>#N/A</v>
      </c>
    </row>
    <row r="565" spans="42:46">
      <c r="AP565">
        <v>101250</v>
      </c>
      <c r="AQ565" t="e">
        <v>#N/A</v>
      </c>
      <c r="AR565" t="e">
        <v>#N/A</v>
      </c>
      <c r="AS565" t="e">
        <v>#N/A</v>
      </c>
      <c r="AT565" t="e">
        <v>#N/A</v>
      </c>
    </row>
    <row r="566" spans="42:46">
      <c r="AP566">
        <v>101300</v>
      </c>
      <c r="AQ566" t="e">
        <v>#N/A</v>
      </c>
      <c r="AR566" t="e">
        <v>#N/A</v>
      </c>
      <c r="AS566" t="e">
        <v>#N/A</v>
      </c>
      <c r="AT566" t="e">
        <v>#N/A</v>
      </c>
    </row>
    <row r="567" spans="42:46">
      <c r="AP567">
        <v>101350</v>
      </c>
      <c r="AQ567" t="e">
        <v>#N/A</v>
      </c>
      <c r="AR567" t="e">
        <v>#N/A</v>
      </c>
      <c r="AS567" t="e">
        <v>#N/A</v>
      </c>
      <c r="AT567" t="e">
        <v>#N/A</v>
      </c>
    </row>
    <row r="568" spans="42:46">
      <c r="AP568">
        <v>101400</v>
      </c>
      <c r="AQ568" t="e">
        <v>#N/A</v>
      </c>
      <c r="AR568" t="e">
        <v>#N/A</v>
      </c>
      <c r="AS568" t="e">
        <v>#N/A</v>
      </c>
      <c r="AT568" t="e">
        <v>#N/A</v>
      </c>
    </row>
    <row r="569" spans="42:46">
      <c r="AP569">
        <v>101450</v>
      </c>
      <c r="AQ569" t="e">
        <v>#N/A</v>
      </c>
      <c r="AR569" t="e">
        <v>#N/A</v>
      </c>
      <c r="AS569" t="e">
        <v>#N/A</v>
      </c>
      <c r="AT569" t="e">
        <v>#N/A</v>
      </c>
    </row>
    <row r="570" spans="42:46">
      <c r="AP570">
        <v>101500</v>
      </c>
      <c r="AQ570" t="e">
        <v>#N/A</v>
      </c>
      <c r="AR570" t="e">
        <v>#N/A</v>
      </c>
      <c r="AS570" t="e">
        <v>#N/A</v>
      </c>
      <c r="AT570" t="e">
        <v>#N/A</v>
      </c>
    </row>
    <row r="571" spans="42:46">
      <c r="AP571">
        <v>101550</v>
      </c>
      <c r="AQ571" t="e">
        <v>#N/A</v>
      </c>
      <c r="AR571" t="e">
        <v>#N/A</v>
      </c>
      <c r="AS571" t="e">
        <v>#N/A</v>
      </c>
      <c r="AT571" t="e">
        <v>#N/A</v>
      </c>
    </row>
    <row r="572" spans="42:46">
      <c r="AP572">
        <v>101600</v>
      </c>
      <c r="AQ572" t="e">
        <v>#N/A</v>
      </c>
      <c r="AR572" t="e">
        <v>#N/A</v>
      </c>
      <c r="AS572" t="e">
        <v>#N/A</v>
      </c>
      <c r="AT572" t="e">
        <v>#N/A</v>
      </c>
    </row>
    <row r="573" spans="42:46">
      <c r="AP573">
        <v>101650</v>
      </c>
      <c r="AQ573" t="e">
        <v>#N/A</v>
      </c>
      <c r="AR573" t="e">
        <v>#N/A</v>
      </c>
      <c r="AS573" t="e">
        <v>#N/A</v>
      </c>
      <c r="AT573" t="e">
        <v>#N/A</v>
      </c>
    </row>
    <row r="574" spans="42:46">
      <c r="AP574">
        <v>101700</v>
      </c>
      <c r="AQ574" t="e">
        <v>#N/A</v>
      </c>
      <c r="AR574" t="e">
        <v>#N/A</v>
      </c>
      <c r="AS574" t="e">
        <v>#N/A</v>
      </c>
      <c r="AT574" t="e">
        <v>#N/A</v>
      </c>
    </row>
    <row r="575" spans="42:46">
      <c r="AP575">
        <v>101750</v>
      </c>
      <c r="AQ575" t="e">
        <v>#N/A</v>
      </c>
      <c r="AR575" t="e">
        <v>#N/A</v>
      </c>
      <c r="AS575" t="e">
        <v>#N/A</v>
      </c>
      <c r="AT575" t="e">
        <v>#N/A</v>
      </c>
    </row>
    <row r="576" spans="42:46">
      <c r="AP576">
        <v>101800</v>
      </c>
      <c r="AQ576" t="e">
        <v>#N/A</v>
      </c>
      <c r="AR576" t="e">
        <v>#N/A</v>
      </c>
      <c r="AS576" t="e">
        <v>#N/A</v>
      </c>
      <c r="AT576" t="e">
        <v>#N/A</v>
      </c>
    </row>
    <row r="577" spans="42:46">
      <c r="AP577">
        <v>101850</v>
      </c>
      <c r="AQ577" t="e">
        <v>#N/A</v>
      </c>
      <c r="AR577" t="e">
        <v>#N/A</v>
      </c>
      <c r="AS577" t="e">
        <v>#N/A</v>
      </c>
      <c r="AT577" t="e">
        <v>#N/A</v>
      </c>
    </row>
    <row r="578" spans="42:46">
      <c r="AP578">
        <v>101900</v>
      </c>
      <c r="AQ578" t="e">
        <v>#N/A</v>
      </c>
      <c r="AR578" t="e">
        <v>#N/A</v>
      </c>
      <c r="AS578" t="e">
        <v>#N/A</v>
      </c>
      <c r="AT578" t="e">
        <v>#N/A</v>
      </c>
    </row>
    <row r="579" spans="42:46">
      <c r="AP579">
        <v>101950</v>
      </c>
      <c r="AQ579" t="e">
        <v>#N/A</v>
      </c>
      <c r="AR579" t="e">
        <v>#N/A</v>
      </c>
      <c r="AS579" t="e">
        <v>#N/A</v>
      </c>
      <c r="AT579" t="e">
        <v>#N/A</v>
      </c>
    </row>
    <row r="580" spans="42:46">
      <c r="AP580">
        <v>102000</v>
      </c>
      <c r="AQ580" t="e">
        <v>#N/A</v>
      </c>
      <c r="AR580" t="e">
        <v>#N/A</v>
      </c>
      <c r="AS580" t="e">
        <v>#N/A</v>
      </c>
      <c r="AT580" t="e">
        <v>#N/A</v>
      </c>
    </row>
    <row r="581" spans="42:46">
      <c r="AP581">
        <v>102050</v>
      </c>
      <c r="AQ581" t="e">
        <v>#N/A</v>
      </c>
      <c r="AR581" t="e">
        <v>#N/A</v>
      </c>
      <c r="AS581" t="e">
        <v>#N/A</v>
      </c>
      <c r="AT581" t="e">
        <v>#N/A</v>
      </c>
    </row>
    <row r="582" spans="42:46">
      <c r="AP582">
        <v>102100</v>
      </c>
      <c r="AQ582" t="e">
        <v>#N/A</v>
      </c>
      <c r="AR582" t="e">
        <v>#N/A</v>
      </c>
      <c r="AS582" t="e">
        <v>#N/A</v>
      </c>
      <c r="AT582" t="e">
        <v>#N/A</v>
      </c>
    </row>
    <row r="583" spans="42:46">
      <c r="AP583">
        <v>102150</v>
      </c>
      <c r="AQ583" t="e">
        <v>#N/A</v>
      </c>
      <c r="AR583" t="e">
        <v>#N/A</v>
      </c>
      <c r="AS583" t="e">
        <v>#N/A</v>
      </c>
      <c r="AT583" t="e">
        <v>#N/A</v>
      </c>
    </row>
    <row r="584" spans="42:46">
      <c r="AP584">
        <v>102200</v>
      </c>
      <c r="AQ584" t="e">
        <v>#N/A</v>
      </c>
      <c r="AR584" t="e">
        <v>#N/A</v>
      </c>
      <c r="AS584" t="e">
        <v>#N/A</v>
      </c>
      <c r="AT584" t="e">
        <v>#N/A</v>
      </c>
    </row>
    <row r="585" spans="42:46">
      <c r="AP585">
        <v>102250</v>
      </c>
      <c r="AQ585" t="e">
        <v>#N/A</v>
      </c>
      <c r="AR585" t="e">
        <v>#N/A</v>
      </c>
      <c r="AS585" t="e">
        <v>#N/A</v>
      </c>
      <c r="AT585" t="e">
        <v>#N/A</v>
      </c>
    </row>
    <row r="586" spans="42:46">
      <c r="AP586">
        <v>102300</v>
      </c>
      <c r="AQ586" t="e">
        <v>#N/A</v>
      </c>
      <c r="AR586" t="e">
        <v>#N/A</v>
      </c>
      <c r="AS586" t="e">
        <v>#N/A</v>
      </c>
      <c r="AT586" t="e">
        <v>#N/A</v>
      </c>
    </row>
    <row r="587" spans="42:46">
      <c r="AP587">
        <v>102350</v>
      </c>
      <c r="AQ587" t="e">
        <v>#N/A</v>
      </c>
      <c r="AR587" t="e">
        <v>#N/A</v>
      </c>
      <c r="AS587" t="e">
        <v>#N/A</v>
      </c>
      <c r="AT587" t="e">
        <v>#N/A</v>
      </c>
    </row>
    <row r="588" spans="42:46">
      <c r="AP588">
        <v>102400</v>
      </c>
      <c r="AQ588" t="e">
        <v>#N/A</v>
      </c>
      <c r="AR588" t="e">
        <v>#N/A</v>
      </c>
      <c r="AS588" t="e">
        <v>#N/A</v>
      </c>
      <c r="AT588" t="e">
        <v>#N/A</v>
      </c>
    </row>
    <row r="589" spans="42:46">
      <c r="AP589">
        <v>102450</v>
      </c>
      <c r="AQ589" t="e">
        <v>#N/A</v>
      </c>
      <c r="AR589" t="e">
        <v>#N/A</v>
      </c>
      <c r="AS589" t="e">
        <v>#N/A</v>
      </c>
      <c r="AT589" t="e">
        <v>#N/A</v>
      </c>
    </row>
    <row r="590" spans="42:46">
      <c r="AP590">
        <v>102500</v>
      </c>
      <c r="AQ590" t="e">
        <v>#N/A</v>
      </c>
      <c r="AR590" t="e">
        <v>#N/A</v>
      </c>
      <c r="AS590" t="e">
        <v>#N/A</v>
      </c>
      <c r="AT590" t="e">
        <v>#N/A</v>
      </c>
    </row>
    <row r="591" spans="42:46">
      <c r="AP591">
        <v>102550</v>
      </c>
      <c r="AQ591" t="e">
        <v>#N/A</v>
      </c>
      <c r="AR591" t="e">
        <v>#N/A</v>
      </c>
      <c r="AS591" t="e">
        <v>#N/A</v>
      </c>
      <c r="AT591" t="e">
        <v>#N/A</v>
      </c>
    </row>
    <row r="592" spans="42:46">
      <c r="AP592">
        <v>102600</v>
      </c>
      <c r="AQ592" t="e">
        <v>#N/A</v>
      </c>
      <c r="AR592" t="e">
        <v>#N/A</v>
      </c>
      <c r="AS592" t="e">
        <v>#N/A</v>
      </c>
      <c r="AT592" t="e">
        <v>#N/A</v>
      </c>
    </row>
    <row r="593" spans="42:46">
      <c r="AP593">
        <v>102650</v>
      </c>
      <c r="AQ593" t="e">
        <v>#N/A</v>
      </c>
      <c r="AR593" t="e">
        <v>#N/A</v>
      </c>
      <c r="AS593" t="e">
        <v>#N/A</v>
      </c>
      <c r="AT593" t="e">
        <v>#N/A</v>
      </c>
    </row>
    <row r="594" spans="42:46">
      <c r="AP594">
        <v>102700</v>
      </c>
      <c r="AQ594" t="e">
        <v>#N/A</v>
      </c>
      <c r="AR594" t="e">
        <v>#N/A</v>
      </c>
      <c r="AS594" t="e">
        <v>#N/A</v>
      </c>
      <c r="AT594" t="e">
        <v>#N/A</v>
      </c>
    </row>
    <row r="595" spans="42:46">
      <c r="AP595">
        <v>102750</v>
      </c>
      <c r="AQ595" t="e">
        <v>#N/A</v>
      </c>
      <c r="AR595" t="e">
        <v>#N/A</v>
      </c>
      <c r="AS595" t="e">
        <v>#N/A</v>
      </c>
      <c r="AT595" t="e">
        <v>#N/A</v>
      </c>
    </row>
    <row r="596" spans="42:46">
      <c r="AP596">
        <v>102800</v>
      </c>
      <c r="AQ596" t="e">
        <v>#N/A</v>
      </c>
      <c r="AR596" t="e">
        <v>#N/A</v>
      </c>
      <c r="AS596" t="e">
        <v>#N/A</v>
      </c>
      <c r="AT596" t="e">
        <v>#N/A</v>
      </c>
    </row>
    <row r="597" spans="42:46">
      <c r="AP597">
        <v>102850</v>
      </c>
      <c r="AQ597" t="e">
        <v>#N/A</v>
      </c>
      <c r="AR597" t="e">
        <v>#N/A</v>
      </c>
      <c r="AS597" t="e">
        <v>#N/A</v>
      </c>
      <c r="AT597" t="e">
        <v>#N/A</v>
      </c>
    </row>
    <row r="598" spans="42:46">
      <c r="AP598">
        <v>102900</v>
      </c>
      <c r="AQ598" t="e">
        <v>#N/A</v>
      </c>
      <c r="AR598" t="e">
        <v>#N/A</v>
      </c>
      <c r="AS598" t="e">
        <v>#N/A</v>
      </c>
      <c r="AT598" t="e">
        <v>#N/A</v>
      </c>
    </row>
    <row r="599" spans="42:46">
      <c r="AP599">
        <v>102950</v>
      </c>
      <c r="AQ599" t="e">
        <v>#N/A</v>
      </c>
      <c r="AR599" t="e">
        <v>#N/A</v>
      </c>
      <c r="AS599" t="e">
        <v>#N/A</v>
      </c>
      <c r="AT599" t="e">
        <v>#N/A</v>
      </c>
    </row>
    <row r="600" spans="42:46">
      <c r="AP600">
        <v>103000</v>
      </c>
      <c r="AQ600" t="e">
        <v>#N/A</v>
      </c>
      <c r="AR600" t="e">
        <v>#N/A</v>
      </c>
      <c r="AS600" t="e">
        <v>#N/A</v>
      </c>
      <c r="AT600" t="e">
        <v>#N/A</v>
      </c>
    </row>
    <row r="601" spans="42:46">
      <c r="AP601">
        <v>103050</v>
      </c>
      <c r="AQ601" t="e">
        <v>#N/A</v>
      </c>
      <c r="AR601" t="e">
        <v>#N/A</v>
      </c>
      <c r="AS601" t="e">
        <v>#N/A</v>
      </c>
      <c r="AT601" t="e">
        <v>#N/A</v>
      </c>
    </row>
    <row r="602" spans="42:46">
      <c r="AP602">
        <v>103100</v>
      </c>
      <c r="AQ602" t="e">
        <v>#N/A</v>
      </c>
      <c r="AR602" t="e">
        <v>#N/A</v>
      </c>
      <c r="AS602" t="e">
        <v>#N/A</v>
      </c>
      <c r="AT602" t="e">
        <v>#N/A</v>
      </c>
    </row>
    <row r="603" spans="42:46">
      <c r="AP603">
        <v>103150</v>
      </c>
      <c r="AQ603" t="e">
        <v>#N/A</v>
      </c>
      <c r="AR603" t="e">
        <v>#N/A</v>
      </c>
      <c r="AS603" t="e">
        <v>#N/A</v>
      </c>
      <c r="AT603" t="e">
        <v>#N/A</v>
      </c>
    </row>
    <row r="604" spans="42:46">
      <c r="AP604">
        <v>103200</v>
      </c>
      <c r="AQ604" t="e">
        <v>#N/A</v>
      </c>
      <c r="AR604" t="e">
        <v>#N/A</v>
      </c>
      <c r="AS604" t="e">
        <v>#N/A</v>
      </c>
      <c r="AT604" t="e">
        <v>#N/A</v>
      </c>
    </row>
    <row r="605" spans="42:46">
      <c r="AP605">
        <v>103250</v>
      </c>
      <c r="AQ605" t="e">
        <v>#N/A</v>
      </c>
      <c r="AR605" t="e">
        <v>#N/A</v>
      </c>
      <c r="AS605" t="e">
        <v>#N/A</v>
      </c>
      <c r="AT605" t="e">
        <v>#N/A</v>
      </c>
    </row>
    <row r="606" spans="42:46">
      <c r="AP606">
        <v>103300</v>
      </c>
      <c r="AQ606" t="e">
        <v>#N/A</v>
      </c>
      <c r="AR606" t="e">
        <v>#N/A</v>
      </c>
      <c r="AS606" t="e">
        <v>#N/A</v>
      </c>
      <c r="AT606" t="e">
        <v>#N/A</v>
      </c>
    </row>
    <row r="607" spans="42:46">
      <c r="AP607">
        <v>103350</v>
      </c>
      <c r="AQ607" t="e">
        <v>#N/A</v>
      </c>
      <c r="AR607" t="e">
        <v>#N/A</v>
      </c>
      <c r="AS607" t="e">
        <v>#N/A</v>
      </c>
      <c r="AT607" t="e">
        <v>#N/A</v>
      </c>
    </row>
    <row r="608" spans="42:46">
      <c r="AP608">
        <v>103400</v>
      </c>
      <c r="AQ608" t="e">
        <v>#N/A</v>
      </c>
      <c r="AR608" t="e">
        <v>#N/A</v>
      </c>
      <c r="AS608" t="e">
        <v>#N/A</v>
      </c>
      <c r="AT608" t="e">
        <v>#N/A</v>
      </c>
    </row>
    <row r="609" spans="42:46">
      <c r="AP609">
        <v>103450</v>
      </c>
      <c r="AQ609" t="e">
        <v>#N/A</v>
      </c>
      <c r="AR609" t="e">
        <v>#N/A</v>
      </c>
      <c r="AS609" t="e">
        <v>#N/A</v>
      </c>
      <c r="AT609" t="e">
        <v>#N/A</v>
      </c>
    </row>
    <row r="610" spans="42:46">
      <c r="AP610">
        <v>103500</v>
      </c>
      <c r="AQ610" t="e">
        <v>#N/A</v>
      </c>
      <c r="AR610" t="e">
        <v>#N/A</v>
      </c>
      <c r="AS610" t="e">
        <v>#N/A</v>
      </c>
      <c r="AT610" t="e">
        <v>#N/A</v>
      </c>
    </row>
    <row r="611" spans="42:46">
      <c r="AP611">
        <v>103550</v>
      </c>
      <c r="AQ611" t="e">
        <v>#N/A</v>
      </c>
      <c r="AR611" t="e">
        <v>#N/A</v>
      </c>
      <c r="AS611" t="e">
        <v>#N/A</v>
      </c>
      <c r="AT611" t="e">
        <v>#N/A</v>
      </c>
    </row>
    <row r="612" spans="42:46">
      <c r="AP612">
        <v>103600</v>
      </c>
      <c r="AQ612" t="e">
        <v>#N/A</v>
      </c>
      <c r="AR612" t="e">
        <v>#N/A</v>
      </c>
      <c r="AS612" t="e">
        <v>#N/A</v>
      </c>
      <c r="AT612" t="e">
        <v>#N/A</v>
      </c>
    </row>
    <row r="613" spans="42:46">
      <c r="AP613">
        <v>103650</v>
      </c>
      <c r="AQ613" t="e">
        <v>#N/A</v>
      </c>
      <c r="AR613" t="e">
        <v>#N/A</v>
      </c>
      <c r="AS613" t="e">
        <v>#N/A</v>
      </c>
      <c r="AT613" t="e">
        <v>#N/A</v>
      </c>
    </row>
    <row r="614" spans="42:46">
      <c r="AP614">
        <v>103700</v>
      </c>
      <c r="AQ614" t="e">
        <v>#N/A</v>
      </c>
      <c r="AR614" t="e">
        <v>#N/A</v>
      </c>
      <c r="AS614" t="e">
        <v>#N/A</v>
      </c>
      <c r="AT614" t="e">
        <v>#N/A</v>
      </c>
    </row>
    <row r="615" spans="42:46">
      <c r="AP615">
        <v>103750</v>
      </c>
      <c r="AQ615" t="e">
        <v>#N/A</v>
      </c>
      <c r="AR615" t="e">
        <v>#N/A</v>
      </c>
      <c r="AS615" t="e">
        <v>#N/A</v>
      </c>
      <c r="AT615" t="e">
        <v>#N/A</v>
      </c>
    </row>
    <row r="616" spans="42:46">
      <c r="AP616">
        <v>103800</v>
      </c>
      <c r="AQ616" t="e">
        <v>#N/A</v>
      </c>
      <c r="AR616" t="e">
        <v>#N/A</v>
      </c>
      <c r="AS616" t="e">
        <v>#N/A</v>
      </c>
      <c r="AT616" t="e">
        <v>#N/A</v>
      </c>
    </row>
    <row r="617" spans="42:46">
      <c r="AP617">
        <v>103850</v>
      </c>
      <c r="AQ617" t="e">
        <v>#N/A</v>
      </c>
      <c r="AR617" t="e">
        <v>#N/A</v>
      </c>
      <c r="AS617" t="e">
        <v>#N/A</v>
      </c>
      <c r="AT617" t="e">
        <v>#N/A</v>
      </c>
    </row>
    <row r="618" spans="42:46">
      <c r="AP618">
        <v>103900</v>
      </c>
      <c r="AQ618" t="e">
        <v>#N/A</v>
      </c>
      <c r="AR618" t="e">
        <v>#N/A</v>
      </c>
      <c r="AS618" t="e">
        <v>#N/A</v>
      </c>
      <c r="AT618" t="e">
        <v>#N/A</v>
      </c>
    </row>
    <row r="619" spans="42:46">
      <c r="AP619">
        <v>103950</v>
      </c>
      <c r="AQ619" t="e">
        <v>#N/A</v>
      </c>
      <c r="AR619" t="e">
        <v>#N/A</v>
      </c>
      <c r="AS619" t="e">
        <v>#N/A</v>
      </c>
      <c r="AT619" t="e">
        <v>#N/A</v>
      </c>
    </row>
    <row r="620" spans="42:46">
      <c r="AP620">
        <v>104000</v>
      </c>
      <c r="AQ620" t="e">
        <v>#N/A</v>
      </c>
      <c r="AR620" t="e">
        <v>#N/A</v>
      </c>
      <c r="AS620" t="e">
        <v>#N/A</v>
      </c>
      <c r="AT620" t="e">
        <v>#N/A</v>
      </c>
    </row>
    <row r="621" spans="42:46">
      <c r="AP621">
        <v>104050</v>
      </c>
      <c r="AQ621" t="e">
        <v>#N/A</v>
      </c>
      <c r="AR621" t="e">
        <v>#N/A</v>
      </c>
      <c r="AS621" t="e">
        <v>#N/A</v>
      </c>
      <c r="AT621" t="e">
        <v>#N/A</v>
      </c>
    </row>
    <row r="622" spans="42:46">
      <c r="AP622">
        <v>104100</v>
      </c>
      <c r="AQ622" t="e">
        <v>#N/A</v>
      </c>
      <c r="AR622" t="e">
        <v>#N/A</v>
      </c>
      <c r="AS622" t="e">
        <v>#N/A</v>
      </c>
      <c r="AT622" t="e">
        <v>#N/A</v>
      </c>
    </row>
    <row r="623" spans="42:46">
      <c r="AP623">
        <v>104150</v>
      </c>
      <c r="AQ623" t="e">
        <v>#N/A</v>
      </c>
      <c r="AR623" t="e">
        <v>#N/A</v>
      </c>
      <c r="AS623" t="e">
        <v>#N/A</v>
      </c>
      <c r="AT623" t="e">
        <v>#N/A</v>
      </c>
    </row>
    <row r="624" spans="42:46">
      <c r="AP624">
        <v>104200</v>
      </c>
      <c r="AQ624" t="e">
        <v>#N/A</v>
      </c>
      <c r="AR624" t="e">
        <v>#N/A</v>
      </c>
      <c r="AS624" t="e">
        <v>#N/A</v>
      </c>
      <c r="AT624" t="e">
        <v>#N/A</v>
      </c>
    </row>
    <row r="625" spans="42:46">
      <c r="AP625">
        <v>104250</v>
      </c>
      <c r="AQ625" t="e">
        <v>#N/A</v>
      </c>
      <c r="AR625" t="e">
        <v>#N/A</v>
      </c>
      <c r="AS625" t="e">
        <v>#N/A</v>
      </c>
      <c r="AT625" t="e">
        <v>#N/A</v>
      </c>
    </row>
    <row r="626" spans="42:46">
      <c r="AP626">
        <v>104300</v>
      </c>
      <c r="AQ626" t="e">
        <v>#N/A</v>
      </c>
      <c r="AR626" t="e">
        <v>#N/A</v>
      </c>
      <c r="AS626" t="e">
        <v>#N/A</v>
      </c>
      <c r="AT626" t="e">
        <v>#N/A</v>
      </c>
    </row>
    <row r="627" spans="42:46">
      <c r="AP627">
        <v>104350</v>
      </c>
      <c r="AQ627" t="e">
        <v>#N/A</v>
      </c>
      <c r="AR627" t="e">
        <v>#N/A</v>
      </c>
      <c r="AS627" t="e">
        <v>#N/A</v>
      </c>
      <c r="AT627" t="e">
        <v>#N/A</v>
      </c>
    </row>
    <row r="628" spans="42:46">
      <c r="AP628">
        <v>104400</v>
      </c>
      <c r="AQ628" t="e">
        <v>#N/A</v>
      </c>
      <c r="AR628" t="e">
        <v>#N/A</v>
      </c>
      <c r="AS628" t="e">
        <v>#N/A</v>
      </c>
      <c r="AT628" t="e">
        <v>#N/A</v>
      </c>
    </row>
    <row r="629" spans="42:46">
      <c r="AP629">
        <v>104450</v>
      </c>
      <c r="AQ629" t="e">
        <v>#N/A</v>
      </c>
      <c r="AR629" t="e">
        <v>#N/A</v>
      </c>
      <c r="AS629" t="e">
        <v>#N/A</v>
      </c>
      <c r="AT629" t="e">
        <v>#N/A</v>
      </c>
    </row>
    <row r="630" spans="42:46">
      <c r="AP630">
        <v>104500</v>
      </c>
      <c r="AQ630" t="e">
        <v>#N/A</v>
      </c>
      <c r="AR630" t="e">
        <v>#N/A</v>
      </c>
      <c r="AS630" t="e">
        <v>#N/A</v>
      </c>
      <c r="AT630" t="e">
        <v>#N/A</v>
      </c>
    </row>
    <row r="631" spans="42:46">
      <c r="AP631">
        <v>104550</v>
      </c>
      <c r="AQ631" t="e">
        <v>#N/A</v>
      </c>
      <c r="AR631" t="e">
        <v>#N/A</v>
      </c>
      <c r="AS631" t="e">
        <v>#N/A</v>
      </c>
      <c r="AT631" t="e">
        <v>#N/A</v>
      </c>
    </row>
    <row r="632" spans="42:46">
      <c r="AP632">
        <v>104600</v>
      </c>
      <c r="AQ632" t="e">
        <v>#N/A</v>
      </c>
      <c r="AR632" t="e">
        <v>#N/A</v>
      </c>
      <c r="AS632" t="e">
        <v>#N/A</v>
      </c>
      <c r="AT632" t="e">
        <v>#N/A</v>
      </c>
    </row>
    <row r="633" spans="42:46">
      <c r="AP633">
        <v>104650</v>
      </c>
      <c r="AQ633" t="e">
        <v>#N/A</v>
      </c>
      <c r="AR633" t="e">
        <v>#N/A</v>
      </c>
      <c r="AS633" t="e">
        <v>#N/A</v>
      </c>
      <c r="AT633" t="e">
        <v>#N/A</v>
      </c>
    </row>
    <row r="634" spans="42:46">
      <c r="AP634">
        <v>104700</v>
      </c>
      <c r="AQ634" t="e">
        <v>#N/A</v>
      </c>
      <c r="AR634" t="e">
        <v>#N/A</v>
      </c>
      <c r="AS634" t="e">
        <v>#N/A</v>
      </c>
      <c r="AT634" t="e">
        <v>#N/A</v>
      </c>
    </row>
    <row r="635" spans="42:46">
      <c r="AP635">
        <v>104750</v>
      </c>
      <c r="AQ635" t="e">
        <v>#N/A</v>
      </c>
      <c r="AR635" t="e">
        <v>#N/A</v>
      </c>
      <c r="AS635" t="e">
        <v>#N/A</v>
      </c>
      <c r="AT635" t="e">
        <v>#N/A</v>
      </c>
    </row>
    <row r="636" spans="42:46">
      <c r="AP636">
        <v>104800</v>
      </c>
      <c r="AQ636" t="e">
        <v>#N/A</v>
      </c>
      <c r="AR636" t="e">
        <v>#N/A</v>
      </c>
      <c r="AS636" t="e">
        <v>#N/A</v>
      </c>
      <c r="AT636" t="e">
        <v>#N/A</v>
      </c>
    </row>
    <row r="637" spans="42:46">
      <c r="AP637">
        <v>104850</v>
      </c>
      <c r="AQ637" t="e">
        <v>#N/A</v>
      </c>
      <c r="AR637" t="e">
        <v>#N/A</v>
      </c>
      <c r="AS637" t="e">
        <v>#N/A</v>
      </c>
      <c r="AT637" t="e">
        <v>#N/A</v>
      </c>
    </row>
    <row r="638" spans="42:46">
      <c r="AP638">
        <v>104900</v>
      </c>
      <c r="AQ638" t="e">
        <v>#N/A</v>
      </c>
      <c r="AR638" t="e">
        <v>#N/A</v>
      </c>
      <c r="AS638" t="e">
        <v>#N/A</v>
      </c>
      <c r="AT638" t="e">
        <v>#N/A</v>
      </c>
    </row>
    <row r="639" spans="42:46">
      <c r="AP639">
        <v>104950</v>
      </c>
      <c r="AQ639" t="e">
        <v>#N/A</v>
      </c>
      <c r="AR639" t="e">
        <v>#N/A</v>
      </c>
      <c r="AS639" t="e">
        <v>#N/A</v>
      </c>
      <c r="AT639" t="e">
        <v>#N/A</v>
      </c>
    </row>
    <row r="640" spans="42:46">
      <c r="AP640">
        <v>105000</v>
      </c>
      <c r="AQ640" t="e">
        <v>#N/A</v>
      </c>
      <c r="AR640" t="e">
        <v>#N/A</v>
      </c>
      <c r="AS640" t="e">
        <v>#N/A</v>
      </c>
      <c r="AT640" t="e">
        <v>#N/A</v>
      </c>
    </row>
    <row r="641" spans="42:46">
      <c r="AP641">
        <v>105050</v>
      </c>
      <c r="AQ641" t="e">
        <v>#N/A</v>
      </c>
      <c r="AR641" t="e">
        <v>#N/A</v>
      </c>
      <c r="AS641" t="e">
        <v>#N/A</v>
      </c>
      <c r="AT641" t="e">
        <v>#N/A</v>
      </c>
    </row>
    <row r="642" spans="42:46">
      <c r="AP642">
        <v>105100</v>
      </c>
      <c r="AQ642" t="e">
        <v>#N/A</v>
      </c>
      <c r="AR642" t="e">
        <v>#N/A</v>
      </c>
      <c r="AS642" t="e">
        <v>#N/A</v>
      </c>
      <c r="AT642" t="e">
        <v>#N/A</v>
      </c>
    </row>
    <row r="643" spans="42:46">
      <c r="AP643">
        <v>105150</v>
      </c>
      <c r="AQ643" t="e">
        <v>#N/A</v>
      </c>
      <c r="AR643" t="e">
        <v>#N/A</v>
      </c>
      <c r="AS643" t="e">
        <v>#N/A</v>
      </c>
      <c r="AT643" t="e">
        <v>#N/A</v>
      </c>
    </row>
    <row r="644" spans="42:46">
      <c r="AP644">
        <v>105200</v>
      </c>
      <c r="AQ644" t="e">
        <v>#N/A</v>
      </c>
      <c r="AR644" t="e">
        <v>#N/A</v>
      </c>
      <c r="AS644" t="e">
        <v>#N/A</v>
      </c>
      <c r="AT644" t="e">
        <v>#N/A</v>
      </c>
    </row>
    <row r="645" spans="42:46">
      <c r="AP645">
        <v>105250</v>
      </c>
      <c r="AQ645" t="e">
        <v>#N/A</v>
      </c>
      <c r="AR645" t="e">
        <v>#N/A</v>
      </c>
      <c r="AS645" t="e">
        <v>#N/A</v>
      </c>
      <c r="AT645" t="e">
        <v>#N/A</v>
      </c>
    </row>
    <row r="646" spans="42:46">
      <c r="AP646">
        <v>105300</v>
      </c>
      <c r="AQ646" t="e">
        <v>#N/A</v>
      </c>
      <c r="AR646" t="e">
        <v>#N/A</v>
      </c>
      <c r="AS646" t="e">
        <v>#N/A</v>
      </c>
      <c r="AT646" t="e">
        <v>#N/A</v>
      </c>
    </row>
    <row r="647" spans="42:46">
      <c r="AP647">
        <v>105350</v>
      </c>
      <c r="AQ647" t="e">
        <v>#N/A</v>
      </c>
      <c r="AR647" t="e">
        <v>#N/A</v>
      </c>
      <c r="AS647" t="e">
        <v>#N/A</v>
      </c>
      <c r="AT647" t="e">
        <v>#N/A</v>
      </c>
    </row>
    <row r="648" spans="42:46">
      <c r="AP648">
        <v>105400</v>
      </c>
      <c r="AQ648" t="e">
        <v>#N/A</v>
      </c>
      <c r="AR648" t="e">
        <v>#N/A</v>
      </c>
      <c r="AS648" t="e">
        <v>#N/A</v>
      </c>
      <c r="AT648" t="e">
        <v>#N/A</v>
      </c>
    </row>
    <row r="649" spans="42:46">
      <c r="AP649">
        <v>105450</v>
      </c>
      <c r="AQ649" t="e">
        <v>#N/A</v>
      </c>
      <c r="AR649" t="e">
        <v>#N/A</v>
      </c>
      <c r="AS649" t="e">
        <v>#N/A</v>
      </c>
      <c r="AT649" t="e">
        <v>#N/A</v>
      </c>
    </row>
    <row r="650" spans="42:46">
      <c r="AP650">
        <v>105500</v>
      </c>
      <c r="AQ650" t="e">
        <v>#N/A</v>
      </c>
      <c r="AR650" t="e">
        <v>#N/A</v>
      </c>
      <c r="AS650" t="e">
        <v>#N/A</v>
      </c>
      <c r="AT650" t="e">
        <v>#N/A</v>
      </c>
    </row>
    <row r="651" spans="42:46">
      <c r="AP651">
        <v>105550</v>
      </c>
      <c r="AQ651" t="e">
        <v>#N/A</v>
      </c>
      <c r="AR651" t="e">
        <v>#N/A</v>
      </c>
      <c r="AS651" t="e">
        <v>#N/A</v>
      </c>
      <c r="AT651" t="e">
        <v>#N/A</v>
      </c>
    </row>
    <row r="652" spans="42:46">
      <c r="AP652">
        <v>105600</v>
      </c>
      <c r="AQ652" t="e">
        <v>#N/A</v>
      </c>
      <c r="AR652" t="e">
        <v>#N/A</v>
      </c>
      <c r="AS652" t="e">
        <v>#N/A</v>
      </c>
      <c r="AT652" t="e">
        <v>#N/A</v>
      </c>
    </row>
    <row r="653" spans="42:46">
      <c r="AP653">
        <v>105650</v>
      </c>
      <c r="AQ653" t="e">
        <v>#N/A</v>
      </c>
      <c r="AR653" t="e">
        <v>#N/A</v>
      </c>
      <c r="AS653" t="e">
        <v>#N/A</v>
      </c>
      <c r="AT653" t="e">
        <v>#N/A</v>
      </c>
    </row>
    <row r="654" spans="42:46">
      <c r="AP654">
        <v>105700</v>
      </c>
      <c r="AQ654" t="e">
        <v>#N/A</v>
      </c>
      <c r="AR654" t="e">
        <v>#N/A</v>
      </c>
      <c r="AS654" t="e">
        <v>#N/A</v>
      </c>
      <c r="AT654" t="e">
        <v>#N/A</v>
      </c>
    </row>
    <row r="655" spans="42:46">
      <c r="AP655">
        <v>105750</v>
      </c>
      <c r="AQ655" t="e">
        <v>#N/A</v>
      </c>
      <c r="AR655" t="e">
        <v>#N/A</v>
      </c>
      <c r="AS655">
        <v>105750</v>
      </c>
      <c r="AT655">
        <v>1</v>
      </c>
    </row>
    <row r="656" spans="42:46">
      <c r="AP656">
        <v>105800</v>
      </c>
      <c r="AQ656" t="e">
        <v>#N/A</v>
      </c>
      <c r="AR656" t="e">
        <v>#N/A</v>
      </c>
      <c r="AS656">
        <v>105800</v>
      </c>
      <c r="AT656">
        <v>1</v>
      </c>
    </row>
    <row r="657" spans="42:46">
      <c r="AP657">
        <v>105850</v>
      </c>
      <c r="AQ657" t="e">
        <v>#N/A</v>
      </c>
      <c r="AR657" t="e">
        <v>#N/A</v>
      </c>
      <c r="AS657">
        <v>105850</v>
      </c>
      <c r="AT657">
        <v>1</v>
      </c>
    </row>
    <row r="658" spans="42:46">
      <c r="AP658">
        <v>105900</v>
      </c>
      <c r="AQ658" t="e">
        <v>#N/A</v>
      </c>
      <c r="AR658" t="e">
        <v>#N/A</v>
      </c>
      <c r="AS658">
        <v>105900</v>
      </c>
      <c r="AT658">
        <v>1</v>
      </c>
    </row>
    <row r="659" spans="42:46">
      <c r="AP659">
        <v>105950</v>
      </c>
      <c r="AQ659" t="e">
        <v>#N/A</v>
      </c>
      <c r="AR659" t="e">
        <v>#N/A</v>
      </c>
      <c r="AS659">
        <v>105950</v>
      </c>
      <c r="AT659">
        <v>1</v>
      </c>
    </row>
    <row r="660" spans="42:46">
      <c r="AP660">
        <v>106000</v>
      </c>
      <c r="AQ660" t="e">
        <v>#N/A</v>
      </c>
      <c r="AR660" t="e">
        <v>#N/A</v>
      </c>
      <c r="AS660">
        <v>106000</v>
      </c>
      <c r="AT660">
        <v>1</v>
      </c>
    </row>
    <row r="661" spans="42:46">
      <c r="AP661">
        <v>106050</v>
      </c>
      <c r="AQ661" t="e">
        <v>#N/A</v>
      </c>
      <c r="AR661" t="e">
        <v>#N/A</v>
      </c>
      <c r="AS661">
        <v>106050</v>
      </c>
      <c r="AT661">
        <v>1</v>
      </c>
    </row>
    <row r="662" spans="42:46">
      <c r="AP662">
        <v>106100</v>
      </c>
      <c r="AQ662" t="e">
        <v>#N/A</v>
      </c>
      <c r="AR662" t="e">
        <v>#N/A</v>
      </c>
      <c r="AS662">
        <v>106100</v>
      </c>
      <c r="AT662">
        <v>1</v>
      </c>
    </row>
    <row r="663" spans="42:46">
      <c r="AP663">
        <v>106150</v>
      </c>
      <c r="AQ663" t="e">
        <v>#N/A</v>
      </c>
      <c r="AR663" t="e">
        <v>#N/A</v>
      </c>
      <c r="AS663">
        <v>106150</v>
      </c>
      <c r="AT663">
        <v>1</v>
      </c>
    </row>
    <row r="664" spans="42:46">
      <c r="AP664">
        <v>106200</v>
      </c>
      <c r="AQ664" t="e">
        <v>#N/A</v>
      </c>
      <c r="AR664" t="e">
        <v>#N/A</v>
      </c>
      <c r="AS664">
        <v>106200</v>
      </c>
      <c r="AT664">
        <v>1</v>
      </c>
    </row>
    <row r="665" spans="42:46">
      <c r="AP665">
        <v>106250</v>
      </c>
      <c r="AQ665" t="e">
        <v>#N/A</v>
      </c>
      <c r="AR665" t="e">
        <v>#N/A</v>
      </c>
      <c r="AS665">
        <v>106250</v>
      </c>
      <c r="AT665">
        <v>1</v>
      </c>
    </row>
    <row r="666" spans="42:46">
      <c r="AP666">
        <v>106300</v>
      </c>
      <c r="AQ666" t="e">
        <v>#N/A</v>
      </c>
      <c r="AR666" t="e">
        <v>#N/A</v>
      </c>
      <c r="AS666">
        <v>106300</v>
      </c>
      <c r="AT666">
        <v>1</v>
      </c>
    </row>
    <row r="667" spans="42:46">
      <c r="AP667">
        <v>106350</v>
      </c>
      <c r="AQ667" t="e">
        <v>#N/A</v>
      </c>
      <c r="AR667" t="e">
        <v>#N/A</v>
      </c>
      <c r="AS667">
        <v>106350</v>
      </c>
      <c r="AT667">
        <v>1</v>
      </c>
    </row>
    <row r="668" spans="42:46">
      <c r="AP668">
        <v>106400</v>
      </c>
      <c r="AQ668" t="e">
        <v>#N/A</v>
      </c>
      <c r="AR668" t="e">
        <v>#N/A</v>
      </c>
      <c r="AS668">
        <v>106400</v>
      </c>
      <c r="AT668">
        <v>1</v>
      </c>
    </row>
    <row r="669" spans="42:46">
      <c r="AP669">
        <v>106450</v>
      </c>
      <c r="AQ669" t="e">
        <v>#N/A</v>
      </c>
      <c r="AR669" t="e">
        <v>#N/A</v>
      </c>
      <c r="AS669">
        <v>106450</v>
      </c>
      <c r="AT669">
        <v>1</v>
      </c>
    </row>
    <row r="670" spans="42:46">
      <c r="AP670">
        <v>106500</v>
      </c>
      <c r="AQ670" t="e">
        <v>#N/A</v>
      </c>
      <c r="AR670" t="e">
        <v>#N/A</v>
      </c>
      <c r="AS670">
        <v>106500</v>
      </c>
      <c r="AT670">
        <v>1</v>
      </c>
    </row>
    <row r="671" spans="42:46">
      <c r="AP671">
        <v>106550</v>
      </c>
      <c r="AQ671" t="e">
        <v>#N/A</v>
      </c>
      <c r="AR671" t="e">
        <v>#N/A</v>
      </c>
      <c r="AS671">
        <v>106550</v>
      </c>
      <c r="AT671">
        <v>1</v>
      </c>
    </row>
    <row r="672" spans="42:46">
      <c r="AP672">
        <v>106600</v>
      </c>
      <c r="AQ672" t="e">
        <v>#N/A</v>
      </c>
      <c r="AR672" t="e">
        <v>#N/A</v>
      </c>
      <c r="AS672">
        <v>106600</v>
      </c>
      <c r="AT672">
        <v>1</v>
      </c>
    </row>
    <row r="673" spans="42:46">
      <c r="AP673">
        <v>106650</v>
      </c>
      <c r="AQ673" t="e">
        <v>#N/A</v>
      </c>
      <c r="AR673" t="e">
        <v>#N/A</v>
      </c>
      <c r="AS673">
        <v>106650</v>
      </c>
      <c r="AT673">
        <v>1</v>
      </c>
    </row>
    <row r="674" spans="42:46">
      <c r="AP674">
        <v>106700</v>
      </c>
      <c r="AQ674" t="e">
        <v>#N/A</v>
      </c>
      <c r="AR674" t="e">
        <v>#N/A</v>
      </c>
      <c r="AS674">
        <v>106700</v>
      </c>
      <c r="AT674">
        <v>1</v>
      </c>
    </row>
    <row r="675" spans="42:46">
      <c r="AP675">
        <v>106750</v>
      </c>
      <c r="AQ675" t="e">
        <v>#N/A</v>
      </c>
      <c r="AR675" t="e">
        <v>#N/A</v>
      </c>
      <c r="AS675">
        <v>106750</v>
      </c>
      <c r="AT675">
        <v>1</v>
      </c>
    </row>
    <row r="676" spans="42:46">
      <c r="AP676">
        <v>106800</v>
      </c>
      <c r="AQ676" t="e">
        <v>#N/A</v>
      </c>
      <c r="AR676" t="e">
        <v>#N/A</v>
      </c>
      <c r="AS676">
        <v>106800</v>
      </c>
      <c r="AT676">
        <v>1</v>
      </c>
    </row>
    <row r="677" spans="42:46">
      <c r="AP677">
        <v>106850</v>
      </c>
      <c r="AQ677" t="e">
        <v>#N/A</v>
      </c>
      <c r="AR677" t="e">
        <v>#N/A</v>
      </c>
      <c r="AS677">
        <v>106850</v>
      </c>
      <c r="AT677">
        <v>1</v>
      </c>
    </row>
    <row r="678" spans="42:46">
      <c r="AP678">
        <v>106900</v>
      </c>
      <c r="AQ678" t="e">
        <v>#N/A</v>
      </c>
      <c r="AR678" t="e">
        <v>#N/A</v>
      </c>
      <c r="AS678">
        <v>106900</v>
      </c>
      <c r="AT678">
        <v>1</v>
      </c>
    </row>
    <row r="679" spans="42:46">
      <c r="AP679">
        <v>106950</v>
      </c>
      <c r="AQ679" t="e">
        <v>#N/A</v>
      </c>
      <c r="AR679" t="e">
        <v>#N/A</v>
      </c>
      <c r="AS679">
        <v>106950</v>
      </c>
      <c r="AT679">
        <v>1</v>
      </c>
    </row>
    <row r="680" spans="42:46">
      <c r="AP680">
        <v>107000</v>
      </c>
      <c r="AQ680" t="e">
        <v>#N/A</v>
      </c>
      <c r="AR680" t="e">
        <v>#N/A</v>
      </c>
      <c r="AS680">
        <v>107000</v>
      </c>
      <c r="AT680">
        <v>1</v>
      </c>
    </row>
    <row r="681" spans="42:46">
      <c r="AP681">
        <v>107050</v>
      </c>
      <c r="AQ681" t="e">
        <v>#N/A</v>
      </c>
      <c r="AR681" t="e">
        <v>#N/A</v>
      </c>
      <c r="AS681">
        <v>107050</v>
      </c>
      <c r="AT681">
        <v>1</v>
      </c>
    </row>
    <row r="682" spans="42:46">
      <c r="AP682">
        <v>107100</v>
      </c>
      <c r="AQ682" t="e">
        <v>#N/A</v>
      </c>
      <c r="AR682" t="e">
        <v>#N/A</v>
      </c>
      <c r="AS682">
        <v>107100</v>
      </c>
      <c r="AT682">
        <v>1</v>
      </c>
    </row>
    <row r="683" spans="42:46">
      <c r="AP683">
        <v>107150</v>
      </c>
      <c r="AQ683" t="e">
        <v>#N/A</v>
      </c>
      <c r="AR683" t="e">
        <v>#N/A</v>
      </c>
      <c r="AS683">
        <v>107150</v>
      </c>
      <c r="AT683">
        <v>1</v>
      </c>
    </row>
    <row r="684" spans="42:46">
      <c r="AP684">
        <v>107200</v>
      </c>
      <c r="AQ684" t="e">
        <v>#N/A</v>
      </c>
      <c r="AR684" t="e">
        <v>#N/A</v>
      </c>
      <c r="AS684">
        <v>107200</v>
      </c>
      <c r="AT684">
        <v>1</v>
      </c>
    </row>
    <row r="685" spans="42:46">
      <c r="AP685">
        <v>107250</v>
      </c>
      <c r="AQ685" t="e">
        <v>#N/A</v>
      </c>
      <c r="AR685" t="e">
        <v>#N/A</v>
      </c>
      <c r="AS685">
        <v>107250</v>
      </c>
      <c r="AT685">
        <v>1</v>
      </c>
    </row>
    <row r="686" spans="42:46">
      <c r="AP686">
        <v>107300</v>
      </c>
      <c r="AQ686" t="e">
        <v>#N/A</v>
      </c>
      <c r="AR686" t="e">
        <v>#N/A</v>
      </c>
      <c r="AS686">
        <v>107300</v>
      </c>
      <c r="AT686">
        <v>1</v>
      </c>
    </row>
    <row r="687" spans="42:46">
      <c r="AP687">
        <v>107350</v>
      </c>
      <c r="AQ687" t="e">
        <v>#N/A</v>
      </c>
      <c r="AR687" t="e">
        <v>#N/A</v>
      </c>
      <c r="AS687">
        <v>107350</v>
      </c>
      <c r="AT687">
        <v>1</v>
      </c>
    </row>
    <row r="688" spans="42:46">
      <c r="AP688">
        <v>107400</v>
      </c>
      <c r="AQ688" t="e">
        <v>#N/A</v>
      </c>
      <c r="AR688" t="e">
        <v>#N/A</v>
      </c>
      <c r="AS688">
        <v>107400</v>
      </c>
      <c r="AT688">
        <v>1</v>
      </c>
    </row>
    <row r="689" spans="42:46">
      <c r="AP689">
        <v>107450</v>
      </c>
      <c r="AQ689" t="e">
        <v>#N/A</v>
      </c>
      <c r="AR689" t="e">
        <v>#N/A</v>
      </c>
      <c r="AS689">
        <v>107450</v>
      </c>
      <c r="AT689">
        <v>1</v>
      </c>
    </row>
    <row r="690" spans="42:46">
      <c r="AP690">
        <v>107500</v>
      </c>
      <c r="AQ690" t="e">
        <v>#N/A</v>
      </c>
      <c r="AR690" t="e">
        <v>#N/A</v>
      </c>
      <c r="AS690">
        <v>107500</v>
      </c>
      <c r="AT690">
        <v>1</v>
      </c>
    </row>
    <row r="691" spans="42:46">
      <c r="AP691">
        <v>107550</v>
      </c>
      <c r="AQ691" t="e">
        <v>#N/A</v>
      </c>
      <c r="AR691" t="e">
        <v>#N/A</v>
      </c>
      <c r="AS691">
        <v>107550</v>
      </c>
      <c r="AT691">
        <v>1</v>
      </c>
    </row>
    <row r="692" spans="42:46">
      <c r="AP692">
        <v>107600</v>
      </c>
      <c r="AQ692" t="e">
        <v>#N/A</v>
      </c>
      <c r="AR692" t="e">
        <v>#N/A</v>
      </c>
      <c r="AS692">
        <v>107600</v>
      </c>
      <c r="AT692">
        <v>1</v>
      </c>
    </row>
    <row r="693" spans="42:46">
      <c r="AP693">
        <v>107650</v>
      </c>
      <c r="AQ693" t="e">
        <v>#N/A</v>
      </c>
      <c r="AR693" t="e">
        <v>#N/A</v>
      </c>
      <c r="AS693">
        <v>107650</v>
      </c>
      <c r="AT693">
        <v>1</v>
      </c>
    </row>
    <row r="694" spans="42:46">
      <c r="AP694">
        <v>107700</v>
      </c>
      <c r="AQ694" t="e">
        <v>#N/A</v>
      </c>
      <c r="AR694" t="e">
        <v>#N/A</v>
      </c>
      <c r="AS694">
        <v>107700</v>
      </c>
      <c r="AT694">
        <v>1</v>
      </c>
    </row>
    <row r="695" spans="42:46">
      <c r="AP695">
        <v>107750</v>
      </c>
      <c r="AQ695" t="e">
        <v>#N/A</v>
      </c>
      <c r="AR695" t="e">
        <v>#N/A</v>
      </c>
      <c r="AS695">
        <v>107750</v>
      </c>
      <c r="AT695">
        <v>1</v>
      </c>
    </row>
    <row r="696" spans="42:46">
      <c r="AP696">
        <v>107800</v>
      </c>
      <c r="AQ696" t="e">
        <v>#N/A</v>
      </c>
      <c r="AR696" t="e">
        <v>#N/A</v>
      </c>
      <c r="AS696">
        <v>107800</v>
      </c>
      <c r="AT696">
        <v>1</v>
      </c>
    </row>
    <row r="697" spans="42:46">
      <c r="AP697">
        <v>107850</v>
      </c>
      <c r="AQ697" t="e">
        <v>#N/A</v>
      </c>
      <c r="AR697" t="e">
        <v>#N/A</v>
      </c>
      <c r="AS697">
        <v>107850</v>
      </c>
      <c r="AT697">
        <v>1</v>
      </c>
    </row>
    <row r="698" spans="42:46">
      <c r="AP698">
        <v>107900</v>
      </c>
      <c r="AQ698" t="e">
        <v>#N/A</v>
      </c>
      <c r="AR698" t="e">
        <v>#N/A</v>
      </c>
      <c r="AS698">
        <v>107900</v>
      </c>
      <c r="AT698">
        <v>1</v>
      </c>
    </row>
    <row r="699" spans="42:46">
      <c r="AP699">
        <v>107950</v>
      </c>
      <c r="AQ699" t="e">
        <v>#N/A</v>
      </c>
      <c r="AR699" t="e">
        <v>#N/A</v>
      </c>
      <c r="AS699">
        <v>107950</v>
      </c>
      <c r="AT699">
        <v>1</v>
      </c>
    </row>
    <row r="700" spans="42:46">
      <c r="AP700">
        <v>108000</v>
      </c>
      <c r="AQ700" t="e">
        <v>#N/A</v>
      </c>
      <c r="AR700" t="e">
        <v>#N/A</v>
      </c>
      <c r="AS700">
        <v>108000</v>
      </c>
      <c r="AT700">
        <v>1</v>
      </c>
    </row>
    <row r="701" spans="42:46">
      <c r="AP701">
        <v>108050</v>
      </c>
      <c r="AQ701" t="e">
        <v>#N/A</v>
      </c>
      <c r="AR701" t="e">
        <v>#N/A</v>
      </c>
      <c r="AS701">
        <v>108050</v>
      </c>
      <c r="AT701">
        <v>1</v>
      </c>
    </row>
    <row r="702" spans="42:46">
      <c r="AP702">
        <v>108100</v>
      </c>
      <c r="AQ702" t="e">
        <v>#N/A</v>
      </c>
      <c r="AR702" t="e">
        <v>#N/A</v>
      </c>
      <c r="AS702">
        <v>108100</v>
      </c>
      <c r="AT702">
        <v>1</v>
      </c>
    </row>
    <row r="703" spans="42:46">
      <c r="AP703">
        <v>108150</v>
      </c>
      <c r="AQ703" t="e">
        <v>#N/A</v>
      </c>
      <c r="AR703" t="e">
        <v>#N/A</v>
      </c>
      <c r="AS703">
        <v>108150</v>
      </c>
      <c r="AT703">
        <v>1</v>
      </c>
    </row>
    <row r="704" spans="42:46">
      <c r="AP704">
        <v>108200</v>
      </c>
      <c r="AQ704" t="e">
        <v>#N/A</v>
      </c>
      <c r="AR704" t="e">
        <v>#N/A</v>
      </c>
      <c r="AS704">
        <v>108200</v>
      </c>
      <c r="AT704">
        <v>1</v>
      </c>
    </row>
    <row r="705" spans="42:46">
      <c r="AP705">
        <v>108250</v>
      </c>
      <c r="AQ705" t="e">
        <v>#N/A</v>
      </c>
      <c r="AR705" t="e">
        <v>#N/A</v>
      </c>
      <c r="AS705">
        <v>108250</v>
      </c>
      <c r="AT705">
        <v>1</v>
      </c>
    </row>
    <row r="706" spans="42:46">
      <c r="AP706">
        <v>108300</v>
      </c>
      <c r="AQ706" t="e">
        <v>#N/A</v>
      </c>
      <c r="AR706" t="e">
        <v>#N/A</v>
      </c>
      <c r="AS706">
        <v>108300</v>
      </c>
      <c r="AT706">
        <v>1</v>
      </c>
    </row>
    <row r="707" spans="42:46">
      <c r="AP707">
        <v>108350</v>
      </c>
      <c r="AQ707" t="e">
        <v>#N/A</v>
      </c>
      <c r="AR707" t="e">
        <v>#N/A</v>
      </c>
      <c r="AS707">
        <v>108350</v>
      </c>
      <c r="AT707">
        <v>1</v>
      </c>
    </row>
    <row r="708" spans="42:46">
      <c r="AP708">
        <v>108400</v>
      </c>
      <c r="AQ708" t="e">
        <v>#N/A</v>
      </c>
      <c r="AR708" t="e">
        <v>#N/A</v>
      </c>
      <c r="AS708">
        <v>108400</v>
      </c>
      <c r="AT708">
        <v>1</v>
      </c>
    </row>
    <row r="709" spans="42:46">
      <c r="AP709">
        <v>108450</v>
      </c>
      <c r="AQ709" t="e">
        <v>#N/A</v>
      </c>
      <c r="AR709" t="e">
        <v>#N/A</v>
      </c>
      <c r="AS709">
        <v>108450</v>
      </c>
      <c r="AT709">
        <v>1</v>
      </c>
    </row>
    <row r="710" spans="42:46">
      <c r="AP710">
        <v>108500</v>
      </c>
      <c r="AQ710" t="e">
        <v>#N/A</v>
      </c>
      <c r="AR710" t="e">
        <v>#N/A</v>
      </c>
      <c r="AS710">
        <v>108500</v>
      </c>
      <c r="AT710">
        <v>1</v>
      </c>
    </row>
    <row r="711" spans="42:46">
      <c r="AP711">
        <v>108550</v>
      </c>
      <c r="AQ711" t="e">
        <v>#N/A</v>
      </c>
      <c r="AR711" t="e">
        <v>#N/A</v>
      </c>
      <c r="AS711">
        <v>108550</v>
      </c>
      <c r="AT711">
        <v>1</v>
      </c>
    </row>
    <row r="712" spans="42:46">
      <c r="AP712">
        <v>108600</v>
      </c>
      <c r="AQ712" t="e">
        <v>#N/A</v>
      </c>
      <c r="AR712" t="e">
        <v>#N/A</v>
      </c>
      <c r="AS712">
        <v>108600</v>
      </c>
      <c r="AT712">
        <v>1</v>
      </c>
    </row>
    <row r="713" spans="42:46">
      <c r="AP713">
        <v>108650</v>
      </c>
      <c r="AQ713" t="e">
        <v>#N/A</v>
      </c>
      <c r="AR713" t="e">
        <v>#N/A</v>
      </c>
      <c r="AS713">
        <v>108650</v>
      </c>
      <c r="AT713">
        <v>1</v>
      </c>
    </row>
    <row r="714" spans="42:46">
      <c r="AP714">
        <v>108700</v>
      </c>
      <c r="AQ714" t="e">
        <v>#N/A</v>
      </c>
      <c r="AR714" t="e">
        <v>#N/A</v>
      </c>
      <c r="AS714">
        <v>108700</v>
      </c>
      <c r="AT714">
        <v>1</v>
      </c>
    </row>
    <row r="715" spans="42:46">
      <c r="AP715">
        <v>108750</v>
      </c>
      <c r="AQ715" t="e">
        <v>#N/A</v>
      </c>
      <c r="AR715" t="e">
        <v>#N/A</v>
      </c>
      <c r="AS715">
        <v>108750</v>
      </c>
      <c r="AT715">
        <v>1</v>
      </c>
    </row>
    <row r="716" spans="42:46">
      <c r="AP716">
        <v>108800</v>
      </c>
      <c r="AQ716" t="e">
        <v>#N/A</v>
      </c>
      <c r="AR716" t="e">
        <v>#N/A</v>
      </c>
      <c r="AS716">
        <v>108800</v>
      </c>
      <c r="AT716">
        <v>1</v>
      </c>
    </row>
    <row r="717" spans="42:46">
      <c r="AP717">
        <v>108850</v>
      </c>
      <c r="AQ717" t="e">
        <v>#N/A</v>
      </c>
      <c r="AR717" t="e">
        <v>#N/A</v>
      </c>
      <c r="AS717">
        <v>108850</v>
      </c>
      <c r="AT717">
        <v>1</v>
      </c>
    </row>
    <row r="718" spans="42:46">
      <c r="AP718">
        <v>108900</v>
      </c>
      <c r="AQ718" t="e">
        <v>#N/A</v>
      </c>
      <c r="AR718" t="e">
        <v>#N/A</v>
      </c>
      <c r="AS718">
        <v>108900</v>
      </c>
      <c r="AT718">
        <v>1</v>
      </c>
    </row>
    <row r="719" spans="42:46">
      <c r="AP719">
        <v>108950</v>
      </c>
      <c r="AQ719" t="e">
        <v>#N/A</v>
      </c>
      <c r="AR719" t="e">
        <v>#N/A</v>
      </c>
      <c r="AS719">
        <v>108950</v>
      </c>
      <c r="AT719">
        <v>1</v>
      </c>
    </row>
    <row r="720" spans="42:46">
      <c r="AP720">
        <v>109000</v>
      </c>
      <c r="AQ720" t="e">
        <v>#N/A</v>
      </c>
      <c r="AR720" t="e">
        <v>#N/A</v>
      </c>
      <c r="AS720">
        <v>109000</v>
      </c>
      <c r="AT720">
        <v>1</v>
      </c>
    </row>
    <row r="721" spans="42:46">
      <c r="AP721">
        <v>109050</v>
      </c>
      <c r="AQ721" t="e">
        <v>#N/A</v>
      </c>
      <c r="AR721" t="e">
        <v>#N/A</v>
      </c>
      <c r="AS721">
        <v>109050</v>
      </c>
      <c r="AT721">
        <v>1</v>
      </c>
    </row>
    <row r="722" spans="42:46">
      <c r="AP722">
        <v>109100</v>
      </c>
      <c r="AQ722" t="e">
        <v>#N/A</v>
      </c>
      <c r="AR722" t="e">
        <v>#N/A</v>
      </c>
      <c r="AS722">
        <v>109100</v>
      </c>
      <c r="AT722">
        <v>1</v>
      </c>
    </row>
    <row r="723" spans="42:46">
      <c r="AP723">
        <v>109150</v>
      </c>
      <c r="AQ723" t="e">
        <v>#N/A</v>
      </c>
      <c r="AR723" t="e">
        <v>#N/A</v>
      </c>
      <c r="AS723">
        <v>109150</v>
      </c>
      <c r="AT723">
        <v>1</v>
      </c>
    </row>
    <row r="724" spans="42:46">
      <c r="AP724">
        <v>109200</v>
      </c>
      <c r="AQ724" t="e">
        <v>#N/A</v>
      </c>
      <c r="AR724" t="e">
        <v>#N/A</v>
      </c>
      <c r="AS724">
        <v>109200</v>
      </c>
      <c r="AT724">
        <v>1</v>
      </c>
    </row>
    <row r="725" spans="42:46">
      <c r="AP725">
        <v>109250</v>
      </c>
      <c r="AQ725" t="e">
        <v>#N/A</v>
      </c>
      <c r="AR725" t="e">
        <v>#N/A</v>
      </c>
      <c r="AS725">
        <v>109250</v>
      </c>
      <c r="AT725">
        <v>1</v>
      </c>
    </row>
    <row r="726" spans="42:46">
      <c r="AP726">
        <v>109300</v>
      </c>
      <c r="AQ726" t="e">
        <v>#N/A</v>
      </c>
      <c r="AR726" t="e">
        <v>#N/A</v>
      </c>
      <c r="AS726">
        <v>109300</v>
      </c>
      <c r="AT726">
        <v>1</v>
      </c>
    </row>
    <row r="727" spans="42:46">
      <c r="AP727">
        <v>109350</v>
      </c>
      <c r="AQ727" t="e">
        <v>#N/A</v>
      </c>
      <c r="AR727" t="e">
        <v>#N/A</v>
      </c>
      <c r="AS727">
        <v>109350</v>
      </c>
      <c r="AT727">
        <v>1</v>
      </c>
    </row>
    <row r="728" spans="42:46">
      <c r="AP728">
        <v>109400</v>
      </c>
      <c r="AQ728" t="e">
        <v>#N/A</v>
      </c>
      <c r="AR728" t="e">
        <v>#N/A</v>
      </c>
      <c r="AS728">
        <v>109400</v>
      </c>
      <c r="AT728">
        <v>1</v>
      </c>
    </row>
    <row r="729" spans="42:46">
      <c r="AP729">
        <v>109450</v>
      </c>
      <c r="AQ729" t="e">
        <v>#N/A</v>
      </c>
      <c r="AR729" t="e">
        <v>#N/A</v>
      </c>
      <c r="AS729">
        <v>109450</v>
      </c>
      <c r="AT729">
        <v>1</v>
      </c>
    </row>
    <row r="730" spans="42:46">
      <c r="AP730">
        <v>109500</v>
      </c>
      <c r="AQ730" t="e">
        <v>#N/A</v>
      </c>
      <c r="AR730" t="e">
        <v>#N/A</v>
      </c>
      <c r="AS730">
        <v>109500</v>
      </c>
      <c r="AT730">
        <v>1</v>
      </c>
    </row>
    <row r="731" spans="42:46">
      <c r="AP731">
        <v>109550</v>
      </c>
      <c r="AQ731" t="e">
        <v>#N/A</v>
      </c>
      <c r="AR731" t="e">
        <v>#N/A</v>
      </c>
      <c r="AS731">
        <v>109550</v>
      </c>
      <c r="AT731">
        <v>1</v>
      </c>
    </row>
    <row r="732" spans="42:46">
      <c r="AP732">
        <v>109600</v>
      </c>
      <c r="AQ732" t="e">
        <v>#N/A</v>
      </c>
      <c r="AR732" t="e">
        <v>#N/A</v>
      </c>
      <c r="AS732">
        <v>109600</v>
      </c>
      <c r="AT732">
        <v>1</v>
      </c>
    </row>
    <row r="733" spans="42:46">
      <c r="AP733">
        <v>109650</v>
      </c>
      <c r="AQ733" t="e">
        <v>#N/A</v>
      </c>
      <c r="AR733" t="e">
        <v>#N/A</v>
      </c>
      <c r="AS733">
        <v>109650</v>
      </c>
      <c r="AT733">
        <v>1</v>
      </c>
    </row>
    <row r="734" spans="42:46">
      <c r="AP734">
        <v>109700</v>
      </c>
      <c r="AQ734" t="e">
        <v>#N/A</v>
      </c>
      <c r="AR734" t="e">
        <v>#N/A</v>
      </c>
      <c r="AS734">
        <v>109700</v>
      </c>
      <c r="AT734">
        <v>1</v>
      </c>
    </row>
    <row r="735" spans="42:46">
      <c r="AP735">
        <v>109750</v>
      </c>
      <c r="AQ735" t="e">
        <v>#N/A</v>
      </c>
      <c r="AR735" t="e">
        <v>#N/A</v>
      </c>
      <c r="AS735">
        <v>109750</v>
      </c>
      <c r="AT735">
        <v>1</v>
      </c>
    </row>
    <row r="736" spans="42:46">
      <c r="AP736">
        <v>109800</v>
      </c>
      <c r="AQ736" t="e">
        <v>#N/A</v>
      </c>
      <c r="AR736" t="e">
        <v>#N/A</v>
      </c>
      <c r="AS736">
        <v>109800</v>
      </c>
      <c r="AT736">
        <v>1</v>
      </c>
    </row>
    <row r="737" spans="42:46">
      <c r="AP737">
        <v>109850</v>
      </c>
      <c r="AQ737" t="e">
        <v>#N/A</v>
      </c>
      <c r="AR737" t="e">
        <v>#N/A</v>
      </c>
      <c r="AS737">
        <v>109850</v>
      </c>
      <c r="AT737">
        <v>1</v>
      </c>
    </row>
    <row r="738" spans="42:46">
      <c r="AP738">
        <v>109900</v>
      </c>
      <c r="AQ738" t="e">
        <v>#N/A</v>
      </c>
      <c r="AR738" t="e">
        <v>#N/A</v>
      </c>
      <c r="AS738">
        <v>109900</v>
      </c>
      <c r="AT738">
        <v>1</v>
      </c>
    </row>
    <row r="739" spans="42:46">
      <c r="AP739">
        <v>109950</v>
      </c>
      <c r="AQ739" t="e">
        <v>#N/A</v>
      </c>
      <c r="AR739" t="e">
        <v>#N/A</v>
      </c>
      <c r="AS739">
        <v>109950</v>
      </c>
      <c r="AT739">
        <v>1</v>
      </c>
    </row>
    <row r="740" spans="42:46">
      <c r="AP740">
        <v>110000</v>
      </c>
      <c r="AQ740" t="e">
        <v>#N/A</v>
      </c>
      <c r="AR740" t="e">
        <v>#N/A</v>
      </c>
      <c r="AS740">
        <v>110000</v>
      </c>
      <c r="AT740">
        <v>1</v>
      </c>
    </row>
    <row r="741" spans="42:46">
      <c r="AP741">
        <v>110050</v>
      </c>
      <c r="AQ741" t="e">
        <v>#N/A</v>
      </c>
      <c r="AR741" t="e">
        <v>#N/A</v>
      </c>
      <c r="AS741">
        <v>110050</v>
      </c>
      <c r="AT741">
        <v>1</v>
      </c>
    </row>
    <row r="742" spans="42:46">
      <c r="AP742">
        <v>110100</v>
      </c>
      <c r="AQ742" t="e">
        <v>#N/A</v>
      </c>
      <c r="AR742" t="e">
        <v>#N/A</v>
      </c>
      <c r="AS742">
        <v>110100</v>
      </c>
      <c r="AT742">
        <v>1</v>
      </c>
    </row>
    <row r="743" spans="42:46">
      <c r="AP743">
        <v>110150</v>
      </c>
      <c r="AQ743" t="e">
        <v>#N/A</v>
      </c>
      <c r="AR743" t="e">
        <v>#N/A</v>
      </c>
      <c r="AS743">
        <v>110150</v>
      </c>
      <c r="AT743">
        <v>1</v>
      </c>
    </row>
    <row r="744" spans="42:46">
      <c r="AP744">
        <v>110200</v>
      </c>
      <c r="AQ744" t="e">
        <v>#N/A</v>
      </c>
      <c r="AR744" t="e">
        <v>#N/A</v>
      </c>
      <c r="AS744">
        <v>110200</v>
      </c>
      <c r="AT744">
        <v>1</v>
      </c>
    </row>
    <row r="745" spans="42:46">
      <c r="AP745">
        <v>110250</v>
      </c>
      <c r="AQ745" t="e">
        <v>#N/A</v>
      </c>
      <c r="AR745" t="e">
        <v>#N/A</v>
      </c>
      <c r="AS745">
        <v>110250</v>
      </c>
      <c r="AT745">
        <v>1</v>
      </c>
    </row>
    <row r="746" spans="42:46">
      <c r="AP746">
        <v>110300</v>
      </c>
      <c r="AQ746" t="e">
        <v>#N/A</v>
      </c>
      <c r="AR746" t="e">
        <v>#N/A</v>
      </c>
      <c r="AS746">
        <v>110300</v>
      </c>
      <c r="AT746">
        <v>1</v>
      </c>
    </row>
    <row r="747" spans="42:46">
      <c r="AP747">
        <v>110350</v>
      </c>
      <c r="AQ747" t="e">
        <v>#N/A</v>
      </c>
      <c r="AR747" t="e">
        <v>#N/A</v>
      </c>
      <c r="AS747">
        <v>110350</v>
      </c>
      <c r="AT747">
        <v>1</v>
      </c>
    </row>
    <row r="748" spans="42:46">
      <c r="AP748">
        <v>110400</v>
      </c>
      <c r="AQ748" t="e">
        <v>#N/A</v>
      </c>
      <c r="AR748" t="e">
        <v>#N/A</v>
      </c>
      <c r="AS748">
        <v>110400</v>
      </c>
      <c r="AT748">
        <v>1</v>
      </c>
    </row>
    <row r="749" spans="42:46">
      <c r="AP749">
        <v>110450</v>
      </c>
      <c r="AQ749" t="e">
        <v>#N/A</v>
      </c>
      <c r="AR749" t="e">
        <v>#N/A</v>
      </c>
      <c r="AS749">
        <v>110450</v>
      </c>
      <c r="AT749">
        <v>1</v>
      </c>
    </row>
    <row r="750" spans="42:46">
      <c r="AP750">
        <v>110500</v>
      </c>
      <c r="AQ750" t="e">
        <v>#N/A</v>
      </c>
      <c r="AR750" t="e">
        <v>#N/A</v>
      </c>
      <c r="AS750">
        <v>110500</v>
      </c>
      <c r="AT750">
        <v>1</v>
      </c>
    </row>
    <row r="751" spans="42:46">
      <c r="AP751">
        <v>110550</v>
      </c>
      <c r="AQ751" t="e">
        <v>#N/A</v>
      </c>
      <c r="AR751" t="e">
        <v>#N/A</v>
      </c>
      <c r="AS751">
        <v>110550</v>
      </c>
      <c r="AT751">
        <v>1</v>
      </c>
    </row>
    <row r="752" spans="42:46">
      <c r="AP752">
        <v>110600</v>
      </c>
      <c r="AQ752" t="e">
        <v>#N/A</v>
      </c>
      <c r="AR752" t="e">
        <v>#N/A</v>
      </c>
      <c r="AS752">
        <v>110600</v>
      </c>
      <c r="AT752">
        <v>1</v>
      </c>
    </row>
    <row r="753" spans="42:46">
      <c r="AP753">
        <v>110650</v>
      </c>
      <c r="AQ753" t="e">
        <v>#N/A</v>
      </c>
      <c r="AR753" t="e">
        <v>#N/A</v>
      </c>
      <c r="AS753">
        <v>110650</v>
      </c>
      <c r="AT753">
        <v>1</v>
      </c>
    </row>
    <row r="754" spans="42:46">
      <c r="AP754">
        <v>110700</v>
      </c>
      <c r="AQ754" t="e">
        <v>#N/A</v>
      </c>
      <c r="AR754" t="e">
        <v>#N/A</v>
      </c>
      <c r="AS754">
        <v>110700</v>
      </c>
      <c r="AT754">
        <v>1</v>
      </c>
    </row>
    <row r="755" spans="42:46">
      <c r="AP755">
        <v>110750</v>
      </c>
      <c r="AQ755" t="e">
        <v>#N/A</v>
      </c>
      <c r="AR755" t="e">
        <v>#N/A</v>
      </c>
      <c r="AS755">
        <v>110750</v>
      </c>
      <c r="AT755">
        <v>1</v>
      </c>
    </row>
    <row r="756" spans="42:46">
      <c r="AP756">
        <v>110800</v>
      </c>
      <c r="AQ756" t="e">
        <v>#N/A</v>
      </c>
      <c r="AR756" t="e">
        <v>#N/A</v>
      </c>
      <c r="AS756">
        <v>110800</v>
      </c>
      <c r="AT756">
        <v>1</v>
      </c>
    </row>
    <row r="757" spans="42:46">
      <c r="AP757">
        <v>110850</v>
      </c>
      <c r="AQ757" t="e">
        <v>#N/A</v>
      </c>
      <c r="AR757" t="e">
        <v>#N/A</v>
      </c>
      <c r="AS757">
        <v>110850</v>
      </c>
      <c r="AT757">
        <v>1</v>
      </c>
    </row>
    <row r="758" spans="42:46">
      <c r="AP758">
        <v>110900</v>
      </c>
      <c r="AQ758" t="e">
        <v>#N/A</v>
      </c>
      <c r="AR758" t="e">
        <v>#N/A</v>
      </c>
      <c r="AS758">
        <v>110900</v>
      </c>
      <c r="AT758">
        <v>1</v>
      </c>
    </row>
    <row r="759" spans="42:46">
      <c r="AP759">
        <v>110950</v>
      </c>
      <c r="AQ759" t="e">
        <v>#N/A</v>
      </c>
      <c r="AR759" t="e">
        <v>#N/A</v>
      </c>
      <c r="AS759">
        <v>110950</v>
      </c>
      <c r="AT759">
        <v>1</v>
      </c>
    </row>
    <row r="760" spans="42:46">
      <c r="AP760">
        <v>111000</v>
      </c>
      <c r="AQ760" t="e">
        <v>#N/A</v>
      </c>
      <c r="AR760" t="e">
        <v>#N/A</v>
      </c>
      <c r="AS760">
        <v>111000</v>
      </c>
      <c r="AT760">
        <v>1</v>
      </c>
    </row>
    <row r="761" spans="42:46">
      <c r="AP761">
        <v>111050</v>
      </c>
      <c r="AQ761" t="e">
        <v>#N/A</v>
      </c>
      <c r="AR761" t="e">
        <v>#N/A</v>
      </c>
      <c r="AS761">
        <v>111050</v>
      </c>
      <c r="AT761">
        <v>1</v>
      </c>
    </row>
    <row r="762" spans="42:46">
      <c r="AP762">
        <v>111100</v>
      </c>
      <c r="AQ762" t="e">
        <v>#N/A</v>
      </c>
      <c r="AR762" t="e">
        <v>#N/A</v>
      </c>
      <c r="AS762">
        <v>111100</v>
      </c>
      <c r="AT762">
        <v>1</v>
      </c>
    </row>
    <row r="763" spans="42:46">
      <c r="AP763">
        <v>111150</v>
      </c>
      <c r="AQ763" t="e">
        <v>#N/A</v>
      </c>
      <c r="AR763" t="e">
        <v>#N/A</v>
      </c>
      <c r="AS763">
        <v>111150</v>
      </c>
      <c r="AT763">
        <v>1</v>
      </c>
    </row>
    <row r="764" spans="42:46">
      <c r="AP764">
        <v>111200</v>
      </c>
      <c r="AQ764" t="e">
        <v>#N/A</v>
      </c>
      <c r="AR764" t="e">
        <v>#N/A</v>
      </c>
      <c r="AS764">
        <v>111200</v>
      </c>
      <c r="AT764">
        <v>1</v>
      </c>
    </row>
    <row r="765" spans="42:46">
      <c r="AP765">
        <v>111250</v>
      </c>
      <c r="AQ765" t="e">
        <v>#N/A</v>
      </c>
      <c r="AR765" t="e">
        <v>#N/A</v>
      </c>
      <c r="AS765">
        <v>111250</v>
      </c>
      <c r="AT765">
        <v>1</v>
      </c>
    </row>
    <row r="766" spans="42:46">
      <c r="AP766">
        <v>111300</v>
      </c>
      <c r="AQ766" t="e">
        <v>#N/A</v>
      </c>
      <c r="AR766" t="e">
        <v>#N/A</v>
      </c>
      <c r="AS766">
        <v>111300</v>
      </c>
      <c r="AT766">
        <v>1</v>
      </c>
    </row>
    <row r="767" spans="42:46">
      <c r="AP767">
        <v>111350</v>
      </c>
      <c r="AQ767" t="e">
        <v>#N/A</v>
      </c>
      <c r="AR767" t="e">
        <v>#N/A</v>
      </c>
      <c r="AS767">
        <v>111350</v>
      </c>
      <c r="AT767">
        <v>1</v>
      </c>
    </row>
    <row r="768" spans="42:46">
      <c r="AP768">
        <v>111400</v>
      </c>
      <c r="AQ768" t="e">
        <v>#N/A</v>
      </c>
      <c r="AR768" t="e">
        <v>#N/A</v>
      </c>
      <c r="AS768">
        <v>111400</v>
      </c>
      <c r="AT768">
        <v>1</v>
      </c>
    </row>
    <row r="769" spans="42:46">
      <c r="AP769">
        <v>111450</v>
      </c>
      <c r="AQ769" t="e">
        <v>#N/A</v>
      </c>
      <c r="AR769" t="e">
        <v>#N/A</v>
      </c>
      <c r="AS769">
        <v>111450</v>
      </c>
      <c r="AT769">
        <v>1</v>
      </c>
    </row>
    <row r="770" spans="42:46">
      <c r="AP770">
        <v>111500</v>
      </c>
      <c r="AQ770" t="e">
        <v>#N/A</v>
      </c>
      <c r="AR770" t="e">
        <v>#N/A</v>
      </c>
      <c r="AS770">
        <v>111500</v>
      </c>
      <c r="AT770">
        <v>1</v>
      </c>
    </row>
    <row r="771" spans="42:46">
      <c r="AP771">
        <v>111550</v>
      </c>
      <c r="AQ771" t="e">
        <v>#N/A</v>
      </c>
      <c r="AR771" t="e">
        <v>#N/A</v>
      </c>
      <c r="AS771">
        <v>111550</v>
      </c>
      <c r="AT771">
        <v>1</v>
      </c>
    </row>
    <row r="772" spans="42:46">
      <c r="AP772">
        <v>111600</v>
      </c>
      <c r="AQ772" t="e">
        <v>#N/A</v>
      </c>
      <c r="AR772" t="e">
        <v>#N/A</v>
      </c>
      <c r="AS772">
        <v>111600</v>
      </c>
      <c r="AT772">
        <v>1</v>
      </c>
    </row>
    <row r="773" spans="42:46">
      <c r="AP773">
        <v>111650</v>
      </c>
      <c r="AQ773" t="e">
        <v>#N/A</v>
      </c>
      <c r="AR773" t="e">
        <v>#N/A</v>
      </c>
      <c r="AS773">
        <v>111650</v>
      </c>
      <c r="AT773">
        <v>1</v>
      </c>
    </row>
    <row r="774" spans="42:46">
      <c r="AP774">
        <v>111700</v>
      </c>
      <c r="AQ774" t="e">
        <v>#N/A</v>
      </c>
      <c r="AR774" t="e">
        <v>#N/A</v>
      </c>
      <c r="AS774">
        <v>111700</v>
      </c>
      <c r="AT774">
        <v>1</v>
      </c>
    </row>
    <row r="775" spans="42:46">
      <c r="AP775">
        <v>111750</v>
      </c>
      <c r="AQ775" t="e">
        <v>#N/A</v>
      </c>
      <c r="AR775" t="e">
        <v>#N/A</v>
      </c>
      <c r="AS775">
        <v>111750</v>
      </c>
      <c r="AT775">
        <v>1</v>
      </c>
    </row>
    <row r="776" spans="42:46">
      <c r="AP776">
        <v>111800</v>
      </c>
      <c r="AQ776" t="e">
        <v>#N/A</v>
      </c>
      <c r="AR776" t="e">
        <v>#N/A</v>
      </c>
      <c r="AS776">
        <v>111800</v>
      </c>
      <c r="AT776">
        <v>1</v>
      </c>
    </row>
    <row r="777" spans="42:46">
      <c r="AP777">
        <v>111850</v>
      </c>
      <c r="AQ777" t="e">
        <v>#N/A</v>
      </c>
      <c r="AR777" t="e">
        <v>#N/A</v>
      </c>
      <c r="AS777">
        <v>111850</v>
      </c>
      <c r="AT777">
        <v>1</v>
      </c>
    </row>
    <row r="778" spans="42:46">
      <c r="AP778">
        <v>111900</v>
      </c>
      <c r="AQ778" t="e">
        <v>#N/A</v>
      </c>
      <c r="AR778" t="e">
        <v>#N/A</v>
      </c>
      <c r="AS778">
        <v>111900</v>
      </c>
      <c r="AT778">
        <v>1</v>
      </c>
    </row>
    <row r="779" spans="42:46">
      <c r="AP779">
        <v>111950</v>
      </c>
      <c r="AQ779" t="e">
        <v>#N/A</v>
      </c>
      <c r="AR779" t="e">
        <v>#N/A</v>
      </c>
      <c r="AS779">
        <v>111950</v>
      </c>
      <c r="AT779">
        <v>1</v>
      </c>
    </row>
    <row r="780" spans="42:46">
      <c r="AP780">
        <v>112000</v>
      </c>
      <c r="AQ780" t="e">
        <v>#N/A</v>
      </c>
      <c r="AR780" t="e">
        <v>#N/A</v>
      </c>
      <c r="AS780">
        <v>112000</v>
      </c>
      <c r="AT780">
        <v>1</v>
      </c>
    </row>
    <row r="781" spans="42:46">
      <c r="AP781">
        <v>112050</v>
      </c>
      <c r="AQ781" t="e">
        <v>#N/A</v>
      </c>
      <c r="AR781" t="e">
        <v>#N/A</v>
      </c>
      <c r="AS781">
        <v>112050</v>
      </c>
      <c r="AT781">
        <v>1</v>
      </c>
    </row>
    <row r="782" spans="42:46">
      <c r="AP782">
        <v>112100</v>
      </c>
      <c r="AQ782" t="e">
        <v>#N/A</v>
      </c>
      <c r="AR782" t="e">
        <v>#N/A</v>
      </c>
      <c r="AS782">
        <v>112100</v>
      </c>
      <c r="AT782">
        <v>1</v>
      </c>
    </row>
    <row r="783" spans="42:46">
      <c r="AP783">
        <v>112150</v>
      </c>
      <c r="AQ783" t="e">
        <v>#N/A</v>
      </c>
      <c r="AR783" t="e">
        <v>#N/A</v>
      </c>
      <c r="AS783">
        <v>112150</v>
      </c>
      <c r="AT783">
        <v>1</v>
      </c>
    </row>
    <row r="784" spans="42:46">
      <c r="AP784">
        <v>112200</v>
      </c>
      <c r="AQ784" t="e">
        <v>#N/A</v>
      </c>
      <c r="AR784" t="e">
        <v>#N/A</v>
      </c>
      <c r="AS784">
        <v>112200</v>
      </c>
      <c r="AT784">
        <v>1</v>
      </c>
    </row>
    <row r="785" spans="42:46">
      <c r="AP785">
        <v>112250</v>
      </c>
      <c r="AQ785" t="e">
        <v>#N/A</v>
      </c>
      <c r="AR785" t="e">
        <v>#N/A</v>
      </c>
      <c r="AS785">
        <v>112250</v>
      </c>
      <c r="AT785">
        <v>1</v>
      </c>
    </row>
    <row r="786" spans="42:46">
      <c r="AP786">
        <v>112300</v>
      </c>
      <c r="AQ786" t="e">
        <v>#N/A</v>
      </c>
      <c r="AR786" t="e">
        <v>#N/A</v>
      </c>
      <c r="AS786">
        <v>112300</v>
      </c>
      <c r="AT786">
        <v>1</v>
      </c>
    </row>
    <row r="787" spans="42:46">
      <c r="AP787">
        <v>112350</v>
      </c>
      <c r="AQ787" t="e">
        <v>#N/A</v>
      </c>
      <c r="AR787" t="e">
        <v>#N/A</v>
      </c>
      <c r="AS787">
        <v>112350</v>
      </c>
      <c r="AT787">
        <v>1</v>
      </c>
    </row>
    <row r="788" spans="42:46">
      <c r="AP788">
        <v>112400</v>
      </c>
      <c r="AQ788" t="e">
        <v>#N/A</v>
      </c>
      <c r="AR788" t="e">
        <v>#N/A</v>
      </c>
      <c r="AS788">
        <v>112400</v>
      </c>
      <c r="AT788">
        <v>1</v>
      </c>
    </row>
    <row r="789" spans="42:46">
      <c r="AP789">
        <v>112450</v>
      </c>
      <c r="AQ789" t="e">
        <v>#N/A</v>
      </c>
      <c r="AR789" t="e">
        <v>#N/A</v>
      </c>
      <c r="AS789">
        <v>112450</v>
      </c>
      <c r="AT789">
        <v>1</v>
      </c>
    </row>
    <row r="790" spans="42:46">
      <c r="AP790">
        <v>112500</v>
      </c>
      <c r="AQ790" t="e">
        <v>#N/A</v>
      </c>
      <c r="AR790" t="e">
        <v>#N/A</v>
      </c>
      <c r="AS790">
        <v>112500</v>
      </c>
      <c r="AT790">
        <v>1</v>
      </c>
    </row>
    <row r="791" spans="42:46">
      <c r="AP791">
        <v>112550</v>
      </c>
      <c r="AQ791" t="e">
        <v>#N/A</v>
      </c>
      <c r="AR791" t="e">
        <v>#N/A</v>
      </c>
      <c r="AS791">
        <v>112550</v>
      </c>
      <c r="AT791">
        <v>1</v>
      </c>
    </row>
    <row r="792" spans="42:46">
      <c r="AP792">
        <v>112600</v>
      </c>
      <c r="AQ792" t="e">
        <v>#N/A</v>
      </c>
      <c r="AR792" t="e">
        <v>#N/A</v>
      </c>
      <c r="AS792">
        <v>112600</v>
      </c>
      <c r="AT792">
        <v>1</v>
      </c>
    </row>
    <row r="793" spans="42:46">
      <c r="AP793">
        <v>112650</v>
      </c>
      <c r="AQ793" t="e">
        <v>#N/A</v>
      </c>
      <c r="AR793" t="e">
        <v>#N/A</v>
      </c>
      <c r="AS793">
        <v>112650</v>
      </c>
      <c r="AT793">
        <v>1</v>
      </c>
    </row>
    <row r="794" spans="42:46">
      <c r="AP794">
        <v>112700</v>
      </c>
      <c r="AQ794" t="e">
        <v>#N/A</v>
      </c>
      <c r="AR794" t="e">
        <v>#N/A</v>
      </c>
      <c r="AS794">
        <v>112700</v>
      </c>
      <c r="AT794">
        <v>1</v>
      </c>
    </row>
    <row r="795" spans="42:46">
      <c r="AP795">
        <v>112750</v>
      </c>
      <c r="AQ795" t="e">
        <v>#N/A</v>
      </c>
      <c r="AR795" t="e">
        <v>#N/A</v>
      </c>
      <c r="AS795">
        <v>112750</v>
      </c>
      <c r="AT795">
        <v>1</v>
      </c>
    </row>
    <row r="796" spans="42:46">
      <c r="AP796">
        <v>112800</v>
      </c>
      <c r="AQ796" t="e">
        <v>#N/A</v>
      </c>
      <c r="AR796" t="e">
        <v>#N/A</v>
      </c>
      <c r="AS796">
        <v>112800</v>
      </c>
      <c r="AT796">
        <v>1</v>
      </c>
    </row>
    <row r="797" spans="42:46">
      <c r="AP797">
        <v>112850</v>
      </c>
      <c r="AQ797" t="e">
        <v>#N/A</v>
      </c>
      <c r="AR797" t="e">
        <v>#N/A</v>
      </c>
      <c r="AS797">
        <v>112850</v>
      </c>
      <c r="AT797">
        <v>1</v>
      </c>
    </row>
    <row r="798" spans="42:46">
      <c r="AP798">
        <v>112900</v>
      </c>
      <c r="AQ798" t="e">
        <v>#N/A</v>
      </c>
      <c r="AR798" t="e">
        <v>#N/A</v>
      </c>
      <c r="AS798">
        <v>112900</v>
      </c>
      <c r="AT798">
        <v>1</v>
      </c>
    </row>
    <row r="799" spans="42:46">
      <c r="AP799">
        <v>112950</v>
      </c>
      <c r="AQ799" t="e">
        <v>#N/A</v>
      </c>
      <c r="AR799" t="e">
        <v>#N/A</v>
      </c>
      <c r="AS799">
        <v>112950</v>
      </c>
      <c r="AT799">
        <v>1</v>
      </c>
    </row>
    <row r="800" spans="42:46">
      <c r="AP800">
        <v>113000</v>
      </c>
      <c r="AQ800" t="e">
        <v>#N/A</v>
      </c>
      <c r="AR800" t="e">
        <v>#N/A</v>
      </c>
      <c r="AS800">
        <v>113000</v>
      </c>
      <c r="AT800">
        <v>1</v>
      </c>
    </row>
    <row r="801" spans="42:46">
      <c r="AP801">
        <v>113050</v>
      </c>
      <c r="AQ801" t="e">
        <v>#N/A</v>
      </c>
      <c r="AR801" t="e">
        <v>#N/A</v>
      </c>
      <c r="AS801">
        <v>113050</v>
      </c>
      <c r="AT801">
        <v>1</v>
      </c>
    </row>
    <row r="802" spans="42:46">
      <c r="AP802">
        <v>113100</v>
      </c>
      <c r="AQ802" t="e">
        <v>#N/A</v>
      </c>
      <c r="AR802" t="e">
        <v>#N/A</v>
      </c>
      <c r="AS802">
        <v>113100</v>
      </c>
      <c r="AT802">
        <v>1</v>
      </c>
    </row>
    <row r="803" spans="42:46">
      <c r="AP803">
        <v>113150</v>
      </c>
      <c r="AQ803" t="e">
        <v>#N/A</v>
      </c>
      <c r="AR803" t="e">
        <v>#N/A</v>
      </c>
      <c r="AS803">
        <v>113150</v>
      </c>
      <c r="AT803">
        <v>1</v>
      </c>
    </row>
    <row r="804" spans="42:46">
      <c r="AP804">
        <v>113200</v>
      </c>
      <c r="AQ804" t="e">
        <v>#N/A</v>
      </c>
      <c r="AR804" t="e">
        <v>#N/A</v>
      </c>
      <c r="AS804">
        <v>113200</v>
      </c>
      <c r="AT804">
        <v>1</v>
      </c>
    </row>
    <row r="805" spans="42:46">
      <c r="AP805">
        <v>113250</v>
      </c>
      <c r="AQ805" t="e">
        <v>#N/A</v>
      </c>
      <c r="AR805" t="e">
        <v>#N/A</v>
      </c>
      <c r="AS805">
        <v>113250</v>
      </c>
      <c r="AT805">
        <v>1</v>
      </c>
    </row>
    <row r="806" spans="42:46">
      <c r="AP806">
        <v>113300</v>
      </c>
      <c r="AQ806" t="e">
        <v>#N/A</v>
      </c>
      <c r="AR806" t="e">
        <v>#N/A</v>
      </c>
      <c r="AS806">
        <v>113300</v>
      </c>
      <c r="AT806">
        <v>1</v>
      </c>
    </row>
    <row r="807" spans="42:46">
      <c r="AP807">
        <v>113350</v>
      </c>
      <c r="AQ807" t="e">
        <v>#N/A</v>
      </c>
      <c r="AR807" t="e">
        <v>#N/A</v>
      </c>
      <c r="AS807">
        <v>113350</v>
      </c>
      <c r="AT807">
        <v>1</v>
      </c>
    </row>
    <row r="808" spans="42:46">
      <c r="AP808">
        <v>113400</v>
      </c>
      <c r="AQ808" t="e">
        <v>#N/A</v>
      </c>
      <c r="AR808" t="e">
        <v>#N/A</v>
      </c>
      <c r="AS808">
        <v>113400</v>
      </c>
      <c r="AT808">
        <v>1</v>
      </c>
    </row>
    <row r="809" spans="42:46">
      <c r="AP809">
        <v>113450</v>
      </c>
      <c r="AQ809" t="e">
        <v>#N/A</v>
      </c>
      <c r="AR809" t="e">
        <v>#N/A</v>
      </c>
      <c r="AS809">
        <v>113450</v>
      </c>
      <c r="AT809">
        <v>1</v>
      </c>
    </row>
    <row r="810" spans="42:46">
      <c r="AP810">
        <v>113500</v>
      </c>
      <c r="AQ810" t="e">
        <v>#N/A</v>
      </c>
      <c r="AR810" t="e">
        <v>#N/A</v>
      </c>
      <c r="AS810">
        <v>113500</v>
      </c>
      <c r="AT810">
        <v>1</v>
      </c>
    </row>
    <row r="811" spans="42:46">
      <c r="AP811">
        <v>113550</v>
      </c>
      <c r="AQ811" t="e">
        <v>#N/A</v>
      </c>
      <c r="AR811" t="e">
        <v>#N/A</v>
      </c>
      <c r="AS811">
        <v>113550</v>
      </c>
      <c r="AT811">
        <v>1</v>
      </c>
    </row>
    <row r="812" spans="42:46">
      <c r="AP812">
        <v>113600</v>
      </c>
      <c r="AQ812" t="e">
        <v>#N/A</v>
      </c>
      <c r="AR812" t="e">
        <v>#N/A</v>
      </c>
      <c r="AS812">
        <v>113600</v>
      </c>
      <c r="AT812">
        <v>1</v>
      </c>
    </row>
    <row r="813" spans="42:46">
      <c r="AP813">
        <v>113650</v>
      </c>
      <c r="AQ813" t="e">
        <v>#N/A</v>
      </c>
      <c r="AR813" t="e">
        <v>#N/A</v>
      </c>
      <c r="AS813">
        <v>113650</v>
      </c>
      <c r="AT813">
        <v>1</v>
      </c>
    </row>
    <row r="814" spans="42:46">
      <c r="AP814">
        <v>113700</v>
      </c>
      <c r="AQ814" t="e">
        <v>#N/A</v>
      </c>
      <c r="AR814" t="e">
        <v>#N/A</v>
      </c>
      <c r="AS814">
        <v>113700</v>
      </c>
      <c r="AT814">
        <v>1</v>
      </c>
    </row>
    <row r="815" spans="42:46">
      <c r="AP815">
        <v>113750</v>
      </c>
      <c r="AQ815" t="e">
        <v>#N/A</v>
      </c>
      <c r="AR815" t="e">
        <v>#N/A</v>
      </c>
      <c r="AS815">
        <v>113750</v>
      </c>
      <c r="AT815">
        <v>1</v>
      </c>
    </row>
    <row r="816" spans="42:46">
      <c r="AP816">
        <v>113800</v>
      </c>
      <c r="AQ816" t="e">
        <v>#N/A</v>
      </c>
      <c r="AR816" t="e">
        <v>#N/A</v>
      </c>
      <c r="AS816">
        <v>113800</v>
      </c>
      <c r="AT816">
        <v>1</v>
      </c>
    </row>
    <row r="817" spans="42:46">
      <c r="AP817">
        <v>113850</v>
      </c>
      <c r="AQ817" t="e">
        <v>#N/A</v>
      </c>
      <c r="AR817" t="e">
        <v>#N/A</v>
      </c>
      <c r="AS817">
        <v>113850</v>
      </c>
      <c r="AT817">
        <v>1</v>
      </c>
    </row>
    <row r="818" spans="42:46">
      <c r="AP818">
        <v>113900</v>
      </c>
      <c r="AQ818" t="e">
        <v>#N/A</v>
      </c>
      <c r="AR818" t="e">
        <v>#N/A</v>
      </c>
      <c r="AS818">
        <v>113900</v>
      </c>
      <c r="AT818">
        <v>1</v>
      </c>
    </row>
    <row r="819" spans="42:46">
      <c r="AP819">
        <v>113950</v>
      </c>
      <c r="AQ819" t="e">
        <v>#N/A</v>
      </c>
      <c r="AR819" t="e">
        <v>#N/A</v>
      </c>
      <c r="AS819">
        <v>113950</v>
      </c>
      <c r="AT819">
        <v>1</v>
      </c>
    </row>
    <row r="820" spans="42:46">
      <c r="AP820">
        <v>114000</v>
      </c>
      <c r="AQ820" t="e">
        <v>#N/A</v>
      </c>
      <c r="AR820" t="e">
        <v>#N/A</v>
      </c>
      <c r="AS820">
        <v>114000</v>
      </c>
      <c r="AT820">
        <v>1</v>
      </c>
    </row>
    <row r="821" spans="42:46">
      <c r="AP821">
        <v>114050</v>
      </c>
      <c r="AQ821" t="e">
        <v>#N/A</v>
      </c>
      <c r="AR821" t="e">
        <v>#N/A</v>
      </c>
      <c r="AS821">
        <v>114050</v>
      </c>
      <c r="AT821">
        <v>1</v>
      </c>
    </row>
    <row r="822" spans="42:46">
      <c r="AP822">
        <v>114100</v>
      </c>
      <c r="AQ822" t="e">
        <v>#N/A</v>
      </c>
      <c r="AR822" t="e">
        <v>#N/A</v>
      </c>
      <c r="AS822">
        <v>114100</v>
      </c>
      <c r="AT822">
        <v>1</v>
      </c>
    </row>
    <row r="823" spans="42:46">
      <c r="AP823">
        <v>114150</v>
      </c>
      <c r="AQ823" t="e">
        <v>#N/A</v>
      </c>
      <c r="AR823" t="e">
        <v>#N/A</v>
      </c>
      <c r="AS823">
        <v>114150</v>
      </c>
      <c r="AT823">
        <v>1</v>
      </c>
    </row>
    <row r="824" spans="42:46">
      <c r="AP824">
        <v>114200</v>
      </c>
      <c r="AQ824" t="e">
        <v>#N/A</v>
      </c>
      <c r="AR824" t="e">
        <v>#N/A</v>
      </c>
      <c r="AS824">
        <v>114200</v>
      </c>
      <c r="AT824">
        <v>1</v>
      </c>
    </row>
    <row r="825" spans="42:46">
      <c r="AP825">
        <v>114250</v>
      </c>
      <c r="AQ825" t="e">
        <v>#N/A</v>
      </c>
      <c r="AR825" t="e">
        <v>#N/A</v>
      </c>
      <c r="AS825">
        <v>114250</v>
      </c>
      <c r="AT825">
        <v>1</v>
      </c>
    </row>
    <row r="826" spans="42:46">
      <c r="AP826">
        <v>114300</v>
      </c>
      <c r="AQ826" t="e">
        <v>#N/A</v>
      </c>
      <c r="AR826" t="e">
        <v>#N/A</v>
      </c>
      <c r="AS826">
        <v>114300</v>
      </c>
      <c r="AT826">
        <v>1</v>
      </c>
    </row>
    <row r="827" spans="42:46">
      <c r="AP827">
        <v>114350</v>
      </c>
      <c r="AQ827" t="e">
        <v>#N/A</v>
      </c>
      <c r="AR827" t="e">
        <v>#N/A</v>
      </c>
      <c r="AS827">
        <v>114350</v>
      </c>
      <c r="AT827">
        <v>1</v>
      </c>
    </row>
    <row r="828" spans="42:46">
      <c r="AP828">
        <v>114400</v>
      </c>
      <c r="AQ828" t="e">
        <v>#N/A</v>
      </c>
      <c r="AR828" t="e">
        <v>#N/A</v>
      </c>
      <c r="AS828">
        <v>114400</v>
      </c>
      <c r="AT828">
        <v>1</v>
      </c>
    </row>
    <row r="829" spans="42:46">
      <c r="AP829">
        <v>114450</v>
      </c>
      <c r="AQ829" t="e">
        <v>#N/A</v>
      </c>
      <c r="AR829" t="e">
        <v>#N/A</v>
      </c>
      <c r="AS829">
        <v>114450</v>
      </c>
      <c r="AT829">
        <v>1</v>
      </c>
    </row>
    <row r="830" spans="42:46">
      <c r="AP830">
        <v>114500</v>
      </c>
      <c r="AQ830" t="e">
        <v>#N/A</v>
      </c>
      <c r="AR830" t="e">
        <v>#N/A</v>
      </c>
      <c r="AS830">
        <v>114500</v>
      </c>
      <c r="AT830">
        <v>1</v>
      </c>
    </row>
    <row r="831" spans="42:46">
      <c r="AP831">
        <v>114550</v>
      </c>
      <c r="AQ831" t="e">
        <v>#N/A</v>
      </c>
      <c r="AR831" t="e">
        <v>#N/A</v>
      </c>
      <c r="AS831">
        <v>114550</v>
      </c>
      <c r="AT831">
        <v>1</v>
      </c>
    </row>
    <row r="832" spans="42:46">
      <c r="AP832">
        <v>114600</v>
      </c>
      <c r="AQ832" t="e">
        <v>#N/A</v>
      </c>
      <c r="AR832" t="e">
        <v>#N/A</v>
      </c>
      <c r="AS832">
        <v>114600</v>
      </c>
      <c r="AT832">
        <v>1</v>
      </c>
    </row>
    <row r="833" spans="42:46">
      <c r="AP833">
        <v>114650</v>
      </c>
      <c r="AQ833" t="e">
        <v>#N/A</v>
      </c>
      <c r="AR833" t="e">
        <v>#N/A</v>
      </c>
      <c r="AS833">
        <v>114650</v>
      </c>
      <c r="AT833">
        <v>1</v>
      </c>
    </row>
    <row r="834" spans="42:46">
      <c r="AP834">
        <v>114700</v>
      </c>
      <c r="AQ834" t="e">
        <v>#N/A</v>
      </c>
      <c r="AR834" t="e">
        <v>#N/A</v>
      </c>
      <c r="AS834">
        <v>114700</v>
      </c>
      <c r="AT834">
        <v>1</v>
      </c>
    </row>
    <row r="835" spans="42:46">
      <c r="AP835">
        <v>114750</v>
      </c>
      <c r="AQ835" t="e">
        <v>#N/A</v>
      </c>
      <c r="AR835" t="e">
        <v>#N/A</v>
      </c>
      <c r="AS835">
        <v>114750</v>
      </c>
      <c r="AT835">
        <v>1</v>
      </c>
    </row>
    <row r="836" spans="42:46">
      <c r="AP836">
        <v>114800</v>
      </c>
      <c r="AQ836" t="e">
        <v>#N/A</v>
      </c>
      <c r="AR836" t="e">
        <v>#N/A</v>
      </c>
      <c r="AS836">
        <v>114800</v>
      </c>
      <c r="AT836">
        <v>1</v>
      </c>
    </row>
    <row r="837" spans="42:46">
      <c r="AP837">
        <v>114850</v>
      </c>
      <c r="AQ837" t="e">
        <v>#N/A</v>
      </c>
      <c r="AR837" t="e">
        <v>#N/A</v>
      </c>
      <c r="AS837">
        <v>114850</v>
      </c>
      <c r="AT837">
        <v>1</v>
      </c>
    </row>
    <row r="838" spans="42:46">
      <c r="AP838">
        <v>114900</v>
      </c>
      <c r="AQ838" t="e">
        <v>#N/A</v>
      </c>
      <c r="AR838" t="e">
        <v>#N/A</v>
      </c>
      <c r="AS838">
        <v>114900</v>
      </c>
      <c r="AT838">
        <v>1</v>
      </c>
    </row>
    <row r="839" spans="42:46">
      <c r="AP839">
        <v>114950</v>
      </c>
      <c r="AQ839" t="e">
        <v>#N/A</v>
      </c>
      <c r="AR839" t="e">
        <v>#N/A</v>
      </c>
      <c r="AS839">
        <v>114950</v>
      </c>
      <c r="AT839">
        <v>1</v>
      </c>
    </row>
    <row r="840" spans="42:46">
      <c r="AP840">
        <v>115000</v>
      </c>
      <c r="AQ840" t="e">
        <v>#N/A</v>
      </c>
      <c r="AR840" t="e">
        <v>#N/A</v>
      </c>
      <c r="AS840">
        <v>115000</v>
      </c>
      <c r="AT840">
        <v>1</v>
      </c>
    </row>
    <row r="841" spans="42:46">
      <c r="AP841">
        <v>115050</v>
      </c>
      <c r="AQ841" t="e">
        <v>#N/A</v>
      </c>
      <c r="AR841" t="e">
        <v>#N/A</v>
      </c>
      <c r="AS841">
        <v>115050</v>
      </c>
      <c r="AT841">
        <v>1</v>
      </c>
    </row>
    <row r="842" spans="42:46">
      <c r="AP842">
        <v>115100</v>
      </c>
      <c r="AQ842" t="e">
        <v>#N/A</v>
      </c>
      <c r="AR842" t="e">
        <v>#N/A</v>
      </c>
      <c r="AS842">
        <v>115100</v>
      </c>
      <c r="AT842">
        <v>1</v>
      </c>
    </row>
    <row r="843" spans="42:46">
      <c r="AP843">
        <v>115150</v>
      </c>
      <c r="AQ843" t="e">
        <v>#N/A</v>
      </c>
      <c r="AR843" t="e">
        <v>#N/A</v>
      </c>
      <c r="AS843">
        <v>115150</v>
      </c>
      <c r="AT843">
        <v>1</v>
      </c>
    </row>
    <row r="844" spans="42:46">
      <c r="AP844">
        <v>115200</v>
      </c>
      <c r="AQ844" t="e">
        <v>#N/A</v>
      </c>
      <c r="AR844" t="e">
        <v>#N/A</v>
      </c>
      <c r="AS844">
        <v>115200</v>
      </c>
      <c r="AT844">
        <v>1</v>
      </c>
    </row>
    <row r="845" spans="42:46">
      <c r="AP845">
        <v>115250</v>
      </c>
      <c r="AQ845" t="e">
        <v>#N/A</v>
      </c>
      <c r="AR845" t="e">
        <v>#N/A</v>
      </c>
      <c r="AS845">
        <v>115250</v>
      </c>
      <c r="AT845">
        <v>1</v>
      </c>
    </row>
    <row r="846" spans="42:46">
      <c r="AP846">
        <v>115300</v>
      </c>
      <c r="AQ846" t="e">
        <v>#N/A</v>
      </c>
      <c r="AR846" t="e">
        <v>#N/A</v>
      </c>
      <c r="AS846">
        <v>115300</v>
      </c>
      <c r="AT846">
        <v>1</v>
      </c>
    </row>
    <row r="847" spans="42:46">
      <c r="AP847">
        <v>115350</v>
      </c>
      <c r="AQ847" t="e">
        <v>#N/A</v>
      </c>
      <c r="AR847" t="e">
        <v>#N/A</v>
      </c>
      <c r="AS847">
        <v>115350</v>
      </c>
      <c r="AT847">
        <v>1</v>
      </c>
    </row>
    <row r="848" spans="42:46">
      <c r="AP848">
        <v>115400</v>
      </c>
      <c r="AQ848" t="e">
        <v>#N/A</v>
      </c>
      <c r="AR848" t="e">
        <v>#N/A</v>
      </c>
      <c r="AS848">
        <v>115400</v>
      </c>
      <c r="AT848">
        <v>1</v>
      </c>
    </row>
    <row r="849" spans="42:46">
      <c r="AP849">
        <v>115450</v>
      </c>
      <c r="AQ849" t="e">
        <v>#N/A</v>
      </c>
      <c r="AR849" t="e">
        <v>#N/A</v>
      </c>
      <c r="AS849">
        <v>115450</v>
      </c>
      <c r="AT849">
        <v>1</v>
      </c>
    </row>
    <row r="850" spans="42:46">
      <c r="AP850">
        <v>115500</v>
      </c>
      <c r="AQ850" t="e">
        <v>#N/A</v>
      </c>
      <c r="AR850" t="e">
        <v>#N/A</v>
      </c>
      <c r="AS850">
        <v>115500</v>
      </c>
      <c r="AT850">
        <v>1</v>
      </c>
    </row>
    <row r="851" spans="42:46">
      <c r="AP851">
        <v>115550</v>
      </c>
      <c r="AQ851" t="e">
        <v>#N/A</v>
      </c>
      <c r="AR851" t="e">
        <v>#N/A</v>
      </c>
      <c r="AS851">
        <v>115550</v>
      </c>
      <c r="AT851">
        <v>1</v>
      </c>
    </row>
    <row r="852" spans="42:46">
      <c r="AP852">
        <v>115600</v>
      </c>
      <c r="AQ852" t="e">
        <v>#N/A</v>
      </c>
      <c r="AR852" t="e">
        <v>#N/A</v>
      </c>
      <c r="AS852">
        <v>115600</v>
      </c>
      <c r="AT852">
        <v>1</v>
      </c>
    </row>
    <row r="853" spans="42:46">
      <c r="AP853">
        <v>115650</v>
      </c>
      <c r="AQ853" t="e">
        <v>#N/A</v>
      </c>
      <c r="AR853" t="e">
        <v>#N/A</v>
      </c>
      <c r="AS853">
        <v>115650</v>
      </c>
      <c r="AT853">
        <v>1</v>
      </c>
    </row>
    <row r="854" spans="42:46">
      <c r="AP854">
        <v>115700</v>
      </c>
      <c r="AQ854" t="e">
        <v>#N/A</v>
      </c>
      <c r="AR854" t="e">
        <v>#N/A</v>
      </c>
      <c r="AS854">
        <v>115700</v>
      </c>
      <c r="AT854">
        <v>1</v>
      </c>
    </row>
    <row r="855" spans="42:46">
      <c r="AP855">
        <v>115750</v>
      </c>
      <c r="AQ855" t="e">
        <v>#N/A</v>
      </c>
      <c r="AR855" t="e">
        <v>#N/A</v>
      </c>
      <c r="AS855">
        <v>115750</v>
      </c>
      <c r="AT855">
        <v>1</v>
      </c>
    </row>
    <row r="856" spans="42:46">
      <c r="AP856">
        <v>115800</v>
      </c>
      <c r="AQ856" t="e">
        <v>#N/A</v>
      </c>
      <c r="AR856" t="e">
        <v>#N/A</v>
      </c>
      <c r="AS856">
        <v>115800</v>
      </c>
      <c r="AT856">
        <v>1</v>
      </c>
    </row>
    <row r="857" spans="42:46">
      <c r="AP857">
        <v>115850</v>
      </c>
      <c r="AQ857" t="e">
        <v>#N/A</v>
      </c>
      <c r="AR857" t="e">
        <v>#N/A</v>
      </c>
      <c r="AS857">
        <v>115850</v>
      </c>
      <c r="AT857">
        <v>1</v>
      </c>
    </row>
    <row r="858" spans="42:46">
      <c r="AP858">
        <v>115900</v>
      </c>
      <c r="AQ858" t="e">
        <v>#N/A</v>
      </c>
      <c r="AR858" t="e">
        <v>#N/A</v>
      </c>
      <c r="AS858">
        <v>115900</v>
      </c>
      <c r="AT858">
        <v>1</v>
      </c>
    </row>
    <row r="859" spans="42:46">
      <c r="AP859">
        <v>115950</v>
      </c>
      <c r="AQ859" t="e">
        <v>#N/A</v>
      </c>
      <c r="AR859" t="e">
        <v>#N/A</v>
      </c>
      <c r="AS859">
        <v>115950</v>
      </c>
      <c r="AT859">
        <v>1</v>
      </c>
    </row>
    <row r="860" spans="42:46">
      <c r="AP860">
        <v>116000</v>
      </c>
      <c r="AQ860" t="e">
        <v>#N/A</v>
      </c>
      <c r="AR860" t="e">
        <v>#N/A</v>
      </c>
      <c r="AS860">
        <v>116000</v>
      </c>
      <c r="AT860">
        <v>1</v>
      </c>
    </row>
    <row r="861" spans="42:46">
      <c r="AP861">
        <v>116050</v>
      </c>
      <c r="AQ861" t="e">
        <v>#N/A</v>
      </c>
      <c r="AR861" t="e">
        <v>#N/A</v>
      </c>
      <c r="AS861">
        <v>116050</v>
      </c>
      <c r="AT861">
        <v>1</v>
      </c>
    </row>
    <row r="862" spans="42:46">
      <c r="AP862">
        <v>116100</v>
      </c>
      <c r="AQ862" t="e">
        <v>#N/A</v>
      </c>
      <c r="AR862" t="e">
        <v>#N/A</v>
      </c>
      <c r="AS862">
        <v>116100</v>
      </c>
      <c r="AT862">
        <v>1</v>
      </c>
    </row>
    <row r="863" spans="42:46">
      <c r="AP863">
        <v>116150</v>
      </c>
      <c r="AQ863" t="e">
        <v>#N/A</v>
      </c>
      <c r="AR863" t="e">
        <v>#N/A</v>
      </c>
      <c r="AS863">
        <v>116150</v>
      </c>
      <c r="AT863">
        <v>1</v>
      </c>
    </row>
    <row r="864" spans="42:46">
      <c r="AP864">
        <v>116200</v>
      </c>
      <c r="AQ864" t="e">
        <v>#N/A</v>
      </c>
      <c r="AR864" t="e">
        <v>#N/A</v>
      </c>
      <c r="AS864">
        <v>116200</v>
      </c>
      <c r="AT864">
        <v>1</v>
      </c>
    </row>
    <row r="865" spans="42:46">
      <c r="AP865">
        <v>116250</v>
      </c>
      <c r="AQ865" t="e">
        <v>#N/A</v>
      </c>
      <c r="AR865" t="e">
        <v>#N/A</v>
      </c>
      <c r="AS865">
        <v>116250</v>
      </c>
      <c r="AT865">
        <v>1</v>
      </c>
    </row>
    <row r="866" spans="42:46">
      <c r="AP866">
        <v>116300</v>
      </c>
      <c r="AQ866" t="e">
        <v>#N/A</v>
      </c>
      <c r="AR866" t="e">
        <v>#N/A</v>
      </c>
      <c r="AS866">
        <v>116300</v>
      </c>
      <c r="AT866">
        <v>1</v>
      </c>
    </row>
    <row r="867" spans="42:46">
      <c r="AP867">
        <v>116350</v>
      </c>
      <c r="AQ867" t="e">
        <v>#N/A</v>
      </c>
      <c r="AR867" t="e">
        <v>#N/A</v>
      </c>
      <c r="AS867">
        <v>116350</v>
      </c>
      <c r="AT867">
        <v>1</v>
      </c>
    </row>
    <row r="868" spans="42:46">
      <c r="AP868">
        <v>116400</v>
      </c>
      <c r="AQ868" t="e">
        <v>#N/A</v>
      </c>
      <c r="AR868" t="e">
        <v>#N/A</v>
      </c>
      <c r="AS868">
        <v>116400</v>
      </c>
      <c r="AT868">
        <v>1</v>
      </c>
    </row>
    <row r="869" spans="42:46">
      <c r="AP869">
        <v>116450</v>
      </c>
      <c r="AQ869" t="e">
        <v>#N/A</v>
      </c>
      <c r="AR869" t="e">
        <v>#N/A</v>
      </c>
      <c r="AS869">
        <v>116450</v>
      </c>
      <c r="AT869">
        <v>1</v>
      </c>
    </row>
    <row r="870" spans="42:46">
      <c r="AP870">
        <v>116500</v>
      </c>
      <c r="AQ870" t="e">
        <v>#N/A</v>
      </c>
      <c r="AR870" t="e">
        <v>#N/A</v>
      </c>
      <c r="AS870">
        <v>116500</v>
      </c>
      <c r="AT870">
        <v>1</v>
      </c>
    </row>
    <row r="871" spans="42:46">
      <c r="AP871">
        <v>116550</v>
      </c>
      <c r="AQ871" t="e">
        <v>#N/A</v>
      </c>
      <c r="AR871" t="e">
        <v>#N/A</v>
      </c>
      <c r="AS871">
        <v>116550</v>
      </c>
      <c r="AT871">
        <v>1</v>
      </c>
    </row>
    <row r="872" spans="42:46">
      <c r="AP872">
        <v>116600</v>
      </c>
      <c r="AQ872" t="e">
        <v>#N/A</v>
      </c>
      <c r="AR872" t="e">
        <v>#N/A</v>
      </c>
      <c r="AS872">
        <v>116600</v>
      </c>
      <c r="AT872">
        <v>1</v>
      </c>
    </row>
    <row r="873" spans="42:46">
      <c r="AP873">
        <v>116650</v>
      </c>
      <c r="AQ873" t="e">
        <v>#N/A</v>
      </c>
      <c r="AR873" t="e">
        <v>#N/A</v>
      </c>
      <c r="AS873">
        <v>116650</v>
      </c>
      <c r="AT873">
        <v>1</v>
      </c>
    </row>
    <row r="874" spans="42:46">
      <c r="AP874">
        <v>116700</v>
      </c>
      <c r="AQ874" t="e">
        <v>#N/A</v>
      </c>
      <c r="AR874" t="e">
        <v>#N/A</v>
      </c>
      <c r="AS874">
        <v>116700</v>
      </c>
      <c r="AT874">
        <v>1</v>
      </c>
    </row>
    <row r="875" spans="42:46">
      <c r="AP875">
        <v>116750</v>
      </c>
      <c r="AQ875" t="e">
        <v>#N/A</v>
      </c>
      <c r="AR875" t="e">
        <v>#N/A</v>
      </c>
      <c r="AS875">
        <v>116750</v>
      </c>
      <c r="AT875">
        <v>1</v>
      </c>
    </row>
    <row r="876" spans="42:46">
      <c r="AP876">
        <v>116800</v>
      </c>
      <c r="AQ876" t="e">
        <v>#N/A</v>
      </c>
      <c r="AR876" t="e">
        <v>#N/A</v>
      </c>
      <c r="AS876">
        <v>116800</v>
      </c>
      <c r="AT876">
        <v>1</v>
      </c>
    </row>
    <row r="877" spans="42:46">
      <c r="AP877">
        <v>116850</v>
      </c>
      <c r="AQ877" t="e">
        <v>#N/A</v>
      </c>
      <c r="AR877" t="e">
        <v>#N/A</v>
      </c>
      <c r="AS877">
        <v>116850</v>
      </c>
      <c r="AT877">
        <v>1</v>
      </c>
    </row>
    <row r="878" spans="42:46">
      <c r="AP878">
        <v>116900</v>
      </c>
      <c r="AQ878" t="e">
        <v>#N/A</v>
      </c>
      <c r="AR878" t="e">
        <v>#N/A</v>
      </c>
      <c r="AS878">
        <v>116900</v>
      </c>
      <c r="AT878">
        <v>1</v>
      </c>
    </row>
    <row r="879" spans="42:46">
      <c r="AP879">
        <v>116950</v>
      </c>
      <c r="AQ879" t="e">
        <v>#N/A</v>
      </c>
      <c r="AR879" t="e">
        <v>#N/A</v>
      </c>
      <c r="AS879">
        <v>116950</v>
      </c>
      <c r="AT879">
        <v>1</v>
      </c>
    </row>
    <row r="880" spans="42:46">
      <c r="AP880">
        <v>117000</v>
      </c>
      <c r="AQ880" t="e">
        <v>#N/A</v>
      </c>
      <c r="AR880" t="e">
        <v>#N/A</v>
      </c>
      <c r="AS880">
        <v>117000</v>
      </c>
      <c r="AT880">
        <v>1</v>
      </c>
    </row>
    <row r="881" spans="42:46">
      <c r="AP881">
        <v>117050</v>
      </c>
      <c r="AQ881" t="e">
        <v>#N/A</v>
      </c>
      <c r="AR881" t="e">
        <v>#N/A</v>
      </c>
      <c r="AS881">
        <v>117050</v>
      </c>
      <c r="AT881">
        <v>1</v>
      </c>
    </row>
    <row r="882" spans="42:46">
      <c r="AP882">
        <v>117100</v>
      </c>
      <c r="AQ882" t="e">
        <v>#N/A</v>
      </c>
      <c r="AR882" t="e">
        <v>#N/A</v>
      </c>
      <c r="AS882">
        <v>117100</v>
      </c>
      <c r="AT882">
        <v>1</v>
      </c>
    </row>
    <row r="883" spans="42:46">
      <c r="AP883">
        <v>117150</v>
      </c>
      <c r="AQ883" t="e">
        <v>#N/A</v>
      </c>
      <c r="AR883" t="e">
        <v>#N/A</v>
      </c>
      <c r="AS883">
        <v>117150</v>
      </c>
      <c r="AT883">
        <v>1</v>
      </c>
    </row>
    <row r="884" spans="42:46">
      <c r="AP884">
        <v>117200</v>
      </c>
      <c r="AQ884" t="e">
        <v>#N/A</v>
      </c>
      <c r="AR884" t="e">
        <v>#N/A</v>
      </c>
      <c r="AS884">
        <v>117200</v>
      </c>
      <c r="AT884">
        <v>1</v>
      </c>
    </row>
    <row r="885" spans="42:46">
      <c r="AP885">
        <v>117250</v>
      </c>
      <c r="AQ885" t="e">
        <v>#N/A</v>
      </c>
      <c r="AR885" t="e">
        <v>#N/A</v>
      </c>
      <c r="AS885">
        <v>117250</v>
      </c>
      <c r="AT885">
        <v>1</v>
      </c>
    </row>
    <row r="886" spans="42:46">
      <c r="AP886">
        <v>117300</v>
      </c>
      <c r="AQ886" t="e">
        <v>#N/A</v>
      </c>
      <c r="AR886" t="e">
        <v>#N/A</v>
      </c>
      <c r="AS886">
        <v>117300</v>
      </c>
      <c r="AT886">
        <v>1</v>
      </c>
    </row>
    <row r="887" spans="42:46">
      <c r="AP887">
        <v>117350</v>
      </c>
      <c r="AQ887" t="e">
        <v>#N/A</v>
      </c>
      <c r="AR887" t="e">
        <v>#N/A</v>
      </c>
      <c r="AS887">
        <v>117350</v>
      </c>
      <c r="AT887">
        <v>1</v>
      </c>
    </row>
    <row r="888" spans="42:46">
      <c r="AP888">
        <v>117400</v>
      </c>
      <c r="AQ888" t="e">
        <v>#N/A</v>
      </c>
      <c r="AR888" t="e">
        <v>#N/A</v>
      </c>
      <c r="AS888">
        <v>117400</v>
      </c>
      <c r="AT888">
        <v>1</v>
      </c>
    </row>
    <row r="889" spans="42:46">
      <c r="AP889">
        <v>117450</v>
      </c>
      <c r="AQ889" t="e">
        <v>#N/A</v>
      </c>
      <c r="AR889" t="e">
        <v>#N/A</v>
      </c>
      <c r="AS889">
        <v>117450</v>
      </c>
      <c r="AT889">
        <v>1</v>
      </c>
    </row>
    <row r="890" spans="42:46">
      <c r="AP890">
        <v>117500</v>
      </c>
      <c r="AQ890" t="e">
        <v>#N/A</v>
      </c>
      <c r="AR890" t="e">
        <v>#N/A</v>
      </c>
      <c r="AS890">
        <v>117500</v>
      </c>
      <c r="AT890">
        <v>1</v>
      </c>
    </row>
    <row r="891" spans="42:46">
      <c r="AP891">
        <v>117550</v>
      </c>
      <c r="AQ891" t="e">
        <v>#N/A</v>
      </c>
      <c r="AR891" t="e">
        <v>#N/A</v>
      </c>
      <c r="AS891">
        <v>117550</v>
      </c>
      <c r="AT891">
        <v>1</v>
      </c>
    </row>
    <row r="892" spans="42:46">
      <c r="AP892">
        <v>117600</v>
      </c>
      <c r="AQ892" t="e">
        <v>#N/A</v>
      </c>
      <c r="AR892" t="e">
        <v>#N/A</v>
      </c>
      <c r="AS892">
        <v>117600</v>
      </c>
      <c r="AT892">
        <v>1</v>
      </c>
    </row>
    <row r="893" spans="42:46">
      <c r="AP893">
        <v>117650</v>
      </c>
      <c r="AQ893" t="e">
        <v>#N/A</v>
      </c>
      <c r="AR893" t="e">
        <v>#N/A</v>
      </c>
      <c r="AS893">
        <v>117650</v>
      </c>
      <c r="AT893">
        <v>1</v>
      </c>
    </row>
    <row r="894" spans="42:46">
      <c r="AP894">
        <v>117700</v>
      </c>
      <c r="AQ894" t="e">
        <v>#N/A</v>
      </c>
      <c r="AR894" t="e">
        <v>#N/A</v>
      </c>
      <c r="AS894">
        <v>117700</v>
      </c>
      <c r="AT894">
        <v>1</v>
      </c>
    </row>
    <row r="895" spans="42:46">
      <c r="AP895">
        <v>117750</v>
      </c>
      <c r="AQ895" t="e">
        <v>#N/A</v>
      </c>
      <c r="AR895" t="e">
        <v>#N/A</v>
      </c>
      <c r="AS895">
        <v>117750</v>
      </c>
      <c r="AT895">
        <v>1</v>
      </c>
    </row>
    <row r="896" spans="42:46">
      <c r="AP896">
        <v>117800</v>
      </c>
      <c r="AQ896" t="e">
        <v>#N/A</v>
      </c>
      <c r="AR896" t="e">
        <v>#N/A</v>
      </c>
      <c r="AS896">
        <v>117800</v>
      </c>
      <c r="AT896">
        <v>1</v>
      </c>
    </row>
    <row r="897" spans="42:46">
      <c r="AP897">
        <v>117850</v>
      </c>
      <c r="AQ897" t="e">
        <v>#N/A</v>
      </c>
      <c r="AR897" t="e">
        <v>#N/A</v>
      </c>
      <c r="AS897">
        <v>117850</v>
      </c>
      <c r="AT897">
        <v>1</v>
      </c>
    </row>
    <row r="898" spans="42:46">
      <c r="AP898">
        <v>117900</v>
      </c>
      <c r="AQ898" t="e">
        <v>#N/A</v>
      </c>
      <c r="AR898" t="e">
        <v>#N/A</v>
      </c>
      <c r="AS898">
        <v>117900</v>
      </c>
      <c r="AT898">
        <v>1</v>
      </c>
    </row>
    <row r="899" spans="42:46">
      <c r="AP899">
        <v>117950</v>
      </c>
      <c r="AQ899" t="e">
        <v>#N/A</v>
      </c>
      <c r="AR899" t="e">
        <v>#N/A</v>
      </c>
      <c r="AS899">
        <v>117950</v>
      </c>
      <c r="AT899">
        <v>1</v>
      </c>
    </row>
    <row r="900" spans="42:46">
      <c r="AP900">
        <v>118000</v>
      </c>
      <c r="AQ900" t="e">
        <v>#N/A</v>
      </c>
      <c r="AR900" t="e">
        <v>#N/A</v>
      </c>
      <c r="AS900">
        <v>118000</v>
      </c>
      <c r="AT900">
        <v>1</v>
      </c>
    </row>
    <row r="901" spans="42:46">
      <c r="AP901">
        <v>118050</v>
      </c>
      <c r="AQ901" t="e">
        <v>#N/A</v>
      </c>
      <c r="AR901" t="e">
        <v>#N/A</v>
      </c>
      <c r="AS901">
        <v>118050</v>
      </c>
      <c r="AT901">
        <v>1</v>
      </c>
    </row>
    <row r="902" spans="42:46">
      <c r="AP902">
        <v>118100</v>
      </c>
      <c r="AQ902" t="e">
        <v>#N/A</v>
      </c>
      <c r="AR902" t="e">
        <v>#N/A</v>
      </c>
      <c r="AS902">
        <v>118100</v>
      </c>
      <c r="AT902">
        <v>1</v>
      </c>
    </row>
    <row r="903" spans="42:46">
      <c r="AP903">
        <v>118150</v>
      </c>
      <c r="AQ903" t="e">
        <v>#N/A</v>
      </c>
      <c r="AR903" t="e">
        <v>#N/A</v>
      </c>
      <c r="AS903">
        <v>118150</v>
      </c>
      <c r="AT903">
        <v>1</v>
      </c>
    </row>
    <row r="904" spans="42:46">
      <c r="AP904">
        <v>118200</v>
      </c>
      <c r="AQ904" t="e">
        <v>#N/A</v>
      </c>
      <c r="AR904" t="e">
        <v>#N/A</v>
      </c>
      <c r="AS904">
        <v>118200</v>
      </c>
      <c r="AT904">
        <v>1</v>
      </c>
    </row>
    <row r="905" spans="42:46">
      <c r="AP905">
        <v>118250</v>
      </c>
      <c r="AQ905" t="e">
        <v>#N/A</v>
      </c>
      <c r="AR905" t="e">
        <v>#N/A</v>
      </c>
      <c r="AS905">
        <v>118250</v>
      </c>
      <c r="AT905">
        <v>1</v>
      </c>
    </row>
    <row r="906" spans="42:46">
      <c r="AP906">
        <v>118300</v>
      </c>
      <c r="AQ906" t="e">
        <v>#N/A</v>
      </c>
      <c r="AR906" t="e">
        <v>#N/A</v>
      </c>
      <c r="AS906">
        <v>118300</v>
      </c>
      <c r="AT906">
        <v>1</v>
      </c>
    </row>
    <row r="907" spans="42:46">
      <c r="AP907">
        <v>118350</v>
      </c>
      <c r="AQ907" t="e">
        <v>#N/A</v>
      </c>
      <c r="AR907" t="e">
        <v>#N/A</v>
      </c>
      <c r="AS907">
        <v>118350</v>
      </c>
      <c r="AT907">
        <v>1</v>
      </c>
    </row>
    <row r="908" spans="42:46">
      <c r="AP908">
        <v>118400</v>
      </c>
      <c r="AQ908" t="e">
        <v>#N/A</v>
      </c>
      <c r="AR908" t="e">
        <v>#N/A</v>
      </c>
      <c r="AS908">
        <v>118400</v>
      </c>
      <c r="AT908">
        <v>1</v>
      </c>
    </row>
    <row r="909" spans="42:46">
      <c r="AP909">
        <v>118450</v>
      </c>
      <c r="AQ909" t="e">
        <v>#N/A</v>
      </c>
      <c r="AR909" t="e">
        <v>#N/A</v>
      </c>
      <c r="AS909">
        <v>118450</v>
      </c>
      <c r="AT909">
        <v>1</v>
      </c>
    </row>
    <row r="910" spans="42:46">
      <c r="AP910">
        <v>118500</v>
      </c>
      <c r="AQ910" t="e">
        <v>#N/A</v>
      </c>
      <c r="AR910" t="e">
        <v>#N/A</v>
      </c>
      <c r="AS910">
        <v>118500</v>
      </c>
      <c r="AT910">
        <v>1</v>
      </c>
    </row>
    <row r="911" spans="42:46">
      <c r="AP911">
        <v>118550</v>
      </c>
      <c r="AQ911" t="e">
        <v>#N/A</v>
      </c>
      <c r="AR911" t="e">
        <v>#N/A</v>
      </c>
      <c r="AS911">
        <v>118550</v>
      </c>
      <c r="AT911">
        <v>1</v>
      </c>
    </row>
    <row r="912" spans="42:46">
      <c r="AP912">
        <v>118600</v>
      </c>
      <c r="AQ912" t="e">
        <v>#N/A</v>
      </c>
      <c r="AR912" t="e">
        <v>#N/A</v>
      </c>
      <c r="AS912">
        <v>118600</v>
      </c>
      <c r="AT912">
        <v>1</v>
      </c>
    </row>
    <row r="913" spans="42:46">
      <c r="AP913">
        <v>118650</v>
      </c>
      <c r="AQ913" t="e">
        <v>#N/A</v>
      </c>
      <c r="AR913" t="e">
        <v>#N/A</v>
      </c>
      <c r="AS913">
        <v>118650</v>
      </c>
      <c r="AT913">
        <v>1</v>
      </c>
    </row>
    <row r="914" spans="42:46">
      <c r="AP914">
        <v>118700</v>
      </c>
      <c r="AQ914" t="e">
        <v>#N/A</v>
      </c>
      <c r="AR914" t="e">
        <v>#N/A</v>
      </c>
      <c r="AS914">
        <v>118700</v>
      </c>
      <c r="AT914">
        <v>1</v>
      </c>
    </row>
    <row r="915" spans="42:46">
      <c r="AP915">
        <v>118750</v>
      </c>
      <c r="AQ915" t="e">
        <v>#N/A</v>
      </c>
      <c r="AR915" t="e">
        <v>#N/A</v>
      </c>
      <c r="AS915">
        <v>118750</v>
      </c>
      <c r="AT915">
        <v>1</v>
      </c>
    </row>
    <row r="916" spans="42:46">
      <c r="AP916">
        <v>118800</v>
      </c>
      <c r="AQ916" t="e">
        <v>#N/A</v>
      </c>
      <c r="AR916" t="e">
        <v>#N/A</v>
      </c>
      <c r="AS916">
        <v>118800</v>
      </c>
      <c r="AT916">
        <v>1</v>
      </c>
    </row>
    <row r="917" spans="42:46">
      <c r="AP917">
        <v>118850</v>
      </c>
      <c r="AQ917" t="e">
        <v>#N/A</v>
      </c>
      <c r="AR917" t="e">
        <v>#N/A</v>
      </c>
      <c r="AS917">
        <v>118850</v>
      </c>
      <c r="AT917">
        <v>1</v>
      </c>
    </row>
    <row r="918" spans="42:46">
      <c r="AP918">
        <v>118900</v>
      </c>
      <c r="AQ918" t="e">
        <v>#N/A</v>
      </c>
      <c r="AR918" t="e">
        <v>#N/A</v>
      </c>
      <c r="AS918">
        <v>118900</v>
      </c>
      <c r="AT918">
        <v>1</v>
      </c>
    </row>
    <row r="919" spans="42:46">
      <c r="AP919">
        <v>118950</v>
      </c>
      <c r="AQ919" t="e">
        <v>#N/A</v>
      </c>
      <c r="AR919" t="e">
        <v>#N/A</v>
      </c>
      <c r="AS919">
        <v>118950</v>
      </c>
      <c r="AT919">
        <v>1</v>
      </c>
    </row>
    <row r="920" spans="42:46">
      <c r="AP920">
        <v>119000</v>
      </c>
      <c r="AQ920" t="e">
        <v>#N/A</v>
      </c>
      <c r="AR920" t="e">
        <v>#N/A</v>
      </c>
      <c r="AS920">
        <v>119000</v>
      </c>
      <c r="AT920">
        <v>1</v>
      </c>
    </row>
    <row r="921" spans="42:46">
      <c r="AP921">
        <v>119050</v>
      </c>
      <c r="AQ921" t="e">
        <v>#N/A</v>
      </c>
      <c r="AR921" t="e">
        <v>#N/A</v>
      </c>
      <c r="AS921">
        <v>119050</v>
      </c>
      <c r="AT921">
        <v>1</v>
      </c>
    </row>
    <row r="922" spans="42:46">
      <c r="AP922">
        <v>119100</v>
      </c>
      <c r="AQ922" t="e">
        <v>#N/A</v>
      </c>
      <c r="AR922" t="e">
        <v>#N/A</v>
      </c>
      <c r="AS922">
        <v>119100</v>
      </c>
      <c r="AT922">
        <v>1</v>
      </c>
    </row>
    <row r="923" spans="42:46">
      <c r="AP923">
        <v>119150</v>
      </c>
      <c r="AQ923" t="e">
        <v>#N/A</v>
      </c>
      <c r="AR923" t="e">
        <v>#N/A</v>
      </c>
      <c r="AS923">
        <v>119150</v>
      </c>
      <c r="AT923">
        <v>1</v>
      </c>
    </row>
    <row r="924" spans="42:46">
      <c r="AP924">
        <v>119200</v>
      </c>
      <c r="AQ924" t="e">
        <v>#N/A</v>
      </c>
      <c r="AR924" t="e">
        <v>#N/A</v>
      </c>
      <c r="AS924">
        <v>119200</v>
      </c>
      <c r="AT924">
        <v>1</v>
      </c>
    </row>
    <row r="925" spans="42:46">
      <c r="AP925">
        <v>119250</v>
      </c>
      <c r="AQ925" t="e">
        <v>#N/A</v>
      </c>
      <c r="AR925" t="e">
        <v>#N/A</v>
      </c>
      <c r="AS925">
        <v>119250</v>
      </c>
      <c r="AT925">
        <v>1</v>
      </c>
    </row>
    <row r="926" spans="42:46">
      <c r="AP926">
        <v>119300</v>
      </c>
      <c r="AQ926" t="e">
        <v>#N/A</v>
      </c>
      <c r="AR926" t="e">
        <v>#N/A</v>
      </c>
      <c r="AS926">
        <v>119300</v>
      </c>
      <c r="AT926">
        <v>1</v>
      </c>
    </row>
    <row r="927" spans="42:46">
      <c r="AP927">
        <v>119350</v>
      </c>
      <c r="AQ927" t="e">
        <v>#N/A</v>
      </c>
      <c r="AR927" t="e">
        <v>#N/A</v>
      </c>
      <c r="AS927">
        <v>119350</v>
      </c>
      <c r="AT927">
        <v>1</v>
      </c>
    </row>
    <row r="928" spans="42:46">
      <c r="AP928">
        <v>119400</v>
      </c>
      <c r="AQ928" t="e">
        <v>#N/A</v>
      </c>
      <c r="AR928" t="e">
        <v>#N/A</v>
      </c>
      <c r="AS928">
        <v>119400</v>
      </c>
      <c r="AT928">
        <v>1</v>
      </c>
    </row>
    <row r="929" spans="42:46">
      <c r="AP929">
        <v>119450</v>
      </c>
      <c r="AQ929" t="e">
        <v>#N/A</v>
      </c>
      <c r="AR929" t="e">
        <v>#N/A</v>
      </c>
      <c r="AS929">
        <v>119450</v>
      </c>
      <c r="AT929">
        <v>1</v>
      </c>
    </row>
    <row r="930" spans="42:46">
      <c r="AP930">
        <v>119500</v>
      </c>
      <c r="AQ930" t="e">
        <v>#N/A</v>
      </c>
      <c r="AR930" t="e">
        <v>#N/A</v>
      </c>
      <c r="AS930">
        <v>119500</v>
      </c>
      <c r="AT930">
        <v>1</v>
      </c>
    </row>
    <row r="931" spans="42:46">
      <c r="AP931">
        <v>119550</v>
      </c>
      <c r="AQ931" t="e">
        <v>#N/A</v>
      </c>
      <c r="AR931" t="e">
        <v>#N/A</v>
      </c>
      <c r="AS931">
        <v>119550</v>
      </c>
      <c r="AT931">
        <v>1</v>
      </c>
    </row>
    <row r="932" spans="42:46">
      <c r="AP932">
        <v>119600</v>
      </c>
      <c r="AQ932" t="e">
        <v>#N/A</v>
      </c>
      <c r="AR932" t="e">
        <v>#N/A</v>
      </c>
      <c r="AS932">
        <v>119600</v>
      </c>
      <c r="AT932">
        <v>1</v>
      </c>
    </row>
    <row r="933" spans="42:46">
      <c r="AP933">
        <v>119650</v>
      </c>
      <c r="AQ933" t="e">
        <v>#N/A</v>
      </c>
      <c r="AR933" t="e">
        <v>#N/A</v>
      </c>
      <c r="AS933">
        <v>119650</v>
      </c>
      <c r="AT933">
        <v>1</v>
      </c>
    </row>
    <row r="934" spans="42:46">
      <c r="AP934">
        <v>119700</v>
      </c>
      <c r="AQ934" t="e">
        <v>#N/A</v>
      </c>
      <c r="AR934" t="e">
        <v>#N/A</v>
      </c>
      <c r="AS934">
        <v>119700</v>
      </c>
      <c r="AT934">
        <v>1</v>
      </c>
    </row>
    <row r="935" spans="42:46">
      <c r="AP935">
        <v>119750</v>
      </c>
      <c r="AQ935" t="e">
        <v>#N/A</v>
      </c>
      <c r="AR935" t="e">
        <v>#N/A</v>
      </c>
      <c r="AS935">
        <v>119750</v>
      </c>
      <c r="AT935">
        <v>1</v>
      </c>
    </row>
    <row r="936" spans="42:46">
      <c r="AP936">
        <v>119800</v>
      </c>
      <c r="AQ936" t="e">
        <v>#N/A</v>
      </c>
      <c r="AR936" t="e">
        <v>#N/A</v>
      </c>
      <c r="AS936">
        <v>119800</v>
      </c>
      <c r="AT936">
        <v>1</v>
      </c>
    </row>
    <row r="937" spans="42:46">
      <c r="AP937">
        <v>119850</v>
      </c>
      <c r="AQ937" t="e">
        <v>#N/A</v>
      </c>
      <c r="AR937" t="e">
        <v>#N/A</v>
      </c>
      <c r="AS937">
        <v>119850</v>
      </c>
      <c r="AT937">
        <v>1</v>
      </c>
    </row>
    <row r="938" spans="42:46">
      <c r="AP938">
        <v>119900</v>
      </c>
      <c r="AQ938" t="e">
        <v>#N/A</v>
      </c>
      <c r="AR938" t="e">
        <v>#N/A</v>
      </c>
      <c r="AS938">
        <v>119900</v>
      </c>
      <c r="AT938">
        <v>1</v>
      </c>
    </row>
    <row r="939" spans="42:46">
      <c r="AP939">
        <v>119950</v>
      </c>
      <c r="AQ939" t="e">
        <v>#N/A</v>
      </c>
      <c r="AR939" t="e">
        <v>#N/A</v>
      </c>
      <c r="AS939">
        <v>119950</v>
      </c>
      <c r="AT939">
        <v>1</v>
      </c>
    </row>
    <row r="940" spans="42:46">
      <c r="AP940">
        <v>120000</v>
      </c>
      <c r="AQ940" t="e">
        <v>#N/A</v>
      </c>
      <c r="AR940" t="e">
        <v>#N/A</v>
      </c>
      <c r="AS940">
        <v>120000</v>
      </c>
      <c r="AT940">
        <v>1</v>
      </c>
    </row>
    <row r="941" spans="42:46">
      <c r="AP941">
        <v>120050</v>
      </c>
      <c r="AQ941" t="e">
        <v>#N/A</v>
      </c>
      <c r="AR941" t="e">
        <v>#N/A</v>
      </c>
      <c r="AS941">
        <v>120050</v>
      </c>
      <c r="AT941">
        <v>1</v>
      </c>
    </row>
    <row r="942" spans="42:46">
      <c r="AP942">
        <v>120100</v>
      </c>
      <c r="AQ942" t="e">
        <v>#N/A</v>
      </c>
      <c r="AR942" t="e">
        <v>#N/A</v>
      </c>
      <c r="AS942">
        <v>120100</v>
      </c>
      <c r="AT942">
        <v>1</v>
      </c>
    </row>
    <row r="943" spans="42:46">
      <c r="AP943">
        <v>120150</v>
      </c>
      <c r="AQ943" t="e">
        <v>#N/A</v>
      </c>
      <c r="AR943" t="e">
        <v>#N/A</v>
      </c>
      <c r="AS943">
        <v>120150</v>
      </c>
      <c r="AT943">
        <v>1</v>
      </c>
    </row>
    <row r="944" spans="42:46">
      <c r="AP944">
        <v>120200</v>
      </c>
      <c r="AQ944" t="e">
        <v>#N/A</v>
      </c>
      <c r="AR944" t="e">
        <v>#N/A</v>
      </c>
      <c r="AS944">
        <v>120200</v>
      </c>
      <c r="AT944">
        <v>1</v>
      </c>
    </row>
    <row r="945" spans="42:46">
      <c r="AP945">
        <v>120250</v>
      </c>
      <c r="AQ945" t="e">
        <v>#N/A</v>
      </c>
      <c r="AR945" t="e">
        <v>#N/A</v>
      </c>
      <c r="AS945">
        <v>120250</v>
      </c>
      <c r="AT945">
        <v>1</v>
      </c>
    </row>
    <row r="946" spans="42:46">
      <c r="AP946">
        <v>120300</v>
      </c>
      <c r="AQ946" t="e">
        <v>#N/A</v>
      </c>
      <c r="AR946" t="e">
        <v>#N/A</v>
      </c>
      <c r="AS946">
        <v>120300</v>
      </c>
      <c r="AT946">
        <v>1</v>
      </c>
    </row>
    <row r="947" spans="42:46">
      <c r="AP947">
        <v>120350</v>
      </c>
      <c r="AQ947" t="e">
        <v>#N/A</v>
      </c>
      <c r="AR947" t="e">
        <v>#N/A</v>
      </c>
      <c r="AS947">
        <v>120350</v>
      </c>
      <c r="AT947">
        <v>1</v>
      </c>
    </row>
    <row r="948" spans="42:46">
      <c r="AP948">
        <v>120400</v>
      </c>
      <c r="AQ948" t="e">
        <v>#N/A</v>
      </c>
      <c r="AR948" t="e">
        <v>#N/A</v>
      </c>
      <c r="AS948">
        <v>120400</v>
      </c>
      <c r="AT948">
        <v>1</v>
      </c>
    </row>
    <row r="949" spans="42:46">
      <c r="AP949">
        <v>120450</v>
      </c>
      <c r="AQ949" t="e">
        <v>#N/A</v>
      </c>
      <c r="AR949" t="e">
        <v>#N/A</v>
      </c>
      <c r="AS949">
        <v>120450</v>
      </c>
      <c r="AT949">
        <v>1</v>
      </c>
    </row>
    <row r="950" spans="42:46">
      <c r="AP950">
        <v>120500</v>
      </c>
      <c r="AQ950" t="e">
        <v>#N/A</v>
      </c>
      <c r="AR950" t="e">
        <v>#N/A</v>
      </c>
      <c r="AS950">
        <v>120500</v>
      </c>
      <c r="AT950">
        <v>1</v>
      </c>
    </row>
    <row r="951" spans="42:46">
      <c r="AP951">
        <v>120550</v>
      </c>
      <c r="AQ951" t="e">
        <v>#N/A</v>
      </c>
      <c r="AR951" t="e">
        <v>#N/A</v>
      </c>
      <c r="AS951">
        <v>120550</v>
      </c>
      <c r="AT951">
        <v>1</v>
      </c>
    </row>
    <row r="952" spans="42:46">
      <c r="AP952">
        <v>120600</v>
      </c>
      <c r="AQ952" t="e">
        <v>#N/A</v>
      </c>
      <c r="AR952" t="e">
        <v>#N/A</v>
      </c>
      <c r="AS952">
        <v>120600</v>
      </c>
      <c r="AT952">
        <v>1</v>
      </c>
    </row>
    <row r="953" spans="42:46">
      <c r="AP953">
        <v>120650</v>
      </c>
      <c r="AQ953" t="e">
        <v>#N/A</v>
      </c>
      <c r="AR953" t="e">
        <v>#N/A</v>
      </c>
      <c r="AS953">
        <v>120650</v>
      </c>
      <c r="AT953">
        <v>1</v>
      </c>
    </row>
    <row r="954" spans="42:46">
      <c r="AP954">
        <v>120700</v>
      </c>
      <c r="AQ954" t="e">
        <v>#N/A</v>
      </c>
      <c r="AR954" t="e">
        <v>#N/A</v>
      </c>
      <c r="AS954">
        <v>120700</v>
      </c>
      <c r="AT954">
        <v>1</v>
      </c>
    </row>
    <row r="955" spans="42:46">
      <c r="AP955">
        <v>120750</v>
      </c>
      <c r="AQ955" t="e">
        <v>#N/A</v>
      </c>
      <c r="AR955" t="e">
        <v>#N/A</v>
      </c>
      <c r="AS955">
        <v>120750</v>
      </c>
      <c r="AT955">
        <v>1</v>
      </c>
    </row>
    <row r="956" spans="42:46">
      <c r="AP956">
        <v>120800</v>
      </c>
      <c r="AQ956" t="e">
        <v>#N/A</v>
      </c>
      <c r="AR956" t="e">
        <v>#N/A</v>
      </c>
      <c r="AS956">
        <v>120800</v>
      </c>
      <c r="AT956">
        <v>1</v>
      </c>
    </row>
    <row r="957" spans="42:46">
      <c r="AP957">
        <v>120850</v>
      </c>
      <c r="AQ957" t="e">
        <v>#N/A</v>
      </c>
      <c r="AR957" t="e">
        <v>#N/A</v>
      </c>
      <c r="AS957">
        <v>120850</v>
      </c>
      <c r="AT957">
        <v>1</v>
      </c>
    </row>
    <row r="958" spans="42:46">
      <c r="AP958">
        <v>120900</v>
      </c>
      <c r="AQ958" t="e">
        <v>#N/A</v>
      </c>
      <c r="AR958" t="e">
        <v>#N/A</v>
      </c>
      <c r="AS958">
        <v>120900</v>
      </c>
      <c r="AT958">
        <v>1</v>
      </c>
    </row>
    <row r="959" spans="42:46">
      <c r="AP959">
        <v>120950</v>
      </c>
      <c r="AQ959" t="e">
        <v>#N/A</v>
      </c>
      <c r="AR959" t="e">
        <v>#N/A</v>
      </c>
      <c r="AS959">
        <v>120950</v>
      </c>
      <c r="AT959">
        <v>1</v>
      </c>
    </row>
    <row r="960" spans="42:46">
      <c r="AP960">
        <v>121000</v>
      </c>
      <c r="AQ960" t="e">
        <v>#N/A</v>
      </c>
      <c r="AR960" t="e">
        <v>#N/A</v>
      </c>
      <c r="AS960" t="e">
        <v>#N/A</v>
      </c>
      <c r="AT960" t="e">
        <v>#N/A</v>
      </c>
    </row>
    <row r="961" spans="42:46">
      <c r="AP961">
        <v>121050</v>
      </c>
      <c r="AQ961" t="e">
        <v>#N/A</v>
      </c>
      <c r="AR961" t="e">
        <v>#N/A</v>
      </c>
      <c r="AS961" t="e">
        <v>#N/A</v>
      </c>
      <c r="AT961" t="e">
        <v>#N/A</v>
      </c>
    </row>
    <row r="962" spans="42:46">
      <c r="AP962">
        <v>121100</v>
      </c>
      <c r="AQ962" t="e">
        <v>#N/A</v>
      </c>
      <c r="AR962" t="e">
        <v>#N/A</v>
      </c>
      <c r="AS962" t="e">
        <v>#N/A</v>
      </c>
      <c r="AT962" t="e">
        <v>#N/A</v>
      </c>
    </row>
    <row r="963" spans="42:46">
      <c r="AP963">
        <v>121150</v>
      </c>
      <c r="AQ963" t="e">
        <v>#N/A</v>
      </c>
      <c r="AR963" t="e">
        <v>#N/A</v>
      </c>
      <c r="AS963" t="e">
        <v>#N/A</v>
      </c>
      <c r="AT963" t="e">
        <v>#N/A</v>
      </c>
    </row>
    <row r="964" spans="42:46">
      <c r="AP964">
        <v>121200</v>
      </c>
      <c r="AQ964" t="e">
        <v>#N/A</v>
      </c>
      <c r="AR964" t="e">
        <v>#N/A</v>
      </c>
      <c r="AS964" t="e">
        <v>#N/A</v>
      </c>
      <c r="AT964" t="e">
        <v>#N/A</v>
      </c>
    </row>
    <row r="965" spans="42:46">
      <c r="AP965">
        <v>121250</v>
      </c>
      <c r="AQ965" t="e">
        <v>#N/A</v>
      </c>
      <c r="AR965" t="e">
        <v>#N/A</v>
      </c>
      <c r="AS965" t="e">
        <v>#N/A</v>
      </c>
      <c r="AT965" t="e">
        <v>#N/A</v>
      </c>
    </row>
    <row r="966" spans="42:46">
      <c r="AP966">
        <v>121300</v>
      </c>
      <c r="AQ966" t="e">
        <v>#N/A</v>
      </c>
      <c r="AR966" t="e">
        <v>#N/A</v>
      </c>
      <c r="AS966" t="e">
        <v>#N/A</v>
      </c>
      <c r="AT966" t="e">
        <v>#N/A</v>
      </c>
    </row>
    <row r="967" spans="42:46">
      <c r="AP967">
        <v>121350</v>
      </c>
      <c r="AQ967" t="e">
        <v>#N/A</v>
      </c>
      <c r="AR967" t="e">
        <v>#N/A</v>
      </c>
      <c r="AS967" t="e">
        <v>#N/A</v>
      </c>
      <c r="AT967" t="e">
        <v>#N/A</v>
      </c>
    </row>
    <row r="968" spans="42:46">
      <c r="AP968">
        <v>121400</v>
      </c>
      <c r="AQ968" t="e">
        <v>#N/A</v>
      </c>
      <c r="AR968" t="e">
        <v>#N/A</v>
      </c>
      <c r="AS968" t="e">
        <v>#N/A</v>
      </c>
      <c r="AT968" t="e">
        <v>#N/A</v>
      </c>
    </row>
    <row r="969" spans="42:46">
      <c r="AP969">
        <v>121450</v>
      </c>
      <c r="AQ969" t="e">
        <v>#N/A</v>
      </c>
      <c r="AR969" t="e">
        <v>#N/A</v>
      </c>
      <c r="AS969" t="e">
        <v>#N/A</v>
      </c>
      <c r="AT969" t="e">
        <v>#N/A</v>
      </c>
    </row>
    <row r="970" spans="42:46">
      <c r="AP970">
        <v>121500</v>
      </c>
      <c r="AQ970" t="e">
        <v>#N/A</v>
      </c>
      <c r="AR970" t="e">
        <v>#N/A</v>
      </c>
      <c r="AS970" t="e">
        <v>#N/A</v>
      </c>
      <c r="AT970" t="e">
        <v>#N/A</v>
      </c>
    </row>
    <row r="971" spans="42:46">
      <c r="AP971">
        <v>121550</v>
      </c>
      <c r="AQ971" t="e">
        <v>#N/A</v>
      </c>
      <c r="AR971" t="e">
        <v>#N/A</v>
      </c>
      <c r="AS971" t="e">
        <v>#N/A</v>
      </c>
      <c r="AT971" t="e">
        <v>#N/A</v>
      </c>
    </row>
    <row r="972" spans="42:46">
      <c r="AP972">
        <v>121600</v>
      </c>
      <c r="AQ972" t="e">
        <v>#N/A</v>
      </c>
      <c r="AR972" t="e">
        <v>#N/A</v>
      </c>
      <c r="AS972" t="e">
        <v>#N/A</v>
      </c>
      <c r="AT972" t="e">
        <v>#N/A</v>
      </c>
    </row>
    <row r="973" spans="42:46">
      <c r="AP973">
        <v>121650</v>
      </c>
      <c r="AQ973" t="e">
        <v>#N/A</v>
      </c>
      <c r="AR973" t="e">
        <v>#N/A</v>
      </c>
      <c r="AS973" t="e">
        <v>#N/A</v>
      </c>
      <c r="AT973" t="e">
        <v>#N/A</v>
      </c>
    </row>
    <row r="974" spans="42:46">
      <c r="AP974">
        <v>121700</v>
      </c>
      <c r="AQ974" t="e">
        <v>#N/A</v>
      </c>
      <c r="AR974" t="e">
        <v>#N/A</v>
      </c>
      <c r="AS974" t="e">
        <v>#N/A</v>
      </c>
      <c r="AT974" t="e">
        <v>#N/A</v>
      </c>
    </row>
    <row r="975" spans="42:46">
      <c r="AP975">
        <v>121750</v>
      </c>
      <c r="AQ975" t="e">
        <v>#N/A</v>
      </c>
      <c r="AR975" t="e">
        <v>#N/A</v>
      </c>
      <c r="AS975" t="e">
        <v>#N/A</v>
      </c>
      <c r="AT975" t="e">
        <v>#N/A</v>
      </c>
    </row>
    <row r="976" spans="42:46">
      <c r="AP976">
        <v>121800</v>
      </c>
      <c r="AQ976" t="e">
        <v>#N/A</v>
      </c>
      <c r="AR976" t="e">
        <v>#N/A</v>
      </c>
      <c r="AS976" t="e">
        <v>#N/A</v>
      </c>
      <c r="AT976" t="e">
        <v>#N/A</v>
      </c>
    </row>
    <row r="977" spans="42:46">
      <c r="AP977">
        <v>121850</v>
      </c>
      <c r="AQ977" t="e">
        <v>#N/A</v>
      </c>
      <c r="AR977" t="e">
        <v>#N/A</v>
      </c>
      <c r="AS977" t="e">
        <v>#N/A</v>
      </c>
      <c r="AT977" t="e">
        <v>#N/A</v>
      </c>
    </row>
    <row r="978" spans="42:46">
      <c r="AP978">
        <v>121900</v>
      </c>
      <c r="AQ978" t="e">
        <v>#N/A</v>
      </c>
      <c r="AR978" t="e">
        <v>#N/A</v>
      </c>
      <c r="AS978" t="e">
        <v>#N/A</v>
      </c>
      <c r="AT978" t="e">
        <v>#N/A</v>
      </c>
    </row>
    <row r="979" spans="42:46">
      <c r="AP979">
        <v>121950</v>
      </c>
      <c r="AQ979" t="e">
        <v>#N/A</v>
      </c>
      <c r="AR979" t="e">
        <v>#N/A</v>
      </c>
      <c r="AS979" t="e">
        <v>#N/A</v>
      </c>
      <c r="AT979" t="e">
        <v>#N/A</v>
      </c>
    </row>
    <row r="980" spans="42:46">
      <c r="AP980">
        <v>122000</v>
      </c>
      <c r="AQ980" t="e">
        <v>#N/A</v>
      </c>
      <c r="AR980" t="e">
        <v>#N/A</v>
      </c>
      <c r="AS980" t="e">
        <v>#N/A</v>
      </c>
      <c r="AT980" t="e">
        <v>#N/A</v>
      </c>
    </row>
    <row r="981" spans="42:46">
      <c r="AP981">
        <v>122050</v>
      </c>
      <c r="AQ981" t="e">
        <v>#N/A</v>
      </c>
      <c r="AR981" t="e">
        <v>#N/A</v>
      </c>
      <c r="AS981" t="e">
        <v>#N/A</v>
      </c>
      <c r="AT981" t="e">
        <v>#N/A</v>
      </c>
    </row>
    <row r="982" spans="42:46">
      <c r="AP982">
        <v>122100</v>
      </c>
      <c r="AQ982" t="e">
        <v>#N/A</v>
      </c>
      <c r="AR982" t="e">
        <v>#N/A</v>
      </c>
      <c r="AS982" t="e">
        <v>#N/A</v>
      </c>
      <c r="AT982" t="e">
        <v>#N/A</v>
      </c>
    </row>
    <row r="983" spans="42:46">
      <c r="AP983">
        <v>122150</v>
      </c>
      <c r="AQ983" t="e">
        <v>#N/A</v>
      </c>
      <c r="AR983" t="e">
        <v>#N/A</v>
      </c>
      <c r="AS983" t="e">
        <v>#N/A</v>
      </c>
      <c r="AT983" t="e">
        <v>#N/A</v>
      </c>
    </row>
    <row r="984" spans="42:46">
      <c r="AP984">
        <v>122200</v>
      </c>
      <c r="AQ984" t="e">
        <v>#N/A</v>
      </c>
      <c r="AR984" t="e">
        <v>#N/A</v>
      </c>
      <c r="AS984" t="e">
        <v>#N/A</v>
      </c>
      <c r="AT984" t="e">
        <v>#N/A</v>
      </c>
    </row>
    <row r="985" spans="42:46">
      <c r="AP985">
        <v>122250</v>
      </c>
      <c r="AQ985" t="e">
        <v>#N/A</v>
      </c>
      <c r="AR985" t="e">
        <v>#N/A</v>
      </c>
      <c r="AS985" t="e">
        <v>#N/A</v>
      </c>
      <c r="AT985" t="e">
        <v>#N/A</v>
      </c>
    </row>
    <row r="986" spans="42:46">
      <c r="AP986">
        <v>122300</v>
      </c>
      <c r="AQ986" t="e">
        <v>#N/A</v>
      </c>
      <c r="AR986" t="e">
        <v>#N/A</v>
      </c>
      <c r="AS986" t="e">
        <v>#N/A</v>
      </c>
      <c r="AT986" t="e">
        <v>#N/A</v>
      </c>
    </row>
    <row r="987" spans="42:46">
      <c r="AP987">
        <v>122350</v>
      </c>
      <c r="AQ987" t="e">
        <v>#N/A</v>
      </c>
      <c r="AR987" t="e">
        <v>#N/A</v>
      </c>
      <c r="AS987" t="e">
        <v>#N/A</v>
      </c>
      <c r="AT987" t="e">
        <v>#N/A</v>
      </c>
    </row>
    <row r="988" spans="42:46">
      <c r="AP988">
        <v>122400</v>
      </c>
      <c r="AQ988" t="e">
        <v>#N/A</v>
      </c>
      <c r="AR988" t="e">
        <v>#N/A</v>
      </c>
      <c r="AS988" t="e">
        <v>#N/A</v>
      </c>
      <c r="AT988" t="e">
        <v>#N/A</v>
      </c>
    </row>
    <row r="989" spans="42:46">
      <c r="AP989">
        <v>122450</v>
      </c>
      <c r="AQ989" t="e">
        <v>#N/A</v>
      </c>
      <c r="AR989" t="e">
        <v>#N/A</v>
      </c>
      <c r="AS989" t="e">
        <v>#N/A</v>
      </c>
      <c r="AT989" t="e">
        <v>#N/A</v>
      </c>
    </row>
    <row r="990" spans="42:46">
      <c r="AP990">
        <v>122500</v>
      </c>
      <c r="AQ990" t="e">
        <v>#N/A</v>
      </c>
      <c r="AR990" t="e">
        <v>#N/A</v>
      </c>
      <c r="AS990" t="e">
        <v>#N/A</v>
      </c>
      <c r="AT990" t="e">
        <v>#N/A</v>
      </c>
    </row>
    <row r="991" spans="42:46">
      <c r="AP991">
        <v>122550</v>
      </c>
      <c r="AQ991" t="e">
        <v>#N/A</v>
      </c>
      <c r="AR991" t="e">
        <v>#N/A</v>
      </c>
      <c r="AS991" t="e">
        <v>#N/A</v>
      </c>
      <c r="AT991" t="e">
        <v>#N/A</v>
      </c>
    </row>
    <row r="992" spans="42:46">
      <c r="AP992">
        <v>122600</v>
      </c>
      <c r="AQ992" t="e">
        <v>#N/A</v>
      </c>
      <c r="AR992" t="e">
        <v>#N/A</v>
      </c>
      <c r="AS992" t="e">
        <v>#N/A</v>
      </c>
      <c r="AT992" t="e">
        <v>#N/A</v>
      </c>
    </row>
    <row r="993" spans="42:46">
      <c r="AP993">
        <v>122650</v>
      </c>
      <c r="AQ993" t="e">
        <v>#N/A</v>
      </c>
      <c r="AR993" t="e">
        <v>#N/A</v>
      </c>
      <c r="AS993" t="e">
        <v>#N/A</v>
      </c>
      <c r="AT993" t="e">
        <v>#N/A</v>
      </c>
    </row>
    <row r="994" spans="42:46">
      <c r="AP994">
        <v>122700</v>
      </c>
      <c r="AQ994" t="e">
        <v>#N/A</v>
      </c>
      <c r="AR994" t="e">
        <v>#N/A</v>
      </c>
      <c r="AS994" t="e">
        <v>#N/A</v>
      </c>
      <c r="AT994" t="e">
        <v>#N/A</v>
      </c>
    </row>
    <row r="995" spans="42:46">
      <c r="AP995">
        <v>122750</v>
      </c>
      <c r="AQ995" t="e">
        <v>#N/A</v>
      </c>
      <c r="AR995" t="e">
        <v>#N/A</v>
      </c>
      <c r="AS995" t="e">
        <v>#N/A</v>
      </c>
      <c r="AT995" t="e">
        <v>#N/A</v>
      </c>
    </row>
    <row r="996" spans="42:46">
      <c r="AP996">
        <v>122800</v>
      </c>
      <c r="AQ996" t="e">
        <v>#N/A</v>
      </c>
      <c r="AR996" t="e">
        <v>#N/A</v>
      </c>
      <c r="AS996" t="e">
        <v>#N/A</v>
      </c>
      <c r="AT996" t="e">
        <v>#N/A</v>
      </c>
    </row>
    <row r="997" spans="42:46">
      <c r="AP997">
        <v>122850</v>
      </c>
      <c r="AQ997" t="e">
        <v>#N/A</v>
      </c>
      <c r="AR997" t="e">
        <v>#N/A</v>
      </c>
      <c r="AS997" t="e">
        <v>#N/A</v>
      </c>
      <c r="AT997" t="e">
        <v>#N/A</v>
      </c>
    </row>
    <row r="998" spans="42:46">
      <c r="AP998">
        <v>122900</v>
      </c>
      <c r="AQ998" t="e">
        <v>#N/A</v>
      </c>
      <c r="AR998" t="e">
        <v>#N/A</v>
      </c>
      <c r="AS998" t="e">
        <v>#N/A</v>
      </c>
      <c r="AT998" t="e">
        <v>#N/A</v>
      </c>
    </row>
    <row r="999" spans="42:46">
      <c r="AP999">
        <v>122950</v>
      </c>
      <c r="AQ999" t="e">
        <v>#N/A</v>
      </c>
      <c r="AR999" t="e">
        <v>#N/A</v>
      </c>
      <c r="AS999" t="e">
        <v>#N/A</v>
      </c>
      <c r="AT999" t="e">
        <v>#N/A</v>
      </c>
    </row>
    <row r="1000" spans="42:46">
      <c r="AP1000">
        <v>123000</v>
      </c>
      <c r="AQ1000" t="e">
        <v>#N/A</v>
      </c>
      <c r="AR1000" t="e">
        <v>#N/A</v>
      </c>
      <c r="AS1000" t="e">
        <v>#N/A</v>
      </c>
      <c r="AT1000" t="e">
        <v>#N/A</v>
      </c>
    </row>
    <row r="1001" spans="42:46">
      <c r="AP1001">
        <v>123050</v>
      </c>
      <c r="AQ1001" t="e">
        <v>#N/A</v>
      </c>
      <c r="AR1001" t="e">
        <v>#N/A</v>
      </c>
      <c r="AS1001" t="e">
        <v>#N/A</v>
      </c>
      <c r="AT1001" t="e">
        <v>#N/A</v>
      </c>
    </row>
    <row r="1002" spans="42:46">
      <c r="AP1002">
        <v>123100</v>
      </c>
      <c r="AQ1002" t="e">
        <v>#N/A</v>
      </c>
      <c r="AR1002" t="e">
        <v>#N/A</v>
      </c>
      <c r="AS1002" t="e">
        <v>#N/A</v>
      </c>
      <c r="AT1002" t="e">
        <v>#N/A</v>
      </c>
    </row>
    <row r="1003" spans="42:46">
      <c r="AP1003">
        <v>123150</v>
      </c>
      <c r="AQ1003" t="e">
        <v>#N/A</v>
      </c>
      <c r="AR1003" t="e">
        <v>#N/A</v>
      </c>
      <c r="AS1003" t="e">
        <v>#N/A</v>
      </c>
      <c r="AT1003" t="e">
        <v>#N/A</v>
      </c>
    </row>
    <row r="1004" spans="42:46">
      <c r="AP1004">
        <v>123200</v>
      </c>
      <c r="AQ1004" t="e">
        <v>#N/A</v>
      </c>
      <c r="AR1004" t="e">
        <v>#N/A</v>
      </c>
      <c r="AS1004" t="e">
        <v>#N/A</v>
      </c>
      <c r="AT1004" t="e">
        <v>#N/A</v>
      </c>
    </row>
    <row r="1005" spans="42:46">
      <c r="AP1005">
        <v>123250</v>
      </c>
      <c r="AQ1005" t="e">
        <v>#N/A</v>
      </c>
      <c r="AR1005" t="e">
        <v>#N/A</v>
      </c>
      <c r="AS1005" t="e">
        <v>#N/A</v>
      </c>
      <c r="AT1005" t="e">
        <v>#N/A</v>
      </c>
    </row>
    <row r="1006" spans="42:46">
      <c r="AP1006">
        <v>123300</v>
      </c>
      <c r="AQ1006" t="e">
        <v>#N/A</v>
      </c>
      <c r="AR1006" t="e">
        <v>#N/A</v>
      </c>
      <c r="AS1006" t="e">
        <v>#N/A</v>
      </c>
      <c r="AT1006" t="e">
        <v>#N/A</v>
      </c>
    </row>
    <row r="1007" spans="42:46">
      <c r="AP1007">
        <v>123350</v>
      </c>
      <c r="AQ1007" t="e">
        <v>#N/A</v>
      </c>
      <c r="AR1007" t="e">
        <v>#N/A</v>
      </c>
      <c r="AS1007" t="e">
        <v>#N/A</v>
      </c>
      <c r="AT1007" t="e">
        <v>#N/A</v>
      </c>
    </row>
    <row r="1008" spans="42:46">
      <c r="AP1008">
        <v>123400</v>
      </c>
      <c r="AQ1008" t="e">
        <v>#N/A</v>
      </c>
      <c r="AR1008" t="e">
        <v>#N/A</v>
      </c>
      <c r="AS1008" t="e">
        <v>#N/A</v>
      </c>
      <c r="AT1008" t="e">
        <v>#N/A</v>
      </c>
    </row>
    <row r="1009" spans="42:46">
      <c r="AP1009">
        <v>123450</v>
      </c>
      <c r="AQ1009" t="e">
        <v>#N/A</v>
      </c>
      <c r="AR1009" t="e">
        <v>#N/A</v>
      </c>
      <c r="AS1009" t="e">
        <v>#N/A</v>
      </c>
      <c r="AT1009" t="e">
        <v>#N/A</v>
      </c>
    </row>
    <row r="1010" spans="42:46">
      <c r="AP1010">
        <v>123500</v>
      </c>
      <c r="AQ1010" t="e">
        <v>#N/A</v>
      </c>
      <c r="AR1010" t="e">
        <v>#N/A</v>
      </c>
      <c r="AS1010" t="e">
        <v>#N/A</v>
      </c>
      <c r="AT1010" t="e">
        <v>#N/A</v>
      </c>
    </row>
    <row r="1011" spans="42:46">
      <c r="AP1011">
        <v>123550</v>
      </c>
      <c r="AQ1011" t="e">
        <v>#N/A</v>
      </c>
      <c r="AR1011" t="e">
        <v>#N/A</v>
      </c>
      <c r="AS1011" t="e">
        <v>#N/A</v>
      </c>
      <c r="AT1011" t="e">
        <v>#N/A</v>
      </c>
    </row>
    <row r="1012" spans="42:46">
      <c r="AP1012">
        <v>123600</v>
      </c>
      <c r="AQ1012" t="e">
        <v>#N/A</v>
      </c>
      <c r="AR1012" t="e">
        <v>#N/A</v>
      </c>
      <c r="AS1012" t="e">
        <v>#N/A</v>
      </c>
      <c r="AT1012" t="e">
        <v>#N/A</v>
      </c>
    </row>
    <row r="1013" spans="42:46">
      <c r="AP1013">
        <v>123650</v>
      </c>
      <c r="AQ1013" t="e">
        <v>#N/A</v>
      </c>
      <c r="AR1013" t="e">
        <v>#N/A</v>
      </c>
      <c r="AS1013" t="e">
        <v>#N/A</v>
      </c>
      <c r="AT1013" t="e">
        <v>#N/A</v>
      </c>
    </row>
    <row r="1014" spans="42:46">
      <c r="AP1014">
        <v>123700</v>
      </c>
      <c r="AQ1014" t="e">
        <v>#N/A</v>
      </c>
      <c r="AR1014" t="e">
        <v>#N/A</v>
      </c>
      <c r="AS1014" t="e">
        <v>#N/A</v>
      </c>
      <c r="AT1014" t="e">
        <v>#N/A</v>
      </c>
    </row>
    <row r="1015" spans="42:46">
      <c r="AP1015">
        <v>123750</v>
      </c>
      <c r="AQ1015" t="e">
        <v>#N/A</v>
      </c>
      <c r="AR1015" t="e">
        <v>#N/A</v>
      </c>
      <c r="AS1015" t="e">
        <v>#N/A</v>
      </c>
      <c r="AT1015" t="e">
        <v>#N/A</v>
      </c>
    </row>
    <row r="1016" spans="42:46">
      <c r="AP1016">
        <v>123800</v>
      </c>
      <c r="AQ1016" t="e">
        <v>#N/A</v>
      </c>
      <c r="AR1016" t="e">
        <v>#N/A</v>
      </c>
      <c r="AS1016" t="e">
        <v>#N/A</v>
      </c>
      <c r="AT1016" t="e">
        <v>#N/A</v>
      </c>
    </row>
    <row r="1017" spans="42:46">
      <c r="AP1017">
        <v>123850</v>
      </c>
      <c r="AQ1017" t="e">
        <v>#N/A</v>
      </c>
      <c r="AR1017" t="e">
        <v>#N/A</v>
      </c>
      <c r="AS1017" t="e">
        <v>#N/A</v>
      </c>
      <c r="AT1017" t="e">
        <v>#N/A</v>
      </c>
    </row>
    <row r="1018" spans="42:46">
      <c r="AP1018">
        <v>123900</v>
      </c>
      <c r="AQ1018" t="e">
        <v>#N/A</v>
      </c>
      <c r="AR1018" t="e">
        <v>#N/A</v>
      </c>
      <c r="AS1018" t="e">
        <v>#N/A</v>
      </c>
      <c r="AT1018" t="e">
        <v>#N/A</v>
      </c>
    </row>
    <row r="1019" spans="42:46">
      <c r="AP1019">
        <v>123950</v>
      </c>
      <c r="AQ1019" t="e">
        <v>#N/A</v>
      </c>
      <c r="AR1019" t="e">
        <v>#N/A</v>
      </c>
      <c r="AS1019" t="e">
        <v>#N/A</v>
      </c>
      <c r="AT1019" t="e">
        <v>#N/A</v>
      </c>
    </row>
    <row r="1020" spans="42:46">
      <c r="AP1020">
        <v>124000</v>
      </c>
      <c r="AQ1020" t="e">
        <v>#N/A</v>
      </c>
      <c r="AR1020" t="e">
        <v>#N/A</v>
      </c>
      <c r="AS1020" t="e">
        <v>#N/A</v>
      </c>
      <c r="AT1020" t="e">
        <v>#N/A</v>
      </c>
    </row>
    <row r="1021" spans="42:46">
      <c r="AP1021">
        <v>124050</v>
      </c>
      <c r="AQ1021" t="e">
        <v>#N/A</v>
      </c>
      <c r="AR1021" t="e">
        <v>#N/A</v>
      </c>
      <c r="AS1021" t="e">
        <v>#N/A</v>
      </c>
      <c r="AT1021" t="e">
        <v>#N/A</v>
      </c>
    </row>
    <row r="1022" spans="42:46">
      <c r="AP1022">
        <v>124100</v>
      </c>
      <c r="AQ1022" t="e">
        <v>#N/A</v>
      </c>
      <c r="AR1022" t="e">
        <v>#N/A</v>
      </c>
      <c r="AS1022" t="e">
        <v>#N/A</v>
      </c>
      <c r="AT1022" t="e">
        <v>#N/A</v>
      </c>
    </row>
    <row r="1023" spans="42:46">
      <c r="AP1023">
        <v>124150</v>
      </c>
      <c r="AQ1023" t="e">
        <v>#N/A</v>
      </c>
      <c r="AR1023" t="e">
        <v>#N/A</v>
      </c>
      <c r="AS1023" t="e">
        <v>#N/A</v>
      </c>
      <c r="AT1023" t="e">
        <v>#N/A</v>
      </c>
    </row>
    <row r="1024" spans="42:46">
      <c r="AP1024">
        <v>124200</v>
      </c>
      <c r="AQ1024" t="e">
        <v>#N/A</v>
      </c>
      <c r="AR1024" t="e">
        <v>#N/A</v>
      </c>
      <c r="AS1024" t="e">
        <v>#N/A</v>
      </c>
      <c r="AT1024" t="e">
        <v>#N/A</v>
      </c>
    </row>
    <row r="1025" spans="42:46">
      <c r="AP1025">
        <v>124250</v>
      </c>
      <c r="AQ1025" t="e">
        <v>#N/A</v>
      </c>
      <c r="AR1025" t="e">
        <v>#N/A</v>
      </c>
      <c r="AS1025" t="e">
        <v>#N/A</v>
      </c>
      <c r="AT1025" t="e">
        <v>#N/A</v>
      </c>
    </row>
    <row r="1026" spans="42:46">
      <c r="AP1026">
        <v>124300</v>
      </c>
      <c r="AQ1026" t="e">
        <v>#N/A</v>
      </c>
      <c r="AR1026" t="e">
        <v>#N/A</v>
      </c>
      <c r="AS1026" t="e">
        <v>#N/A</v>
      </c>
      <c r="AT1026" t="e">
        <v>#N/A</v>
      </c>
    </row>
    <row r="1027" spans="42:46">
      <c r="AP1027">
        <v>124350</v>
      </c>
      <c r="AQ1027" t="e">
        <v>#N/A</v>
      </c>
      <c r="AR1027" t="e">
        <v>#N/A</v>
      </c>
      <c r="AS1027" t="e">
        <v>#N/A</v>
      </c>
      <c r="AT1027" t="e">
        <v>#N/A</v>
      </c>
    </row>
    <row r="1028" spans="42:46">
      <c r="AP1028">
        <v>124400</v>
      </c>
      <c r="AQ1028" t="e">
        <v>#N/A</v>
      </c>
      <c r="AR1028" t="e">
        <v>#N/A</v>
      </c>
      <c r="AS1028" t="e">
        <v>#N/A</v>
      </c>
      <c r="AT1028" t="e">
        <v>#N/A</v>
      </c>
    </row>
    <row r="1029" spans="42:46">
      <c r="AP1029">
        <v>124450</v>
      </c>
      <c r="AQ1029" t="e">
        <v>#N/A</v>
      </c>
      <c r="AR1029" t="e">
        <v>#N/A</v>
      </c>
      <c r="AS1029" t="e">
        <v>#N/A</v>
      </c>
      <c r="AT1029" t="e">
        <v>#N/A</v>
      </c>
    </row>
    <row r="1030" spans="42:46">
      <c r="AP1030">
        <v>124500</v>
      </c>
      <c r="AQ1030" t="e">
        <v>#N/A</v>
      </c>
      <c r="AR1030" t="e">
        <v>#N/A</v>
      </c>
      <c r="AS1030" t="e">
        <v>#N/A</v>
      </c>
      <c r="AT1030" t="e">
        <v>#N/A</v>
      </c>
    </row>
    <row r="1031" spans="42:46">
      <c r="AP1031">
        <v>124550</v>
      </c>
      <c r="AQ1031" t="e">
        <v>#N/A</v>
      </c>
      <c r="AR1031" t="e">
        <v>#N/A</v>
      </c>
      <c r="AS1031" t="e">
        <v>#N/A</v>
      </c>
      <c r="AT1031" t="e">
        <v>#N/A</v>
      </c>
    </row>
    <row r="1032" spans="42:46">
      <c r="AP1032">
        <v>124600</v>
      </c>
      <c r="AQ1032" t="e">
        <v>#N/A</v>
      </c>
      <c r="AR1032" t="e">
        <v>#N/A</v>
      </c>
      <c r="AS1032" t="e">
        <v>#N/A</v>
      </c>
      <c r="AT1032" t="e">
        <v>#N/A</v>
      </c>
    </row>
    <row r="1033" spans="42:46">
      <c r="AP1033">
        <v>124650</v>
      </c>
      <c r="AQ1033" t="e">
        <v>#N/A</v>
      </c>
      <c r="AR1033" t="e">
        <v>#N/A</v>
      </c>
      <c r="AS1033" t="e">
        <v>#N/A</v>
      </c>
      <c r="AT1033" t="e">
        <v>#N/A</v>
      </c>
    </row>
    <row r="1034" spans="42:46">
      <c r="AP1034">
        <v>124700</v>
      </c>
      <c r="AQ1034" t="e">
        <v>#N/A</v>
      </c>
      <c r="AR1034" t="e">
        <v>#N/A</v>
      </c>
      <c r="AS1034" t="e">
        <v>#N/A</v>
      </c>
      <c r="AT1034" t="e">
        <v>#N/A</v>
      </c>
    </row>
    <row r="1035" spans="42:46">
      <c r="AP1035">
        <v>124750</v>
      </c>
      <c r="AQ1035" t="e">
        <v>#N/A</v>
      </c>
      <c r="AR1035" t="e">
        <v>#N/A</v>
      </c>
      <c r="AS1035" t="e">
        <v>#N/A</v>
      </c>
      <c r="AT1035" t="e">
        <v>#N/A</v>
      </c>
    </row>
    <row r="1036" spans="42:46">
      <c r="AP1036">
        <v>124800</v>
      </c>
      <c r="AQ1036" t="e">
        <v>#N/A</v>
      </c>
      <c r="AR1036" t="e">
        <v>#N/A</v>
      </c>
      <c r="AS1036" t="e">
        <v>#N/A</v>
      </c>
      <c r="AT1036" t="e">
        <v>#N/A</v>
      </c>
    </row>
    <row r="1037" spans="42:46">
      <c r="AP1037">
        <v>124850</v>
      </c>
      <c r="AQ1037" t="e">
        <v>#N/A</v>
      </c>
      <c r="AR1037" t="e">
        <v>#N/A</v>
      </c>
      <c r="AS1037" t="e">
        <v>#N/A</v>
      </c>
      <c r="AT1037" t="e">
        <v>#N/A</v>
      </c>
    </row>
    <row r="1038" spans="42:46">
      <c r="AP1038">
        <v>124900</v>
      </c>
      <c r="AQ1038" t="e">
        <v>#N/A</v>
      </c>
      <c r="AR1038" t="e">
        <v>#N/A</v>
      </c>
      <c r="AS1038" t="e">
        <v>#N/A</v>
      </c>
      <c r="AT1038" t="e">
        <v>#N/A</v>
      </c>
    </row>
    <row r="1039" spans="42:46">
      <c r="AP1039">
        <v>124950</v>
      </c>
      <c r="AQ1039" t="e">
        <v>#N/A</v>
      </c>
      <c r="AR1039" t="e">
        <v>#N/A</v>
      </c>
      <c r="AS1039" t="e">
        <v>#N/A</v>
      </c>
      <c r="AT1039" t="e">
        <v>#N/A</v>
      </c>
    </row>
    <row r="1040" spans="42:46">
      <c r="AP1040">
        <v>125000</v>
      </c>
      <c r="AQ1040" t="e">
        <v>#N/A</v>
      </c>
      <c r="AR1040" t="e">
        <v>#N/A</v>
      </c>
      <c r="AS1040" t="e">
        <v>#N/A</v>
      </c>
      <c r="AT1040" t="e">
        <v>#N/A</v>
      </c>
    </row>
    <row r="1041" spans="42:46">
      <c r="AP1041">
        <v>125050</v>
      </c>
      <c r="AQ1041" t="e">
        <v>#N/A</v>
      </c>
      <c r="AR1041" t="e">
        <v>#N/A</v>
      </c>
      <c r="AS1041" t="e">
        <v>#N/A</v>
      </c>
      <c r="AT1041" t="e">
        <v>#N/A</v>
      </c>
    </row>
    <row r="1042" spans="42:46">
      <c r="AP1042">
        <v>125100</v>
      </c>
      <c r="AQ1042" t="e">
        <v>#N/A</v>
      </c>
      <c r="AR1042" t="e">
        <v>#N/A</v>
      </c>
      <c r="AS1042" t="e">
        <v>#N/A</v>
      </c>
      <c r="AT1042" t="e">
        <v>#N/A</v>
      </c>
    </row>
    <row r="1043" spans="42:46">
      <c r="AP1043">
        <v>125150</v>
      </c>
      <c r="AQ1043" t="e">
        <v>#N/A</v>
      </c>
      <c r="AR1043" t="e">
        <v>#N/A</v>
      </c>
      <c r="AS1043" t="e">
        <v>#N/A</v>
      </c>
      <c r="AT1043" t="e">
        <v>#N/A</v>
      </c>
    </row>
    <row r="1044" spans="42:46">
      <c r="AP1044">
        <v>125200</v>
      </c>
      <c r="AQ1044" t="e">
        <v>#N/A</v>
      </c>
      <c r="AR1044" t="e">
        <v>#N/A</v>
      </c>
      <c r="AS1044" t="e">
        <v>#N/A</v>
      </c>
      <c r="AT1044" t="e">
        <v>#N/A</v>
      </c>
    </row>
    <row r="1045" spans="42:46">
      <c r="AP1045">
        <v>125250</v>
      </c>
      <c r="AQ1045" t="e">
        <v>#N/A</v>
      </c>
      <c r="AR1045" t="e">
        <v>#N/A</v>
      </c>
      <c r="AS1045" t="e">
        <v>#N/A</v>
      </c>
      <c r="AT1045" t="e">
        <v>#N/A</v>
      </c>
    </row>
    <row r="1046" spans="42:46">
      <c r="AP1046">
        <v>125300</v>
      </c>
      <c r="AQ1046" t="e">
        <v>#N/A</v>
      </c>
      <c r="AR1046" t="e">
        <v>#N/A</v>
      </c>
      <c r="AS1046" t="e">
        <v>#N/A</v>
      </c>
      <c r="AT1046" t="e">
        <v>#N/A</v>
      </c>
    </row>
    <row r="1047" spans="42:46">
      <c r="AP1047">
        <v>125350</v>
      </c>
      <c r="AQ1047" t="e">
        <v>#N/A</v>
      </c>
      <c r="AR1047" t="e">
        <v>#N/A</v>
      </c>
      <c r="AS1047" t="e">
        <v>#N/A</v>
      </c>
      <c r="AT1047" t="e">
        <v>#N/A</v>
      </c>
    </row>
    <row r="1048" spans="42:46">
      <c r="AP1048">
        <v>125400</v>
      </c>
      <c r="AQ1048" t="e">
        <v>#N/A</v>
      </c>
      <c r="AR1048" t="e">
        <v>#N/A</v>
      </c>
      <c r="AS1048" t="e">
        <v>#N/A</v>
      </c>
      <c r="AT1048" t="e">
        <v>#N/A</v>
      </c>
    </row>
    <row r="1049" spans="42:46">
      <c r="AP1049">
        <v>125450</v>
      </c>
      <c r="AQ1049" t="e">
        <v>#N/A</v>
      </c>
      <c r="AR1049" t="e">
        <v>#N/A</v>
      </c>
      <c r="AS1049" t="e">
        <v>#N/A</v>
      </c>
      <c r="AT1049" t="e">
        <v>#N/A</v>
      </c>
    </row>
    <row r="1050" spans="42:46">
      <c r="AP1050">
        <v>125500</v>
      </c>
      <c r="AQ1050" t="e">
        <v>#N/A</v>
      </c>
      <c r="AR1050" t="e">
        <v>#N/A</v>
      </c>
      <c r="AS1050" t="e">
        <v>#N/A</v>
      </c>
      <c r="AT1050" t="e">
        <v>#N/A</v>
      </c>
    </row>
    <row r="1051" spans="42:46">
      <c r="AP1051">
        <v>125550</v>
      </c>
      <c r="AQ1051" t="e">
        <v>#N/A</v>
      </c>
      <c r="AR1051" t="e">
        <v>#N/A</v>
      </c>
      <c r="AS1051" t="e">
        <v>#N/A</v>
      </c>
      <c r="AT1051" t="e">
        <v>#N/A</v>
      </c>
    </row>
    <row r="1052" spans="42:46">
      <c r="AP1052">
        <v>125600</v>
      </c>
      <c r="AQ1052" t="e">
        <v>#N/A</v>
      </c>
      <c r="AR1052" t="e">
        <v>#N/A</v>
      </c>
      <c r="AS1052" t="e">
        <v>#N/A</v>
      </c>
      <c r="AT1052" t="e">
        <v>#N/A</v>
      </c>
    </row>
    <row r="1053" spans="42:46">
      <c r="AP1053">
        <v>125650</v>
      </c>
      <c r="AQ1053" t="e">
        <v>#N/A</v>
      </c>
      <c r="AR1053" t="e">
        <v>#N/A</v>
      </c>
      <c r="AS1053" t="e">
        <v>#N/A</v>
      </c>
      <c r="AT1053" t="e">
        <v>#N/A</v>
      </c>
    </row>
    <row r="1054" spans="42:46">
      <c r="AP1054">
        <v>125700</v>
      </c>
      <c r="AQ1054" t="e">
        <v>#N/A</v>
      </c>
      <c r="AR1054" t="e">
        <v>#N/A</v>
      </c>
      <c r="AS1054" t="e">
        <v>#N/A</v>
      </c>
      <c r="AT1054" t="e">
        <v>#N/A</v>
      </c>
    </row>
    <row r="1055" spans="42:46">
      <c r="AP1055">
        <v>125750</v>
      </c>
      <c r="AQ1055" t="e">
        <v>#N/A</v>
      </c>
      <c r="AR1055" t="e">
        <v>#N/A</v>
      </c>
      <c r="AS1055" t="e">
        <v>#N/A</v>
      </c>
      <c r="AT1055" t="e">
        <v>#N/A</v>
      </c>
    </row>
    <row r="1056" spans="42:46">
      <c r="AP1056">
        <v>125800</v>
      </c>
      <c r="AQ1056" t="e">
        <v>#N/A</v>
      </c>
      <c r="AR1056" t="e">
        <v>#N/A</v>
      </c>
      <c r="AS1056" t="e">
        <v>#N/A</v>
      </c>
      <c r="AT1056" t="e">
        <v>#N/A</v>
      </c>
    </row>
    <row r="1057" spans="42:46">
      <c r="AP1057">
        <v>125850</v>
      </c>
      <c r="AQ1057" t="e">
        <v>#N/A</v>
      </c>
      <c r="AR1057" t="e">
        <v>#N/A</v>
      </c>
      <c r="AS1057" t="e">
        <v>#N/A</v>
      </c>
      <c r="AT1057" t="e">
        <v>#N/A</v>
      </c>
    </row>
    <row r="1058" spans="42:46">
      <c r="AP1058">
        <v>125900</v>
      </c>
      <c r="AQ1058" t="e">
        <v>#N/A</v>
      </c>
      <c r="AR1058" t="e">
        <v>#N/A</v>
      </c>
      <c r="AS1058" t="e">
        <v>#N/A</v>
      </c>
      <c r="AT1058" t="e">
        <v>#N/A</v>
      </c>
    </row>
    <row r="1059" spans="42:46">
      <c r="AP1059">
        <v>125950</v>
      </c>
      <c r="AQ1059" t="e">
        <v>#N/A</v>
      </c>
      <c r="AR1059" t="e">
        <v>#N/A</v>
      </c>
      <c r="AS1059" t="e">
        <v>#N/A</v>
      </c>
      <c r="AT1059" t="e">
        <v>#N/A</v>
      </c>
    </row>
    <row r="1060" spans="42:46">
      <c r="AP1060">
        <v>126000</v>
      </c>
      <c r="AQ1060" t="e">
        <v>#N/A</v>
      </c>
      <c r="AR1060" t="e">
        <v>#N/A</v>
      </c>
      <c r="AS1060" t="e">
        <v>#N/A</v>
      </c>
      <c r="AT1060" t="e">
        <v>#N/A</v>
      </c>
    </row>
    <row r="1061" spans="42:46">
      <c r="AP1061">
        <v>126050</v>
      </c>
      <c r="AQ1061" t="e">
        <v>#N/A</v>
      </c>
      <c r="AR1061" t="e">
        <v>#N/A</v>
      </c>
      <c r="AS1061" t="e">
        <v>#N/A</v>
      </c>
      <c r="AT1061" t="e">
        <v>#N/A</v>
      </c>
    </row>
    <row r="1062" spans="42:46">
      <c r="AP1062">
        <v>126100</v>
      </c>
      <c r="AQ1062" t="e">
        <v>#N/A</v>
      </c>
      <c r="AR1062" t="e">
        <v>#N/A</v>
      </c>
      <c r="AS1062" t="e">
        <v>#N/A</v>
      </c>
      <c r="AT1062" t="e">
        <v>#N/A</v>
      </c>
    </row>
    <row r="1063" spans="42:46">
      <c r="AP1063">
        <v>126150</v>
      </c>
      <c r="AQ1063" t="e">
        <v>#N/A</v>
      </c>
      <c r="AR1063" t="e">
        <v>#N/A</v>
      </c>
      <c r="AS1063" t="e">
        <v>#N/A</v>
      </c>
      <c r="AT1063" t="e">
        <v>#N/A</v>
      </c>
    </row>
    <row r="1064" spans="42:46">
      <c r="AP1064">
        <v>126200</v>
      </c>
      <c r="AQ1064" t="e">
        <v>#N/A</v>
      </c>
      <c r="AR1064" t="e">
        <v>#N/A</v>
      </c>
      <c r="AS1064" t="e">
        <v>#N/A</v>
      </c>
      <c r="AT1064" t="e">
        <v>#N/A</v>
      </c>
    </row>
    <row r="1065" spans="42:46">
      <c r="AP1065">
        <v>126250</v>
      </c>
      <c r="AQ1065" t="e">
        <v>#N/A</v>
      </c>
      <c r="AR1065" t="e">
        <v>#N/A</v>
      </c>
      <c r="AS1065" t="e">
        <v>#N/A</v>
      </c>
      <c r="AT1065" t="e">
        <v>#N/A</v>
      </c>
    </row>
    <row r="1066" spans="42:46">
      <c r="AP1066">
        <v>126300</v>
      </c>
      <c r="AQ1066" t="e">
        <v>#N/A</v>
      </c>
      <c r="AR1066" t="e">
        <v>#N/A</v>
      </c>
      <c r="AS1066" t="e">
        <v>#N/A</v>
      </c>
      <c r="AT1066" t="e">
        <v>#N/A</v>
      </c>
    </row>
    <row r="1067" spans="42:46">
      <c r="AP1067">
        <v>126350</v>
      </c>
      <c r="AQ1067" t="e">
        <v>#N/A</v>
      </c>
      <c r="AR1067" t="e">
        <v>#N/A</v>
      </c>
      <c r="AS1067" t="e">
        <v>#N/A</v>
      </c>
      <c r="AT1067" t="e">
        <v>#N/A</v>
      </c>
    </row>
    <row r="1068" spans="42:46">
      <c r="AP1068">
        <v>126400</v>
      </c>
      <c r="AQ1068" t="e">
        <v>#N/A</v>
      </c>
      <c r="AR1068" t="e">
        <v>#N/A</v>
      </c>
      <c r="AS1068" t="e">
        <v>#N/A</v>
      </c>
      <c r="AT1068" t="e">
        <v>#N/A</v>
      </c>
    </row>
    <row r="1069" spans="42:46">
      <c r="AP1069">
        <v>126450</v>
      </c>
      <c r="AQ1069" t="e">
        <v>#N/A</v>
      </c>
      <c r="AR1069" t="e">
        <v>#N/A</v>
      </c>
      <c r="AS1069" t="e">
        <v>#N/A</v>
      </c>
      <c r="AT1069" t="e">
        <v>#N/A</v>
      </c>
    </row>
    <row r="1070" spans="42:46">
      <c r="AP1070">
        <v>126500</v>
      </c>
      <c r="AQ1070" t="e">
        <v>#N/A</v>
      </c>
      <c r="AR1070" t="e">
        <v>#N/A</v>
      </c>
      <c r="AS1070" t="e">
        <v>#N/A</v>
      </c>
      <c r="AT1070" t="e">
        <v>#N/A</v>
      </c>
    </row>
    <row r="1071" spans="42:46">
      <c r="AP1071">
        <v>126550</v>
      </c>
      <c r="AQ1071" t="e">
        <v>#N/A</v>
      </c>
      <c r="AR1071" t="e">
        <v>#N/A</v>
      </c>
      <c r="AS1071" t="e">
        <v>#N/A</v>
      </c>
      <c r="AT1071" t="e">
        <v>#N/A</v>
      </c>
    </row>
    <row r="1072" spans="42:46">
      <c r="AP1072">
        <v>126600</v>
      </c>
      <c r="AQ1072" t="e">
        <v>#N/A</v>
      </c>
      <c r="AR1072" t="e">
        <v>#N/A</v>
      </c>
      <c r="AS1072" t="e">
        <v>#N/A</v>
      </c>
      <c r="AT1072" t="e">
        <v>#N/A</v>
      </c>
    </row>
    <row r="1073" spans="42:46">
      <c r="AP1073">
        <v>126650</v>
      </c>
      <c r="AQ1073" t="e">
        <v>#N/A</v>
      </c>
      <c r="AR1073" t="e">
        <v>#N/A</v>
      </c>
      <c r="AS1073" t="e">
        <v>#N/A</v>
      </c>
      <c r="AT1073" t="e">
        <v>#N/A</v>
      </c>
    </row>
    <row r="1074" spans="42:46">
      <c r="AP1074">
        <v>126700</v>
      </c>
      <c r="AQ1074" t="e">
        <v>#N/A</v>
      </c>
      <c r="AR1074" t="e">
        <v>#N/A</v>
      </c>
      <c r="AS1074" t="e">
        <v>#N/A</v>
      </c>
      <c r="AT1074" t="e">
        <v>#N/A</v>
      </c>
    </row>
    <row r="1075" spans="42:46">
      <c r="AP1075">
        <v>126750</v>
      </c>
      <c r="AQ1075" t="e">
        <v>#N/A</v>
      </c>
      <c r="AR1075" t="e">
        <v>#N/A</v>
      </c>
      <c r="AS1075" t="e">
        <v>#N/A</v>
      </c>
      <c r="AT1075" t="e">
        <v>#N/A</v>
      </c>
    </row>
    <row r="1076" spans="42:46">
      <c r="AP1076">
        <v>126800</v>
      </c>
      <c r="AQ1076" t="e">
        <v>#N/A</v>
      </c>
      <c r="AR1076" t="e">
        <v>#N/A</v>
      </c>
      <c r="AS1076" t="e">
        <v>#N/A</v>
      </c>
      <c r="AT1076" t="e">
        <v>#N/A</v>
      </c>
    </row>
    <row r="1077" spans="42:46">
      <c r="AP1077">
        <v>126850</v>
      </c>
      <c r="AQ1077" t="e">
        <v>#N/A</v>
      </c>
      <c r="AR1077" t="e">
        <v>#N/A</v>
      </c>
      <c r="AS1077" t="e">
        <v>#N/A</v>
      </c>
      <c r="AT1077" t="e">
        <v>#N/A</v>
      </c>
    </row>
    <row r="1078" spans="42:46">
      <c r="AP1078">
        <v>126900</v>
      </c>
      <c r="AQ1078" t="e">
        <v>#N/A</v>
      </c>
      <c r="AR1078" t="e">
        <v>#N/A</v>
      </c>
      <c r="AS1078" t="e">
        <v>#N/A</v>
      </c>
      <c r="AT1078" t="e">
        <v>#N/A</v>
      </c>
    </row>
    <row r="1079" spans="42:46">
      <c r="AP1079">
        <v>126950</v>
      </c>
      <c r="AQ1079" t="e">
        <v>#N/A</v>
      </c>
      <c r="AR1079" t="e">
        <v>#N/A</v>
      </c>
      <c r="AS1079" t="e">
        <v>#N/A</v>
      </c>
      <c r="AT1079" t="e">
        <v>#N/A</v>
      </c>
    </row>
    <row r="1080" spans="42:46">
      <c r="AP1080">
        <v>127000</v>
      </c>
      <c r="AQ1080" t="e">
        <v>#N/A</v>
      </c>
      <c r="AR1080" t="e">
        <v>#N/A</v>
      </c>
      <c r="AS1080" t="e">
        <v>#N/A</v>
      </c>
      <c r="AT1080" t="e">
        <v>#N/A</v>
      </c>
    </row>
    <row r="1081" spans="42:46">
      <c r="AP1081">
        <v>127050</v>
      </c>
      <c r="AQ1081" t="e">
        <v>#N/A</v>
      </c>
      <c r="AR1081" t="e">
        <v>#N/A</v>
      </c>
      <c r="AS1081" t="e">
        <v>#N/A</v>
      </c>
      <c r="AT1081" t="e">
        <v>#N/A</v>
      </c>
    </row>
    <row r="1082" spans="42:46">
      <c r="AP1082">
        <v>127100</v>
      </c>
      <c r="AQ1082" t="e">
        <v>#N/A</v>
      </c>
      <c r="AR1082" t="e">
        <v>#N/A</v>
      </c>
      <c r="AS1082" t="e">
        <v>#N/A</v>
      </c>
      <c r="AT1082" t="e">
        <v>#N/A</v>
      </c>
    </row>
    <row r="1083" spans="42:46">
      <c r="AP1083">
        <v>127150</v>
      </c>
      <c r="AQ1083" t="e">
        <v>#N/A</v>
      </c>
      <c r="AR1083" t="e">
        <v>#N/A</v>
      </c>
      <c r="AS1083" t="e">
        <v>#N/A</v>
      </c>
      <c r="AT1083" t="e">
        <v>#N/A</v>
      </c>
    </row>
    <row r="1084" spans="42:46">
      <c r="AP1084">
        <v>127200</v>
      </c>
      <c r="AQ1084" t="e">
        <v>#N/A</v>
      </c>
      <c r="AR1084" t="e">
        <v>#N/A</v>
      </c>
      <c r="AS1084" t="e">
        <v>#N/A</v>
      </c>
      <c r="AT1084" t="e">
        <v>#N/A</v>
      </c>
    </row>
    <row r="1085" spans="42:46">
      <c r="AP1085">
        <v>127250</v>
      </c>
      <c r="AQ1085" t="e">
        <v>#N/A</v>
      </c>
      <c r="AR1085" t="e">
        <v>#N/A</v>
      </c>
      <c r="AS1085" t="e">
        <v>#N/A</v>
      </c>
      <c r="AT1085" t="e">
        <v>#N/A</v>
      </c>
    </row>
    <row r="1086" spans="42:46">
      <c r="AP1086">
        <v>127300</v>
      </c>
      <c r="AQ1086" t="e">
        <v>#N/A</v>
      </c>
      <c r="AR1086" t="e">
        <v>#N/A</v>
      </c>
      <c r="AS1086" t="e">
        <v>#N/A</v>
      </c>
      <c r="AT1086" t="e">
        <v>#N/A</v>
      </c>
    </row>
    <row r="1087" spans="42:46">
      <c r="AP1087">
        <v>127350</v>
      </c>
      <c r="AQ1087" t="e">
        <v>#N/A</v>
      </c>
      <c r="AR1087" t="e">
        <v>#N/A</v>
      </c>
      <c r="AS1087" t="e">
        <v>#N/A</v>
      </c>
      <c r="AT1087" t="e">
        <v>#N/A</v>
      </c>
    </row>
    <row r="1088" spans="42:46">
      <c r="AP1088">
        <v>127400</v>
      </c>
      <c r="AQ1088" t="e">
        <v>#N/A</v>
      </c>
      <c r="AR1088" t="e">
        <v>#N/A</v>
      </c>
      <c r="AS1088" t="e">
        <v>#N/A</v>
      </c>
      <c r="AT1088" t="e">
        <v>#N/A</v>
      </c>
    </row>
    <row r="1089" spans="42:46">
      <c r="AP1089">
        <v>127450</v>
      </c>
      <c r="AQ1089" t="e">
        <v>#N/A</v>
      </c>
      <c r="AR1089" t="e">
        <v>#N/A</v>
      </c>
      <c r="AS1089" t="e">
        <v>#N/A</v>
      </c>
      <c r="AT1089" t="e">
        <v>#N/A</v>
      </c>
    </row>
    <row r="1090" spans="42:46">
      <c r="AP1090">
        <v>127500</v>
      </c>
      <c r="AQ1090" t="e">
        <v>#N/A</v>
      </c>
      <c r="AR1090" t="e">
        <v>#N/A</v>
      </c>
      <c r="AS1090" t="e">
        <v>#N/A</v>
      </c>
      <c r="AT1090" t="e">
        <v>#N/A</v>
      </c>
    </row>
    <row r="1091" spans="42:46">
      <c r="AP1091">
        <v>127550</v>
      </c>
      <c r="AQ1091" t="e">
        <v>#N/A</v>
      </c>
      <c r="AR1091" t="e">
        <v>#N/A</v>
      </c>
      <c r="AS1091" t="e">
        <v>#N/A</v>
      </c>
      <c r="AT1091" t="e">
        <v>#N/A</v>
      </c>
    </row>
    <row r="1092" spans="42:46">
      <c r="AP1092">
        <v>127600</v>
      </c>
      <c r="AQ1092" t="e">
        <v>#N/A</v>
      </c>
      <c r="AR1092" t="e">
        <v>#N/A</v>
      </c>
      <c r="AS1092" t="e">
        <v>#N/A</v>
      </c>
      <c r="AT1092" t="e">
        <v>#N/A</v>
      </c>
    </row>
    <row r="1093" spans="42:46">
      <c r="AP1093">
        <v>127650</v>
      </c>
      <c r="AQ1093" t="e">
        <v>#N/A</v>
      </c>
      <c r="AR1093" t="e">
        <v>#N/A</v>
      </c>
      <c r="AS1093" t="e">
        <v>#N/A</v>
      </c>
      <c r="AT1093" t="e">
        <v>#N/A</v>
      </c>
    </row>
    <row r="1094" spans="42:46">
      <c r="AP1094">
        <v>127700</v>
      </c>
      <c r="AQ1094" t="e">
        <v>#N/A</v>
      </c>
      <c r="AR1094" t="e">
        <v>#N/A</v>
      </c>
      <c r="AS1094" t="e">
        <v>#N/A</v>
      </c>
      <c r="AT1094" t="e">
        <v>#N/A</v>
      </c>
    </row>
    <row r="1095" spans="42:46">
      <c r="AP1095">
        <v>127750</v>
      </c>
      <c r="AQ1095" t="e">
        <v>#N/A</v>
      </c>
      <c r="AR1095" t="e">
        <v>#N/A</v>
      </c>
      <c r="AS1095" t="e">
        <v>#N/A</v>
      </c>
      <c r="AT1095" t="e">
        <v>#N/A</v>
      </c>
    </row>
    <row r="1096" spans="42:46">
      <c r="AP1096">
        <v>127800</v>
      </c>
      <c r="AQ1096" t="e">
        <v>#N/A</v>
      </c>
      <c r="AR1096" t="e">
        <v>#N/A</v>
      </c>
      <c r="AS1096" t="e">
        <v>#N/A</v>
      </c>
      <c r="AT1096" t="e">
        <v>#N/A</v>
      </c>
    </row>
    <row r="1097" spans="42:46">
      <c r="AP1097">
        <v>127850</v>
      </c>
      <c r="AQ1097" t="e">
        <v>#N/A</v>
      </c>
      <c r="AR1097" t="e">
        <v>#N/A</v>
      </c>
      <c r="AS1097" t="e">
        <v>#N/A</v>
      </c>
      <c r="AT1097" t="e">
        <v>#N/A</v>
      </c>
    </row>
    <row r="1098" spans="42:46">
      <c r="AP1098">
        <v>127900</v>
      </c>
      <c r="AQ1098" t="e">
        <v>#N/A</v>
      </c>
      <c r="AR1098" t="e">
        <v>#N/A</v>
      </c>
      <c r="AS1098" t="e">
        <v>#N/A</v>
      </c>
      <c r="AT1098" t="e">
        <v>#N/A</v>
      </c>
    </row>
    <row r="1099" spans="42:46">
      <c r="AP1099">
        <v>127950</v>
      </c>
      <c r="AQ1099" t="e">
        <v>#N/A</v>
      </c>
      <c r="AR1099" t="e">
        <v>#N/A</v>
      </c>
      <c r="AS1099" t="e">
        <v>#N/A</v>
      </c>
      <c r="AT1099" t="e">
        <v>#N/A</v>
      </c>
    </row>
    <row r="1100" spans="42:46">
      <c r="AP1100">
        <v>128000</v>
      </c>
      <c r="AQ1100" t="e">
        <v>#N/A</v>
      </c>
      <c r="AR1100" t="e">
        <v>#N/A</v>
      </c>
      <c r="AS1100" t="e">
        <v>#N/A</v>
      </c>
      <c r="AT1100" t="e">
        <v>#N/A</v>
      </c>
    </row>
    <row r="1101" spans="42:46">
      <c r="AP1101">
        <v>128050</v>
      </c>
      <c r="AQ1101" t="e">
        <v>#N/A</v>
      </c>
      <c r="AR1101" t="e">
        <v>#N/A</v>
      </c>
      <c r="AS1101" t="e">
        <v>#N/A</v>
      </c>
      <c r="AT1101" t="e">
        <v>#N/A</v>
      </c>
    </row>
    <row r="1102" spans="42:46">
      <c r="AP1102">
        <v>128100</v>
      </c>
      <c r="AQ1102" t="e">
        <v>#N/A</v>
      </c>
      <c r="AR1102" t="e">
        <v>#N/A</v>
      </c>
      <c r="AS1102" t="e">
        <v>#N/A</v>
      </c>
      <c r="AT1102" t="e">
        <v>#N/A</v>
      </c>
    </row>
    <row r="1103" spans="42:46">
      <c r="AP1103">
        <v>128150</v>
      </c>
      <c r="AQ1103" t="e">
        <v>#N/A</v>
      </c>
      <c r="AR1103" t="e">
        <v>#N/A</v>
      </c>
      <c r="AS1103" t="e">
        <v>#N/A</v>
      </c>
      <c r="AT1103" t="e">
        <v>#N/A</v>
      </c>
    </row>
    <row r="1104" spans="42:46">
      <c r="AP1104">
        <v>128200</v>
      </c>
      <c r="AQ1104" t="e">
        <v>#N/A</v>
      </c>
      <c r="AR1104" t="e">
        <v>#N/A</v>
      </c>
      <c r="AS1104" t="e">
        <v>#N/A</v>
      </c>
      <c r="AT1104" t="e">
        <v>#N/A</v>
      </c>
    </row>
    <row r="1105" spans="42:46">
      <c r="AP1105">
        <v>128250</v>
      </c>
      <c r="AQ1105" t="e">
        <v>#N/A</v>
      </c>
      <c r="AR1105" t="e">
        <v>#N/A</v>
      </c>
      <c r="AS1105" t="e">
        <v>#N/A</v>
      </c>
      <c r="AT1105" t="e">
        <v>#N/A</v>
      </c>
    </row>
    <row r="1106" spans="42:46">
      <c r="AP1106">
        <v>128300</v>
      </c>
      <c r="AQ1106" t="e">
        <v>#N/A</v>
      </c>
      <c r="AR1106" t="e">
        <v>#N/A</v>
      </c>
      <c r="AS1106" t="e">
        <v>#N/A</v>
      </c>
      <c r="AT1106" t="e">
        <v>#N/A</v>
      </c>
    </row>
    <row r="1107" spans="42:46">
      <c r="AP1107">
        <v>128350</v>
      </c>
      <c r="AQ1107" t="e">
        <v>#N/A</v>
      </c>
      <c r="AR1107" t="e">
        <v>#N/A</v>
      </c>
      <c r="AS1107" t="e">
        <v>#N/A</v>
      </c>
      <c r="AT1107" t="e">
        <v>#N/A</v>
      </c>
    </row>
    <row r="1108" spans="42:46">
      <c r="AP1108">
        <v>128400</v>
      </c>
      <c r="AQ1108" t="e">
        <v>#N/A</v>
      </c>
      <c r="AR1108" t="e">
        <v>#N/A</v>
      </c>
      <c r="AS1108" t="e">
        <v>#N/A</v>
      </c>
      <c r="AT1108" t="e">
        <v>#N/A</v>
      </c>
    </row>
    <row r="1109" spans="42:46">
      <c r="AP1109">
        <v>128450</v>
      </c>
      <c r="AQ1109" t="e">
        <v>#N/A</v>
      </c>
      <c r="AR1109" t="e">
        <v>#N/A</v>
      </c>
      <c r="AS1109" t="e">
        <v>#N/A</v>
      </c>
      <c r="AT1109" t="e">
        <v>#N/A</v>
      </c>
    </row>
    <row r="1110" spans="42:46">
      <c r="AP1110">
        <v>128500</v>
      </c>
      <c r="AQ1110" t="e">
        <v>#N/A</v>
      </c>
      <c r="AR1110" t="e">
        <v>#N/A</v>
      </c>
      <c r="AS1110" t="e">
        <v>#N/A</v>
      </c>
      <c r="AT1110" t="e">
        <v>#N/A</v>
      </c>
    </row>
    <row r="1111" spans="42:46">
      <c r="AP1111">
        <v>128550</v>
      </c>
      <c r="AQ1111" t="e">
        <v>#N/A</v>
      </c>
      <c r="AR1111" t="e">
        <v>#N/A</v>
      </c>
      <c r="AS1111" t="e">
        <v>#N/A</v>
      </c>
      <c r="AT1111" t="e">
        <v>#N/A</v>
      </c>
    </row>
    <row r="1112" spans="42:46">
      <c r="AP1112">
        <v>128600</v>
      </c>
      <c r="AQ1112" t="e">
        <v>#N/A</v>
      </c>
      <c r="AR1112" t="e">
        <v>#N/A</v>
      </c>
      <c r="AS1112" t="e">
        <v>#N/A</v>
      </c>
      <c r="AT1112" t="e">
        <v>#N/A</v>
      </c>
    </row>
    <row r="1113" spans="42:46">
      <c r="AP1113">
        <v>128650</v>
      </c>
      <c r="AQ1113" t="e">
        <v>#N/A</v>
      </c>
      <c r="AR1113" t="e">
        <v>#N/A</v>
      </c>
      <c r="AS1113" t="e">
        <v>#N/A</v>
      </c>
      <c r="AT1113" t="e">
        <v>#N/A</v>
      </c>
    </row>
    <row r="1114" spans="42:46">
      <c r="AP1114">
        <v>128700</v>
      </c>
      <c r="AQ1114" t="e">
        <v>#N/A</v>
      </c>
      <c r="AR1114" t="e">
        <v>#N/A</v>
      </c>
      <c r="AS1114" t="e">
        <v>#N/A</v>
      </c>
      <c r="AT1114" t="e">
        <v>#N/A</v>
      </c>
    </row>
    <row r="1115" spans="42:46">
      <c r="AP1115">
        <v>128750</v>
      </c>
      <c r="AQ1115" t="e">
        <v>#N/A</v>
      </c>
      <c r="AR1115" t="e">
        <v>#N/A</v>
      </c>
      <c r="AS1115" t="e">
        <v>#N/A</v>
      </c>
      <c r="AT1115" t="e">
        <v>#N/A</v>
      </c>
    </row>
    <row r="1116" spans="42:46">
      <c r="AP1116">
        <v>128800</v>
      </c>
      <c r="AQ1116" t="e">
        <v>#N/A</v>
      </c>
      <c r="AR1116" t="e">
        <v>#N/A</v>
      </c>
      <c r="AS1116" t="e">
        <v>#N/A</v>
      </c>
      <c r="AT1116" t="e">
        <v>#N/A</v>
      </c>
    </row>
    <row r="1117" spans="42:46">
      <c r="AP1117">
        <v>128850</v>
      </c>
      <c r="AQ1117" t="e">
        <v>#N/A</v>
      </c>
      <c r="AR1117" t="e">
        <v>#N/A</v>
      </c>
      <c r="AS1117" t="e">
        <v>#N/A</v>
      </c>
      <c r="AT1117" t="e">
        <v>#N/A</v>
      </c>
    </row>
    <row r="1118" spans="42:46">
      <c r="AP1118">
        <v>128900</v>
      </c>
      <c r="AQ1118" t="e">
        <v>#N/A</v>
      </c>
      <c r="AR1118" t="e">
        <v>#N/A</v>
      </c>
      <c r="AS1118" t="e">
        <v>#N/A</v>
      </c>
      <c r="AT1118" t="e">
        <v>#N/A</v>
      </c>
    </row>
    <row r="1119" spans="42:46">
      <c r="AP1119">
        <v>128950</v>
      </c>
      <c r="AQ1119" t="e">
        <v>#N/A</v>
      </c>
      <c r="AR1119" t="e">
        <v>#N/A</v>
      </c>
      <c r="AS1119" t="e">
        <v>#N/A</v>
      </c>
      <c r="AT1119" t="e">
        <v>#N/A</v>
      </c>
    </row>
    <row r="1120" spans="42:46">
      <c r="AP1120">
        <v>129000</v>
      </c>
      <c r="AQ1120" t="e">
        <v>#N/A</v>
      </c>
      <c r="AR1120" t="e">
        <v>#N/A</v>
      </c>
      <c r="AS1120" t="e">
        <v>#N/A</v>
      </c>
      <c r="AT1120" t="e">
        <v>#N/A</v>
      </c>
    </row>
    <row r="1121" spans="42:46">
      <c r="AP1121">
        <v>129050</v>
      </c>
      <c r="AQ1121" t="e">
        <v>#N/A</v>
      </c>
      <c r="AR1121" t="e">
        <v>#N/A</v>
      </c>
      <c r="AS1121" t="e">
        <v>#N/A</v>
      </c>
      <c r="AT1121" t="e">
        <v>#N/A</v>
      </c>
    </row>
    <row r="1122" spans="42:46">
      <c r="AP1122">
        <v>129100</v>
      </c>
      <c r="AQ1122" t="e">
        <v>#N/A</v>
      </c>
      <c r="AR1122" t="e">
        <v>#N/A</v>
      </c>
      <c r="AS1122" t="e">
        <v>#N/A</v>
      </c>
      <c r="AT1122" t="e">
        <v>#N/A</v>
      </c>
    </row>
    <row r="1123" spans="42:46">
      <c r="AP1123">
        <v>129150</v>
      </c>
      <c r="AQ1123" t="e">
        <v>#N/A</v>
      </c>
      <c r="AR1123" t="e">
        <v>#N/A</v>
      </c>
      <c r="AS1123" t="e">
        <v>#N/A</v>
      </c>
      <c r="AT1123" t="e">
        <v>#N/A</v>
      </c>
    </row>
    <row r="1124" spans="42:46">
      <c r="AP1124">
        <v>129200</v>
      </c>
      <c r="AQ1124" t="e">
        <v>#N/A</v>
      </c>
      <c r="AR1124" t="e">
        <v>#N/A</v>
      </c>
      <c r="AS1124" t="e">
        <v>#N/A</v>
      </c>
      <c r="AT1124" t="e">
        <v>#N/A</v>
      </c>
    </row>
    <row r="1125" spans="42:46">
      <c r="AP1125">
        <v>129250</v>
      </c>
      <c r="AQ1125" t="e">
        <v>#N/A</v>
      </c>
      <c r="AR1125" t="e">
        <v>#N/A</v>
      </c>
      <c r="AS1125" t="e">
        <v>#N/A</v>
      </c>
      <c r="AT1125" t="e">
        <v>#N/A</v>
      </c>
    </row>
    <row r="1126" spans="42:46">
      <c r="AP1126">
        <v>129300</v>
      </c>
      <c r="AQ1126" t="e">
        <v>#N/A</v>
      </c>
      <c r="AR1126" t="e">
        <v>#N/A</v>
      </c>
      <c r="AS1126" t="e">
        <v>#N/A</v>
      </c>
      <c r="AT1126" t="e">
        <v>#N/A</v>
      </c>
    </row>
    <row r="1127" spans="42:46">
      <c r="AP1127">
        <v>129350</v>
      </c>
      <c r="AQ1127" t="e">
        <v>#N/A</v>
      </c>
      <c r="AR1127" t="e">
        <v>#N/A</v>
      </c>
      <c r="AS1127" t="e">
        <v>#N/A</v>
      </c>
      <c r="AT1127" t="e">
        <v>#N/A</v>
      </c>
    </row>
    <row r="1128" spans="42:46">
      <c r="AP1128">
        <v>129400</v>
      </c>
      <c r="AQ1128" t="e">
        <v>#N/A</v>
      </c>
      <c r="AR1128" t="e">
        <v>#N/A</v>
      </c>
      <c r="AS1128" t="e">
        <v>#N/A</v>
      </c>
      <c r="AT1128" t="e">
        <v>#N/A</v>
      </c>
    </row>
    <row r="1129" spans="42:46">
      <c r="AP1129">
        <v>129450</v>
      </c>
      <c r="AQ1129" t="e">
        <v>#N/A</v>
      </c>
      <c r="AR1129" t="e">
        <v>#N/A</v>
      </c>
      <c r="AS1129" t="e">
        <v>#N/A</v>
      </c>
      <c r="AT1129" t="e">
        <v>#N/A</v>
      </c>
    </row>
    <row r="1130" spans="42:46">
      <c r="AP1130">
        <v>129500</v>
      </c>
      <c r="AQ1130" t="e">
        <v>#N/A</v>
      </c>
      <c r="AR1130" t="e">
        <v>#N/A</v>
      </c>
      <c r="AS1130" t="e">
        <v>#N/A</v>
      </c>
      <c r="AT1130" t="e">
        <v>#N/A</v>
      </c>
    </row>
    <row r="1131" spans="42:46">
      <c r="AP1131">
        <v>129550</v>
      </c>
      <c r="AQ1131" t="e">
        <v>#N/A</v>
      </c>
      <c r="AR1131" t="e">
        <v>#N/A</v>
      </c>
      <c r="AS1131" t="e">
        <v>#N/A</v>
      </c>
      <c r="AT1131" t="e">
        <v>#N/A</v>
      </c>
    </row>
    <row r="1132" spans="42:46">
      <c r="AP1132">
        <v>129600</v>
      </c>
      <c r="AQ1132" t="e">
        <v>#N/A</v>
      </c>
      <c r="AR1132" t="e">
        <v>#N/A</v>
      </c>
      <c r="AS1132" t="e">
        <v>#N/A</v>
      </c>
      <c r="AT1132" t="e">
        <v>#N/A</v>
      </c>
    </row>
    <row r="1133" spans="42:46">
      <c r="AP1133">
        <v>129650</v>
      </c>
      <c r="AQ1133" t="e">
        <v>#N/A</v>
      </c>
      <c r="AR1133" t="e">
        <v>#N/A</v>
      </c>
      <c r="AS1133" t="e">
        <v>#N/A</v>
      </c>
      <c r="AT1133" t="e">
        <v>#N/A</v>
      </c>
    </row>
    <row r="1134" spans="42:46">
      <c r="AP1134">
        <v>129700</v>
      </c>
      <c r="AQ1134" t="e">
        <v>#N/A</v>
      </c>
      <c r="AR1134" t="e">
        <v>#N/A</v>
      </c>
      <c r="AS1134" t="e">
        <v>#N/A</v>
      </c>
      <c r="AT1134" t="e">
        <v>#N/A</v>
      </c>
    </row>
    <row r="1135" spans="42:46">
      <c r="AP1135">
        <v>129750</v>
      </c>
      <c r="AQ1135" t="e">
        <v>#N/A</v>
      </c>
      <c r="AR1135" t="e">
        <v>#N/A</v>
      </c>
      <c r="AS1135" t="e">
        <v>#N/A</v>
      </c>
      <c r="AT1135" t="e">
        <v>#N/A</v>
      </c>
    </row>
    <row r="1136" spans="42:46">
      <c r="AP1136">
        <v>129800</v>
      </c>
      <c r="AQ1136" t="e">
        <v>#N/A</v>
      </c>
      <c r="AR1136" t="e">
        <v>#N/A</v>
      </c>
      <c r="AS1136" t="e">
        <v>#N/A</v>
      </c>
      <c r="AT1136" t="e">
        <v>#N/A</v>
      </c>
    </row>
    <row r="1137" spans="42:46">
      <c r="AP1137">
        <v>129850</v>
      </c>
      <c r="AQ1137" t="e">
        <v>#N/A</v>
      </c>
      <c r="AR1137" t="e">
        <v>#N/A</v>
      </c>
      <c r="AS1137" t="e">
        <v>#N/A</v>
      </c>
      <c r="AT1137" t="e">
        <v>#N/A</v>
      </c>
    </row>
    <row r="1138" spans="42:46">
      <c r="AP1138">
        <v>129900</v>
      </c>
      <c r="AQ1138" t="e">
        <v>#N/A</v>
      </c>
      <c r="AR1138" t="e">
        <v>#N/A</v>
      </c>
      <c r="AS1138" t="e">
        <v>#N/A</v>
      </c>
      <c r="AT1138" t="e">
        <v>#N/A</v>
      </c>
    </row>
    <row r="1139" spans="42:46">
      <c r="AP1139">
        <v>129950</v>
      </c>
      <c r="AQ1139" t="e">
        <v>#N/A</v>
      </c>
      <c r="AR1139" t="e">
        <v>#N/A</v>
      </c>
      <c r="AS1139" t="e">
        <v>#N/A</v>
      </c>
      <c r="AT1139" t="e">
        <v>#N/A</v>
      </c>
    </row>
    <row r="1140" spans="42:46">
      <c r="AP1140">
        <v>130000</v>
      </c>
      <c r="AQ1140" t="e">
        <v>#N/A</v>
      </c>
      <c r="AR1140" t="e">
        <v>#N/A</v>
      </c>
      <c r="AS1140" t="e">
        <v>#N/A</v>
      </c>
      <c r="AT1140" t="e">
        <v>#N/A</v>
      </c>
    </row>
    <row r="1141" spans="42:46">
      <c r="AP1141">
        <v>130050</v>
      </c>
      <c r="AQ1141" t="e">
        <v>#N/A</v>
      </c>
      <c r="AR1141" t="e">
        <v>#N/A</v>
      </c>
      <c r="AS1141" t="e">
        <v>#N/A</v>
      </c>
      <c r="AT1141" t="e">
        <v>#N/A</v>
      </c>
    </row>
    <row r="1142" spans="42:46">
      <c r="AP1142">
        <v>130100</v>
      </c>
      <c r="AQ1142" t="e">
        <v>#N/A</v>
      </c>
      <c r="AR1142" t="e">
        <v>#N/A</v>
      </c>
      <c r="AS1142" t="e">
        <v>#N/A</v>
      </c>
      <c r="AT1142" t="e">
        <v>#N/A</v>
      </c>
    </row>
    <row r="1143" spans="42:46">
      <c r="AP1143">
        <v>130150</v>
      </c>
      <c r="AQ1143" t="e">
        <v>#N/A</v>
      </c>
      <c r="AR1143" t="e">
        <v>#N/A</v>
      </c>
      <c r="AS1143" t="e">
        <v>#N/A</v>
      </c>
      <c r="AT1143" t="e">
        <v>#N/A</v>
      </c>
    </row>
    <row r="1144" spans="42:46">
      <c r="AP1144">
        <v>130200</v>
      </c>
      <c r="AQ1144" t="e">
        <v>#N/A</v>
      </c>
      <c r="AR1144" t="e">
        <v>#N/A</v>
      </c>
      <c r="AS1144" t="e">
        <v>#N/A</v>
      </c>
      <c r="AT1144" t="e">
        <v>#N/A</v>
      </c>
    </row>
    <row r="1145" spans="42:46">
      <c r="AP1145">
        <v>130250</v>
      </c>
      <c r="AQ1145" t="e">
        <v>#N/A</v>
      </c>
      <c r="AR1145" t="e">
        <v>#N/A</v>
      </c>
      <c r="AS1145" t="e">
        <v>#N/A</v>
      </c>
      <c r="AT1145" t="e">
        <v>#N/A</v>
      </c>
    </row>
    <row r="1146" spans="42:46">
      <c r="AP1146">
        <v>130300</v>
      </c>
      <c r="AQ1146" t="e">
        <v>#N/A</v>
      </c>
      <c r="AR1146" t="e">
        <v>#N/A</v>
      </c>
      <c r="AS1146" t="e">
        <v>#N/A</v>
      </c>
      <c r="AT1146" t="e">
        <v>#N/A</v>
      </c>
    </row>
    <row r="1147" spans="42:46">
      <c r="AP1147">
        <v>130350</v>
      </c>
      <c r="AQ1147" t="e">
        <v>#N/A</v>
      </c>
      <c r="AR1147" t="e">
        <v>#N/A</v>
      </c>
      <c r="AS1147" t="e">
        <v>#N/A</v>
      </c>
      <c r="AT1147" t="e">
        <v>#N/A</v>
      </c>
    </row>
    <row r="1148" spans="42:46">
      <c r="AP1148">
        <v>130400</v>
      </c>
      <c r="AQ1148" t="e">
        <v>#N/A</v>
      </c>
      <c r="AR1148" t="e">
        <v>#N/A</v>
      </c>
      <c r="AS1148" t="e">
        <v>#N/A</v>
      </c>
      <c r="AT1148" t="e">
        <v>#N/A</v>
      </c>
    </row>
    <row r="1149" spans="42:46">
      <c r="AP1149">
        <v>130450</v>
      </c>
      <c r="AQ1149" t="e">
        <v>#N/A</v>
      </c>
      <c r="AR1149" t="e">
        <v>#N/A</v>
      </c>
      <c r="AS1149" t="e">
        <v>#N/A</v>
      </c>
      <c r="AT1149" t="e">
        <v>#N/A</v>
      </c>
    </row>
    <row r="1150" spans="42:46">
      <c r="AP1150">
        <v>130500</v>
      </c>
      <c r="AQ1150" t="e">
        <v>#N/A</v>
      </c>
      <c r="AR1150" t="e">
        <v>#N/A</v>
      </c>
      <c r="AS1150" t="e">
        <v>#N/A</v>
      </c>
      <c r="AT1150" t="e">
        <v>#N/A</v>
      </c>
    </row>
    <row r="1151" spans="42:46">
      <c r="AP1151">
        <v>130550</v>
      </c>
      <c r="AQ1151" t="e">
        <v>#N/A</v>
      </c>
      <c r="AR1151" t="e">
        <v>#N/A</v>
      </c>
      <c r="AS1151" t="e">
        <v>#N/A</v>
      </c>
      <c r="AT1151" t="e">
        <v>#N/A</v>
      </c>
    </row>
    <row r="1152" spans="42:46">
      <c r="AP1152">
        <v>130600</v>
      </c>
      <c r="AQ1152" t="e">
        <v>#N/A</v>
      </c>
      <c r="AR1152" t="e">
        <v>#N/A</v>
      </c>
      <c r="AS1152" t="e">
        <v>#N/A</v>
      </c>
      <c r="AT1152" t="e">
        <v>#N/A</v>
      </c>
    </row>
    <row r="1153" spans="42:46">
      <c r="AP1153">
        <v>130650</v>
      </c>
      <c r="AQ1153" t="e">
        <v>#N/A</v>
      </c>
      <c r="AR1153" t="e">
        <v>#N/A</v>
      </c>
      <c r="AS1153" t="e">
        <v>#N/A</v>
      </c>
      <c r="AT1153" t="e">
        <v>#N/A</v>
      </c>
    </row>
    <row r="1154" spans="42:46">
      <c r="AP1154">
        <v>130700</v>
      </c>
      <c r="AQ1154" t="e">
        <v>#N/A</v>
      </c>
      <c r="AR1154" t="e">
        <v>#N/A</v>
      </c>
      <c r="AS1154" t="e">
        <v>#N/A</v>
      </c>
      <c r="AT1154" t="e">
        <v>#N/A</v>
      </c>
    </row>
    <row r="1155" spans="42:46">
      <c r="AP1155">
        <v>130750</v>
      </c>
      <c r="AQ1155" t="e">
        <v>#N/A</v>
      </c>
      <c r="AR1155" t="e">
        <v>#N/A</v>
      </c>
      <c r="AS1155" t="e">
        <v>#N/A</v>
      </c>
      <c r="AT1155" t="e">
        <v>#N/A</v>
      </c>
    </row>
    <row r="1156" spans="42:46">
      <c r="AP1156">
        <v>130800</v>
      </c>
      <c r="AQ1156" t="e">
        <v>#N/A</v>
      </c>
      <c r="AR1156" t="e">
        <v>#N/A</v>
      </c>
      <c r="AS1156" t="e">
        <v>#N/A</v>
      </c>
      <c r="AT1156" t="e">
        <v>#N/A</v>
      </c>
    </row>
    <row r="1157" spans="42:46">
      <c r="AP1157">
        <v>130850</v>
      </c>
      <c r="AQ1157" t="e">
        <v>#N/A</v>
      </c>
      <c r="AR1157" t="e">
        <v>#N/A</v>
      </c>
      <c r="AS1157" t="e">
        <v>#N/A</v>
      </c>
      <c r="AT1157" t="e">
        <v>#N/A</v>
      </c>
    </row>
    <row r="1158" spans="42:46">
      <c r="AP1158">
        <v>130900</v>
      </c>
      <c r="AQ1158" t="e">
        <v>#N/A</v>
      </c>
      <c r="AR1158" t="e">
        <v>#N/A</v>
      </c>
      <c r="AS1158" t="e">
        <v>#N/A</v>
      </c>
      <c r="AT1158" t="e">
        <v>#N/A</v>
      </c>
    </row>
    <row r="1159" spans="42:46">
      <c r="AP1159">
        <v>130950</v>
      </c>
      <c r="AQ1159" t="e">
        <v>#N/A</v>
      </c>
      <c r="AR1159" t="e">
        <v>#N/A</v>
      </c>
      <c r="AS1159" t="e">
        <v>#N/A</v>
      </c>
      <c r="AT1159" t="e">
        <v>#N/A</v>
      </c>
    </row>
    <row r="1160" spans="42:46">
      <c r="AP1160">
        <v>131000</v>
      </c>
      <c r="AQ1160" t="e">
        <v>#N/A</v>
      </c>
      <c r="AR1160" t="e">
        <v>#N/A</v>
      </c>
      <c r="AS1160" t="e">
        <v>#N/A</v>
      </c>
      <c r="AT1160" t="e">
        <v>#N/A</v>
      </c>
    </row>
    <row r="1161" spans="42:46">
      <c r="AP1161">
        <v>131050</v>
      </c>
      <c r="AQ1161" t="e">
        <v>#N/A</v>
      </c>
      <c r="AR1161" t="e">
        <v>#N/A</v>
      </c>
      <c r="AS1161" t="e">
        <v>#N/A</v>
      </c>
      <c r="AT1161" t="e">
        <v>#N/A</v>
      </c>
    </row>
    <row r="1162" spans="42:46">
      <c r="AP1162">
        <v>131100</v>
      </c>
      <c r="AQ1162" t="e">
        <v>#N/A</v>
      </c>
      <c r="AR1162" t="e">
        <v>#N/A</v>
      </c>
      <c r="AS1162" t="e">
        <v>#N/A</v>
      </c>
      <c r="AT1162" t="e">
        <v>#N/A</v>
      </c>
    </row>
    <row r="1163" spans="42:46">
      <c r="AP1163">
        <v>131150</v>
      </c>
      <c r="AQ1163" t="e">
        <v>#N/A</v>
      </c>
      <c r="AR1163" t="e">
        <v>#N/A</v>
      </c>
      <c r="AS1163" t="e">
        <v>#N/A</v>
      </c>
      <c r="AT1163" t="e">
        <v>#N/A</v>
      </c>
    </row>
    <row r="1164" spans="42:46">
      <c r="AP1164">
        <v>131200</v>
      </c>
      <c r="AQ1164" t="e">
        <v>#N/A</v>
      </c>
      <c r="AR1164" t="e">
        <v>#N/A</v>
      </c>
      <c r="AS1164" t="e">
        <v>#N/A</v>
      </c>
      <c r="AT1164" t="e">
        <v>#N/A</v>
      </c>
    </row>
    <row r="1165" spans="42:46">
      <c r="AP1165">
        <v>131250</v>
      </c>
      <c r="AQ1165" t="e">
        <v>#N/A</v>
      </c>
      <c r="AR1165" t="e">
        <v>#N/A</v>
      </c>
      <c r="AS1165" t="e">
        <v>#N/A</v>
      </c>
      <c r="AT1165" t="e">
        <v>#N/A</v>
      </c>
    </row>
    <row r="1166" spans="42:46">
      <c r="AP1166">
        <v>131300</v>
      </c>
      <c r="AQ1166" t="e">
        <v>#N/A</v>
      </c>
      <c r="AR1166" t="e">
        <v>#N/A</v>
      </c>
      <c r="AS1166" t="e">
        <v>#N/A</v>
      </c>
      <c r="AT1166" t="e">
        <v>#N/A</v>
      </c>
    </row>
    <row r="1167" spans="42:46">
      <c r="AP1167">
        <v>131350</v>
      </c>
      <c r="AQ1167" t="e">
        <v>#N/A</v>
      </c>
      <c r="AR1167" t="e">
        <v>#N/A</v>
      </c>
      <c r="AS1167" t="e">
        <v>#N/A</v>
      </c>
      <c r="AT1167" t="e">
        <v>#N/A</v>
      </c>
    </row>
    <row r="1168" spans="42:46">
      <c r="AP1168">
        <v>131400</v>
      </c>
      <c r="AQ1168" t="e">
        <v>#N/A</v>
      </c>
      <c r="AR1168" t="e">
        <v>#N/A</v>
      </c>
      <c r="AS1168" t="e">
        <v>#N/A</v>
      </c>
      <c r="AT1168" t="e">
        <v>#N/A</v>
      </c>
    </row>
    <row r="1169" spans="42:46">
      <c r="AP1169">
        <v>131450</v>
      </c>
      <c r="AQ1169" t="e">
        <v>#N/A</v>
      </c>
      <c r="AR1169" t="e">
        <v>#N/A</v>
      </c>
      <c r="AS1169" t="e">
        <v>#N/A</v>
      </c>
      <c r="AT1169" t="e">
        <v>#N/A</v>
      </c>
    </row>
    <row r="1170" spans="42:46">
      <c r="AP1170">
        <v>131500</v>
      </c>
      <c r="AQ1170" t="e">
        <v>#N/A</v>
      </c>
      <c r="AR1170" t="e">
        <v>#N/A</v>
      </c>
      <c r="AS1170" t="e">
        <v>#N/A</v>
      </c>
      <c r="AT1170" t="e">
        <v>#N/A</v>
      </c>
    </row>
    <row r="1171" spans="42:46">
      <c r="AP1171">
        <v>131550</v>
      </c>
      <c r="AQ1171" t="e">
        <v>#N/A</v>
      </c>
      <c r="AR1171" t="e">
        <v>#N/A</v>
      </c>
      <c r="AS1171" t="e">
        <v>#N/A</v>
      </c>
      <c r="AT1171" t="e">
        <v>#N/A</v>
      </c>
    </row>
    <row r="1172" spans="42:46">
      <c r="AP1172">
        <v>131600</v>
      </c>
      <c r="AQ1172" t="e">
        <v>#N/A</v>
      </c>
      <c r="AR1172" t="e">
        <v>#N/A</v>
      </c>
      <c r="AS1172" t="e">
        <v>#N/A</v>
      </c>
      <c r="AT1172" t="e">
        <v>#N/A</v>
      </c>
    </row>
    <row r="1173" spans="42:46">
      <c r="AP1173">
        <v>131650</v>
      </c>
      <c r="AQ1173" t="e">
        <v>#N/A</v>
      </c>
      <c r="AR1173" t="e">
        <v>#N/A</v>
      </c>
      <c r="AS1173" t="e">
        <v>#N/A</v>
      </c>
      <c r="AT1173" t="e">
        <v>#N/A</v>
      </c>
    </row>
    <row r="1174" spans="42:46">
      <c r="AP1174">
        <v>131700</v>
      </c>
      <c r="AQ1174" t="e">
        <v>#N/A</v>
      </c>
      <c r="AR1174" t="e">
        <v>#N/A</v>
      </c>
      <c r="AS1174" t="e">
        <v>#N/A</v>
      </c>
      <c r="AT1174" t="e">
        <v>#N/A</v>
      </c>
    </row>
    <row r="1175" spans="42:46">
      <c r="AP1175">
        <v>131750</v>
      </c>
      <c r="AQ1175" t="e">
        <v>#N/A</v>
      </c>
      <c r="AR1175" t="e">
        <v>#N/A</v>
      </c>
      <c r="AS1175" t="e">
        <v>#N/A</v>
      </c>
      <c r="AT1175" t="e">
        <v>#N/A</v>
      </c>
    </row>
    <row r="1176" spans="42:46">
      <c r="AP1176">
        <v>131800</v>
      </c>
      <c r="AQ1176" t="e">
        <v>#N/A</v>
      </c>
      <c r="AR1176" t="e">
        <v>#N/A</v>
      </c>
      <c r="AS1176" t="e">
        <v>#N/A</v>
      </c>
      <c r="AT1176" t="e">
        <v>#N/A</v>
      </c>
    </row>
    <row r="1177" spans="42:46">
      <c r="AP1177">
        <v>131850</v>
      </c>
      <c r="AQ1177" t="e">
        <v>#N/A</v>
      </c>
      <c r="AR1177" t="e">
        <v>#N/A</v>
      </c>
      <c r="AS1177" t="e">
        <v>#N/A</v>
      </c>
      <c r="AT1177" t="e">
        <v>#N/A</v>
      </c>
    </row>
    <row r="1178" spans="42:46">
      <c r="AP1178">
        <v>131900</v>
      </c>
      <c r="AQ1178" t="e">
        <v>#N/A</v>
      </c>
      <c r="AR1178" t="e">
        <v>#N/A</v>
      </c>
      <c r="AS1178" t="e">
        <v>#N/A</v>
      </c>
      <c r="AT1178" t="e">
        <v>#N/A</v>
      </c>
    </row>
    <row r="1179" spans="42:46">
      <c r="AP1179">
        <v>131950</v>
      </c>
      <c r="AQ1179" t="e">
        <v>#N/A</v>
      </c>
      <c r="AR1179" t="e">
        <v>#N/A</v>
      </c>
      <c r="AS1179" t="e">
        <v>#N/A</v>
      </c>
      <c r="AT1179" t="e">
        <v>#N/A</v>
      </c>
    </row>
    <row r="1180" spans="42:46">
      <c r="AP1180">
        <v>132000</v>
      </c>
      <c r="AQ1180" t="e">
        <v>#N/A</v>
      </c>
      <c r="AR1180" t="e">
        <v>#N/A</v>
      </c>
      <c r="AS1180" t="e">
        <v>#N/A</v>
      </c>
      <c r="AT1180" t="e">
        <v>#N/A</v>
      </c>
    </row>
    <row r="1181" spans="42:46">
      <c r="AP1181">
        <v>132050</v>
      </c>
      <c r="AQ1181" t="e">
        <v>#N/A</v>
      </c>
      <c r="AR1181" t="e">
        <v>#N/A</v>
      </c>
      <c r="AS1181" t="e">
        <v>#N/A</v>
      </c>
      <c r="AT1181" t="e">
        <v>#N/A</v>
      </c>
    </row>
    <row r="1182" spans="42:46">
      <c r="AP1182">
        <v>132100</v>
      </c>
      <c r="AQ1182" t="e">
        <v>#N/A</v>
      </c>
      <c r="AR1182" t="e">
        <v>#N/A</v>
      </c>
      <c r="AS1182" t="e">
        <v>#N/A</v>
      </c>
      <c r="AT1182" t="e">
        <v>#N/A</v>
      </c>
    </row>
    <row r="1183" spans="42:46">
      <c r="AP1183">
        <v>132150</v>
      </c>
      <c r="AQ1183" t="e">
        <v>#N/A</v>
      </c>
      <c r="AR1183" t="e">
        <v>#N/A</v>
      </c>
      <c r="AS1183" t="e">
        <v>#N/A</v>
      </c>
      <c r="AT1183" t="e">
        <v>#N/A</v>
      </c>
    </row>
    <row r="1184" spans="42:46">
      <c r="AP1184">
        <v>132200</v>
      </c>
      <c r="AQ1184" t="e">
        <v>#N/A</v>
      </c>
      <c r="AR1184" t="e">
        <v>#N/A</v>
      </c>
      <c r="AS1184" t="e">
        <v>#N/A</v>
      </c>
      <c r="AT1184" t="e">
        <v>#N/A</v>
      </c>
    </row>
    <row r="1185" spans="42:46">
      <c r="AP1185">
        <v>132250</v>
      </c>
      <c r="AQ1185" t="e">
        <v>#N/A</v>
      </c>
      <c r="AR1185" t="e">
        <v>#N/A</v>
      </c>
      <c r="AS1185" t="e">
        <v>#N/A</v>
      </c>
      <c r="AT1185" t="e">
        <v>#N/A</v>
      </c>
    </row>
    <row r="1186" spans="42:46">
      <c r="AP1186">
        <v>132300</v>
      </c>
      <c r="AQ1186" t="e">
        <v>#N/A</v>
      </c>
      <c r="AR1186" t="e">
        <v>#N/A</v>
      </c>
      <c r="AS1186" t="e">
        <v>#N/A</v>
      </c>
      <c r="AT1186" t="e">
        <v>#N/A</v>
      </c>
    </row>
    <row r="1187" spans="42:46">
      <c r="AP1187">
        <v>132350</v>
      </c>
      <c r="AQ1187" t="e">
        <v>#N/A</v>
      </c>
      <c r="AR1187" t="e">
        <v>#N/A</v>
      </c>
      <c r="AS1187" t="e">
        <v>#N/A</v>
      </c>
      <c r="AT1187" t="e">
        <v>#N/A</v>
      </c>
    </row>
    <row r="1188" spans="42:46">
      <c r="AP1188">
        <v>132400</v>
      </c>
      <c r="AQ1188" t="e">
        <v>#N/A</v>
      </c>
      <c r="AR1188" t="e">
        <v>#N/A</v>
      </c>
      <c r="AS1188" t="e">
        <v>#N/A</v>
      </c>
      <c r="AT1188" t="e">
        <v>#N/A</v>
      </c>
    </row>
    <row r="1189" spans="42:46">
      <c r="AP1189">
        <v>132450</v>
      </c>
      <c r="AQ1189" t="e">
        <v>#N/A</v>
      </c>
      <c r="AR1189" t="e">
        <v>#N/A</v>
      </c>
      <c r="AS1189" t="e">
        <v>#N/A</v>
      </c>
      <c r="AT1189" t="e">
        <v>#N/A</v>
      </c>
    </row>
    <row r="1190" spans="42:46">
      <c r="AP1190">
        <v>132500</v>
      </c>
      <c r="AQ1190" t="e">
        <v>#N/A</v>
      </c>
      <c r="AR1190" t="e">
        <v>#N/A</v>
      </c>
      <c r="AS1190" t="e">
        <v>#N/A</v>
      </c>
      <c r="AT1190" t="e">
        <v>#N/A</v>
      </c>
    </row>
    <row r="1191" spans="42:46">
      <c r="AP1191">
        <v>132550</v>
      </c>
      <c r="AQ1191" t="e">
        <v>#N/A</v>
      </c>
      <c r="AR1191" t="e">
        <v>#N/A</v>
      </c>
      <c r="AS1191" t="e">
        <v>#N/A</v>
      </c>
      <c r="AT1191" t="e">
        <v>#N/A</v>
      </c>
    </row>
    <row r="1192" spans="42:46">
      <c r="AP1192">
        <v>132600</v>
      </c>
      <c r="AQ1192" t="e">
        <v>#N/A</v>
      </c>
      <c r="AR1192" t="e">
        <v>#N/A</v>
      </c>
      <c r="AS1192" t="e">
        <v>#N/A</v>
      </c>
      <c r="AT1192" t="e">
        <v>#N/A</v>
      </c>
    </row>
    <row r="1193" spans="42:46">
      <c r="AP1193">
        <v>132650</v>
      </c>
      <c r="AQ1193" t="e">
        <v>#N/A</v>
      </c>
      <c r="AR1193" t="e">
        <v>#N/A</v>
      </c>
      <c r="AS1193" t="e">
        <v>#N/A</v>
      </c>
      <c r="AT1193" t="e">
        <v>#N/A</v>
      </c>
    </row>
    <row r="1194" spans="42:46">
      <c r="AP1194">
        <v>132700</v>
      </c>
      <c r="AQ1194" t="e">
        <v>#N/A</v>
      </c>
      <c r="AR1194" t="e">
        <v>#N/A</v>
      </c>
      <c r="AS1194" t="e">
        <v>#N/A</v>
      </c>
      <c r="AT1194" t="e">
        <v>#N/A</v>
      </c>
    </row>
    <row r="1195" spans="42:46">
      <c r="AP1195">
        <v>132750</v>
      </c>
      <c r="AQ1195" t="e">
        <v>#N/A</v>
      </c>
      <c r="AR1195" t="e">
        <v>#N/A</v>
      </c>
      <c r="AS1195" t="e">
        <v>#N/A</v>
      </c>
      <c r="AT1195" t="e">
        <v>#N/A</v>
      </c>
    </row>
    <row r="1196" spans="42:46">
      <c r="AP1196">
        <v>132800</v>
      </c>
      <c r="AQ1196" t="e">
        <v>#N/A</v>
      </c>
      <c r="AR1196" t="e">
        <v>#N/A</v>
      </c>
      <c r="AS1196" t="e">
        <v>#N/A</v>
      </c>
      <c r="AT1196" t="e">
        <v>#N/A</v>
      </c>
    </row>
    <row r="1197" spans="42:46">
      <c r="AP1197">
        <v>132850</v>
      </c>
      <c r="AQ1197" t="e">
        <v>#N/A</v>
      </c>
      <c r="AR1197" t="e">
        <v>#N/A</v>
      </c>
      <c r="AS1197" t="e">
        <v>#N/A</v>
      </c>
      <c r="AT1197" t="e">
        <v>#N/A</v>
      </c>
    </row>
    <row r="1198" spans="42:46">
      <c r="AP1198">
        <v>132900</v>
      </c>
      <c r="AQ1198" t="e">
        <v>#N/A</v>
      </c>
      <c r="AR1198" t="e">
        <v>#N/A</v>
      </c>
      <c r="AS1198" t="e">
        <v>#N/A</v>
      </c>
      <c r="AT1198" t="e">
        <v>#N/A</v>
      </c>
    </row>
    <row r="1199" spans="42:46">
      <c r="AP1199">
        <v>132950</v>
      </c>
      <c r="AQ1199" t="e">
        <v>#N/A</v>
      </c>
      <c r="AR1199" t="e">
        <v>#N/A</v>
      </c>
      <c r="AS1199" t="e">
        <v>#N/A</v>
      </c>
      <c r="AT1199" t="e">
        <v>#N/A</v>
      </c>
    </row>
    <row r="1200" spans="42:46">
      <c r="AP1200">
        <v>133000</v>
      </c>
      <c r="AQ1200" t="e">
        <v>#N/A</v>
      </c>
      <c r="AR1200" t="e">
        <v>#N/A</v>
      </c>
      <c r="AS1200" t="e">
        <v>#N/A</v>
      </c>
      <c r="AT1200" t="e">
        <v>#N/A</v>
      </c>
    </row>
    <row r="1201" spans="42:46">
      <c r="AP1201">
        <v>133050</v>
      </c>
      <c r="AQ1201" t="e">
        <v>#N/A</v>
      </c>
      <c r="AR1201" t="e">
        <v>#N/A</v>
      </c>
      <c r="AS1201" t="e">
        <v>#N/A</v>
      </c>
      <c r="AT1201" t="e">
        <v>#N/A</v>
      </c>
    </row>
    <row r="1202" spans="42:46">
      <c r="AP1202">
        <v>133100</v>
      </c>
      <c r="AQ1202" t="e">
        <v>#N/A</v>
      </c>
      <c r="AR1202" t="e">
        <v>#N/A</v>
      </c>
      <c r="AS1202" t="e">
        <v>#N/A</v>
      </c>
      <c r="AT1202" t="e">
        <v>#N/A</v>
      </c>
    </row>
    <row r="1203" spans="42:46">
      <c r="AP1203">
        <v>133150</v>
      </c>
      <c r="AQ1203" t="e">
        <v>#N/A</v>
      </c>
      <c r="AR1203" t="e">
        <v>#N/A</v>
      </c>
      <c r="AS1203" t="e">
        <v>#N/A</v>
      </c>
      <c r="AT1203" t="e">
        <v>#N/A</v>
      </c>
    </row>
    <row r="1204" spans="42:46">
      <c r="AP1204">
        <v>133200</v>
      </c>
      <c r="AQ1204" t="e">
        <v>#N/A</v>
      </c>
      <c r="AR1204" t="e">
        <v>#N/A</v>
      </c>
      <c r="AS1204" t="e">
        <v>#N/A</v>
      </c>
      <c r="AT1204" t="e">
        <v>#N/A</v>
      </c>
    </row>
    <row r="1205" spans="42:46">
      <c r="AP1205">
        <v>133250</v>
      </c>
      <c r="AQ1205" t="e">
        <v>#N/A</v>
      </c>
      <c r="AR1205" t="e">
        <v>#N/A</v>
      </c>
      <c r="AS1205" t="e">
        <v>#N/A</v>
      </c>
      <c r="AT1205" t="e">
        <v>#N/A</v>
      </c>
    </row>
    <row r="1206" spans="42:46">
      <c r="AP1206">
        <v>133300</v>
      </c>
      <c r="AQ1206" t="e">
        <v>#N/A</v>
      </c>
      <c r="AR1206" t="e">
        <v>#N/A</v>
      </c>
      <c r="AS1206" t="e">
        <v>#N/A</v>
      </c>
      <c r="AT1206" t="e">
        <v>#N/A</v>
      </c>
    </row>
    <row r="1207" spans="42:46">
      <c r="AP1207">
        <v>133350</v>
      </c>
      <c r="AQ1207" t="e">
        <v>#N/A</v>
      </c>
      <c r="AR1207" t="e">
        <v>#N/A</v>
      </c>
      <c r="AS1207" t="e">
        <v>#N/A</v>
      </c>
      <c r="AT1207" t="e">
        <v>#N/A</v>
      </c>
    </row>
    <row r="1208" spans="42:46">
      <c r="AP1208">
        <v>133400</v>
      </c>
      <c r="AQ1208" t="e">
        <v>#N/A</v>
      </c>
      <c r="AR1208" t="e">
        <v>#N/A</v>
      </c>
      <c r="AS1208" t="e">
        <v>#N/A</v>
      </c>
      <c r="AT1208" t="e">
        <v>#N/A</v>
      </c>
    </row>
    <row r="1209" spans="42:46">
      <c r="AP1209">
        <v>133450</v>
      </c>
      <c r="AQ1209" t="e">
        <v>#N/A</v>
      </c>
      <c r="AR1209" t="e">
        <v>#N/A</v>
      </c>
      <c r="AS1209" t="e">
        <v>#N/A</v>
      </c>
      <c r="AT1209" t="e">
        <v>#N/A</v>
      </c>
    </row>
    <row r="1210" spans="42:46">
      <c r="AP1210">
        <v>133500</v>
      </c>
      <c r="AQ1210" t="e">
        <v>#N/A</v>
      </c>
      <c r="AR1210" t="e">
        <v>#N/A</v>
      </c>
      <c r="AS1210" t="e">
        <v>#N/A</v>
      </c>
      <c r="AT1210" t="e">
        <v>#N/A</v>
      </c>
    </row>
    <row r="1211" spans="42:46">
      <c r="AP1211">
        <v>133550</v>
      </c>
      <c r="AQ1211" t="e">
        <v>#N/A</v>
      </c>
      <c r="AR1211" t="e">
        <v>#N/A</v>
      </c>
      <c r="AS1211" t="e">
        <v>#N/A</v>
      </c>
      <c r="AT1211" t="e">
        <v>#N/A</v>
      </c>
    </row>
    <row r="1212" spans="42:46">
      <c r="AP1212">
        <v>133600</v>
      </c>
      <c r="AQ1212" t="e">
        <v>#N/A</v>
      </c>
      <c r="AR1212" t="e">
        <v>#N/A</v>
      </c>
      <c r="AS1212" t="e">
        <v>#N/A</v>
      </c>
      <c r="AT1212" t="e">
        <v>#N/A</v>
      </c>
    </row>
    <row r="1213" spans="42:46">
      <c r="AP1213">
        <v>133650</v>
      </c>
      <c r="AQ1213" t="e">
        <v>#N/A</v>
      </c>
      <c r="AR1213" t="e">
        <v>#N/A</v>
      </c>
      <c r="AS1213" t="e">
        <v>#N/A</v>
      </c>
      <c r="AT1213" t="e">
        <v>#N/A</v>
      </c>
    </row>
    <row r="1214" spans="42:46">
      <c r="AP1214">
        <v>133700</v>
      </c>
      <c r="AQ1214" t="e">
        <v>#N/A</v>
      </c>
      <c r="AR1214" t="e">
        <v>#N/A</v>
      </c>
      <c r="AS1214" t="e">
        <v>#N/A</v>
      </c>
      <c r="AT1214" t="e">
        <v>#N/A</v>
      </c>
    </row>
    <row r="1215" spans="42:46">
      <c r="AP1215">
        <v>133750</v>
      </c>
      <c r="AQ1215" t="e">
        <v>#N/A</v>
      </c>
      <c r="AR1215" t="e">
        <v>#N/A</v>
      </c>
      <c r="AS1215" t="e">
        <v>#N/A</v>
      </c>
      <c r="AT1215" t="e">
        <v>#N/A</v>
      </c>
    </row>
    <row r="1216" spans="42:46">
      <c r="AP1216">
        <v>133800</v>
      </c>
      <c r="AQ1216" t="e">
        <v>#N/A</v>
      </c>
      <c r="AR1216" t="e">
        <v>#N/A</v>
      </c>
      <c r="AS1216" t="e">
        <v>#N/A</v>
      </c>
      <c r="AT1216" t="e">
        <v>#N/A</v>
      </c>
    </row>
    <row r="1217" spans="42:46">
      <c r="AP1217">
        <v>133850</v>
      </c>
      <c r="AQ1217" t="e">
        <v>#N/A</v>
      </c>
      <c r="AR1217" t="e">
        <v>#N/A</v>
      </c>
      <c r="AS1217" t="e">
        <v>#N/A</v>
      </c>
      <c r="AT1217" t="e">
        <v>#N/A</v>
      </c>
    </row>
    <row r="1218" spans="42:46">
      <c r="AP1218">
        <v>133900</v>
      </c>
      <c r="AQ1218" t="e">
        <v>#N/A</v>
      </c>
      <c r="AR1218" t="e">
        <v>#N/A</v>
      </c>
      <c r="AS1218" t="e">
        <v>#N/A</v>
      </c>
      <c r="AT1218" t="e">
        <v>#N/A</v>
      </c>
    </row>
    <row r="1219" spans="42:46">
      <c r="AP1219">
        <v>133950</v>
      </c>
      <c r="AQ1219" t="e">
        <v>#N/A</v>
      </c>
      <c r="AR1219" t="e">
        <v>#N/A</v>
      </c>
      <c r="AS1219" t="e">
        <v>#N/A</v>
      </c>
      <c r="AT1219" t="e">
        <v>#N/A</v>
      </c>
    </row>
    <row r="1220" spans="42:46">
      <c r="AP1220">
        <v>134000</v>
      </c>
      <c r="AQ1220" t="e">
        <v>#N/A</v>
      </c>
      <c r="AR1220" t="e">
        <v>#N/A</v>
      </c>
      <c r="AS1220" t="e">
        <v>#N/A</v>
      </c>
      <c r="AT1220" t="e">
        <v>#N/A</v>
      </c>
    </row>
    <row r="1221" spans="42:46">
      <c r="AP1221">
        <v>134050</v>
      </c>
      <c r="AQ1221" t="e">
        <v>#N/A</v>
      </c>
      <c r="AR1221" t="e">
        <v>#N/A</v>
      </c>
      <c r="AS1221" t="e">
        <v>#N/A</v>
      </c>
      <c r="AT1221" t="e">
        <v>#N/A</v>
      </c>
    </row>
    <row r="1222" spans="42:46">
      <c r="AP1222">
        <v>134100</v>
      </c>
      <c r="AQ1222" t="e">
        <v>#N/A</v>
      </c>
      <c r="AR1222" t="e">
        <v>#N/A</v>
      </c>
      <c r="AS1222" t="e">
        <v>#N/A</v>
      </c>
      <c r="AT1222" t="e">
        <v>#N/A</v>
      </c>
    </row>
    <row r="1223" spans="42:46">
      <c r="AP1223">
        <v>134150</v>
      </c>
      <c r="AQ1223" t="e">
        <v>#N/A</v>
      </c>
      <c r="AR1223" t="e">
        <v>#N/A</v>
      </c>
      <c r="AS1223" t="e">
        <v>#N/A</v>
      </c>
      <c r="AT1223" t="e">
        <v>#N/A</v>
      </c>
    </row>
    <row r="1224" spans="42:46">
      <c r="AP1224">
        <v>134200</v>
      </c>
      <c r="AQ1224" t="e">
        <v>#N/A</v>
      </c>
      <c r="AR1224" t="e">
        <v>#N/A</v>
      </c>
      <c r="AS1224" t="e">
        <v>#N/A</v>
      </c>
      <c r="AT1224" t="e">
        <v>#N/A</v>
      </c>
    </row>
    <row r="1225" spans="42:46">
      <c r="AP1225">
        <v>134250</v>
      </c>
      <c r="AQ1225" t="e">
        <v>#N/A</v>
      </c>
      <c r="AR1225" t="e">
        <v>#N/A</v>
      </c>
      <c r="AS1225" t="e">
        <v>#N/A</v>
      </c>
      <c r="AT1225" t="e">
        <v>#N/A</v>
      </c>
    </row>
    <row r="1226" spans="42:46">
      <c r="AP1226">
        <v>134300</v>
      </c>
      <c r="AQ1226" t="e">
        <v>#N/A</v>
      </c>
      <c r="AR1226" t="e">
        <v>#N/A</v>
      </c>
      <c r="AS1226" t="e">
        <v>#N/A</v>
      </c>
      <c r="AT1226" t="e">
        <v>#N/A</v>
      </c>
    </row>
    <row r="1227" spans="42:46">
      <c r="AP1227">
        <v>134350</v>
      </c>
      <c r="AQ1227" t="e">
        <v>#N/A</v>
      </c>
      <c r="AR1227" t="e">
        <v>#N/A</v>
      </c>
      <c r="AS1227" t="e">
        <v>#N/A</v>
      </c>
      <c r="AT1227" t="e">
        <v>#N/A</v>
      </c>
    </row>
    <row r="1228" spans="42:46">
      <c r="AP1228">
        <v>134400</v>
      </c>
      <c r="AQ1228" t="e">
        <v>#N/A</v>
      </c>
      <c r="AR1228" t="e">
        <v>#N/A</v>
      </c>
      <c r="AS1228" t="e">
        <v>#N/A</v>
      </c>
      <c r="AT1228" t="e">
        <v>#N/A</v>
      </c>
    </row>
    <row r="1229" spans="42:46">
      <c r="AP1229">
        <v>134450</v>
      </c>
      <c r="AQ1229" t="e">
        <v>#N/A</v>
      </c>
      <c r="AR1229" t="e">
        <v>#N/A</v>
      </c>
      <c r="AS1229" t="e">
        <v>#N/A</v>
      </c>
      <c r="AT1229" t="e">
        <v>#N/A</v>
      </c>
    </row>
    <row r="1230" spans="42:46">
      <c r="AP1230">
        <v>134500</v>
      </c>
      <c r="AQ1230" t="e">
        <v>#N/A</v>
      </c>
      <c r="AR1230" t="e">
        <v>#N/A</v>
      </c>
      <c r="AS1230" t="e">
        <v>#N/A</v>
      </c>
      <c r="AT1230" t="e">
        <v>#N/A</v>
      </c>
    </row>
    <row r="1231" spans="42:46">
      <c r="AP1231">
        <v>134550</v>
      </c>
      <c r="AQ1231" t="e">
        <v>#N/A</v>
      </c>
      <c r="AR1231" t="e">
        <v>#N/A</v>
      </c>
      <c r="AS1231" t="e">
        <v>#N/A</v>
      </c>
      <c r="AT1231" t="e">
        <v>#N/A</v>
      </c>
    </row>
    <row r="1232" spans="42:46">
      <c r="AP1232">
        <v>134600</v>
      </c>
      <c r="AQ1232" t="e">
        <v>#N/A</v>
      </c>
      <c r="AR1232" t="e">
        <v>#N/A</v>
      </c>
      <c r="AS1232" t="e">
        <v>#N/A</v>
      </c>
      <c r="AT1232" t="e">
        <v>#N/A</v>
      </c>
    </row>
    <row r="1233" spans="42:46">
      <c r="AP1233">
        <v>134650</v>
      </c>
      <c r="AQ1233" t="e">
        <v>#N/A</v>
      </c>
      <c r="AR1233" t="e">
        <v>#N/A</v>
      </c>
      <c r="AS1233" t="e">
        <v>#N/A</v>
      </c>
      <c r="AT1233" t="e">
        <v>#N/A</v>
      </c>
    </row>
    <row r="1234" spans="42:46">
      <c r="AP1234">
        <v>134700</v>
      </c>
      <c r="AQ1234" t="e">
        <v>#N/A</v>
      </c>
      <c r="AR1234" t="e">
        <v>#N/A</v>
      </c>
      <c r="AS1234" t="e">
        <v>#N/A</v>
      </c>
      <c r="AT1234" t="e">
        <v>#N/A</v>
      </c>
    </row>
    <row r="1235" spans="42:46">
      <c r="AP1235">
        <v>134750</v>
      </c>
      <c r="AQ1235" t="e">
        <v>#N/A</v>
      </c>
      <c r="AR1235" t="e">
        <v>#N/A</v>
      </c>
      <c r="AS1235" t="e">
        <v>#N/A</v>
      </c>
      <c r="AT1235" t="e">
        <v>#N/A</v>
      </c>
    </row>
    <row r="1236" spans="42:46">
      <c r="AP1236">
        <v>134800</v>
      </c>
      <c r="AQ1236" t="e">
        <v>#N/A</v>
      </c>
      <c r="AR1236" t="e">
        <v>#N/A</v>
      </c>
      <c r="AS1236" t="e">
        <v>#N/A</v>
      </c>
      <c r="AT1236" t="e">
        <v>#N/A</v>
      </c>
    </row>
    <row r="1237" spans="42:46">
      <c r="AP1237">
        <v>134850</v>
      </c>
      <c r="AQ1237" t="e">
        <v>#N/A</v>
      </c>
      <c r="AR1237" t="e">
        <v>#N/A</v>
      </c>
      <c r="AS1237" t="e">
        <v>#N/A</v>
      </c>
      <c r="AT1237" t="e">
        <v>#N/A</v>
      </c>
    </row>
    <row r="1238" spans="42:46">
      <c r="AP1238">
        <v>134900</v>
      </c>
      <c r="AQ1238" t="e">
        <v>#N/A</v>
      </c>
      <c r="AR1238" t="e">
        <v>#N/A</v>
      </c>
      <c r="AS1238" t="e">
        <v>#N/A</v>
      </c>
      <c r="AT1238" t="e">
        <v>#N/A</v>
      </c>
    </row>
    <row r="1239" spans="42:46">
      <c r="AP1239">
        <v>134950</v>
      </c>
      <c r="AQ1239" t="e">
        <v>#N/A</v>
      </c>
      <c r="AR1239" t="e">
        <v>#N/A</v>
      </c>
      <c r="AS1239" t="e">
        <v>#N/A</v>
      </c>
      <c r="AT1239" t="e">
        <v>#N/A</v>
      </c>
    </row>
    <row r="1240" spans="42:46">
      <c r="AP1240">
        <v>135000</v>
      </c>
      <c r="AQ1240" t="e">
        <v>#N/A</v>
      </c>
      <c r="AR1240" t="e">
        <v>#N/A</v>
      </c>
      <c r="AS1240" t="e">
        <v>#N/A</v>
      </c>
      <c r="AT1240" t="e">
        <v>#N/A</v>
      </c>
    </row>
    <row r="1241" spans="42:46">
      <c r="AP1241">
        <v>135050</v>
      </c>
      <c r="AQ1241" t="e">
        <v>#N/A</v>
      </c>
      <c r="AR1241" t="e">
        <v>#N/A</v>
      </c>
      <c r="AS1241" t="e">
        <v>#N/A</v>
      </c>
      <c r="AT1241" t="e">
        <v>#N/A</v>
      </c>
    </row>
    <row r="1242" spans="42:46">
      <c r="AP1242">
        <v>135100</v>
      </c>
      <c r="AQ1242" t="e">
        <v>#N/A</v>
      </c>
      <c r="AR1242" t="e">
        <v>#N/A</v>
      </c>
      <c r="AS1242" t="e">
        <v>#N/A</v>
      </c>
      <c r="AT1242" t="e">
        <v>#N/A</v>
      </c>
    </row>
    <row r="1243" spans="42:46">
      <c r="AP1243">
        <v>135150</v>
      </c>
      <c r="AQ1243" t="e">
        <v>#N/A</v>
      </c>
      <c r="AR1243" t="e">
        <v>#N/A</v>
      </c>
      <c r="AS1243" t="e">
        <v>#N/A</v>
      </c>
      <c r="AT1243" t="e">
        <v>#N/A</v>
      </c>
    </row>
    <row r="1244" spans="42:46">
      <c r="AP1244">
        <v>135200</v>
      </c>
      <c r="AQ1244" t="e">
        <v>#N/A</v>
      </c>
      <c r="AR1244" t="e">
        <v>#N/A</v>
      </c>
      <c r="AS1244" t="e">
        <v>#N/A</v>
      </c>
      <c r="AT1244" t="e">
        <v>#N/A</v>
      </c>
    </row>
    <row r="1245" spans="42:46">
      <c r="AP1245">
        <v>135250</v>
      </c>
      <c r="AQ1245" t="e">
        <v>#N/A</v>
      </c>
      <c r="AR1245" t="e">
        <v>#N/A</v>
      </c>
      <c r="AS1245" t="e">
        <v>#N/A</v>
      </c>
      <c r="AT1245" t="e">
        <v>#N/A</v>
      </c>
    </row>
    <row r="1246" spans="42:46">
      <c r="AP1246">
        <v>135300</v>
      </c>
      <c r="AQ1246" t="e">
        <v>#N/A</v>
      </c>
      <c r="AR1246" t="e">
        <v>#N/A</v>
      </c>
      <c r="AS1246" t="e">
        <v>#N/A</v>
      </c>
      <c r="AT1246" t="e">
        <v>#N/A</v>
      </c>
    </row>
    <row r="1247" spans="42:46">
      <c r="AP1247">
        <v>135350</v>
      </c>
      <c r="AQ1247" t="e">
        <v>#N/A</v>
      </c>
      <c r="AR1247" t="e">
        <v>#N/A</v>
      </c>
      <c r="AS1247" t="e">
        <v>#N/A</v>
      </c>
      <c r="AT1247" t="e">
        <v>#N/A</v>
      </c>
    </row>
    <row r="1248" spans="42:46">
      <c r="AP1248">
        <v>135400</v>
      </c>
      <c r="AQ1248" t="e">
        <v>#N/A</v>
      </c>
      <c r="AR1248" t="e">
        <v>#N/A</v>
      </c>
      <c r="AS1248" t="e">
        <v>#N/A</v>
      </c>
      <c r="AT1248" t="e">
        <v>#N/A</v>
      </c>
    </row>
    <row r="1249" spans="42:46">
      <c r="AP1249">
        <v>135450</v>
      </c>
      <c r="AQ1249" t="e">
        <v>#N/A</v>
      </c>
      <c r="AR1249" t="e">
        <v>#N/A</v>
      </c>
      <c r="AS1249" t="e">
        <v>#N/A</v>
      </c>
      <c r="AT1249" t="e">
        <v>#N/A</v>
      </c>
    </row>
    <row r="1250" spans="42:46">
      <c r="AP1250">
        <v>135500</v>
      </c>
      <c r="AQ1250" t="e">
        <v>#N/A</v>
      </c>
      <c r="AR1250" t="e">
        <v>#N/A</v>
      </c>
      <c r="AS1250" t="e">
        <v>#N/A</v>
      </c>
      <c r="AT1250" t="e">
        <v>#N/A</v>
      </c>
    </row>
    <row r="1251" spans="42:46">
      <c r="AP1251">
        <v>135550</v>
      </c>
      <c r="AQ1251" t="e">
        <v>#N/A</v>
      </c>
      <c r="AR1251" t="e">
        <v>#N/A</v>
      </c>
      <c r="AS1251" t="e">
        <v>#N/A</v>
      </c>
      <c r="AT1251" t="e">
        <v>#N/A</v>
      </c>
    </row>
    <row r="1252" spans="42:46">
      <c r="AP1252">
        <v>135600</v>
      </c>
      <c r="AQ1252" t="e">
        <v>#N/A</v>
      </c>
      <c r="AR1252" t="e">
        <v>#N/A</v>
      </c>
      <c r="AS1252" t="e">
        <v>#N/A</v>
      </c>
      <c r="AT1252" t="e">
        <v>#N/A</v>
      </c>
    </row>
    <row r="1253" spans="42:46">
      <c r="AP1253">
        <v>135650</v>
      </c>
      <c r="AQ1253" t="e">
        <v>#N/A</v>
      </c>
      <c r="AR1253" t="e">
        <v>#N/A</v>
      </c>
      <c r="AS1253" t="e">
        <v>#N/A</v>
      </c>
      <c r="AT1253" t="e">
        <v>#N/A</v>
      </c>
    </row>
    <row r="1254" spans="42:46">
      <c r="AP1254">
        <v>135700</v>
      </c>
      <c r="AQ1254" t="e">
        <v>#N/A</v>
      </c>
      <c r="AR1254" t="e">
        <v>#N/A</v>
      </c>
      <c r="AS1254" t="e">
        <v>#N/A</v>
      </c>
      <c r="AT1254" t="e">
        <v>#N/A</v>
      </c>
    </row>
    <row r="1255" spans="42:46">
      <c r="AP1255">
        <v>135750</v>
      </c>
      <c r="AQ1255" t="e">
        <v>#N/A</v>
      </c>
      <c r="AR1255" t="e">
        <v>#N/A</v>
      </c>
      <c r="AS1255" t="e">
        <v>#N/A</v>
      </c>
      <c r="AT1255" t="e">
        <v>#N/A</v>
      </c>
    </row>
    <row r="1256" spans="42:46">
      <c r="AP1256">
        <v>135800</v>
      </c>
      <c r="AQ1256" t="e">
        <v>#N/A</v>
      </c>
      <c r="AR1256" t="e">
        <v>#N/A</v>
      </c>
      <c r="AS1256" t="e">
        <v>#N/A</v>
      </c>
      <c r="AT1256" t="e">
        <v>#N/A</v>
      </c>
    </row>
    <row r="1257" spans="42:46">
      <c r="AP1257">
        <v>135850</v>
      </c>
      <c r="AQ1257" t="e">
        <v>#N/A</v>
      </c>
      <c r="AR1257" t="e">
        <v>#N/A</v>
      </c>
      <c r="AS1257" t="e">
        <v>#N/A</v>
      </c>
      <c r="AT1257" t="e">
        <v>#N/A</v>
      </c>
    </row>
    <row r="1258" spans="42:46">
      <c r="AP1258">
        <v>135900</v>
      </c>
      <c r="AQ1258" t="e">
        <v>#N/A</v>
      </c>
      <c r="AR1258" t="e">
        <v>#N/A</v>
      </c>
      <c r="AS1258" t="e">
        <v>#N/A</v>
      </c>
      <c r="AT1258" t="e">
        <v>#N/A</v>
      </c>
    </row>
    <row r="1259" spans="42:46">
      <c r="AP1259">
        <v>135950</v>
      </c>
      <c r="AQ1259" t="e">
        <v>#N/A</v>
      </c>
      <c r="AR1259" t="e">
        <v>#N/A</v>
      </c>
      <c r="AS1259" t="e">
        <v>#N/A</v>
      </c>
      <c r="AT1259" t="e">
        <v>#N/A</v>
      </c>
    </row>
    <row r="1260" spans="42:46">
      <c r="AP1260">
        <v>136000</v>
      </c>
      <c r="AQ1260" t="e">
        <v>#N/A</v>
      </c>
      <c r="AR1260" t="e">
        <v>#N/A</v>
      </c>
      <c r="AS1260" t="e">
        <v>#N/A</v>
      </c>
      <c r="AT1260" t="e">
        <v>#N/A</v>
      </c>
    </row>
    <row r="1261" spans="42:46">
      <c r="AP1261">
        <v>136050</v>
      </c>
      <c r="AQ1261" t="e">
        <v>#N/A</v>
      </c>
      <c r="AR1261" t="e">
        <v>#N/A</v>
      </c>
      <c r="AS1261" t="e">
        <v>#N/A</v>
      </c>
      <c r="AT1261" t="e">
        <v>#N/A</v>
      </c>
    </row>
    <row r="1262" spans="42:46">
      <c r="AP1262">
        <v>136100</v>
      </c>
      <c r="AQ1262" t="e">
        <v>#N/A</v>
      </c>
      <c r="AR1262" t="e">
        <v>#N/A</v>
      </c>
      <c r="AS1262" t="e">
        <v>#N/A</v>
      </c>
      <c r="AT1262" t="e">
        <v>#N/A</v>
      </c>
    </row>
    <row r="1263" spans="42:46">
      <c r="AP1263">
        <v>136150</v>
      </c>
      <c r="AQ1263" t="e">
        <v>#N/A</v>
      </c>
      <c r="AR1263" t="e">
        <v>#N/A</v>
      </c>
      <c r="AS1263" t="e">
        <v>#N/A</v>
      </c>
      <c r="AT1263" t="e">
        <v>#N/A</v>
      </c>
    </row>
    <row r="1264" spans="42:46">
      <c r="AP1264">
        <v>136200</v>
      </c>
      <c r="AQ1264" t="e">
        <v>#N/A</v>
      </c>
      <c r="AR1264" t="e">
        <v>#N/A</v>
      </c>
      <c r="AS1264" t="e">
        <v>#N/A</v>
      </c>
      <c r="AT1264" t="e">
        <v>#N/A</v>
      </c>
    </row>
    <row r="1265" spans="42:46">
      <c r="AP1265">
        <v>136250</v>
      </c>
      <c r="AQ1265" t="e">
        <v>#N/A</v>
      </c>
      <c r="AR1265" t="e">
        <v>#N/A</v>
      </c>
      <c r="AS1265" t="e">
        <v>#N/A</v>
      </c>
      <c r="AT1265" t="e">
        <v>#N/A</v>
      </c>
    </row>
    <row r="1266" spans="42:46">
      <c r="AP1266">
        <v>136300</v>
      </c>
      <c r="AQ1266" t="e">
        <v>#N/A</v>
      </c>
      <c r="AR1266" t="e">
        <v>#N/A</v>
      </c>
      <c r="AS1266" t="e">
        <v>#N/A</v>
      </c>
      <c r="AT1266" t="e">
        <v>#N/A</v>
      </c>
    </row>
    <row r="1267" spans="42:46">
      <c r="AP1267">
        <v>136350</v>
      </c>
      <c r="AQ1267" t="e">
        <v>#N/A</v>
      </c>
      <c r="AR1267" t="e">
        <v>#N/A</v>
      </c>
      <c r="AS1267" t="e">
        <v>#N/A</v>
      </c>
      <c r="AT1267" t="e">
        <v>#N/A</v>
      </c>
    </row>
    <row r="1268" spans="42:46">
      <c r="AP1268">
        <v>136400</v>
      </c>
      <c r="AQ1268" t="e">
        <v>#N/A</v>
      </c>
      <c r="AR1268" t="e">
        <v>#N/A</v>
      </c>
      <c r="AS1268" t="e">
        <v>#N/A</v>
      </c>
      <c r="AT1268" t="e">
        <v>#N/A</v>
      </c>
    </row>
    <row r="1269" spans="42:46">
      <c r="AP1269">
        <v>136450</v>
      </c>
      <c r="AQ1269" t="e">
        <v>#N/A</v>
      </c>
      <c r="AR1269" t="e">
        <v>#N/A</v>
      </c>
      <c r="AS1269" t="e">
        <v>#N/A</v>
      </c>
      <c r="AT1269" t="e">
        <v>#N/A</v>
      </c>
    </row>
    <row r="1270" spans="42:46">
      <c r="AP1270">
        <v>136500</v>
      </c>
      <c r="AQ1270" t="e">
        <v>#N/A</v>
      </c>
      <c r="AR1270" t="e">
        <v>#N/A</v>
      </c>
      <c r="AS1270" t="e">
        <v>#N/A</v>
      </c>
      <c r="AT1270" t="e">
        <v>#N/A</v>
      </c>
    </row>
    <row r="1271" spans="42:46">
      <c r="AP1271">
        <v>136550</v>
      </c>
      <c r="AQ1271" t="e">
        <v>#N/A</v>
      </c>
      <c r="AR1271" t="e">
        <v>#N/A</v>
      </c>
      <c r="AS1271" t="e">
        <v>#N/A</v>
      </c>
      <c r="AT1271" t="e">
        <v>#N/A</v>
      </c>
    </row>
    <row r="1272" spans="42:46">
      <c r="AP1272">
        <v>136600</v>
      </c>
      <c r="AQ1272" t="e">
        <v>#N/A</v>
      </c>
      <c r="AR1272" t="e">
        <v>#N/A</v>
      </c>
      <c r="AS1272" t="e">
        <v>#N/A</v>
      </c>
      <c r="AT1272" t="e">
        <v>#N/A</v>
      </c>
    </row>
    <row r="1273" spans="42:46">
      <c r="AP1273">
        <v>136650</v>
      </c>
      <c r="AQ1273" t="e">
        <v>#N/A</v>
      </c>
      <c r="AR1273" t="e">
        <v>#N/A</v>
      </c>
      <c r="AS1273" t="e">
        <v>#N/A</v>
      </c>
      <c r="AT1273" t="e">
        <v>#N/A</v>
      </c>
    </row>
    <row r="1274" spans="42:46">
      <c r="AP1274">
        <v>136700</v>
      </c>
      <c r="AQ1274" t="e">
        <v>#N/A</v>
      </c>
      <c r="AR1274" t="e">
        <v>#N/A</v>
      </c>
      <c r="AS1274" t="e">
        <v>#N/A</v>
      </c>
      <c r="AT1274" t="e">
        <v>#N/A</v>
      </c>
    </row>
    <row r="1275" spans="42:46">
      <c r="AP1275">
        <v>136750</v>
      </c>
      <c r="AQ1275" t="e">
        <v>#N/A</v>
      </c>
      <c r="AR1275" t="e">
        <v>#N/A</v>
      </c>
      <c r="AS1275" t="e">
        <v>#N/A</v>
      </c>
      <c r="AT1275" t="e">
        <v>#N/A</v>
      </c>
    </row>
    <row r="1276" spans="42:46">
      <c r="AP1276">
        <v>136800</v>
      </c>
      <c r="AQ1276" t="e">
        <v>#N/A</v>
      </c>
      <c r="AR1276" t="e">
        <v>#N/A</v>
      </c>
      <c r="AS1276" t="e">
        <v>#N/A</v>
      </c>
      <c r="AT1276" t="e">
        <v>#N/A</v>
      </c>
    </row>
    <row r="1277" spans="42:46">
      <c r="AP1277">
        <v>136850</v>
      </c>
      <c r="AQ1277" t="e">
        <v>#N/A</v>
      </c>
      <c r="AR1277" t="e">
        <v>#N/A</v>
      </c>
      <c r="AS1277" t="e">
        <v>#N/A</v>
      </c>
      <c r="AT1277" t="e">
        <v>#N/A</v>
      </c>
    </row>
    <row r="1278" spans="42:46">
      <c r="AP1278">
        <v>136900</v>
      </c>
      <c r="AQ1278" t="e">
        <v>#N/A</v>
      </c>
      <c r="AR1278" t="e">
        <v>#N/A</v>
      </c>
      <c r="AS1278" t="e">
        <v>#N/A</v>
      </c>
      <c r="AT1278" t="e">
        <v>#N/A</v>
      </c>
    </row>
    <row r="1279" spans="42:46">
      <c r="AP1279">
        <v>136950</v>
      </c>
      <c r="AQ1279" t="e">
        <v>#N/A</v>
      </c>
      <c r="AR1279" t="e">
        <v>#N/A</v>
      </c>
      <c r="AS1279" t="e">
        <v>#N/A</v>
      </c>
      <c r="AT1279" t="e">
        <v>#N/A</v>
      </c>
    </row>
    <row r="1280" spans="42:46">
      <c r="AP1280">
        <v>137000</v>
      </c>
      <c r="AQ1280" t="e">
        <v>#N/A</v>
      </c>
      <c r="AR1280" t="e">
        <v>#N/A</v>
      </c>
      <c r="AS1280" t="e">
        <v>#N/A</v>
      </c>
      <c r="AT1280" t="e">
        <v>#N/A</v>
      </c>
    </row>
    <row r="1281" spans="42:46">
      <c r="AP1281">
        <v>137050</v>
      </c>
      <c r="AQ1281" t="e">
        <v>#N/A</v>
      </c>
      <c r="AR1281" t="e">
        <v>#N/A</v>
      </c>
      <c r="AS1281" t="e">
        <v>#N/A</v>
      </c>
      <c r="AT1281" t="e">
        <v>#N/A</v>
      </c>
    </row>
    <row r="1282" spans="42:46">
      <c r="AP1282">
        <v>137100</v>
      </c>
      <c r="AQ1282" t="e">
        <v>#N/A</v>
      </c>
      <c r="AR1282" t="e">
        <v>#N/A</v>
      </c>
      <c r="AS1282" t="e">
        <v>#N/A</v>
      </c>
      <c r="AT1282" t="e">
        <v>#N/A</v>
      </c>
    </row>
    <row r="1283" spans="42:46">
      <c r="AP1283">
        <v>137150</v>
      </c>
      <c r="AQ1283" t="e">
        <v>#N/A</v>
      </c>
      <c r="AR1283" t="e">
        <v>#N/A</v>
      </c>
      <c r="AS1283" t="e">
        <v>#N/A</v>
      </c>
      <c r="AT1283" t="e">
        <v>#N/A</v>
      </c>
    </row>
    <row r="1284" spans="42:46">
      <c r="AP1284">
        <v>137200</v>
      </c>
      <c r="AQ1284" t="e">
        <v>#N/A</v>
      </c>
      <c r="AR1284" t="e">
        <v>#N/A</v>
      </c>
      <c r="AS1284" t="e">
        <v>#N/A</v>
      </c>
      <c r="AT1284" t="e">
        <v>#N/A</v>
      </c>
    </row>
    <row r="1285" spans="42:46">
      <c r="AP1285">
        <v>137250</v>
      </c>
      <c r="AQ1285" t="e">
        <v>#N/A</v>
      </c>
      <c r="AR1285" t="e">
        <v>#N/A</v>
      </c>
      <c r="AS1285" t="e">
        <v>#N/A</v>
      </c>
      <c r="AT1285" t="e">
        <v>#N/A</v>
      </c>
    </row>
    <row r="1286" spans="42:46">
      <c r="AP1286">
        <v>137300</v>
      </c>
      <c r="AQ1286" t="e">
        <v>#N/A</v>
      </c>
      <c r="AR1286" t="e">
        <v>#N/A</v>
      </c>
      <c r="AS1286" t="e">
        <v>#N/A</v>
      </c>
      <c r="AT1286" t="e">
        <v>#N/A</v>
      </c>
    </row>
    <row r="1287" spans="42:46">
      <c r="AP1287">
        <v>137350</v>
      </c>
      <c r="AQ1287" t="e">
        <v>#N/A</v>
      </c>
      <c r="AR1287" t="e">
        <v>#N/A</v>
      </c>
      <c r="AS1287" t="e">
        <v>#N/A</v>
      </c>
      <c r="AT1287" t="e">
        <v>#N/A</v>
      </c>
    </row>
    <row r="1288" spans="42:46">
      <c r="AP1288">
        <v>137400</v>
      </c>
      <c r="AQ1288" t="e">
        <v>#N/A</v>
      </c>
      <c r="AR1288" t="e">
        <v>#N/A</v>
      </c>
      <c r="AS1288" t="e">
        <v>#N/A</v>
      </c>
      <c r="AT1288" t="e">
        <v>#N/A</v>
      </c>
    </row>
    <row r="1289" spans="42:46">
      <c r="AP1289">
        <v>137450</v>
      </c>
      <c r="AQ1289" t="e">
        <v>#N/A</v>
      </c>
      <c r="AR1289" t="e">
        <v>#N/A</v>
      </c>
      <c r="AS1289" t="e">
        <v>#N/A</v>
      </c>
      <c r="AT1289" t="e">
        <v>#N/A</v>
      </c>
    </row>
    <row r="1290" spans="42:46">
      <c r="AP1290">
        <v>137500</v>
      </c>
      <c r="AQ1290" t="e">
        <v>#N/A</v>
      </c>
      <c r="AR1290" t="e">
        <v>#N/A</v>
      </c>
      <c r="AS1290" t="e">
        <v>#N/A</v>
      </c>
      <c r="AT1290" t="e">
        <v>#N/A</v>
      </c>
    </row>
    <row r="1291" spans="42:46">
      <c r="AP1291">
        <v>137550</v>
      </c>
      <c r="AQ1291" t="e">
        <v>#N/A</v>
      </c>
      <c r="AR1291" t="e">
        <v>#N/A</v>
      </c>
      <c r="AS1291" t="e">
        <v>#N/A</v>
      </c>
      <c r="AT1291" t="e">
        <v>#N/A</v>
      </c>
    </row>
    <row r="1292" spans="42:46">
      <c r="AP1292">
        <v>137600</v>
      </c>
      <c r="AQ1292" t="e">
        <v>#N/A</v>
      </c>
      <c r="AR1292" t="e">
        <v>#N/A</v>
      </c>
      <c r="AS1292" t="e">
        <v>#N/A</v>
      </c>
      <c r="AT1292" t="e">
        <v>#N/A</v>
      </c>
    </row>
    <row r="1293" spans="42:46">
      <c r="AP1293">
        <v>137650</v>
      </c>
      <c r="AQ1293" t="e">
        <v>#N/A</v>
      </c>
      <c r="AR1293" t="e">
        <v>#N/A</v>
      </c>
      <c r="AS1293" t="e">
        <v>#N/A</v>
      </c>
      <c r="AT1293" t="e">
        <v>#N/A</v>
      </c>
    </row>
    <row r="1294" spans="42:46">
      <c r="AP1294">
        <v>137700</v>
      </c>
      <c r="AQ1294" t="e">
        <v>#N/A</v>
      </c>
      <c r="AR1294" t="e">
        <v>#N/A</v>
      </c>
      <c r="AS1294" t="e">
        <v>#N/A</v>
      </c>
      <c r="AT1294" t="e">
        <v>#N/A</v>
      </c>
    </row>
    <row r="1295" spans="42:46">
      <c r="AP1295">
        <v>137750</v>
      </c>
      <c r="AQ1295" t="e">
        <v>#N/A</v>
      </c>
      <c r="AR1295" t="e">
        <v>#N/A</v>
      </c>
      <c r="AS1295" t="e">
        <v>#N/A</v>
      </c>
      <c r="AT1295" t="e">
        <v>#N/A</v>
      </c>
    </row>
    <row r="1296" spans="42:46">
      <c r="AP1296">
        <v>137800</v>
      </c>
      <c r="AQ1296" t="e">
        <v>#N/A</v>
      </c>
      <c r="AR1296" t="e">
        <v>#N/A</v>
      </c>
      <c r="AS1296" t="e">
        <v>#N/A</v>
      </c>
      <c r="AT1296" t="e">
        <v>#N/A</v>
      </c>
    </row>
    <row r="1297" spans="42:46">
      <c r="AP1297">
        <v>137850</v>
      </c>
      <c r="AQ1297" t="e">
        <v>#N/A</v>
      </c>
      <c r="AR1297" t="e">
        <v>#N/A</v>
      </c>
      <c r="AS1297" t="e">
        <v>#N/A</v>
      </c>
      <c r="AT1297" t="e">
        <v>#N/A</v>
      </c>
    </row>
    <row r="1298" spans="42:46">
      <c r="AP1298">
        <v>137900</v>
      </c>
      <c r="AQ1298" t="e">
        <v>#N/A</v>
      </c>
      <c r="AR1298" t="e">
        <v>#N/A</v>
      </c>
      <c r="AS1298" t="e">
        <v>#N/A</v>
      </c>
      <c r="AT1298" t="e">
        <v>#N/A</v>
      </c>
    </row>
    <row r="1299" spans="42:46">
      <c r="AP1299">
        <v>137950</v>
      </c>
      <c r="AQ1299" t="e">
        <v>#N/A</v>
      </c>
      <c r="AR1299" t="e">
        <v>#N/A</v>
      </c>
      <c r="AS1299" t="e">
        <v>#N/A</v>
      </c>
      <c r="AT1299" t="e">
        <v>#N/A</v>
      </c>
    </row>
    <row r="1300" spans="42:46">
      <c r="AP1300">
        <v>138000</v>
      </c>
      <c r="AQ1300" t="e">
        <v>#N/A</v>
      </c>
      <c r="AR1300" t="e">
        <v>#N/A</v>
      </c>
      <c r="AS1300" t="e">
        <v>#N/A</v>
      </c>
      <c r="AT1300" t="e">
        <v>#N/A</v>
      </c>
    </row>
    <row r="1301" spans="42:46">
      <c r="AP1301">
        <v>138050</v>
      </c>
      <c r="AQ1301" t="e">
        <v>#N/A</v>
      </c>
      <c r="AR1301" t="e">
        <v>#N/A</v>
      </c>
      <c r="AS1301" t="e">
        <v>#N/A</v>
      </c>
      <c r="AT1301" t="e">
        <v>#N/A</v>
      </c>
    </row>
    <row r="1302" spans="42:46">
      <c r="AP1302">
        <v>138100</v>
      </c>
      <c r="AQ1302" t="e">
        <v>#N/A</v>
      </c>
      <c r="AR1302" t="e">
        <v>#N/A</v>
      </c>
      <c r="AS1302" t="e">
        <v>#N/A</v>
      </c>
      <c r="AT1302" t="e">
        <v>#N/A</v>
      </c>
    </row>
    <row r="1303" spans="42:46">
      <c r="AP1303">
        <v>138150</v>
      </c>
      <c r="AQ1303" t="e">
        <v>#N/A</v>
      </c>
      <c r="AR1303" t="e">
        <v>#N/A</v>
      </c>
      <c r="AS1303" t="e">
        <v>#N/A</v>
      </c>
      <c r="AT1303" t="e">
        <v>#N/A</v>
      </c>
    </row>
    <row r="1304" spans="42:46">
      <c r="AP1304">
        <v>138200</v>
      </c>
      <c r="AQ1304" t="e">
        <v>#N/A</v>
      </c>
      <c r="AR1304" t="e">
        <v>#N/A</v>
      </c>
      <c r="AS1304" t="e">
        <v>#N/A</v>
      </c>
      <c r="AT1304" t="e">
        <v>#N/A</v>
      </c>
    </row>
    <row r="1305" spans="42:46">
      <c r="AP1305">
        <v>138250</v>
      </c>
      <c r="AQ1305" t="e">
        <v>#N/A</v>
      </c>
      <c r="AR1305" t="e">
        <v>#N/A</v>
      </c>
      <c r="AS1305" t="e">
        <v>#N/A</v>
      </c>
      <c r="AT1305" t="e">
        <v>#N/A</v>
      </c>
    </row>
    <row r="1306" spans="42:46">
      <c r="AP1306">
        <v>138300</v>
      </c>
      <c r="AQ1306" t="e">
        <v>#N/A</v>
      </c>
      <c r="AR1306" t="e">
        <v>#N/A</v>
      </c>
      <c r="AS1306" t="e">
        <v>#N/A</v>
      </c>
      <c r="AT1306" t="e">
        <v>#N/A</v>
      </c>
    </row>
    <row r="1307" spans="42:46">
      <c r="AP1307">
        <v>138350</v>
      </c>
      <c r="AQ1307" t="e">
        <v>#N/A</v>
      </c>
      <c r="AR1307" t="e">
        <v>#N/A</v>
      </c>
      <c r="AS1307" t="e">
        <v>#N/A</v>
      </c>
      <c r="AT1307" t="e">
        <v>#N/A</v>
      </c>
    </row>
    <row r="1308" spans="42:46">
      <c r="AP1308">
        <v>138400</v>
      </c>
      <c r="AQ1308" t="e">
        <v>#N/A</v>
      </c>
      <c r="AR1308" t="e">
        <v>#N/A</v>
      </c>
      <c r="AS1308" t="e">
        <v>#N/A</v>
      </c>
      <c r="AT1308" t="e">
        <v>#N/A</v>
      </c>
    </row>
    <row r="1309" spans="42:46">
      <c r="AP1309">
        <v>138450</v>
      </c>
      <c r="AQ1309" t="e">
        <v>#N/A</v>
      </c>
      <c r="AR1309" t="e">
        <v>#N/A</v>
      </c>
      <c r="AS1309" t="e">
        <v>#N/A</v>
      </c>
      <c r="AT1309" t="e">
        <v>#N/A</v>
      </c>
    </row>
    <row r="1310" spans="42:46">
      <c r="AP1310">
        <v>138500</v>
      </c>
      <c r="AQ1310" t="e">
        <v>#N/A</v>
      </c>
      <c r="AR1310" t="e">
        <v>#N/A</v>
      </c>
      <c r="AS1310" t="e">
        <v>#N/A</v>
      </c>
      <c r="AT1310" t="e">
        <v>#N/A</v>
      </c>
    </row>
    <row r="1311" spans="42:46">
      <c r="AP1311">
        <v>138550</v>
      </c>
      <c r="AQ1311" t="e">
        <v>#N/A</v>
      </c>
      <c r="AR1311" t="e">
        <v>#N/A</v>
      </c>
      <c r="AS1311" t="e">
        <v>#N/A</v>
      </c>
      <c r="AT1311" t="e">
        <v>#N/A</v>
      </c>
    </row>
    <row r="1312" spans="42:46">
      <c r="AP1312">
        <v>138600</v>
      </c>
      <c r="AQ1312" t="e">
        <v>#N/A</v>
      </c>
      <c r="AR1312" t="e">
        <v>#N/A</v>
      </c>
      <c r="AS1312" t="e">
        <v>#N/A</v>
      </c>
      <c r="AT1312" t="e">
        <v>#N/A</v>
      </c>
    </row>
    <row r="1313" spans="42:46">
      <c r="AP1313">
        <v>138650</v>
      </c>
      <c r="AQ1313" t="e">
        <v>#N/A</v>
      </c>
      <c r="AR1313" t="e">
        <v>#N/A</v>
      </c>
      <c r="AS1313" t="e">
        <v>#N/A</v>
      </c>
      <c r="AT1313" t="e">
        <v>#N/A</v>
      </c>
    </row>
    <row r="1314" spans="42:46">
      <c r="AP1314">
        <v>138700</v>
      </c>
      <c r="AQ1314" t="e">
        <v>#N/A</v>
      </c>
      <c r="AR1314" t="e">
        <v>#N/A</v>
      </c>
      <c r="AS1314" t="e">
        <v>#N/A</v>
      </c>
      <c r="AT1314" t="e">
        <v>#N/A</v>
      </c>
    </row>
    <row r="1315" spans="42:46">
      <c r="AP1315">
        <v>138750</v>
      </c>
      <c r="AQ1315" t="e">
        <v>#N/A</v>
      </c>
      <c r="AR1315" t="e">
        <v>#N/A</v>
      </c>
      <c r="AS1315" t="e">
        <v>#N/A</v>
      </c>
      <c r="AT1315" t="e">
        <v>#N/A</v>
      </c>
    </row>
    <row r="1316" spans="42:46">
      <c r="AP1316">
        <v>138800</v>
      </c>
      <c r="AQ1316" t="e">
        <v>#N/A</v>
      </c>
      <c r="AR1316" t="e">
        <v>#N/A</v>
      </c>
      <c r="AS1316" t="e">
        <v>#N/A</v>
      </c>
      <c r="AT1316" t="e">
        <v>#N/A</v>
      </c>
    </row>
    <row r="1317" spans="42:46">
      <c r="AP1317">
        <v>138850</v>
      </c>
      <c r="AQ1317" t="e">
        <v>#N/A</v>
      </c>
      <c r="AR1317" t="e">
        <v>#N/A</v>
      </c>
      <c r="AS1317" t="e">
        <v>#N/A</v>
      </c>
      <c r="AT1317" t="e">
        <v>#N/A</v>
      </c>
    </row>
    <row r="1318" spans="42:46">
      <c r="AP1318">
        <v>138900</v>
      </c>
      <c r="AQ1318" t="e">
        <v>#N/A</v>
      </c>
      <c r="AR1318" t="e">
        <v>#N/A</v>
      </c>
      <c r="AS1318" t="e">
        <v>#N/A</v>
      </c>
      <c r="AT1318" t="e">
        <v>#N/A</v>
      </c>
    </row>
    <row r="1319" spans="42:46">
      <c r="AP1319">
        <v>138950</v>
      </c>
      <c r="AQ1319" t="e">
        <v>#N/A</v>
      </c>
      <c r="AR1319" t="e">
        <v>#N/A</v>
      </c>
      <c r="AS1319" t="e">
        <v>#N/A</v>
      </c>
      <c r="AT1319" t="e">
        <v>#N/A</v>
      </c>
    </row>
    <row r="1320" spans="42:46">
      <c r="AP1320">
        <v>139000</v>
      </c>
      <c r="AQ1320" t="e">
        <v>#N/A</v>
      </c>
      <c r="AR1320" t="e">
        <v>#N/A</v>
      </c>
      <c r="AS1320" t="e">
        <v>#N/A</v>
      </c>
      <c r="AT1320" t="e">
        <v>#N/A</v>
      </c>
    </row>
    <row r="1321" spans="42:46">
      <c r="AP1321">
        <v>139050</v>
      </c>
      <c r="AQ1321" t="e">
        <v>#N/A</v>
      </c>
      <c r="AR1321" t="e">
        <v>#N/A</v>
      </c>
      <c r="AS1321" t="e">
        <v>#N/A</v>
      </c>
      <c r="AT1321" t="e">
        <v>#N/A</v>
      </c>
    </row>
    <row r="1322" spans="42:46">
      <c r="AP1322">
        <v>139100</v>
      </c>
      <c r="AQ1322" t="e">
        <v>#N/A</v>
      </c>
      <c r="AR1322" t="e">
        <v>#N/A</v>
      </c>
      <c r="AS1322" t="e">
        <v>#N/A</v>
      </c>
      <c r="AT1322" t="e">
        <v>#N/A</v>
      </c>
    </row>
    <row r="1323" spans="42:46">
      <c r="AP1323">
        <v>139150</v>
      </c>
      <c r="AQ1323" t="e">
        <v>#N/A</v>
      </c>
      <c r="AR1323" t="e">
        <v>#N/A</v>
      </c>
      <c r="AS1323" t="e">
        <v>#N/A</v>
      </c>
      <c r="AT1323" t="e">
        <v>#N/A</v>
      </c>
    </row>
    <row r="1324" spans="42:46">
      <c r="AP1324">
        <v>139200</v>
      </c>
      <c r="AQ1324" t="e">
        <v>#N/A</v>
      </c>
      <c r="AR1324" t="e">
        <v>#N/A</v>
      </c>
      <c r="AS1324" t="e">
        <v>#N/A</v>
      </c>
      <c r="AT1324" t="e">
        <v>#N/A</v>
      </c>
    </row>
    <row r="1325" spans="42:46">
      <c r="AP1325">
        <v>139250</v>
      </c>
      <c r="AQ1325" t="e">
        <v>#N/A</v>
      </c>
      <c r="AR1325" t="e">
        <v>#N/A</v>
      </c>
      <c r="AS1325" t="e">
        <v>#N/A</v>
      </c>
      <c r="AT1325" t="e">
        <v>#N/A</v>
      </c>
    </row>
    <row r="1326" spans="42:46">
      <c r="AP1326">
        <v>139300</v>
      </c>
      <c r="AQ1326" t="e">
        <v>#N/A</v>
      </c>
      <c r="AR1326" t="e">
        <v>#N/A</v>
      </c>
      <c r="AS1326" t="e">
        <v>#N/A</v>
      </c>
      <c r="AT1326" t="e">
        <v>#N/A</v>
      </c>
    </row>
    <row r="1327" spans="42:46">
      <c r="AP1327">
        <v>139350</v>
      </c>
      <c r="AQ1327" t="e">
        <v>#N/A</v>
      </c>
      <c r="AR1327" t="e">
        <v>#N/A</v>
      </c>
      <c r="AS1327" t="e">
        <v>#N/A</v>
      </c>
      <c r="AT1327" t="e">
        <v>#N/A</v>
      </c>
    </row>
    <row r="1328" spans="42:46">
      <c r="AP1328">
        <v>139400</v>
      </c>
      <c r="AQ1328" t="e">
        <v>#N/A</v>
      </c>
      <c r="AR1328" t="e">
        <v>#N/A</v>
      </c>
      <c r="AS1328" t="e">
        <v>#N/A</v>
      </c>
      <c r="AT1328" t="e">
        <v>#N/A</v>
      </c>
    </row>
    <row r="1329" spans="42:46">
      <c r="AP1329">
        <v>139450</v>
      </c>
      <c r="AQ1329" t="e">
        <v>#N/A</v>
      </c>
      <c r="AR1329" t="e">
        <v>#N/A</v>
      </c>
      <c r="AS1329" t="e">
        <v>#N/A</v>
      </c>
      <c r="AT1329" t="e">
        <v>#N/A</v>
      </c>
    </row>
    <row r="1330" spans="42:46">
      <c r="AP1330">
        <v>139500</v>
      </c>
      <c r="AQ1330" t="e">
        <v>#N/A</v>
      </c>
      <c r="AR1330" t="e">
        <v>#N/A</v>
      </c>
      <c r="AS1330" t="e">
        <v>#N/A</v>
      </c>
      <c r="AT1330" t="e">
        <v>#N/A</v>
      </c>
    </row>
    <row r="1331" spans="42:46">
      <c r="AP1331">
        <v>139550</v>
      </c>
      <c r="AQ1331" t="e">
        <v>#N/A</v>
      </c>
      <c r="AR1331" t="e">
        <v>#N/A</v>
      </c>
      <c r="AS1331" t="e">
        <v>#N/A</v>
      </c>
      <c r="AT1331" t="e">
        <v>#N/A</v>
      </c>
    </row>
    <row r="1332" spans="42:46">
      <c r="AP1332">
        <v>139600</v>
      </c>
      <c r="AQ1332" t="e">
        <v>#N/A</v>
      </c>
      <c r="AR1332" t="e">
        <v>#N/A</v>
      </c>
      <c r="AS1332" t="e">
        <v>#N/A</v>
      </c>
      <c r="AT1332" t="e">
        <v>#N/A</v>
      </c>
    </row>
    <row r="1333" spans="42:46">
      <c r="AP1333">
        <v>139650</v>
      </c>
      <c r="AQ1333" t="e">
        <v>#N/A</v>
      </c>
      <c r="AR1333" t="e">
        <v>#N/A</v>
      </c>
      <c r="AS1333" t="e">
        <v>#N/A</v>
      </c>
      <c r="AT1333" t="e">
        <v>#N/A</v>
      </c>
    </row>
    <row r="1334" spans="42:46">
      <c r="AP1334">
        <v>139700</v>
      </c>
      <c r="AQ1334" t="e">
        <v>#N/A</v>
      </c>
      <c r="AR1334" t="e">
        <v>#N/A</v>
      </c>
      <c r="AS1334" t="e">
        <v>#N/A</v>
      </c>
      <c r="AT1334" t="e">
        <v>#N/A</v>
      </c>
    </row>
    <row r="1335" spans="42:46">
      <c r="AP1335">
        <v>139750</v>
      </c>
      <c r="AQ1335" t="e">
        <v>#N/A</v>
      </c>
      <c r="AR1335" t="e">
        <v>#N/A</v>
      </c>
      <c r="AS1335" t="e">
        <v>#N/A</v>
      </c>
      <c r="AT1335" t="e">
        <v>#N/A</v>
      </c>
    </row>
    <row r="1336" spans="42:46">
      <c r="AP1336">
        <v>139800</v>
      </c>
      <c r="AQ1336" t="e">
        <v>#N/A</v>
      </c>
      <c r="AR1336" t="e">
        <v>#N/A</v>
      </c>
      <c r="AS1336" t="e">
        <v>#N/A</v>
      </c>
      <c r="AT1336" t="e">
        <v>#N/A</v>
      </c>
    </row>
    <row r="1337" spans="42:46">
      <c r="AP1337">
        <v>139850</v>
      </c>
      <c r="AQ1337" t="e">
        <v>#N/A</v>
      </c>
      <c r="AR1337" t="e">
        <v>#N/A</v>
      </c>
      <c r="AS1337" t="e">
        <v>#N/A</v>
      </c>
      <c r="AT1337" t="e">
        <v>#N/A</v>
      </c>
    </row>
    <row r="1338" spans="42:46">
      <c r="AP1338">
        <v>139900</v>
      </c>
      <c r="AQ1338" t="e">
        <v>#N/A</v>
      </c>
      <c r="AR1338" t="e">
        <v>#N/A</v>
      </c>
      <c r="AS1338" t="e">
        <v>#N/A</v>
      </c>
      <c r="AT1338" t="e">
        <v>#N/A</v>
      </c>
    </row>
    <row r="1339" spans="42:46">
      <c r="AP1339">
        <v>139950</v>
      </c>
      <c r="AQ1339" t="e">
        <v>#N/A</v>
      </c>
      <c r="AR1339" t="e">
        <v>#N/A</v>
      </c>
      <c r="AS1339" t="e">
        <v>#N/A</v>
      </c>
      <c r="AT1339" t="e">
        <v>#N/A</v>
      </c>
    </row>
    <row r="1340" spans="42:46">
      <c r="AP1340">
        <v>140000</v>
      </c>
      <c r="AQ1340" t="e">
        <v>#N/A</v>
      </c>
      <c r="AR1340" t="e">
        <v>#N/A</v>
      </c>
      <c r="AS1340" t="e">
        <v>#N/A</v>
      </c>
      <c r="AT1340" t="e">
        <v>#N/A</v>
      </c>
    </row>
    <row r="1341" spans="42:46">
      <c r="AP1341">
        <v>140050</v>
      </c>
      <c r="AQ1341" t="e">
        <v>#N/A</v>
      </c>
      <c r="AR1341" t="e">
        <v>#N/A</v>
      </c>
      <c r="AS1341" t="e">
        <v>#N/A</v>
      </c>
      <c r="AT1341" t="e">
        <v>#N/A</v>
      </c>
    </row>
    <row r="1342" spans="42:46">
      <c r="AP1342">
        <v>140100</v>
      </c>
      <c r="AQ1342" t="e">
        <v>#N/A</v>
      </c>
      <c r="AR1342" t="e">
        <v>#N/A</v>
      </c>
      <c r="AS1342" t="e">
        <v>#N/A</v>
      </c>
      <c r="AT1342" t="e">
        <v>#N/A</v>
      </c>
    </row>
    <row r="1343" spans="42:46">
      <c r="AP1343">
        <v>140150</v>
      </c>
      <c r="AQ1343" t="e">
        <v>#N/A</v>
      </c>
      <c r="AR1343" t="e">
        <v>#N/A</v>
      </c>
      <c r="AS1343" t="e">
        <v>#N/A</v>
      </c>
      <c r="AT1343" t="e">
        <v>#N/A</v>
      </c>
    </row>
    <row r="1344" spans="42:46">
      <c r="AP1344">
        <v>140200</v>
      </c>
      <c r="AQ1344" t="e">
        <v>#N/A</v>
      </c>
      <c r="AR1344" t="e">
        <v>#N/A</v>
      </c>
      <c r="AS1344" t="e">
        <v>#N/A</v>
      </c>
      <c r="AT1344" t="e">
        <v>#N/A</v>
      </c>
    </row>
    <row r="1345" spans="42:46">
      <c r="AP1345">
        <v>140250</v>
      </c>
      <c r="AQ1345" t="e">
        <v>#N/A</v>
      </c>
      <c r="AR1345" t="e">
        <v>#N/A</v>
      </c>
      <c r="AS1345" t="e">
        <v>#N/A</v>
      </c>
      <c r="AT1345" t="e">
        <v>#N/A</v>
      </c>
    </row>
    <row r="1346" spans="42:46">
      <c r="AP1346">
        <v>140300</v>
      </c>
      <c r="AQ1346" t="e">
        <v>#N/A</v>
      </c>
      <c r="AR1346" t="e">
        <v>#N/A</v>
      </c>
      <c r="AS1346" t="e">
        <v>#N/A</v>
      </c>
      <c r="AT1346" t="e">
        <v>#N/A</v>
      </c>
    </row>
    <row r="1347" spans="42:46">
      <c r="AP1347">
        <v>140350</v>
      </c>
      <c r="AQ1347" t="e">
        <v>#N/A</v>
      </c>
      <c r="AR1347" t="e">
        <v>#N/A</v>
      </c>
      <c r="AS1347" t="e">
        <v>#N/A</v>
      </c>
      <c r="AT1347" t="e">
        <v>#N/A</v>
      </c>
    </row>
    <row r="1348" spans="42:46">
      <c r="AP1348">
        <v>140400</v>
      </c>
      <c r="AQ1348" t="e">
        <v>#N/A</v>
      </c>
      <c r="AR1348" t="e">
        <v>#N/A</v>
      </c>
      <c r="AS1348" t="e">
        <v>#N/A</v>
      </c>
      <c r="AT1348" t="e">
        <v>#N/A</v>
      </c>
    </row>
    <row r="1349" spans="42:46">
      <c r="AP1349">
        <v>140450</v>
      </c>
      <c r="AQ1349" t="e">
        <v>#N/A</v>
      </c>
      <c r="AR1349" t="e">
        <v>#N/A</v>
      </c>
      <c r="AS1349" t="e">
        <v>#N/A</v>
      </c>
      <c r="AT1349" t="e">
        <v>#N/A</v>
      </c>
    </row>
    <row r="1350" spans="42:46">
      <c r="AP1350">
        <v>140500</v>
      </c>
      <c r="AQ1350" t="e">
        <v>#N/A</v>
      </c>
      <c r="AR1350" t="e">
        <v>#N/A</v>
      </c>
      <c r="AS1350" t="e">
        <v>#N/A</v>
      </c>
      <c r="AT1350" t="e">
        <v>#N/A</v>
      </c>
    </row>
    <row r="1351" spans="42:46">
      <c r="AP1351">
        <v>140550</v>
      </c>
      <c r="AQ1351" t="e">
        <v>#N/A</v>
      </c>
      <c r="AR1351" t="e">
        <v>#N/A</v>
      </c>
      <c r="AS1351" t="e">
        <v>#N/A</v>
      </c>
      <c r="AT1351" t="e">
        <v>#N/A</v>
      </c>
    </row>
    <row r="1352" spans="42:46">
      <c r="AP1352">
        <v>140600</v>
      </c>
      <c r="AQ1352" t="e">
        <v>#N/A</v>
      </c>
      <c r="AR1352" t="e">
        <v>#N/A</v>
      </c>
      <c r="AS1352" t="e">
        <v>#N/A</v>
      </c>
      <c r="AT1352" t="e">
        <v>#N/A</v>
      </c>
    </row>
    <row r="1353" spans="42:46">
      <c r="AP1353">
        <v>140650</v>
      </c>
      <c r="AQ1353" t="e">
        <v>#N/A</v>
      </c>
      <c r="AR1353" t="e">
        <v>#N/A</v>
      </c>
      <c r="AS1353" t="e">
        <v>#N/A</v>
      </c>
      <c r="AT1353" t="e">
        <v>#N/A</v>
      </c>
    </row>
    <row r="1354" spans="42:46">
      <c r="AP1354">
        <v>140700</v>
      </c>
      <c r="AQ1354" t="e">
        <v>#N/A</v>
      </c>
      <c r="AR1354" t="e">
        <v>#N/A</v>
      </c>
      <c r="AS1354" t="e">
        <v>#N/A</v>
      </c>
      <c r="AT1354" t="e">
        <v>#N/A</v>
      </c>
    </row>
    <row r="1355" spans="42:46">
      <c r="AP1355">
        <v>140750</v>
      </c>
      <c r="AQ1355" t="e">
        <v>#N/A</v>
      </c>
      <c r="AR1355" t="e">
        <v>#N/A</v>
      </c>
      <c r="AS1355" t="e">
        <v>#N/A</v>
      </c>
      <c r="AT1355" t="e">
        <v>#N/A</v>
      </c>
    </row>
    <row r="1356" spans="42:46">
      <c r="AP1356">
        <v>140800</v>
      </c>
      <c r="AQ1356" t="e">
        <v>#N/A</v>
      </c>
      <c r="AR1356" t="e">
        <v>#N/A</v>
      </c>
      <c r="AS1356" t="e">
        <v>#N/A</v>
      </c>
      <c r="AT1356" t="e">
        <v>#N/A</v>
      </c>
    </row>
    <row r="1357" spans="42:46">
      <c r="AP1357">
        <v>140850</v>
      </c>
      <c r="AQ1357" t="e">
        <v>#N/A</v>
      </c>
      <c r="AR1357" t="e">
        <v>#N/A</v>
      </c>
      <c r="AS1357" t="e">
        <v>#N/A</v>
      </c>
      <c r="AT1357" t="e">
        <v>#N/A</v>
      </c>
    </row>
    <row r="1358" spans="42:46">
      <c r="AP1358">
        <v>140900</v>
      </c>
      <c r="AQ1358" t="e">
        <v>#N/A</v>
      </c>
      <c r="AR1358" t="e">
        <v>#N/A</v>
      </c>
      <c r="AS1358" t="e">
        <v>#N/A</v>
      </c>
      <c r="AT1358" t="e">
        <v>#N/A</v>
      </c>
    </row>
    <row r="1359" spans="42:46">
      <c r="AP1359">
        <v>140950</v>
      </c>
      <c r="AQ1359" t="e">
        <v>#N/A</v>
      </c>
      <c r="AR1359" t="e">
        <v>#N/A</v>
      </c>
      <c r="AS1359" t="e">
        <v>#N/A</v>
      </c>
      <c r="AT1359" t="e">
        <v>#N/A</v>
      </c>
    </row>
    <row r="1360" spans="42:46">
      <c r="AP1360">
        <v>141000</v>
      </c>
      <c r="AQ1360" t="e">
        <v>#N/A</v>
      </c>
      <c r="AR1360" t="e">
        <v>#N/A</v>
      </c>
      <c r="AS1360" t="e">
        <v>#N/A</v>
      </c>
      <c r="AT1360" t="e">
        <v>#N/A</v>
      </c>
    </row>
    <row r="1361" spans="42:46">
      <c r="AP1361">
        <v>141050</v>
      </c>
      <c r="AQ1361" t="e">
        <v>#N/A</v>
      </c>
      <c r="AR1361" t="e">
        <v>#N/A</v>
      </c>
      <c r="AS1361" t="e">
        <v>#N/A</v>
      </c>
      <c r="AT1361" t="e">
        <v>#N/A</v>
      </c>
    </row>
    <row r="1362" spans="42:46">
      <c r="AP1362">
        <v>141100</v>
      </c>
      <c r="AQ1362" t="e">
        <v>#N/A</v>
      </c>
      <c r="AR1362" t="e">
        <v>#N/A</v>
      </c>
      <c r="AS1362" t="e">
        <v>#N/A</v>
      </c>
      <c r="AT1362" t="e">
        <v>#N/A</v>
      </c>
    </row>
    <row r="1363" spans="42:46">
      <c r="AP1363">
        <v>141150</v>
      </c>
      <c r="AQ1363" t="e">
        <v>#N/A</v>
      </c>
      <c r="AR1363" t="e">
        <v>#N/A</v>
      </c>
      <c r="AS1363" t="e">
        <v>#N/A</v>
      </c>
      <c r="AT1363" t="e">
        <v>#N/A</v>
      </c>
    </row>
    <row r="1364" spans="42:46">
      <c r="AP1364">
        <v>141200</v>
      </c>
      <c r="AQ1364" t="e">
        <v>#N/A</v>
      </c>
      <c r="AR1364" t="e">
        <v>#N/A</v>
      </c>
      <c r="AS1364" t="e">
        <v>#N/A</v>
      </c>
      <c r="AT1364" t="e">
        <v>#N/A</v>
      </c>
    </row>
    <row r="1365" spans="42:46">
      <c r="AP1365">
        <v>141250</v>
      </c>
      <c r="AQ1365" t="e">
        <v>#N/A</v>
      </c>
      <c r="AR1365" t="e">
        <v>#N/A</v>
      </c>
      <c r="AS1365" t="e">
        <v>#N/A</v>
      </c>
      <c r="AT1365" t="e">
        <v>#N/A</v>
      </c>
    </row>
    <row r="1366" spans="42:46">
      <c r="AP1366">
        <v>141300</v>
      </c>
      <c r="AQ1366" t="e">
        <v>#N/A</v>
      </c>
      <c r="AR1366" t="e">
        <v>#N/A</v>
      </c>
      <c r="AS1366" t="e">
        <v>#N/A</v>
      </c>
      <c r="AT1366" t="e">
        <v>#N/A</v>
      </c>
    </row>
    <row r="1367" spans="42:46">
      <c r="AP1367">
        <v>141350</v>
      </c>
      <c r="AQ1367" t="e">
        <v>#N/A</v>
      </c>
      <c r="AR1367" t="e">
        <v>#N/A</v>
      </c>
      <c r="AS1367" t="e">
        <v>#N/A</v>
      </c>
      <c r="AT1367" t="e">
        <v>#N/A</v>
      </c>
    </row>
    <row r="1368" spans="42:46">
      <c r="AP1368">
        <v>141400</v>
      </c>
      <c r="AQ1368" t="e">
        <v>#N/A</v>
      </c>
      <c r="AR1368" t="e">
        <v>#N/A</v>
      </c>
      <c r="AS1368" t="e">
        <v>#N/A</v>
      </c>
      <c r="AT1368" t="e">
        <v>#N/A</v>
      </c>
    </row>
    <row r="1369" spans="42:46">
      <c r="AP1369">
        <v>141450</v>
      </c>
      <c r="AQ1369" t="e">
        <v>#N/A</v>
      </c>
      <c r="AR1369" t="e">
        <v>#N/A</v>
      </c>
      <c r="AS1369" t="e">
        <v>#N/A</v>
      </c>
      <c r="AT1369" t="e">
        <v>#N/A</v>
      </c>
    </row>
    <row r="1370" spans="42:46">
      <c r="AP1370">
        <v>141500</v>
      </c>
      <c r="AQ1370" t="e">
        <v>#N/A</v>
      </c>
      <c r="AR1370" t="e">
        <v>#N/A</v>
      </c>
      <c r="AS1370" t="e">
        <v>#N/A</v>
      </c>
      <c r="AT1370" t="e">
        <v>#N/A</v>
      </c>
    </row>
    <row r="1371" spans="42:46">
      <c r="AP1371">
        <v>141550</v>
      </c>
      <c r="AQ1371" t="e">
        <v>#N/A</v>
      </c>
      <c r="AR1371" t="e">
        <v>#N/A</v>
      </c>
      <c r="AS1371" t="e">
        <v>#N/A</v>
      </c>
      <c r="AT1371" t="e">
        <v>#N/A</v>
      </c>
    </row>
    <row r="1372" spans="42:46">
      <c r="AP1372">
        <v>141600</v>
      </c>
      <c r="AQ1372" t="e">
        <v>#N/A</v>
      </c>
      <c r="AR1372" t="e">
        <v>#N/A</v>
      </c>
      <c r="AS1372" t="e">
        <v>#N/A</v>
      </c>
      <c r="AT1372" t="e">
        <v>#N/A</v>
      </c>
    </row>
    <row r="1373" spans="42:46">
      <c r="AP1373">
        <v>141650</v>
      </c>
      <c r="AQ1373" t="e">
        <v>#N/A</v>
      </c>
      <c r="AR1373" t="e">
        <v>#N/A</v>
      </c>
      <c r="AS1373" t="e">
        <v>#N/A</v>
      </c>
      <c r="AT1373" t="e">
        <v>#N/A</v>
      </c>
    </row>
    <row r="1374" spans="42:46">
      <c r="AP1374">
        <v>141700</v>
      </c>
      <c r="AQ1374" t="e">
        <v>#N/A</v>
      </c>
      <c r="AR1374" t="e">
        <v>#N/A</v>
      </c>
      <c r="AS1374" t="e">
        <v>#N/A</v>
      </c>
      <c r="AT1374" t="e">
        <v>#N/A</v>
      </c>
    </row>
    <row r="1375" spans="42:46">
      <c r="AP1375">
        <v>141750</v>
      </c>
      <c r="AQ1375" t="e">
        <v>#N/A</v>
      </c>
      <c r="AR1375" t="e">
        <v>#N/A</v>
      </c>
      <c r="AS1375" t="e">
        <v>#N/A</v>
      </c>
      <c r="AT1375" t="e">
        <v>#N/A</v>
      </c>
    </row>
    <row r="1376" spans="42:46">
      <c r="AP1376">
        <v>141800</v>
      </c>
      <c r="AQ1376" t="e">
        <v>#N/A</v>
      </c>
      <c r="AR1376" t="e">
        <v>#N/A</v>
      </c>
      <c r="AS1376" t="e">
        <v>#N/A</v>
      </c>
      <c r="AT1376" t="e">
        <v>#N/A</v>
      </c>
    </row>
    <row r="1377" spans="42:46">
      <c r="AP1377">
        <v>141850</v>
      </c>
      <c r="AQ1377" t="e">
        <v>#N/A</v>
      </c>
      <c r="AR1377" t="e">
        <v>#N/A</v>
      </c>
      <c r="AS1377" t="e">
        <v>#N/A</v>
      </c>
      <c r="AT1377" t="e">
        <v>#N/A</v>
      </c>
    </row>
    <row r="1378" spans="42:46">
      <c r="AP1378">
        <v>141900</v>
      </c>
      <c r="AQ1378" t="e">
        <v>#N/A</v>
      </c>
      <c r="AR1378" t="e">
        <v>#N/A</v>
      </c>
      <c r="AS1378" t="e">
        <v>#N/A</v>
      </c>
      <c r="AT1378" t="e">
        <v>#N/A</v>
      </c>
    </row>
    <row r="1379" spans="42:46">
      <c r="AP1379">
        <v>141950</v>
      </c>
      <c r="AQ1379" t="e">
        <v>#N/A</v>
      </c>
      <c r="AR1379" t="e">
        <v>#N/A</v>
      </c>
      <c r="AS1379" t="e">
        <v>#N/A</v>
      </c>
      <c r="AT1379" t="e">
        <v>#N/A</v>
      </c>
    </row>
    <row r="1380" spans="42:46">
      <c r="AP1380">
        <v>142000</v>
      </c>
      <c r="AQ1380" t="e">
        <v>#N/A</v>
      </c>
      <c r="AR1380" t="e">
        <v>#N/A</v>
      </c>
      <c r="AS1380" t="e">
        <v>#N/A</v>
      </c>
      <c r="AT1380" t="e">
        <v>#N/A</v>
      </c>
    </row>
    <row r="1381" spans="42:46">
      <c r="AP1381">
        <v>142050</v>
      </c>
      <c r="AQ1381" t="e">
        <v>#N/A</v>
      </c>
      <c r="AR1381" t="e">
        <v>#N/A</v>
      </c>
      <c r="AS1381" t="e">
        <v>#N/A</v>
      </c>
      <c r="AT1381" t="e">
        <v>#N/A</v>
      </c>
    </row>
    <row r="1382" spans="42:46">
      <c r="AP1382">
        <v>142100</v>
      </c>
      <c r="AQ1382" t="e">
        <v>#N/A</v>
      </c>
      <c r="AR1382" t="e">
        <v>#N/A</v>
      </c>
      <c r="AS1382" t="e">
        <v>#N/A</v>
      </c>
      <c r="AT1382" t="e">
        <v>#N/A</v>
      </c>
    </row>
    <row r="1383" spans="42:46">
      <c r="AP1383">
        <v>142150</v>
      </c>
      <c r="AQ1383" t="e">
        <v>#N/A</v>
      </c>
      <c r="AR1383" t="e">
        <v>#N/A</v>
      </c>
      <c r="AS1383" t="e">
        <v>#N/A</v>
      </c>
      <c r="AT1383" t="e">
        <v>#N/A</v>
      </c>
    </row>
    <row r="1384" spans="42:46">
      <c r="AP1384">
        <v>142200</v>
      </c>
      <c r="AQ1384" t="e">
        <v>#N/A</v>
      </c>
      <c r="AR1384" t="e">
        <v>#N/A</v>
      </c>
      <c r="AS1384" t="e">
        <v>#N/A</v>
      </c>
      <c r="AT1384" t="e">
        <v>#N/A</v>
      </c>
    </row>
    <row r="1385" spans="42:46">
      <c r="AP1385">
        <v>142250</v>
      </c>
      <c r="AQ1385" t="e">
        <v>#N/A</v>
      </c>
      <c r="AR1385" t="e">
        <v>#N/A</v>
      </c>
      <c r="AS1385" t="e">
        <v>#N/A</v>
      </c>
      <c r="AT1385" t="e">
        <v>#N/A</v>
      </c>
    </row>
    <row r="1386" spans="42:46">
      <c r="AP1386">
        <v>142300</v>
      </c>
      <c r="AQ1386" t="e">
        <v>#N/A</v>
      </c>
      <c r="AR1386" t="e">
        <v>#N/A</v>
      </c>
      <c r="AS1386" t="e">
        <v>#N/A</v>
      </c>
      <c r="AT1386" t="e">
        <v>#N/A</v>
      </c>
    </row>
    <row r="1387" spans="42:46">
      <c r="AP1387">
        <v>142350</v>
      </c>
      <c r="AQ1387" t="e">
        <v>#N/A</v>
      </c>
      <c r="AR1387" t="e">
        <v>#N/A</v>
      </c>
      <c r="AS1387" t="e">
        <v>#N/A</v>
      </c>
      <c r="AT1387" t="e">
        <v>#N/A</v>
      </c>
    </row>
    <row r="1388" spans="42:46">
      <c r="AP1388">
        <v>142400</v>
      </c>
      <c r="AQ1388" t="e">
        <v>#N/A</v>
      </c>
      <c r="AR1388" t="e">
        <v>#N/A</v>
      </c>
      <c r="AS1388" t="e">
        <v>#N/A</v>
      </c>
      <c r="AT1388" t="e">
        <v>#N/A</v>
      </c>
    </row>
    <row r="1389" spans="42:46">
      <c r="AP1389">
        <v>142450</v>
      </c>
      <c r="AQ1389" t="e">
        <v>#N/A</v>
      </c>
      <c r="AR1389" t="e">
        <v>#N/A</v>
      </c>
      <c r="AS1389" t="e">
        <v>#N/A</v>
      </c>
      <c r="AT1389" t="e">
        <v>#N/A</v>
      </c>
    </row>
    <row r="1390" spans="42:46">
      <c r="AP1390">
        <v>142500</v>
      </c>
      <c r="AQ1390" t="e">
        <v>#N/A</v>
      </c>
      <c r="AR1390" t="e">
        <v>#N/A</v>
      </c>
      <c r="AS1390" t="e">
        <v>#N/A</v>
      </c>
      <c r="AT1390" t="e">
        <v>#N/A</v>
      </c>
    </row>
    <row r="1391" spans="42:46">
      <c r="AP1391">
        <v>142550</v>
      </c>
      <c r="AQ1391" t="e">
        <v>#N/A</v>
      </c>
      <c r="AR1391" t="e">
        <v>#N/A</v>
      </c>
      <c r="AS1391" t="e">
        <v>#N/A</v>
      </c>
      <c r="AT1391" t="e">
        <v>#N/A</v>
      </c>
    </row>
    <row r="1392" spans="42:46">
      <c r="AP1392">
        <v>142600</v>
      </c>
      <c r="AQ1392" t="e">
        <v>#N/A</v>
      </c>
      <c r="AR1392" t="e">
        <v>#N/A</v>
      </c>
      <c r="AS1392" t="e">
        <v>#N/A</v>
      </c>
      <c r="AT1392" t="e">
        <v>#N/A</v>
      </c>
    </row>
    <row r="1393" spans="42:46">
      <c r="AP1393">
        <v>142650</v>
      </c>
      <c r="AQ1393" t="e">
        <v>#N/A</v>
      </c>
      <c r="AR1393" t="e">
        <v>#N/A</v>
      </c>
      <c r="AS1393" t="e">
        <v>#N/A</v>
      </c>
      <c r="AT1393" t="e">
        <v>#N/A</v>
      </c>
    </row>
    <row r="1394" spans="42:46">
      <c r="AP1394">
        <v>142700</v>
      </c>
      <c r="AQ1394" t="e">
        <v>#N/A</v>
      </c>
      <c r="AR1394" t="e">
        <v>#N/A</v>
      </c>
      <c r="AS1394" t="e">
        <v>#N/A</v>
      </c>
      <c r="AT1394" t="e">
        <v>#N/A</v>
      </c>
    </row>
    <row r="1395" spans="42:46">
      <c r="AP1395">
        <v>142750</v>
      </c>
      <c r="AQ1395" t="e">
        <v>#N/A</v>
      </c>
      <c r="AR1395" t="e">
        <v>#N/A</v>
      </c>
      <c r="AS1395" t="e">
        <v>#N/A</v>
      </c>
      <c r="AT1395" t="e">
        <v>#N/A</v>
      </c>
    </row>
    <row r="1396" spans="42:46">
      <c r="AP1396">
        <v>142800</v>
      </c>
      <c r="AQ1396" t="e">
        <v>#N/A</v>
      </c>
      <c r="AR1396" t="e">
        <v>#N/A</v>
      </c>
      <c r="AS1396" t="e">
        <v>#N/A</v>
      </c>
      <c r="AT1396" t="e">
        <v>#N/A</v>
      </c>
    </row>
    <row r="1397" spans="42:46">
      <c r="AP1397">
        <v>142850</v>
      </c>
      <c r="AQ1397" t="e">
        <v>#N/A</v>
      </c>
      <c r="AR1397" t="e">
        <v>#N/A</v>
      </c>
      <c r="AS1397" t="e">
        <v>#N/A</v>
      </c>
      <c r="AT1397" t="e">
        <v>#N/A</v>
      </c>
    </row>
    <row r="1398" spans="42:46">
      <c r="AP1398">
        <v>142900</v>
      </c>
      <c r="AQ1398" t="e">
        <v>#N/A</v>
      </c>
      <c r="AR1398" t="e">
        <v>#N/A</v>
      </c>
      <c r="AS1398" t="e">
        <v>#N/A</v>
      </c>
      <c r="AT1398" t="e">
        <v>#N/A</v>
      </c>
    </row>
    <row r="1399" spans="42:46">
      <c r="AP1399">
        <v>142950</v>
      </c>
      <c r="AQ1399" t="e">
        <v>#N/A</v>
      </c>
      <c r="AR1399" t="e">
        <v>#N/A</v>
      </c>
      <c r="AS1399" t="e">
        <v>#N/A</v>
      </c>
      <c r="AT1399" t="e">
        <v>#N/A</v>
      </c>
    </row>
    <row r="1400" spans="42:46">
      <c r="AP1400">
        <v>143000</v>
      </c>
      <c r="AQ1400" t="e">
        <v>#N/A</v>
      </c>
      <c r="AR1400" t="e">
        <v>#N/A</v>
      </c>
      <c r="AS1400" t="e">
        <v>#N/A</v>
      </c>
      <c r="AT1400" t="e">
        <v>#N/A</v>
      </c>
    </row>
    <row r="1401" spans="42:46">
      <c r="AP1401">
        <v>143050</v>
      </c>
      <c r="AQ1401" t="e">
        <v>#N/A</v>
      </c>
      <c r="AR1401" t="e">
        <v>#N/A</v>
      </c>
      <c r="AS1401" t="e">
        <v>#N/A</v>
      </c>
      <c r="AT1401" t="e">
        <v>#N/A</v>
      </c>
    </row>
    <row r="1402" spans="42:46">
      <c r="AP1402">
        <v>143100</v>
      </c>
      <c r="AQ1402" t="e">
        <v>#N/A</v>
      </c>
      <c r="AR1402" t="e">
        <v>#N/A</v>
      </c>
      <c r="AS1402" t="e">
        <v>#N/A</v>
      </c>
      <c r="AT1402" t="e">
        <v>#N/A</v>
      </c>
    </row>
    <row r="1403" spans="42:46">
      <c r="AP1403">
        <v>143150</v>
      </c>
      <c r="AQ1403" t="e">
        <v>#N/A</v>
      </c>
      <c r="AR1403" t="e">
        <v>#N/A</v>
      </c>
      <c r="AS1403" t="e">
        <v>#N/A</v>
      </c>
      <c r="AT1403" t="e">
        <v>#N/A</v>
      </c>
    </row>
    <row r="1404" spans="42:46">
      <c r="AP1404">
        <v>143200</v>
      </c>
      <c r="AQ1404" t="e">
        <v>#N/A</v>
      </c>
      <c r="AR1404" t="e">
        <v>#N/A</v>
      </c>
      <c r="AS1404" t="e">
        <v>#N/A</v>
      </c>
      <c r="AT1404" t="e">
        <v>#N/A</v>
      </c>
    </row>
    <row r="1405" spans="42:46">
      <c r="AP1405">
        <v>143250</v>
      </c>
      <c r="AQ1405" t="e">
        <v>#N/A</v>
      </c>
      <c r="AR1405" t="e">
        <v>#N/A</v>
      </c>
      <c r="AS1405" t="e">
        <v>#N/A</v>
      </c>
      <c r="AT1405" t="e">
        <v>#N/A</v>
      </c>
    </row>
    <row r="1406" spans="42:46">
      <c r="AP1406">
        <v>143300</v>
      </c>
      <c r="AQ1406" t="e">
        <v>#N/A</v>
      </c>
      <c r="AR1406" t="e">
        <v>#N/A</v>
      </c>
      <c r="AS1406" t="e">
        <v>#N/A</v>
      </c>
      <c r="AT1406" t="e">
        <v>#N/A</v>
      </c>
    </row>
    <row r="1407" spans="42:46">
      <c r="AP1407">
        <v>143350</v>
      </c>
      <c r="AQ1407" t="e">
        <v>#N/A</v>
      </c>
      <c r="AR1407" t="e">
        <v>#N/A</v>
      </c>
      <c r="AS1407" t="e">
        <v>#N/A</v>
      </c>
      <c r="AT1407" t="e">
        <v>#N/A</v>
      </c>
    </row>
    <row r="1408" spans="42:46">
      <c r="AP1408">
        <v>143400</v>
      </c>
      <c r="AQ1408" t="e">
        <v>#N/A</v>
      </c>
      <c r="AR1408" t="e">
        <v>#N/A</v>
      </c>
      <c r="AS1408" t="e">
        <v>#N/A</v>
      </c>
      <c r="AT1408" t="e">
        <v>#N/A</v>
      </c>
    </row>
    <row r="1409" spans="42:46">
      <c r="AP1409">
        <v>143450</v>
      </c>
      <c r="AQ1409" t="e">
        <v>#N/A</v>
      </c>
      <c r="AR1409" t="e">
        <v>#N/A</v>
      </c>
      <c r="AS1409" t="e">
        <v>#N/A</v>
      </c>
      <c r="AT1409" t="e">
        <v>#N/A</v>
      </c>
    </row>
    <row r="1410" spans="42:46">
      <c r="AP1410">
        <v>143500</v>
      </c>
      <c r="AQ1410" t="e">
        <v>#N/A</v>
      </c>
      <c r="AR1410" t="e">
        <v>#N/A</v>
      </c>
      <c r="AS1410" t="e">
        <v>#N/A</v>
      </c>
      <c r="AT1410" t="e">
        <v>#N/A</v>
      </c>
    </row>
    <row r="1411" spans="42:46">
      <c r="AP1411">
        <v>143550</v>
      </c>
      <c r="AQ1411" t="e">
        <v>#N/A</v>
      </c>
      <c r="AR1411" t="e">
        <v>#N/A</v>
      </c>
      <c r="AS1411" t="e">
        <v>#N/A</v>
      </c>
      <c r="AT1411" t="e">
        <v>#N/A</v>
      </c>
    </row>
    <row r="1412" spans="42:46">
      <c r="AP1412">
        <v>143600</v>
      </c>
      <c r="AQ1412" t="e">
        <v>#N/A</v>
      </c>
      <c r="AR1412" t="e">
        <v>#N/A</v>
      </c>
      <c r="AS1412" t="e">
        <v>#N/A</v>
      </c>
      <c r="AT1412" t="e">
        <v>#N/A</v>
      </c>
    </row>
    <row r="1413" spans="42:46">
      <c r="AP1413">
        <v>143650</v>
      </c>
      <c r="AQ1413" t="e">
        <v>#N/A</v>
      </c>
      <c r="AR1413" t="e">
        <v>#N/A</v>
      </c>
      <c r="AS1413" t="e">
        <v>#N/A</v>
      </c>
      <c r="AT1413" t="e">
        <v>#N/A</v>
      </c>
    </row>
    <row r="1414" spans="42:46">
      <c r="AP1414">
        <v>143700</v>
      </c>
      <c r="AQ1414" t="e">
        <v>#N/A</v>
      </c>
      <c r="AR1414" t="e">
        <v>#N/A</v>
      </c>
      <c r="AS1414" t="e">
        <v>#N/A</v>
      </c>
      <c r="AT1414" t="e">
        <v>#N/A</v>
      </c>
    </row>
    <row r="1415" spans="42:46">
      <c r="AP1415">
        <v>143750</v>
      </c>
      <c r="AQ1415" t="e">
        <v>#N/A</v>
      </c>
      <c r="AR1415" t="e">
        <v>#N/A</v>
      </c>
      <c r="AS1415" t="e">
        <v>#N/A</v>
      </c>
      <c r="AT1415" t="e">
        <v>#N/A</v>
      </c>
    </row>
    <row r="1416" spans="42:46">
      <c r="AP1416">
        <v>143800</v>
      </c>
      <c r="AQ1416" t="e">
        <v>#N/A</v>
      </c>
      <c r="AR1416" t="e">
        <v>#N/A</v>
      </c>
      <c r="AS1416" t="e">
        <v>#N/A</v>
      </c>
      <c r="AT1416" t="e">
        <v>#N/A</v>
      </c>
    </row>
    <row r="1417" spans="42:46">
      <c r="AP1417">
        <v>143850</v>
      </c>
      <c r="AQ1417" t="e">
        <v>#N/A</v>
      </c>
      <c r="AR1417" t="e">
        <v>#N/A</v>
      </c>
      <c r="AS1417" t="e">
        <v>#N/A</v>
      </c>
      <c r="AT1417" t="e">
        <v>#N/A</v>
      </c>
    </row>
    <row r="1418" spans="42:46">
      <c r="AP1418">
        <v>143900</v>
      </c>
      <c r="AQ1418" t="e">
        <v>#N/A</v>
      </c>
      <c r="AR1418" t="e">
        <v>#N/A</v>
      </c>
      <c r="AS1418" t="e">
        <v>#N/A</v>
      </c>
      <c r="AT1418" t="e">
        <v>#N/A</v>
      </c>
    </row>
    <row r="1419" spans="42:46">
      <c r="AP1419">
        <v>143950</v>
      </c>
      <c r="AQ1419" t="e">
        <v>#N/A</v>
      </c>
      <c r="AR1419" t="e">
        <v>#N/A</v>
      </c>
      <c r="AS1419" t="e">
        <v>#N/A</v>
      </c>
      <c r="AT1419" t="e">
        <v>#N/A</v>
      </c>
    </row>
    <row r="1420" spans="42:46">
      <c r="AP1420">
        <v>144000</v>
      </c>
      <c r="AQ1420" t="e">
        <v>#N/A</v>
      </c>
      <c r="AR1420" t="e">
        <v>#N/A</v>
      </c>
      <c r="AS1420" t="e">
        <v>#N/A</v>
      </c>
      <c r="AT1420" t="e">
        <v>#N/A</v>
      </c>
    </row>
    <row r="1421" spans="42:46">
      <c r="AP1421">
        <v>144050</v>
      </c>
      <c r="AQ1421" t="e">
        <v>#N/A</v>
      </c>
      <c r="AR1421" t="e">
        <v>#N/A</v>
      </c>
      <c r="AS1421" t="e">
        <v>#N/A</v>
      </c>
      <c r="AT1421" t="e">
        <v>#N/A</v>
      </c>
    </row>
    <row r="1422" spans="42:46">
      <c r="AP1422">
        <v>144100</v>
      </c>
      <c r="AQ1422" t="e">
        <v>#N/A</v>
      </c>
      <c r="AR1422" t="e">
        <v>#N/A</v>
      </c>
      <c r="AS1422" t="e">
        <v>#N/A</v>
      </c>
      <c r="AT1422" t="e">
        <v>#N/A</v>
      </c>
    </row>
    <row r="1423" spans="42:46">
      <c r="AP1423">
        <v>144150</v>
      </c>
      <c r="AQ1423" t="e">
        <v>#N/A</v>
      </c>
      <c r="AR1423" t="e">
        <v>#N/A</v>
      </c>
      <c r="AS1423" t="e">
        <v>#N/A</v>
      </c>
      <c r="AT1423" t="e">
        <v>#N/A</v>
      </c>
    </row>
    <row r="1424" spans="42:46">
      <c r="AP1424">
        <v>144200</v>
      </c>
      <c r="AQ1424" t="e">
        <v>#N/A</v>
      </c>
      <c r="AR1424" t="e">
        <v>#N/A</v>
      </c>
      <c r="AS1424" t="e">
        <v>#N/A</v>
      </c>
      <c r="AT1424" t="e">
        <v>#N/A</v>
      </c>
    </row>
    <row r="1425" spans="42:46">
      <c r="AP1425">
        <v>144250</v>
      </c>
      <c r="AQ1425" t="e">
        <v>#N/A</v>
      </c>
      <c r="AR1425" t="e">
        <v>#N/A</v>
      </c>
      <c r="AS1425" t="e">
        <v>#N/A</v>
      </c>
      <c r="AT1425" t="e">
        <v>#N/A</v>
      </c>
    </row>
    <row r="1426" spans="42:46">
      <c r="AP1426">
        <v>144300</v>
      </c>
      <c r="AQ1426" t="e">
        <v>#N/A</v>
      </c>
      <c r="AR1426" t="e">
        <v>#N/A</v>
      </c>
      <c r="AS1426" t="e">
        <v>#N/A</v>
      </c>
      <c r="AT1426" t="e">
        <v>#N/A</v>
      </c>
    </row>
    <row r="1427" spans="42:46">
      <c r="AP1427">
        <v>144350</v>
      </c>
      <c r="AQ1427" t="e">
        <v>#N/A</v>
      </c>
      <c r="AR1427" t="e">
        <v>#N/A</v>
      </c>
      <c r="AS1427" t="e">
        <v>#N/A</v>
      </c>
      <c r="AT1427" t="e">
        <v>#N/A</v>
      </c>
    </row>
    <row r="1428" spans="42:46">
      <c r="AP1428">
        <v>144400</v>
      </c>
      <c r="AQ1428" t="e">
        <v>#N/A</v>
      </c>
      <c r="AR1428" t="e">
        <v>#N/A</v>
      </c>
      <c r="AS1428" t="e">
        <v>#N/A</v>
      </c>
      <c r="AT1428" t="e">
        <v>#N/A</v>
      </c>
    </row>
    <row r="1429" spans="42:46">
      <c r="AP1429">
        <v>144450</v>
      </c>
      <c r="AQ1429" t="e">
        <v>#N/A</v>
      </c>
      <c r="AR1429" t="e">
        <v>#N/A</v>
      </c>
      <c r="AS1429" t="e">
        <v>#N/A</v>
      </c>
      <c r="AT1429" t="e">
        <v>#N/A</v>
      </c>
    </row>
    <row r="1430" spans="42:46">
      <c r="AP1430">
        <v>144500</v>
      </c>
      <c r="AQ1430" t="e">
        <v>#N/A</v>
      </c>
      <c r="AR1430" t="e">
        <v>#N/A</v>
      </c>
      <c r="AS1430" t="e">
        <v>#N/A</v>
      </c>
      <c r="AT1430" t="e">
        <v>#N/A</v>
      </c>
    </row>
    <row r="1431" spans="42:46">
      <c r="AP1431">
        <v>144550</v>
      </c>
      <c r="AQ1431" t="e">
        <v>#N/A</v>
      </c>
      <c r="AR1431" t="e">
        <v>#N/A</v>
      </c>
      <c r="AS1431" t="e">
        <v>#N/A</v>
      </c>
      <c r="AT1431" t="e">
        <v>#N/A</v>
      </c>
    </row>
    <row r="1432" spans="42:46">
      <c r="AP1432">
        <v>144600</v>
      </c>
      <c r="AQ1432" t="e">
        <v>#N/A</v>
      </c>
      <c r="AR1432" t="e">
        <v>#N/A</v>
      </c>
      <c r="AS1432" t="e">
        <v>#N/A</v>
      </c>
      <c r="AT1432" t="e">
        <v>#N/A</v>
      </c>
    </row>
    <row r="1433" spans="42:46">
      <c r="AP1433">
        <v>144650</v>
      </c>
      <c r="AQ1433" t="e">
        <v>#N/A</v>
      </c>
      <c r="AR1433" t="e">
        <v>#N/A</v>
      </c>
      <c r="AS1433" t="e">
        <v>#N/A</v>
      </c>
      <c r="AT1433" t="e">
        <v>#N/A</v>
      </c>
    </row>
    <row r="1434" spans="42:46">
      <c r="AP1434">
        <v>144700</v>
      </c>
      <c r="AQ1434" t="e">
        <v>#N/A</v>
      </c>
      <c r="AR1434" t="e">
        <v>#N/A</v>
      </c>
      <c r="AS1434" t="e">
        <v>#N/A</v>
      </c>
      <c r="AT1434" t="e">
        <v>#N/A</v>
      </c>
    </row>
    <row r="1435" spans="42:46">
      <c r="AP1435">
        <v>144750</v>
      </c>
      <c r="AQ1435" t="e">
        <v>#N/A</v>
      </c>
      <c r="AR1435" t="e">
        <v>#N/A</v>
      </c>
      <c r="AS1435" t="e">
        <v>#N/A</v>
      </c>
      <c r="AT1435" t="e">
        <v>#N/A</v>
      </c>
    </row>
    <row r="1436" spans="42:46">
      <c r="AP1436">
        <v>144800</v>
      </c>
      <c r="AQ1436" t="e">
        <v>#N/A</v>
      </c>
      <c r="AR1436" t="e">
        <v>#N/A</v>
      </c>
      <c r="AS1436" t="e">
        <v>#N/A</v>
      </c>
      <c r="AT1436" t="e">
        <v>#N/A</v>
      </c>
    </row>
    <row r="1437" spans="42:46">
      <c r="AP1437">
        <v>144850</v>
      </c>
      <c r="AQ1437" t="e">
        <v>#N/A</v>
      </c>
      <c r="AR1437" t="e">
        <v>#N/A</v>
      </c>
      <c r="AS1437" t="e">
        <v>#N/A</v>
      </c>
      <c r="AT1437" t="e">
        <v>#N/A</v>
      </c>
    </row>
    <row r="1438" spans="42:46">
      <c r="AP1438">
        <v>144900</v>
      </c>
      <c r="AQ1438" t="e">
        <v>#N/A</v>
      </c>
      <c r="AR1438" t="e">
        <v>#N/A</v>
      </c>
      <c r="AS1438" t="e">
        <v>#N/A</v>
      </c>
      <c r="AT1438" t="e">
        <v>#N/A</v>
      </c>
    </row>
    <row r="1439" spans="42:46">
      <c r="AP1439">
        <v>144950</v>
      </c>
      <c r="AQ1439" t="e">
        <v>#N/A</v>
      </c>
      <c r="AR1439" t="e">
        <v>#N/A</v>
      </c>
      <c r="AS1439" t="e">
        <v>#N/A</v>
      </c>
      <c r="AT1439" t="e">
        <v>#N/A</v>
      </c>
    </row>
    <row r="1440" spans="42:46">
      <c r="AP1440">
        <v>145000</v>
      </c>
      <c r="AQ1440" t="e">
        <v>#N/A</v>
      </c>
      <c r="AR1440" t="e">
        <v>#N/A</v>
      </c>
      <c r="AS1440" t="e">
        <v>#N/A</v>
      </c>
      <c r="AT1440" t="e">
        <v>#N/A</v>
      </c>
    </row>
    <row r="1441" spans="42:46">
      <c r="AP1441">
        <v>145050</v>
      </c>
      <c r="AQ1441" t="e">
        <v>#N/A</v>
      </c>
      <c r="AR1441" t="e">
        <v>#N/A</v>
      </c>
      <c r="AS1441" t="e">
        <v>#N/A</v>
      </c>
      <c r="AT1441" t="e">
        <v>#N/A</v>
      </c>
    </row>
    <row r="1442" spans="42:46">
      <c r="AP1442">
        <v>145100</v>
      </c>
      <c r="AQ1442" t="e">
        <v>#N/A</v>
      </c>
      <c r="AR1442" t="e">
        <v>#N/A</v>
      </c>
      <c r="AS1442" t="e">
        <v>#N/A</v>
      </c>
      <c r="AT1442" t="e">
        <v>#N/A</v>
      </c>
    </row>
    <row r="1443" spans="42:46">
      <c r="AP1443">
        <v>145150</v>
      </c>
      <c r="AQ1443" t="e">
        <v>#N/A</v>
      </c>
      <c r="AR1443" t="e">
        <v>#N/A</v>
      </c>
      <c r="AS1443" t="e">
        <v>#N/A</v>
      </c>
      <c r="AT1443" t="e">
        <v>#N/A</v>
      </c>
    </row>
    <row r="1444" spans="42:46">
      <c r="AP1444">
        <v>145200</v>
      </c>
      <c r="AQ1444" t="e">
        <v>#N/A</v>
      </c>
      <c r="AR1444" t="e">
        <v>#N/A</v>
      </c>
      <c r="AS1444" t="e">
        <v>#N/A</v>
      </c>
      <c r="AT1444" t="e">
        <v>#N/A</v>
      </c>
    </row>
    <row r="1445" spans="42:46">
      <c r="AP1445">
        <v>145250</v>
      </c>
      <c r="AQ1445" t="e">
        <v>#N/A</v>
      </c>
      <c r="AR1445" t="e">
        <v>#N/A</v>
      </c>
      <c r="AS1445" t="e">
        <v>#N/A</v>
      </c>
      <c r="AT1445" t="e">
        <v>#N/A</v>
      </c>
    </row>
    <row r="1446" spans="42:46">
      <c r="AP1446">
        <v>145300</v>
      </c>
      <c r="AQ1446" t="e">
        <v>#N/A</v>
      </c>
      <c r="AR1446" t="e">
        <v>#N/A</v>
      </c>
      <c r="AS1446" t="e">
        <v>#N/A</v>
      </c>
      <c r="AT1446" t="e">
        <v>#N/A</v>
      </c>
    </row>
    <row r="1447" spans="42:46">
      <c r="AP1447">
        <v>145350</v>
      </c>
      <c r="AQ1447" t="e">
        <v>#N/A</v>
      </c>
      <c r="AR1447" t="e">
        <v>#N/A</v>
      </c>
      <c r="AS1447" t="e">
        <v>#N/A</v>
      </c>
      <c r="AT1447" t="e">
        <v>#N/A</v>
      </c>
    </row>
    <row r="1448" spans="42:46">
      <c r="AP1448">
        <v>145400</v>
      </c>
      <c r="AQ1448" t="e">
        <v>#N/A</v>
      </c>
      <c r="AR1448" t="e">
        <v>#N/A</v>
      </c>
      <c r="AS1448" t="e">
        <v>#N/A</v>
      </c>
      <c r="AT1448" t="e">
        <v>#N/A</v>
      </c>
    </row>
    <row r="1449" spans="42:46">
      <c r="AP1449">
        <v>145450</v>
      </c>
      <c r="AQ1449" t="e">
        <v>#N/A</v>
      </c>
      <c r="AR1449" t="e">
        <v>#N/A</v>
      </c>
      <c r="AS1449" t="e">
        <v>#N/A</v>
      </c>
      <c r="AT1449" t="e">
        <v>#N/A</v>
      </c>
    </row>
    <row r="1450" spans="42:46">
      <c r="AP1450">
        <v>145500</v>
      </c>
      <c r="AQ1450" t="e">
        <v>#N/A</v>
      </c>
      <c r="AR1450" t="e">
        <v>#N/A</v>
      </c>
      <c r="AS1450" t="e">
        <v>#N/A</v>
      </c>
      <c r="AT1450" t="e">
        <v>#N/A</v>
      </c>
    </row>
    <row r="1451" spans="42:46">
      <c r="AP1451">
        <v>145550</v>
      </c>
      <c r="AQ1451" t="e">
        <v>#N/A</v>
      </c>
      <c r="AR1451" t="e">
        <v>#N/A</v>
      </c>
      <c r="AS1451" t="e">
        <v>#N/A</v>
      </c>
      <c r="AT1451" t="e">
        <v>#N/A</v>
      </c>
    </row>
    <row r="1452" spans="42:46">
      <c r="AP1452">
        <v>145600</v>
      </c>
      <c r="AQ1452" t="e">
        <v>#N/A</v>
      </c>
      <c r="AR1452" t="e">
        <v>#N/A</v>
      </c>
      <c r="AS1452" t="e">
        <v>#N/A</v>
      </c>
      <c r="AT1452" t="e">
        <v>#N/A</v>
      </c>
    </row>
    <row r="1453" spans="42:46">
      <c r="AP1453">
        <v>145650</v>
      </c>
      <c r="AQ1453" t="e">
        <v>#N/A</v>
      </c>
      <c r="AR1453" t="e">
        <v>#N/A</v>
      </c>
      <c r="AS1453" t="e">
        <v>#N/A</v>
      </c>
      <c r="AT1453" t="e">
        <v>#N/A</v>
      </c>
    </row>
    <row r="1454" spans="42:46">
      <c r="AP1454">
        <v>145700</v>
      </c>
      <c r="AQ1454" t="e">
        <v>#N/A</v>
      </c>
      <c r="AR1454" t="e">
        <v>#N/A</v>
      </c>
      <c r="AS1454" t="e">
        <v>#N/A</v>
      </c>
      <c r="AT1454" t="e">
        <v>#N/A</v>
      </c>
    </row>
    <row r="1455" spans="42:46">
      <c r="AP1455">
        <v>145750</v>
      </c>
      <c r="AQ1455" t="e">
        <v>#N/A</v>
      </c>
      <c r="AR1455" t="e">
        <v>#N/A</v>
      </c>
      <c r="AS1455" t="e">
        <v>#N/A</v>
      </c>
      <c r="AT1455" t="e">
        <v>#N/A</v>
      </c>
    </row>
    <row r="1456" spans="42:46">
      <c r="AP1456">
        <v>145800</v>
      </c>
      <c r="AQ1456" t="e">
        <v>#N/A</v>
      </c>
      <c r="AR1456" t="e">
        <v>#N/A</v>
      </c>
      <c r="AS1456" t="e">
        <v>#N/A</v>
      </c>
      <c r="AT1456" t="e">
        <v>#N/A</v>
      </c>
    </row>
    <row r="1457" spans="42:46">
      <c r="AP1457">
        <v>145850</v>
      </c>
      <c r="AQ1457" t="e">
        <v>#N/A</v>
      </c>
      <c r="AR1457" t="e">
        <v>#N/A</v>
      </c>
      <c r="AS1457" t="e">
        <v>#N/A</v>
      </c>
      <c r="AT1457" t="e">
        <v>#N/A</v>
      </c>
    </row>
    <row r="1458" spans="42:46">
      <c r="AP1458">
        <v>145900</v>
      </c>
      <c r="AQ1458" t="e">
        <v>#N/A</v>
      </c>
      <c r="AR1458" t="e">
        <v>#N/A</v>
      </c>
      <c r="AS1458" t="e">
        <v>#N/A</v>
      </c>
      <c r="AT1458" t="e">
        <v>#N/A</v>
      </c>
    </row>
    <row r="1459" spans="42:46">
      <c r="AP1459">
        <v>145950</v>
      </c>
      <c r="AQ1459" t="e">
        <v>#N/A</v>
      </c>
      <c r="AR1459" t="e">
        <v>#N/A</v>
      </c>
      <c r="AS1459" t="e">
        <v>#N/A</v>
      </c>
      <c r="AT1459" t="e">
        <v>#N/A</v>
      </c>
    </row>
    <row r="1460" spans="42:46">
      <c r="AP1460">
        <v>146000</v>
      </c>
      <c r="AQ1460" t="e">
        <v>#N/A</v>
      </c>
      <c r="AR1460" t="e">
        <v>#N/A</v>
      </c>
      <c r="AS1460" t="e">
        <v>#N/A</v>
      </c>
      <c r="AT1460" t="e">
        <v>#N/A</v>
      </c>
    </row>
    <row r="1461" spans="42:46">
      <c r="AP1461">
        <v>146050</v>
      </c>
      <c r="AQ1461" t="e">
        <v>#N/A</v>
      </c>
      <c r="AR1461" t="e">
        <v>#N/A</v>
      </c>
      <c r="AS1461" t="e">
        <v>#N/A</v>
      </c>
      <c r="AT1461" t="e">
        <v>#N/A</v>
      </c>
    </row>
    <row r="1462" spans="42:46">
      <c r="AP1462">
        <v>146100</v>
      </c>
      <c r="AQ1462" t="e">
        <v>#N/A</v>
      </c>
      <c r="AR1462" t="e">
        <v>#N/A</v>
      </c>
      <c r="AS1462" t="e">
        <v>#N/A</v>
      </c>
      <c r="AT1462" t="e">
        <v>#N/A</v>
      </c>
    </row>
    <row r="1463" spans="42:46">
      <c r="AP1463">
        <v>146150</v>
      </c>
      <c r="AQ1463" t="e">
        <v>#N/A</v>
      </c>
      <c r="AR1463" t="e">
        <v>#N/A</v>
      </c>
      <c r="AS1463" t="e">
        <v>#N/A</v>
      </c>
      <c r="AT1463" t="e">
        <v>#N/A</v>
      </c>
    </row>
    <row r="1464" spans="42:46">
      <c r="AP1464">
        <v>146200</v>
      </c>
      <c r="AQ1464" t="e">
        <v>#N/A</v>
      </c>
      <c r="AR1464" t="e">
        <v>#N/A</v>
      </c>
      <c r="AS1464" t="e">
        <v>#N/A</v>
      </c>
      <c r="AT1464" t="e">
        <v>#N/A</v>
      </c>
    </row>
    <row r="1465" spans="42:46">
      <c r="AP1465">
        <v>146250</v>
      </c>
      <c r="AQ1465" t="e">
        <v>#N/A</v>
      </c>
      <c r="AR1465" t="e">
        <v>#N/A</v>
      </c>
      <c r="AS1465" t="e">
        <v>#N/A</v>
      </c>
      <c r="AT1465" t="e">
        <v>#N/A</v>
      </c>
    </row>
    <row r="1466" spans="42:46">
      <c r="AP1466">
        <v>146300</v>
      </c>
      <c r="AQ1466" t="e">
        <v>#N/A</v>
      </c>
      <c r="AR1466" t="e">
        <v>#N/A</v>
      </c>
      <c r="AS1466" t="e">
        <v>#N/A</v>
      </c>
      <c r="AT1466" t="e">
        <v>#N/A</v>
      </c>
    </row>
    <row r="1467" spans="42:46">
      <c r="AP1467">
        <v>146350</v>
      </c>
      <c r="AQ1467" t="e">
        <v>#N/A</v>
      </c>
      <c r="AR1467" t="e">
        <v>#N/A</v>
      </c>
      <c r="AS1467" t="e">
        <v>#N/A</v>
      </c>
      <c r="AT1467" t="e">
        <v>#N/A</v>
      </c>
    </row>
    <row r="1468" spans="42:46">
      <c r="AP1468">
        <v>146400</v>
      </c>
      <c r="AQ1468" t="e">
        <v>#N/A</v>
      </c>
      <c r="AR1468" t="e">
        <v>#N/A</v>
      </c>
      <c r="AS1468" t="e">
        <v>#N/A</v>
      </c>
      <c r="AT1468" t="e">
        <v>#N/A</v>
      </c>
    </row>
    <row r="1469" spans="42:46">
      <c r="AP1469">
        <v>146450</v>
      </c>
      <c r="AQ1469" t="e">
        <v>#N/A</v>
      </c>
      <c r="AR1469" t="e">
        <v>#N/A</v>
      </c>
      <c r="AS1469" t="e">
        <v>#N/A</v>
      </c>
      <c r="AT1469" t="e">
        <v>#N/A</v>
      </c>
    </row>
    <row r="1470" spans="42:46">
      <c r="AP1470">
        <v>146500</v>
      </c>
      <c r="AQ1470" t="e">
        <v>#N/A</v>
      </c>
      <c r="AR1470" t="e">
        <v>#N/A</v>
      </c>
      <c r="AS1470" t="e">
        <v>#N/A</v>
      </c>
      <c r="AT1470" t="e">
        <v>#N/A</v>
      </c>
    </row>
    <row r="1471" spans="42:46">
      <c r="AP1471">
        <v>146550</v>
      </c>
      <c r="AQ1471" t="e">
        <v>#N/A</v>
      </c>
      <c r="AR1471" t="e">
        <v>#N/A</v>
      </c>
      <c r="AS1471" t="e">
        <v>#N/A</v>
      </c>
      <c r="AT1471" t="e">
        <v>#N/A</v>
      </c>
    </row>
    <row r="1472" spans="42:46">
      <c r="AP1472">
        <v>146600</v>
      </c>
      <c r="AQ1472" t="e">
        <v>#N/A</v>
      </c>
      <c r="AR1472" t="e">
        <v>#N/A</v>
      </c>
      <c r="AS1472" t="e">
        <v>#N/A</v>
      </c>
      <c r="AT1472" t="e">
        <v>#N/A</v>
      </c>
    </row>
    <row r="1473" spans="42:46">
      <c r="AP1473">
        <v>146650</v>
      </c>
      <c r="AQ1473" t="e">
        <v>#N/A</v>
      </c>
      <c r="AR1473" t="e">
        <v>#N/A</v>
      </c>
      <c r="AS1473" t="e">
        <v>#N/A</v>
      </c>
      <c r="AT1473" t="e">
        <v>#N/A</v>
      </c>
    </row>
    <row r="1474" spans="42:46">
      <c r="AP1474">
        <v>146700</v>
      </c>
      <c r="AQ1474" t="e">
        <v>#N/A</v>
      </c>
      <c r="AR1474" t="e">
        <v>#N/A</v>
      </c>
      <c r="AS1474" t="e">
        <v>#N/A</v>
      </c>
      <c r="AT1474" t="e">
        <v>#N/A</v>
      </c>
    </row>
    <row r="1475" spans="42:46">
      <c r="AP1475">
        <v>146750</v>
      </c>
      <c r="AQ1475" t="e">
        <v>#N/A</v>
      </c>
      <c r="AR1475" t="e">
        <v>#N/A</v>
      </c>
      <c r="AS1475" t="e">
        <v>#N/A</v>
      </c>
      <c r="AT1475" t="e">
        <v>#N/A</v>
      </c>
    </row>
    <row r="1476" spans="42:46">
      <c r="AP1476">
        <v>146800</v>
      </c>
      <c r="AQ1476" t="e">
        <v>#N/A</v>
      </c>
      <c r="AR1476" t="e">
        <v>#N/A</v>
      </c>
      <c r="AS1476" t="e">
        <v>#N/A</v>
      </c>
      <c r="AT1476" t="e">
        <v>#N/A</v>
      </c>
    </row>
    <row r="1477" spans="42:46">
      <c r="AP1477">
        <v>146850</v>
      </c>
      <c r="AQ1477" t="e">
        <v>#N/A</v>
      </c>
      <c r="AR1477" t="e">
        <v>#N/A</v>
      </c>
      <c r="AS1477" t="e">
        <v>#N/A</v>
      </c>
      <c r="AT1477" t="e">
        <v>#N/A</v>
      </c>
    </row>
    <row r="1478" spans="42:46">
      <c r="AP1478">
        <v>146900</v>
      </c>
      <c r="AQ1478" t="e">
        <v>#N/A</v>
      </c>
      <c r="AR1478" t="e">
        <v>#N/A</v>
      </c>
      <c r="AS1478" t="e">
        <v>#N/A</v>
      </c>
      <c r="AT1478" t="e">
        <v>#N/A</v>
      </c>
    </row>
    <row r="1479" spans="42:46">
      <c r="AP1479">
        <v>146950</v>
      </c>
      <c r="AQ1479" t="e">
        <v>#N/A</v>
      </c>
      <c r="AR1479" t="e">
        <v>#N/A</v>
      </c>
      <c r="AS1479" t="e">
        <v>#N/A</v>
      </c>
      <c r="AT1479" t="e">
        <v>#N/A</v>
      </c>
    </row>
    <row r="1480" spans="42:46">
      <c r="AP1480">
        <v>147000</v>
      </c>
      <c r="AQ1480" t="e">
        <v>#N/A</v>
      </c>
      <c r="AR1480" t="e">
        <v>#N/A</v>
      </c>
      <c r="AS1480" t="e">
        <v>#N/A</v>
      </c>
      <c r="AT1480" t="e">
        <v>#N/A</v>
      </c>
    </row>
    <row r="1481" spans="42:46">
      <c r="AP1481">
        <v>147050</v>
      </c>
      <c r="AQ1481" t="e">
        <v>#N/A</v>
      </c>
      <c r="AR1481" t="e">
        <v>#N/A</v>
      </c>
      <c r="AS1481" t="e">
        <v>#N/A</v>
      </c>
      <c r="AT1481" t="e">
        <v>#N/A</v>
      </c>
    </row>
    <row r="1482" spans="42:46">
      <c r="AP1482">
        <v>147100</v>
      </c>
      <c r="AQ1482" t="e">
        <v>#N/A</v>
      </c>
      <c r="AR1482" t="e">
        <v>#N/A</v>
      </c>
      <c r="AS1482" t="e">
        <v>#N/A</v>
      </c>
      <c r="AT1482" t="e">
        <v>#N/A</v>
      </c>
    </row>
    <row r="1483" spans="42:46">
      <c r="AP1483">
        <v>147150</v>
      </c>
      <c r="AQ1483" t="e">
        <v>#N/A</v>
      </c>
      <c r="AR1483" t="e">
        <v>#N/A</v>
      </c>
      <c r="AS1483" t="e">
        <v>#N/A</v>
      </c>
      <c r="AT1483" t="e">
        <v>#N/A</v>
      </c>
    </row>
    <row r="1484" spans="42:46">
      <c r="AP1484">
        <v>147200</v>
      </c>
      <c r="AQ1484" t="e">
        <v>#N/A</v>
      </c>
      <c r="AR1484" t="e">
        <v>#N/A</v>
      </c>
      <c r="AS1484" t="e">
        <v>#N/A</v>
      </c>
      <c r="AT1484" t="e">
        <v>#N/A</v>
      </c>
    </row>
    <row r="1485" spans="42:46">
      <c r="AP1485">
        <v>147250</v>
      </c>
      <c r="AQ1485" t="e">
        <v>#N/A</v>
      </c>
      <c r="AR1485" t="e">
        <v>#N/A</v>
      </c>
      <c r="AS1485" t="e">
        <v>#N/A</v>
      </c>
      <c r="AT1485" t="e">
        <v>#N/A</v>
      </c>
    </row>
    <row r="1486" spans="42:46">
      <c r="AP1486">
        <v>147300</v>
      </c>
      <c r="AQ1486" t="e">
        <v>#N/A</v>
      </c>
      <c r="AR1486" t="e">
        <v>#N/A</v>
      </c>
      <c r="AS1486" t="e">
        <v>#N/A</v>
      </c>
      <c r="AT1486" t="e">
        <v>#N/A</v>
      </c>
    </row>
    <row r="1487" spans="42:46">
      <c r="AP1487">
        <v>147350</v>
      </c>
      <c r="AQ1487" t="e">
        <v>#N/A</v>
      </c>
      <c r="AR1487" t="e">
        <v>#N/A</v>
      </c>
      <c r="AS1487" t="e">
        <v>#N/A</v>
      </c>
      <c r="AT1487" t="e">
        <v>#N/A</v>
      </c>
    </row>
    <row r="1488" spans="42:46">
      <c r="AP1488">
        <v>147400</v>
      </c>
      <c r="AQ1488" t="e">
        <v>#N/A</v>
      </c>
      <c r="AR1488" t="e">
        <v>#N/A</v>
      </c>
      <c r="AS1488" t="e">
        <v>#N/A</v>
      </c>
      <c r="AT1488" t="e">
        <v>#N/A</v>
      </c>
    </row>
    <row r="1489" spans="42:46">
      <c r="AP1489">
        <v>147450</v>
      </c>
      <c r="AQ1489" t="e">
        <v>#N/A</v>
      </c>
      <c r="AR1489" t="e">
        <v>#N/A</v>
      </c>
      <c r="AS1489" t="e">
        <v>#N/A</v>
      </c>
      <c r="AT1489" t="e">
        <v>#N/A</v>
      </c>
    </row>
    <row r="1490" spans="42:46">
      <c r="AP1490">
        <v>147500</v>
      </c>
      <c r="AQ1490" t="e">
        <v>#N/A</v>
      </c>
      <c r="AR1490" t="e">
        <v>#N/A</v>
      </c>
      <c r="AS1490" t="e">
        <v>#N/A</v>
      </c>
      <c r="AT1490" t="e">
        <v>#N/A</v>
      </c>
    </row>
    <row r="1491" spans="42:46">
      <c r="AP1491">
        <v>147550</v>
      </c>
      <c r="AQ1491" t="e">
        <v>#N/A</v>
      </c>
      <c r="AR1491" t="e">
        <v>#N/A</v>
      </c>
      <c r="AS1491" t="e">
        <v>#N/A</v>
      </c>
      <c r="AT1491" t="e">
        <v>#N/A</v>
      </c>
    </row>
    <row r="1492" spans="42:46">
      <c r="AP1492">
        <v>147600</v>
      </c>
      <c r="AQ1492" t="e">
        <v>#N/A</v>
      </c>
      <c r="AR1492" t="e">
        <v>#N/A</v>
      </c>
      <c r="AS1492" t="e">
        <v>#N/A</v>
      </c>
      <c r="AT1492" t="e">
        <v>#N/A</v>
      </c>
    </row>
    <row r="1493" spans="42:46">
      <c r="AP1493">
        <v>147650</v>
      </c>
      <c r="AQ1493" t="e">
        <v>#N/A</v>
      </c>
      <c r="AR1493" t="e">
        <v>#N/A</v>
      </c>
      <c r="AS1493" t="e">
        <v>#N/A</v>
      </c>
      <c r="AT1493" t="e">
        <v>#N/A</v>
      </c>
    </row>
    <row r="1494" spans="42:46">
      <c r="AP1494">
        <v>147700</v>
      </c>
      <c r="AQ1494" t="e">
        <v>#N/A</v>
      </c>
      <c r="AR1494" t="e">
        <v>#N/A</v>
      </c>
      <c r="AS1494" t="e">
        <v>#N/A</v>
      </c>
      <c r="AT1494" t="e">
        <v>#N/A</v>
      </c>
    </row>
    <row r="1495" spans="42:46">
      <c r="AP1495">
        <v>147750</v>
      </c>
      <c r="AQ1495" t="e">
        <v>#N/A</v>
      </c>
      <c r="AR1495" t="e">
        <v>#N/A</v>
      </c>
      <c r="AS1495" t="e">
        <v>#N/A</v>
      </c>
      <c r="AT1495" t="e">
        <v>#N/A</v>
      </c>
    </row>
    <row r="1496" spans="42:46">
      <c r="AP1496">
        <v>147800</v>
      </c>
      <c r="AQ1496" t="e">
        <v>#N/A</v>
      </c>
      <c r="AR1496" t="e">
        <v>#N/A</v>
      </c>
      <c r="AS1496" t="e">
        <v>#N/A</v>
      </c>
      <c r="AT1496" t="e">
        <v>#N/A</v>
      </c>
    </row>
    <row r="1497" spans="42:46">
      <c r="AP1497">
        <v>147850</v>
      </c>
      <c r="AQ1497" t="e">
        <v>#N/A</v>
      </c>
      <c r="AR1497" t="e">
        <v>#N/A</v>
      </c>
      <c r="AS1497" t="e">
        <v>#N/A</v>
      </c>
      <c r="AT1497" t="e">
        <v>#N/A</v>
      </c>
    </row>
    <row r="1498" spans="42:46">
      <c r="AP1498">
        <v>147900</v>
      </c>
      <c r="AQ1498" t="e">
        <v>#N/A</v>
      </c>
      <c r="AR1498" t="e">
        <v>#N/A</v>
      </c>
      <c r="AS1498" t="e">
        <v>#N/A</v>
      </c>
      <c r="AT1498" t="e">
        <v>#N/A</v>
      </c>
    </row>
    <row r="1499" spans="42:46">
      <c r="AP1499">
        <v>147950</v>
      </c>
      <c r="AQ1499" t="e">
        <v>#N/A</v>
      </c>
      <c r="AR1499" t="e">
        <v>#N/A</v>
      </c>
      <c r="AS1499" t="e">
        <v>#N/A</v>
      </c>
      <c r="AT1499" t="e">
        <v>#N/A</v>
      </c>
    </row>
    <row r="1500" spans="42:46">
      <c r="AP1500">
        <v>148000</v>
      </c>
      <c r="AQ1500" t="e">
        <v>#N/A</v>
      </c>
      <c r="AR1500" t="e">
        <v>#N/A</v>
      </c>
      <c r="AS1500" t="e">
        <v>#N/A</v>
      </c>
      <c r="AT1500" t="e">
        <v>#N/A</v>
      </c>
    </row>
    <row r="1501" spans="42:46">
      <c r="AP1501">
        <v>148050</v>
      </c>
      <c r="AQ1501" t="e">
        <v>#N/A</v>
      </c>
      <c r="AR1501" t="e">
        <v>#N/A</v>
      </c>
      <c r="AS1501" t="e">
        <v>#N/A</v>
      </c>
      <c r="AT1501" t="e">
        <v>#N/A</v>
      </c>
    </row>
    <row r="1502" spans="42:46">
      <c r="AP1502">
        <v>148100</v>
      </c>
      <c r="AQ1502" t="e">
        <v>#N/A</v>
      </c>
      <c r="AR1502" t="e">
        <v>#N/A</v>
      </c>
      <c r="AS1502" t="e">
        <v>#N/A</v>
      </c>
      <c r="AT1502" t="e">
        <v>#N/A</v>
      </c>
    </row>
    <row r="1503" spans="42:46">
      <c r="AP1503">
        <v>148150</v>
      </c>
      <c r="AQ1503" t="e">
        <v>#N/A</v>
      </c>
      <c r="AR1503" t="e">
        <v>#N/A</v>
      </c>
      <c r="AS1503" t="e">
        <v>#N/A</v>
      </c>
      <c r="AT1503" t="e">
        <v>#N/A</v>
      </c>
    </row>
    <row r="1504" spans="42:46">
      <c r="AP1504">
        <v>148200</v>
      </c>
      <c r="AQ1504" t="e">
        <v>#N/A</v>
      </c>
      <c r="AR1504" t="e">
        <v>#N/A</v>
      </c>
      <c r="AS1504" t="e">
        <v>#N/A</v>
      </c>
      <c r="AT1504" t="e">
        <v>#N/A</v>
      </c>
    </row>
    <row r="1505" spans="42:46">
      <c r="AP1505">
        <v>148250</v>
      </c>
      <c r="AQ1505" t="e">
        <v>#N/A</v>
      </c>
      <c r="AR1505" t="e">
        <v>#N/A</v>
      </c>
      <c r="AS1505" t="e">
        <v>#N/A</v>
      </c>
      <c r="AT1505" t="e">
        <v>#N/A</v>
      </c>
    </row>
    <row r="1506" spans="42:46">
      <c r="AP1506">
        <v>148300</v>
      </c>
      <c r="AQ1506" t="e">
        <v>#N/A</v>
      </c>
      <c r="AR1506" t="e">
        <v>#N/A</v>
      </c>
      <c r="AS1506" t="e">
        <v>#N/A</v>
      </c>
      <c r="AT1506" t="e">
        <v>#N/A</v>
      </c>
    </row>
    <row r="1507" spans="42:46">
      <c r="AP1507">
        <v>148350</v>
      </c>
      <c r="AQ1507" t="e">
        <v>#N/A</v>
      </c>
      <c r="AR1507" t="e">
        <v>#N/A</v>
      </c>
      <c r="AS1507" t="e">
        <v>#N/A</v>
      </c>
      <c r="AT1507" t="e">
        <v>#N/A</v>
      </c>
    </row>
    <row r="1508" spans="42:46">
      <c r="AP1508">
        <v>148400</v>
      </c>
      <c r="AQ1508" t="e">
        <v>#N/A</v>
      </c>
      <c r="AR1508" t="e">
        <v>#N/A</v>
      </c>
      <c r="AS1508" t="e">
        <v>#N/A</v>
      </c>
      <c r="AT1508" t="e">
        <v>#N/A</v>
      </c>
    </row>
    <row r="1509" spans="42:46">
      <c r="AP1509">
        <v>148450</v>
      </c>
      <c r="AQ1509" t="e">
        <v>#N/A</v>
      </c>
      <c r="AR1509" t="e">
        <v>#N/A</v>
      </c>
      <c r="AS1509" t="e">
        <v>#N/A</v>
      </c>
      <c r="AT1509" t="e">
        <v>#N/A</v>
      </c>
    </row>
    <row r="1510" spans="42:46">
      <c r="AP1510">
        <v>148500</v>
      </c>
      <c r="AQ1510" t="e">
        <v>#N/A</v>
      </c>
      <c r="AR1510" t="e">
        <v>#N/A</v>
      </c>
      <c r="AS1510" t="e">
        <v>#N/A</v>
      </c>
      <c r="AT1510" t="e">
        <v>#N/A</v>
      </c>
    </row>
    <row r="1511" spans="42:46">
      <c r="AP1511">
        <v>148550</v>
      </c>
      <c r="AQ1511" t="e">
        <v>#N/A</v>
      </c>
      <c r="AR1511" t="e">
        <v>#N/A</v>
      </c>
      <c r="AS1511" t="e">
        <v>#N/A</v>
      </c>
      <c r="AT1511" t="e">
        <v>#N/A</v>
      </c>
    </row>
    <row r="1512" spans="42:46">
      <c r="AP1512">
        <v>148600</v>
      </c>
      <c r="AQ1512" t="e">
        <v>#N/A</v>
      </c>
      <c r="AR1512" t="e">
        <v>#N/A</v>
      </c>
      <c r="AS1512" t="e">
        <v>#N/A</v>
      </c>
      <c r="AT1512" t="e">
        <v>#N/A</v>
      </c>
    </row>
    <row r="1513" spans="42:46">
      <c r="AP1513">
        <v>148650</v>
      </c>
      <c r="AQ1513" t="e">
        <v>#N/A</v>
      </c>
      <c r="AR1513" t="e">
        <v>#N/A</v>
      </c>
      <c r="AS1513" t="e">
        <v>#N/A</v>
      </c>
      <c r="AT1513" t="e">
        <v>#N/A</v>
      </c>
    </row>
    <row r="1514" spans="42:46">
      <c r="AP1514">
        <v>148700</v>
      </c>
      <c r="AQ1514" t="e">
        <v>#N/A</v>
      </c>
      <c r="AR1514" t="e">
        <v>#N/A</v>
      </c>
      <c r="AS1514" t="e">
        <v>#N/A</v>
      </c>
      <c r="AT1514" t="e">
        <v>#N/A</v>
      </c>
    </row>
    <row r="1515" spans="42:46">
      <c r="AP1515">
        <v>148750</v>
      </c>
      <c r="AQ1515" t="e">
        <v>#N/A</v>
      </c>
      <c r="AR1515" t="e">
        <v>#N/A</v>
      </c>
      <c r="AS1515" t="e">
        <v>#N/A</v>
      </c>
      <c r="AT1515" t="e">
        <v>#N/A</v>
      </c>
    </row>
    <row r="1516" spans="42:46">
      <c r="AP1516">
        <v>148800</v>
      </c>
      <c r="AQ1516" t="e">
        <v>#N/A</v>
      </c>
      <c r="AR1516" t="e">
        <v>#N/A</v>
      </c>
      <c r="AS1516" t="e">
        <v>#N/A</v>
      </c>
      <c r="AT1516" t="e">
        <v>#N/A</v>
      </c>
    </row>
    <row r="1517" spans="42:46">
      <c r="AP1517">
        <v>148850</v>
      </c>
      <c r="AQ1517" t="e">
        <v>#N/A</v>
      </c>
      <c r="AR1517" t="e">
        <v>#N/A</v>
      </c>
      <c r="AS1517" t="e">
        <v>#N/A</v>
      </c>
      <c r="AT1517" t="e">
        <v>#N/A</v>
      </c>
    </row>
    <row r="1518" spans="42:46">
      <c r="AP1518">
        <v>148900</v>
      </c>
      <c r="AQ1518" t="e">
        <v>#N/A</v>
      </c>
      <c r="AR1518" t="e">
        <v>#N/A</v>
      </c>
      <c r="AS1518" t="e">
        <v>#N/A</v>
      </c>
      <c r="AT1518" t="e">
        <v>#N/A</v>
      </c>
    </row>
    <row r="1519" spans="42:46">
      <c r="AP1519">
        <v>148950</v>
      </c>
      <c r="AQ1519" t="e">
        <v>#N/A</v>
      </c>
      <c r="AR1519" t="e">
        <v>#N/A</v>
      </c>
      <c r="AS1519" t="e">
        <v>#N/A</v>
      </c>
      <c r="AT1519" t="e">
        <v>#N/A</v>
      </c>
    </row>
    <row r="1520" spans="42:46">
      <c r="AP1520">
        <v>149000</v>
      </c>
      <c r="AQ1520" t="e">
        <v>#N/A</v>
      </c>
      <c r="AR1520" t="e">
        <v>#N/A</v>
      </c>
      <c r="AS1520" t="e">
        <v>#N/A</v>
      </c>
      <c r="AT1520" t="e">
        <v>#N/A</v>
      </c>
    </row>
    <row r="1521" spans="42:46">
      <c r="AP1521">
        <v>149050</v>
      </c>
      <c r="AQ1521" t="e">
        <v>#N/A</v>
      </c>
      <c r="AR1521" t="e">
        <v>#N/A</v>
      </c>
      <c r="AS1521" t="e">
        <v>#N/A</v>
      </c>
      <c r="AT1521" t="e">
        <v>#N/A</v>
      </c>
    </row>
    <row r="1522" spans="42:46">
      <c r="AP1522">
        <v>149100</v>
      </c>
      <c r="AQ1522" t="e">
        <v>#N/A</v>
      </c>
      <c r="AR1522" t="e">
        <v>#N/A</v>
      </c>
      <c r="AS1522" t="e">
        <v>#N/A</v>
      </c>
      <c r="AT1522" t="e">
        <v>#N/A</v>
      </c>
    </row>
    <row r="1523" spans="42:46">
      <c r="AP1523">
        <v>149150</v>
      </c>
      <c r="AQ1523" t="e">
        <v>#N/A</v>
      </c>
      <c r="AR1523" t="e">
        <v>#N/A</v>
      </c>
      <c r="AS1523" t="e">
        <v>#N/A</v>
      </c>
      <c r="AT1523" t="e">
        <v>#N/A</v>
      </c>
    </row>
    <row r="1524" spans="42:46">
      <c r="AP1524">
        <v>149200</v>
      </c>
      <c r="AQ1524" t="e">
        <v>#N/A</v>
      </c>
      <c r="AR1524" t="e">
        <v>#N/A</v>
      </c>
      <c r="AS1524" t="e">
        <v>#N/A</v>
      </c>
      <c r="AT1524" t="e">
        <v>#N/A</v>
      </c>
    </row>
    <row r="1525" spans="42:46">
      <c r="AP1525">
        <v>149250</v>
      </c>
      <c r="AQ1525" t="e">
        <v>#N/A</v>
      </c>
      <c r="AR1525" t="e">
        <v>#N/A</v>
      </c>
      <c r="AS1525" t="e">
        <v>#N/A</v>
      </c>
      <c r="AT1525" t="e">
        <v>#N/A</v>
      </c>
    </row>
    <row r="1526" spans="42:46">
      <c r="AP1526">
        <v>149300</v>
      </c>
      <c r="AQ1526" t="e">
        <v>#N/A</v>
      </c>
      <c r="AR1526" t="e">
        <v>#N/A</v>
      </c>
      <c r="AS1526" t="e">
        <v>#N/A</v>
      </c>
      <c r="AT1526" t="e">
        <v>#N/A</v>
      </c>
    </row>
    <row r="1527" spans="42:46">
      <c r="AP1527">
        <v>149350</v>
      </c>
      <c r="AQ1527" t="e">
        <v>#N/A</v>
      </c>
      <c r="AR1527" t="e">
        <v>#N/A</v>
      </c>
      <c r="AS1527" t="e">
        <v>#N/A</v>
      </c>
      <c r="AT1527" t="e">
        <v>#N/A</v>
      </c>
    </row>
    <row r="1528" spans="42:46">
      <c r="AP1528">
        <v>149400</v>
      </c>
      <c r="AQ1528" t="e">
        <v>#N/A</v>
      </c>
      <c r="AR1528" t="e">
        <v>#N/A</v>
      </c>
      <c r="AS1528" t="e">
        <v>#N/A</v>
      </c>
      <c r="AT1528" t="e">
        <v>#N/A</v>
      </c>
    </row>
    <row r="1529" spans="42:46">
      <c r="AP1529">
        <v>149450</v>
      </c>
      <c r="AQ1529" t="e">
        <v>#N/A</v>
      </c>
      <c r="AR1529" t="e">
        <v>#N/A</v>
      </c>
      <c r="AS1529" t="e">
        <v>#N/A</v>
      </c>
      <c r="AT1529" t="e">
        <v>#N/A</v>
      </c>
    </row>
    <row r="1530" spans="42:46">
      <c r="AP1530">
        <v>149500</v>
      </c>
      <c r="AQ1530" t="e">
        <v>#N/A</v>
      </c>
      <c r="AR1530" t="e">
        <v>#N/A</v>
      </c>
      <c r="AS1530" t="e">
        <v>#N/A</v>
      </c>
      <c r="AT1530" t="e">
        <v>#N/A</v>
      </c>
    </row>
    <row r="1531" spans="42:46">
      <c r="AP1531">
        <v>149550</v>
      </c>
      <c r="AQ1531" t="e">
        <v>#N/A</v>
      </c>
      <c r="AR1531" t="e">
        <v>#N/A</v>
      </c>
      <c r="AS1531" t="e">
        <v>#N/A</v>
      </c>
      <c r="AT1531" t="e">
        <v>#N/A</v>
      </c>
    </row>
    <row r="1532" spans="42:46">
      <c r="AP1532">
        <v>149600</v>
      </c>
      <c r="AQ1532" t="e">
        <v>#N/A</v>
      </c>
      <c r="AR1532" t="e">
        <v>#N/A</v>
      </c>
      <c r="AS1532" t="e">
        <v>#N/A</v>
      </c>
      <c r="AT1532" t="e">
        <v>#N/A</v>
      </c>
    </row>
    <row r="1533" spans="42:46">
      <c r="AP1533">
        <v>149650</v>
      </c>
      <c r="AQ1533" t="e">
        <v>#N/A</v>
      </c>
      <c r="AR1533" t="e">
        <v>#N/A</v>
      </c>
      <c r="AS1533" t="e">
        <v>#N/A</v>
      </c>
      <c r="AT1533" t="e">
        <v>#N/A</v>
      </c>
    </row>
    <row r="1534" spans="42:46">
      <c r="AP1534">
        <v>149700</v>
      </c>
      <c r="AQ1534" t="e">
        <v>#N/A</v>
      </c>
      <c r="AR1534" t="e">
        <v>#N/A</v>
      </c>
      <c r="AS1534" t="e">
        <v>#N/A</v>
      </c>
      <c r="AT1534" t="e">
        <v>#N/A</v>
      </c>
    </row>
    <row r="1535" spans="42:46">
      <c r="AP1535">
        <v>149750</v>
      </c>
      <c r="AQ1535" t="e">
        <v>#N/A</v>
      </c>
      <c r="AR1535" t="e">
        <v>#N/A</v>
      </c>
      <c r="AS1535" t="e">
        <v>#N/A</v>
      </c>
      <c r="AT1535" t="e">
        <v>#N/A</v>
      </c>
    </row>
    <row r="1536" spans="42:46">
      <c r="AP1536">
        <v>149800</v>
      </c>
      <c r="AQ1536" t="e">
        <v>#N/A</v>
      </c>
      <c r="AR1536" t="e">
        <v>#N/A</v>
      </c>
      <c r="AS1536" t="e">
        <v>#N/A</v>
      </c>
      <c r="AT1536" t="e">
        <v>#N/A</v>
      </c>
    </row>
    <row r="1537" spans="42:46">
      <c r="AP1537">
        <v>149850</v>
      </c>
      <c r="AQ1537" t="e">
        <v>#N/A</v>
      </c>
      <c r="AR1537" t="e">
        <v>#N/A</v>
      </c>
      <c r="AS1537" t="e">
        <v>#N/A</v>
      </c>
      <c r="AT1537" t="e">
        <v>#N/A</v>
      </c>
    </row>
    <row r="1538" spans="42:46">
      <c r="AP1538">
        <v>149900</v>
      </c>
      <c r="AQ1538" t="e">
        <v>#N/A</v>
      </c>
      <c r="AR1538" t="e">
        <v>#N/A</v>
      </c>
      <c r="AS1538" t="e">
        <v>#N/A</v>
      </c>
      <c r="AT1538" t="e">
        <v>#N/A</v>
      </c>
    </row>
    <row r="1539" spans="42:46">
      <c r="AP1539">
        <v>149950</v>
      </c>
      <c r="AQ1539" t="e">
        <v>#N/A</v>
      </c>
      <c r="AR1539" t="e">
        <v>#N/A</v>
      </c>
      <c r="AS1539" t="e">
        <v>#N/A</v>
      </c>
      <c r="AT1539" t="e">
        <v>#N/A</v>
      </c>
    </row>
    <row r="1540" spans="42:46">
      <c r="AP1540">
        <v>150000</v>
      </c>
      <c r="AQ1540" t="e">
        <v>#N/A</v>
      </c>
      <c r="AR1540" t="e">
        <v>#N/A</v>
      </c>
      <c r="AS1540" t="e">
        <v>#N/A</v>
      </c>
      <c r="AT1540" t="e">
        <v>#N/A</v>
      </c>
    </row>
    <row r="1541" spans="42:46">
      <c r="AP1541">
        <v>150050</v>
      </c>
      <c r="AQ1541" t="e">
        <v>#N/A</v>
      </c>
      <c r="AR1541" t="e">
        <v>#N/A</v>
      </c>
      <c r="AS1541" t="e">
        <v>#N/A</v>
      </c>
      <c r="AT1541" t="e">
        <v>#N/A</v>
      </c>
    </row>
    <row r="1542" spans="42:46">
      <c r="AP1542">
        <v>150100</v>
      </c>
      <c r="AQ1542" t="e">
        <v>#N/A</v>
      </c>
      <c r="AR1542" t="e">
        <v>#N/A</v>
      </c>
      <c r="AS1542" t="e">
        <v>#N/A</v>
      </c>
      <c r="AT1542" t="e">
        <v>#N/A</v>
      </c>
    </row>
    <row r="1543" spans="42:46">
      <c r="AP1543">
        <v>150150</v>
      </c>
      <c r="AQ1543" t="e">
        <v>#N/A</v>
      </c>
      <c r="AR1543" t="e">
        <v>#N/A</v>
      </c>
      <c r="AS1543" t="e">
        <v>#N/A</v>
      </c>
      <c r="AT1543" t="e">
        <v>#N/A</v>
      </c>
    </row>
    <row r="1544" spans="42:46">
      <c r="AP1544">
        <v>150200</v>
      </c>
      <c r="AQ1544" t="e">
        <v>#N/A</v>
      </c>
      <c r="AR1544" t="e">
        <v>#N/A</v>
      </c>
      <c r="AS1544" t="e">
        <v>#N/A</v>
      </c>
      <c r="AT1544" t="e">
        <v>#N/A</v>
      </c>
    </row>
    <row r="1545" spans="42:46">
      <c r="AP1545">
        <v>150250</v>
      </c>
      <c r="AQ1545" t="e">
        <v>#N/A</v>
      </c>
      <c r="AR1545" t="e">
        <v>#N/A</v>
      </c>
      <c r="AS1545" t="e">
        <v>#N/A</v>
      </c>
      <c r="AT1545" t="e">
        <v>#N/A</v>
      </c>
    </row>
    <row r="1546" spans="42:46">
      <c r="AP1546">
        <v>150300</v>
      </c>
      <c r="AQ1546" t="e">
        <v>#N/A</v>
      </c>
      <c r="AR1546" t="e">
        <v>#N/A</v>
      </c>
      <c r="AS1546" t="e">
        <v>#N/A</v>
      </c>
      <c r="AT1546" t="e">
        <v>#N/A</v>
      </c>
    </row>
    <row r="1547" spans="42:46">
      <c r="AP1547">
        <v>150350</v>
      </c>
      <c r="AQ1547" t="e">
        <v>#N/A</v>
      </c>
      <c r="AR1547" t="e">
        <v>#N/A</v>
      </c>
      <c r="AS1547" t="e">
        <v>#N/A</v>
      </c>
      <c r="AT1547" t="e">
        <v>#N/A</v>
      </c>
    </row>
    <row r="1548" spans="42:46">
      <c r="AP1548">
        <v>150400</v>
      </c>
      <c r="AQ1548" t="e">
        <v>#N/A</v>
      </c>
      <c r="AR1548" t="e">
        <v>#N/A</v>
      </c>
      <c r="AS1548" t="e">
        <v>#N/A</v>
      </c>
      <c r="AT1548" t="e">
        <v>#N/A</v>
      </c>
    </row>
    <row r="1549" spans="42:46">
      <c r="AP1549">
        <v>150450</v>
      </c>
      <c r="AQ1549" t="e">
        <v>#N/A</v>
      </c>
      <c r="AR1549" t="e">
        <v>#N/A</v>
      </c>
      <c r="AS1549" t="e">
        <v>#N/A</v>
      </c>
      <c r="AT1549" t="e">
        <v>#N/A</v>
      </c>
    </row>
    <row r="1550" spans="42:46">
      <c r="AP1550">
        <v>150500</v>
      </c>
      <c r="AQ1550" t="e">
        <v>#N/A</v>
      </c>
      <c r="AR1550" t="e">
        <v>#N/A</v>
      </c>
      <c r="AS1550" t="e">
        <v>#N/A</v>
      </c>
      <c r="AT1550" t="e">
        <v>#N/A</v>
      </c>
    </row>
    <row r="1551" spans="42:46">
      <c r="AP1551">
        <v>150550</v>
      </c>
      <c r="AQ1551" t="e">
        <v>#N/A</v>
      </c>
      <c r="AR1551" t="e">
        <v>#N/A</v>
      </c>
      <c r="AS1551" t="e">
        <v>#N/A</v>
      </c>
      <c r="AT1551" t="e">
        <v>#N/A</v>
      </c>
    </row>
    <row r="1552" spans="42:46">
      <c r="AP1552">
        <v>150600</v>
      </c>
      <c r="AQ1552" t="e">
        <v>#N/A</v>
      </c>
      <c r="AR1552" t="e">
        <v>#N/A</v>
      </c>
      <c r="AS1552" t="e">
        <v>#N/A</v>
      </c>
      <c r="AT1552" t="e">
        <v>#N/A</v>
      </c>
    </row>
    <row r="1553" spans="42:46">
      <c r="AP1553">
        <v>150650</v>
      </c>
      <c r="AQ1553" t="e">
        <v>#N/A</v>
      </c>
      <c r="AR1553" t="e">
        <v>#N/A</v>
      </c>
      <c r="AS1553" t="e">
        <v>#N/A</v>
      </c>
      <c r="AT1553" t="e">
        <v>#N/A</v>
      </c>
    </row>
    <row r="1554" spans="42:46">
      <c r="AP1554">
        <v>150700</v>
      </c>
      <c r="AQ1554" t="e">
        <v>#N/A</v>
      </c>
      <c r="AR1554" t="e">
        <v>#N/A</v>
      </c>
      <c r="AS1554" t="e">
        <v>#N/A</v>
      </c>
      <c r="AT1554" t="e">
        <v>#N/A</v>
      </c>
    </row>
    <row r="1555" spans="42:46">
      <c r="AP1555">
        <v>150750</v>
      </c>
      <c r="AQ1555" t="e">
        <v>#N/A</v>
      </c>
      <c r="AR1555" t="e">
        <v>#N/A</v>
      </c>
      <c r="AS1555" t="e">
        <v>#N/A</v>
      </c>
      <c r="AT1555" t="e">
        <v>#N/A</v>
      </c>
    </row>
    <row r="1556" spans="42:46">
      <c r="AP1556">
        <v>150800</v>
      </c>
      <c r="AQ1556" t="e">
        <v>#N/A</v>
      </c>
      <c r="AR1556" t="e">
        <v>#N/A</v>
      </c>
      <c r="AS1556" t="e">
        <v>#N/A</v>
      </c>
      <c r="AT1556" t="e">
        <v>#N/A</v>
      </c>
    </row>
    <row r="1557" spans="42:46">
      <c r="AP1557">
        <v>150850</v>
      </c>
      <c r="AQ1557" t="e">
        <v>#N/A</v>
      </c>
      <c r="AR1557" t="e">
        <v>#N/A</v>
      </c>
      <c r="AS1557" t="e">
        <v>#N/A</v>
      </c>
      <c r="AT1557" t="e">
        <v>#N/A</v>
      </c>
    </row>
    <row r="1558" spans="42:46">
      <c r="AP1558">
        <v>150900</v>
      </c>
      <c r="AQ1558" t="e">
        <v>#N/A</v>
      </c>
      <c r="AR1558" t="e">
        <v>#N/A</v>
      </c>
      <c r="AS1558" t="e">
        <v>#N/A</v>
      </c>
      <c r="AT1558" t="e">
        <v>#N/A</v>
      </c>
    </row>
    <row r="1559" spans="42:46">
      <c r="AP1559">
        <v>150950</v>
      </c>
      <c r="AQ1559" t="e">
        <v>#N/A</v>
      </c>
      <c r="AR1559" t="e">
        <v>#N/A</v>
      </c>
      <c r="AS1559" t="e">
        <v>#N/A</v>
      </c>
      <c r="AT1559" t="e">
        <v>#N/A</v>
      </c>
    </row>
    <row r="1560" spans="42:46">
      <c r="AP1560">
        <v>151000</v>
      </c>
      <c r="AQ1560" t="e">
        <v>#N/A</v>
      </c>
      <c r="AR1560" t="e">
        <v>#N/A</v>
      </c>
      <c r="AS1560" t="e">
        <v>#N/A</v>
      </c>
      <c r="AT1560" t="e">
        <v>#N/A</v>
      </c>
    </row>
    <row r="1561" spans="42:46">
      <c r="AP1561">
        <v>151050</v>
      </c>
      <c r="AQ1561" t="e">
        <v>#N/A</v>
      </c>
      <c r="AR1561" t="e">
        <v>#N/A</v>
      </c>
      <c r="AS1561" t="e">
        <v>#N/A</v>
      </c>
      <c r="AT1561" t="e">
        <v>#N/A</v>
      </c>
    </row>
    <row r="1562" spans="42:46">
      <c r="AP1562">
        <v>151100</v>
      </c>
      <c r="AQ1562" t="e">
        <v>#N/A</v>
      </c>
      <c r="AR1562" t="e">
        <v>#N/A</v>
      </c>
      <c r="AS1562" t="e">
        <v>#N/A</v>
      </c>
      <c r="AT1562" t="e">
        <v>#N/A</v>
      </c>
    </row>
    <row r="1563" spans="42:46">
      <c r="AP1563">
        <v>151150</v>
      </c>
      <c r="AQ1563" t="e">
        <v>#N/A</v>
      </c>
      <c r="AR1563" t="e">
        <v>#N/A</v>
      </c>
      <c r="AS1563" t="e">
        <v>#N/A</v>
      </c>
      <c r="AT1563" t="e">
        <v>#N/A</v>
      </c>
    </row>
    <row r="1564" spans="42:46">
      <c r="AP1564">
        <v>151200</v>
      </c>
      <c r="AQ1564" t="e">
        <v>#N/A</v>
      </c>
      <c r="AR1564" t="e">
        <v>#N/A</v>
      </c>
      <c r="AS1564" t="e">
        <v>#N/A</v>
      </c>
      <c r="AT1564" t="e">
        <v>#N/A</v>
      </c>
    </row>
    <row r="1565" spans="42:46">
      <c r="AP1565">
        <v>151250</v>
      </c>
      <c r="AQ1565" t="e">
        <v>#N/A</v>
      </c>
      <c r="AR1565" t="e">
        <v>#N/A</v>
      </c>
      <c r="AS1565" t="e">
        <v>#N/A</v>
      </c>
      <c r="AT1565" t="e">
        <v>#N/A</v>
      </c>
    </row>
    <row r="1566" spans="42:46">
      <c r="AP1566">
        <v>151300</v>
      </c>
      <c r="AQ1566" t="e">
        <v>#N/A</v>
      </c>
      <c r="AR1566" t="e">
        <v>#N/A</v>
      </c>
      <c r="AS1566" t="e">
        <v>#N/A</v>
      </c>
      <c r="AT1566" t="e">
        <v>#N/A</v>
      </c>
    </row>
    <row r="1567" spans="42:46">
      <c r="AP1567">
        <v>151350</v>
      </c>
      <c r="AQ1567" t="e">
        <v>#N/A</v>
      </c>
      <c r="AR1567" t="e">
        <v>#N/A</v>
      </c>
      <c r="AS1567" t="e">
        <v>#N/A</v>
      </c>
      <c r="AT1567" t="e">
        <v>#N/A</v>
      </c>
    </row>
    <row r="1568" spans="42:46">
      <c r="AP1568">
        <v>151400</v>
      </c>
      <c r="AQ1568" t="e">
        <v>#N/A</v>
      </c>
      <c r="AR1568" t="e">
        <v>#N/A</v>
      </c>
      <c r="AS1568" t="e">
        <v>#N/A</v>
      </c>
      <c r="AT1568" t="e">
        <v>#N/A</v>
      </c>
    </row>
    <row r="1569" spans="42:46">
      <c r="AP1569">
        <v>151450</v>
      </c>
      <c r="AQ1569" t="e">
        <v>#N/A</v>
      </c>
      <c r="AR1569" t="e">
        <v>#N/A</v>
      </c>
      <c r="AS1569" t="e">
        <v>#N/A</v>
      </c>
      <c r="AT1569" t="e">
        <v>#N/A</v>
      </c>
    </row>
    <row r="1570" spans="42:46">
      <c r="AP1570">
        <v>151500</v>
      </c>
      <c r="AQ1570" t="e">
        <v>#N/A</v>
      </c>
      <c r="AR1570" t="e">
        <v>#N/A</v>
      </c>
      <c r="AS1570" t="e">
        <v>#N/A</v>
      </c>
      <c r="AT1570" t="e">
        <v>#N/A</v>
      </c>
    </row>
    <row r="1571" spans="42:46">
      <c r="AP1571">
        <v>151550</v>
      </c>
      <c r="AQ1571" t="e">
        <v>#N/A</v>
      </c>
      <c r="AR1571" t="e">
        <v>#N/A</v>
      </c>
      <c r="AS1571" t="e">
        <v>#N/A</v>
      </c>
      <c r="AT1571" t="e">
        <v>#N/A</v>
      </c>
    </row>
    <row r="1572" spans="42:46">
      <c r="AP1572">
        <v>151600</v>
      </c>
      <c r="AQ1572" t="e">
        <v>#N/A</v>
      </c>
      <c r="AR1572" t="e">
        <v>#N/A</v>
      </c>
      <c r="AS1572" t="e">
        <v>#N/A</v>
      </c>
      <c r="AT1572" t="e">
        <v>#N/A</v>
      </c>
    </row>
    <row r="1573" spans="42:46">
      <c r="AP1573">
        <v>151650</v>
      </c>
      <c r="AQ1573" t="e">
        <v>#N/A</v>
      </c>
      <c r="AR1573" t="e">
        <v>#N/A</v>
      </c>
      <c r="AS1573" t="e">
        <v>#N/A</v>
      </c>
      <c r="AT1573" t="e">
        <v>#N/A</v>
      </c>
    </row>
    <row r="1574" spans="42:46">
      <c r="AP1574">
        <v>151700</v>
      </c>
      <c r="AQ1574" t="e">
        <v>#N/A</v>
      </c>
      <c r="AR1574" t="e">
        <v>#N/A</v>
      </c>
      <c r="AS1574" t="e">
        <v>#N/A</v>
      </c>
      <c r="AT1574" t="e">
        <v>#N/A</v>
      </c>
    </row>
    <row r="1575" spans="42:46">
      <c r="AP1575">
        <v>151750</v>
      </c>
      <c r="AQ1575" t="e">
        <v>#N/A</v>
      </c>
      <c r="AR1575" t="e">
        <v>#N/A</v>
      </c>
      <c r="AS1575" t="e">
        <v>#N/A</v>
      </c>
      <c r="AT1575" t="e">
        <v>#N/A</v>
      </c>
    </row>
    <row r="1576" spans="42:46">
      <c r="AP1576">
        <v>151800</v>
      </c>
      <c r="AQ1576" t="e">
        <v>#N/A</v>
      </c>
      <c r="AR1576" t="e">
        <v>#N/A</v>
      </c>
      <c r="AS1576" t="e">
        <v>#N/A</v>
      </c>
      <c r="AT1576" t="e">
        <v>#N/A</v>
      </c>
    </row>
    <row r="1577" spans="42:46">
      <c r="AP1577">
        <v>151850</v>
      </c>
      <c r="AQ1577" t="e">
        <v>#N/A</v>
      </c>
      <c r="AR1577" t="e">
        <v>#N/A</v>
      </c>
      <c r="AS1577" t="e">
        <v>#N/A</v>
      </c>
      <c r="AT1577" t="e">
        <v>#N/A</v>
      </c>
    </row>
    <row r="1578" spans="42:46">
      <c r="AP1578">
        <v>151900</v>
      </c>
      <c r="AQ1578" t="e">
        <v>#N/A</v>
      </c>
      <c r="AR1578" t="e">
        <v>#N/A</v>
      </c>
      <c r="AS1578" t="e">
        <v>#N/A</v>
      </c>
      <c r="AT1578" t="e">
        <v>#N/A</v>
      </c>
    </row>
    <row r="1579" spans="42:46">
      <c r="AP1579">
        <v>151950</v>
      </c>
      <c r="AQ1579" t="e">
        <v>#N/A</v>
      </c>
      <c r="AR1579" t="e">
        <v>#N/A</v>
      </c>
      <c r="AS1579" t="e">
        <v>#N/A</v>
      </c>
      <c r="AT1579" t="e">
        <v>#N/A</v>
      </c>
    </row>
    <row r="1580" spans="42:46">
      <c r="AP1580">
        <v>152000</v>
      </c>
      <c r="AQ1580" t="e">
        <v>#N/A</v>
      </c>
      <c r="AR1580" t="e">
        <v>#N/A</v>
      </c>
      <c r="AS1580" t="e">
        <v>#N/A</v>
      </c>
      <c r="AT1580" t="e">
        <v>#N/A</v>
      </c>
    </row>
    <row r="1581" spans="42:46">
      <c r="AP1581">
        <v>152050</v>
      </c>
      <c r="AQ1581" t="e">
        <v>#N/A</v>
      </c>
      <c r="AR1581" t="e">
        <v>#N/A</v>
      </c>
      <c r="AS1581" t="e">
        <v>#N/A</v>
      </c>
      <c r="AT1581" t="e">
        <v>#N/A</v>
      </c>
    </row>
    <row r="1582" spans="42:46">
      <c r="AP1582">
        <v>152100</v>
      </c>
      <c r="AQ1582" t="e">
        <v>#N/A</v>
      </c>
      <c r="AR1582" t="e">
        <v>#N/A</v>
      </c>
      <c r="AS1582" t="e">
        <v>#N/A</v>
      </c>
      <c r="AT1582" t="e">
        <v>#N/A</v>
      </c>
    </row>
    <row r="1583" spans="42:46">
      <c r="AP1583">
        <v>152150</v>
      </c>
      <c r="AQ1583" t="e">
        <v>#N/A</v>
      </c>
      <c r="AR1583" t="e">
        <v>#N/A</v>
      </c>
      <c r="AS1583" t="e">
        <v>#N/A</v>
      </c>
      <c r="AT1583" t="e">
        <v>#N/A</v>
      </c>
    </row>
    <row r="1584" spans="42:46">
      <c r="AP1584">
        <v>152200</v>
      </c>
      <c r="AQ1584" t="e">
        <v>#N/A</v>
      </c>
      <c r="AR1584" t="e">
        <v>#N/A</v>
      </c>
      <c r="AS1584" t="e">
        <v>#N/A</v>
      </c>
      <c r="AT1584" t="e">
        <v>#N/A</v>
      </c>
    </row>
    <row r="1585" spans="42:46">
      <c r="AP1585">
        <v>152250</v>
      </c>
      <c r="AQ1585" t="e">
        <v>#N/A</v>
      </c>
      <c r="AR1585" t="e">
        <v>#N/A</v>
      </c>
      <c r="AS1585" t="e">
        <v>#N/A</v>
      </c>
      <c r="AT1585" t="e">
        <v>#N/A</v>
      </c>
    </row>
    <row r="1586" spans="42:46">
      <c r="AP1586">
        <v>152300</v>
      </c>
      <c r="AQ1586" t="e">
        <v>#N/A</v>
      </c>
      <c r="AR1586" t="e">
        <v>#N/A</v>
      </c>
      <c r="AS1586" t="e">
        <v>#N/A</v>
      </c>
      <c r="AT1586" t="e">
        <v>#N/A</v>
      </c>
    </row>
    <row r="1587" spans="42:46">
      <c r="AP1587">
        <v>152350</v>
      </c>
      <c r="AQ1587" t="e">
        <v>#N/A</v>
      </c>
      <c r="AR1587" t="e">
        <v>#N/A</v>
      </c>
      <c r="AS1587" t="e">
        <v>#N/A</v>
      </c>
      <c r="AT1587" t="e">
        <v>#N/A</v>
      </c>
    </row>
    <row r="1588" spans="42:46">
      <c r="AP1588">
        <v>152400</v>
      </c>
      <c r="AQ1588" t="e">
        <v>#N/A</v>
      </c>
      <c r="AR1588" t="e">
        <v>#N/A</v>
      </c>
      <c r="AS1588" t="e">
        <v>#N/A</v>
      </c>
      <c r="AT1588" t="e">
        <v>#N/A</v>
      </c>
    </row>
    <row r="1589" spans="42:46">
      <c r="AP1589">
        <v>152450</v>
      </c>
      <c r="AQ1589" t="e">
        <v>#N/A</v>
      </c>
      <c r="AR1589" t="e">
        <v>#N/A</v>
      </c>
      <c r="AS1589" t="e">
        <v>#N/A</v>
      </c>
      <c r="AT1589" t="e">
        <v>#N/A</v>
      </c>
    </row>
    <row r="1590" spans="42:46">
      <c r="AP1590">
        <v>152500</v>
      </c>
      <c r="AQ1590" t="e">
        <v>#N/A</v>
      </c>
      <c r="AR1590" t="e">
        <v>#N/A</v>
      </c>
      <c r="AS1590" t="e">
        <v>#N/A</v>
      </c>
      <c r="AT1590" t="e">
        <v>#N/A</v>
      </c>
    </row>
    <row r="1591" spans="42:46">
      <c r="AP1591">
        <v>152550</v>
      </c>
      <c r="AQ1591" t="e">
        <v>#N/A</v>
      </c>
      <c r="AR1591" t="e">
        <v>#N/A</v>
      </c>
      <c r="AS1591" t="e">
        <v>#N/A</v>
      </c>
      <c r="AT1591" t="e">
        <v>#N/A</v>
      </c>
    </row>
    <row r="1592" spans="42:46">
      <c r="AP1592">
        <v>152600</v>
      </c>
      <c r="AQ1592" t="e">
        <v>#N/A</v>
      </c>
      <c r="AR1592" t="e">
        <v>#N/A</v>
      </c>
      <c r="AS1592" t="e">
        <v>#N/A</v>
      </c>
      <c r="AT1592" t="e">
        <v>#N/A</v>
      </c>
    </row>
    <row r="1593" spans="42:46">
      <c r="AP1593">
        <v>152650</v>
      </c>
      <c r="AQ1593" t="e">
        <v>#N/A</v>
      </c>
      <c r="AR1593" t="e">
        <v>#N/A</v>
      </c>
      <c r="AS1593" t="e">
        <v>#N/A</v>
      </c>
      <c r="AT1593" t="e">
        <v>#N/A</v>
      </c>
    </row>
    <row r="1594" spans="42:46">
      <c r="AP1594">
        <v>152700</v>
      </c>
      <c r="AQ1594" t="e">
        <v>#N/A</v>
      </c>
      <c r="AR1594" t="e">
        <v>#N/A</v>
      </c>
      <c r="AS1594" t="e">
        <v>#N/A</v>
      </c>
      <c r="AT1594" t="e">
        <v>#N/A</v>
      </c>
    </row>
    <row r="1595" spans="42:46">
      <c r="AP1595">
        <v>152750</v>
      </c>
      <c r="AQ1595" t="e">
        <v>#N/A</v>
      </c>
      <c r="AR1595" t="e">
        <v>#N/A</v>
      </c>
      <c r="AS1595" t="e">
        <v>#N/A</v>
      </c>
      <c r="AT1595" t="e">
        <v>#N/A</v>
      </c>
    </row>
    <row r="1596" spans="42:46">
      <c r="AP1596">
        <v>152800</v>
      </c>
      <c r="AQ1596" t="e">
        <v>#N/A</v>
      </c>
      <c r="AR1596" t="e">
        <v>#N/A</v>
      </c>
      <c r="AS1596" t="e">
        <v>#N/A</v>
      </c>
      <c r="AT1596" t="e">
        <v>#N/A</v>
      </c>
    </row>
    <row r="1597" spans="42:46">
      <c r="AP1597">
        <v>152850</v>
      </c>
      <c r="AQ1597" t="e">
        <v>#N/A</v>
      </c>
      <c r="AR1597" t="e">
        <v>#N/A</v>
      </c>
      <c r="AS1597" t="e">
        <v>#N/A</v>
      </c>
      <c r="AT1597" t="e">
        <v>#N/A</v>
      </c>
    </row>
    <row r="1598" spans="42:46">
      <c r="AP1598">
        <v>152900</v>
      </c>
      <c r="AQ1598" t="e">
        <v>#N/A</v>
      </c>
      <c r="AR1598" t="e">
        <v>#N/A</v>
      </c>
      <c r="AS1598" t="e">
        <v>#N/A</v>
      </c>
      <c r="AT1598" t="e">
        <v>#N/A</v>
      </c>
    </row>
    <row r="1599" spans="42:46">
      <c r="AP1599">
        <v>152950</v>
      </c>
      <c r="AQ1599" t="e">
        <v>#N/A</v>
      </c>
      <c r="AR1599" t="e">
        <v>#N/A</v>
      </c>
      <c r="AS1599" t="e">
        <v>#N/A</v>
      </c>
      <c r="AT1599" t="e">
        <v>#N/A</v>
      </c>
    </row>
    <row r="1600" spans="42:46">
      <c r="AP1600">
        <v>153000</v>
      </c>
      <c r="AQ1600" t="e">
        <v>#N/A</v>
      </c>
      <c r="AR1600" t="e">
        <v>#N/A</v>
      </c>
      <c r="AS1600" t="e">
        <v>#N/A</v>
      </c>
      <c r="AT1600" t="e">
        <v>#N/A</v>
      </c>
    </row>
    <row r="1601" spans="42:46">
      <c r="AP1601">
        <v>153050</v>
      </c>
      <c r="AQ1601" t="e">
        <v>#N/A</v>
      </c>
      <c r="AR1601" t="e">
        <v>#N/A</v>
      </c>
      <c r="AS1601" t="e">
        <v>#N/A</v>
      </c>
      <c r="AT1601" t="e">
        <v>#N/A</v>
      </c>
    </row>
    <row r="1602" spans="42:46">
      <c r="AP1602">
        <v>153100</v>
      </c>
      <c r="AQ1602" t="e">
        <v>#N/A</v>
      </c>
      <c r="AR1602" t="e">
        <v>#N/A</v>
      </c>
      <c r="AS1602" t="e">
        <v>#N/A</v>
      </c>
      <c r="AT1602" t="e">
        <v>#N/A</v>
      </c>
    </row>
    <row r="1603" spans="42:46">
      <c r="AP1603">
        <v>153150</v>
      </c>
      <c r="AQ1603" t="e">
        <v>#N/A</v>
      </c>
      <c r="AR1603" t="e">
        <v>#N/A</v>
      </c>
      <c r="AS1603" t="e">
        <v>#N/A</v>
      </c>
      <c r="AT1603" t="e">
        <v>#N/A</v>
      </c>
    </row>
    <row r="1604" spans="42:46">
      <c r="AP1604">
        <v>153200</v>
      </c>
      <c r="AQ1604" t="e">
        <v>#N/A</v>
      </c>
      <c r="AR1604" t="e">
        <v>#N/A</v>
      </c>
      <c r="AS1604" t="e">
        <v>#N/A</v>
      </c>
      <c r="AT1604" t="e">
        <v>#N/A</v>
      </c>
    </row>
    <row r="1605" spans="42:46">
      <c r="AP1605">
        <v>153250</v>
      </c>
      <c r="AQ1605" t="e">
        <v>#N/A</v>
      </c>
      <c r="AR1605" t="e">
        <v>#N/A</v>
      </c>
      <c r="AS1605" t="e">
        <v>#N/A</v>
      </c>
      <c r="AT1605" t="e">
        <v>#N/A</v>
      </c>
    </row>
    <row r="1606" spans="42:46">
      <c r="AP1606">
        <v>153300</v>
      </c>
      <c r="AQ1606" t="e">
        <v>#N/A</v>
      </c>
      <c r="AR1606" t="e">
        <v>#N/A</v>
      </c>
      <c r="AS1606" t="e">
        <v>#N/A</v>
      </c>
      <c r="AT1606" t="e">
        <v>#N/A</v>
      </c>
    </row>
    <row r="1607" spans="42:46">
      <c r="AP1607">
        <v>153350</v>
      </c>
      <c r="AQ1607" t="e">
        <v>#N/A</v>
      </c>
      <c r="AR1607" t="e">
        <v>#N/A</v>
      </c>
      <c r="AS1607" t="e">
        <v>#N/A</v>
      </c>
      <c r="AT1607" t="e">
        <v>#N/A</v>
      </c>
    </row>
    <row r="1608" spans="42:46">
      <c r="AP1608">
        <v>153400</v>
      </c>
      <c r="AQ1608" t="e">
        <v>#N/A</v>
      </c>
      <c r="AR1608" t="e">
        <v>#N/A</v>
      </c>
      <c r="AS1608" t="e">
        <v>#N/A</v>
      </c>
      <c r="AT1608" t="e">
        <v>#N/A</v>
      </c>
    </row>
    <row r="1609" spans="42:46">
      <c r="AP1609">
        <v>153450</v>
      </c>
      <c r="AQ1609" t="e">
        <v>#N/A</v>
      </c>
      <c r="AR1609" t="e">
        <v>#N/A</v>
      </c>
      <c r="AS1609" t="e">
        <v>#N/A</v>
      </c>
      <c r="AT1609" t="e">
        <v>#N/A</v>
      </c>
    </row>
    <row r="1610" spans="42:46">
      <c r="AP1610">
        <v>153500</v>
      </c>
      <c r="AQ1610" t="e">
        <v>#N/A</v>
      </c>
      <c r="AR1610" t="e">
        <v>#N/A</v>
      </c>
      <c r="AS1610" t="e">
        <v>#N/A</v>
      </c>
      <c r="AT1610" t="e">
        <v>#N/A</v>
      </c>
    </row>
    <row r="1611" spans="42:46">
      <c r="AP1611">
        <v>153550</v>
      </c>
      <c r="AQ1611" t="e">
        <v>#N/A</v>
      </c>
      <c r="AR1611" t="e">
        <v>#N/A</v>
      </c>
      <c r="AS1611" t="e">
        <v>#N/A</v>
      </c>
      <c r="AT1611" t="e">
        <v>#N/A</v>
      </c>
    </row>
    <row r="1612" spans="42:46">
      <c r="AP1612">
        <v>153600</v>
      </c>
      <c r="AQ1612" t="e">
        <v>#N/A</v>
      </c>
      <c r="AR1612" t="e">
        <v>#N/A</v>
      </c>
      <c r="AS1612" t="e">
        <v>#N/A</v>
      </c>
      <c r="AT1612" t="e">
        <v>#N/A</v>
      </c>
    </row>
    <row r="1613" spans="42:46">
      <c r="AP1613">
        <v>153650</v>
      </c>
      <c r="AQ1613" t="e">
        <v>#N/A</v>
      </c>
      <c r="AR1613" t="e">
        <v>#N/A</v>
      </c>
      <c r="AS1613" t="e">
        <v>#N/A</v>
      </c>
      <c r="AT1613" t="e">
        <v>#N/A</v>
      </c>
    </row>
    <row r="1614" spans="42:46">
      <c r="AP1614">
        <v>153700</v>
      </c>
      <c r="AQ1614" t="e">
        <v>#N/A</v>
      </c>
      <c r="AR1614" t="e">
        <v>#N/A</v>
      </c>
      <c r="AS1614" t="e">
        <v>#N/A</v>
      </c>
      <c r="AT1614" t="e">
        <v>#N/A</v>
      </c>
    </row>
    <row r="1615" spans="42:46">
      <c r="AP1615">
        <v>153750</v>
      </c>
      <c r="AQ1615" t="e">
        <v>#N/A</v>
      </c>
      <c r="AR1615" t="e">
        <v>#N/A</v>
      </c>
      <c r="AS1615" t="e">
        <v>#N/A</v>
      </c>
      <c r="AT1615" t="e">
        <v>#N/A</v>
      </c>
    </row>
    <row r="1616" spans="42:46">
      <c r="AP1616">
        <v>153800</v>
      </c>
      <c r="AQ1616" t="e">
        <v>#N/A</v>
      </c>
      <c r="AR1616" t="e">
        <v>#N/A</v>
      </c>
      <c r="AS1616" t="e">
        <v>#N/A</v>
      </c>
      <c r="AT1616" t="e">
        <v>#N/A</v>
      </c>
    </row>
    <row r="1617" spans="42:46">
      <c r="AP1617">
        <v>153850</v>
      </c>
      <c r="AQ1617" t="e">
        <v>#N/A</v>
      </c>
      <c r="AR1617" t="e">
        <v>#N/A</v>
      </c>
      <c r="AS1617" t="e">
        <v>#N/A</v>
      </c>
      <c r="AT1617" t="e">
        <v>#N/A</v>
      </c>
    </row>
    <row r="1618" spans="42:46">
      <c r="AP1618">
        <v>153900</v>
      </c>
      <c r="AQ1618" t="e">
        <v>#N/A</v>
      </c>
      <c r="AR1618" t="e">
        <v>#N/A</v>
      </c>
      <c r="AS1618" t="e">
        <v>#N/A</v>
      </c>
      <c r="AT1618" t="e">
        <v>#N/A</v>
      </c>
    </row>
    <row r="1619" spans="42:46">
      <c r="AP1619">
        <v>153950</v>
      </c>
      <c r="AQ1619" t="e">
        <v>#N/A</v>
      </c>
      <c r="AR1619" t="e">
        <v>#N/A</v>
      </c>
      <c r="AS1619" t="e">
        <v>#N/A</v>
      </c>
      <c r="AT1619" t="e">
        <v>#N/A</v>
      </c>
    </row>
    <row r="1620" spans="42:46">
      <c r="AP1620">
        <v>154000</v>
      </c>
      <c r="AQ1620" t="e">
        <v>#N/A</v>
      </c>
      <c r="AR1620" t="e">
        <v>#N/A</v>
      </c>
      <c r="AS1620" t="e">
        <v>#N/A</v>
      </c>
      <c r="AT1620" t="e">
        <v>#N/A</v>
      </c>
    </row>
    <row r="1621" spans="42:46">
      <c r="AP1621">
        <v>154050</v>
      </c>
      <c r="AQ1621" t="e">
        <v>#N/A</v>
      </c>
      <c r="AR1621" t="e">
        <v>#N/A</v>
      </c>
      <c r="AS1621" t="e">
        <v>#N/A</v>
      </c>
      <c r="AT1621" t="e">
        <v>#N/A</v>
      </c>
    </row>
    <row r="1622" spans="42:46">
      <c r="AP1622">
        <v>154100</v>
      </c>
      <c r="AQ1622" t="e">
        <v>#N/A</v>
      </c>
      <c r="AR1622" t="e">
        <v>#N/A</v>
      </c>
      <c r="AS1622" t="e">
        <v>#N/A</v>
      </c>
      <c r="AT1622" t="e">
        <v>#N/A</v>
      </c>
    </row>
    <row r="1623" spans="42:46">
      <c r="AP1623">
        <v>154150</v>
      </c>
      <c r="AQ1623" t="e">
        <v>#N/A</v>
      </c>
      <c r="AR1623" t="e">
        <v>#N/A</v>
      </c>
      <c r="AS1623" t="e">
        <v>#N/A</v>
      </c>
      <c r="AT1623" t="e">
        <v>#N/A</v>
      </c>
    </row>
    <row r="1624" spans="42:46">
      <c r="AP1624">
        <v>154200</v>
      </c>
      <c r="AQ1624" t="e">
        <v>#N/A</v>
      </c>
      <c r="AR1624" t="e">
        <v>#N/A</v>
      </c>
      <c r="AS1624" t="e">
        <v>#N/A</v>
      </c>
      <c r="AT1624" t="e">
        <v>#N/A</v>
      </c>
    </row>
    <row r="1625" spans="42:46">
      <c r="AP1625">
        <v>154250</v>
      </c>
      <c r="AQ1625" t="e">
        <v>#N/A</v>
      </c>
      <c r="AR1625" t="e">
        <v>#N/A</v>
      </c>
      <c r="AS1625" t="e">
        <v>#N/A</v>
      </c>
      <c r="AT1625" t="e">
        <v>#N/A</v>
      </c>
    </row>
    <row r="1626" spans="42:46">
      <c r="AP1626">
        <v>154300</v>
      </c>
      <c r="AQ1626" t="e">
        <v>#N/A</v>
      </c>
      <c r="AR1626" t="e">
        <v>#N/A</v>
      </c>
      <c r="AS1626" t="e">
        <v>#N/A</v>
      </c>
      <c r="AT1626" t="e">
        <v>#N/A</v>
      </c>
    </row>
    <row r="1627" spans="42:46">
      <c r="AP1627">
        <v>154350</v>
      </c>
      <c r="AQ1627" t="e">
        <v>#N/A</v>
      </c>
      <c r="AR1627" t="e">
        <v>#N/A</v>
      </c>
      <c r="AS1627" t="e">
        <v>#N/A</v>
      </c>
      <c r="AT1627" t="e">
        <v>#N/A</v>
      </c>
    </row>
    <row r="1628" spans="42:46">
      <c r="AP1628">
        <v>154400</v>
      </c>
      <c r="AQ1628" t="e">
        <v>#N/A</v>
      </c>
      <c r="AR1628" t="e">
        <v>#N/A</v>
      </c>
      <c r="AS1628" t="e">
        <v>#N/A</v>
      </c>
      <c r="AT1628" t="e">
        <v>#N/A</v>
      </c>
    </row>
    <row r="1629" spans="42:46">
      <c r="AP1629">
        <v>154450</v>
      </c>
      <c r="AQ1629" t="e">
        <v>#N/A</v>
      </c>
      <c r="AR1629" t="e">
        <v>#N/A</v>
      </c>
      <c r="AS1629" t="e">
        <v>#N/A</v>
      </c>
      <c r="AT1629" t="e">
        <v>#N/A</v>
      </c>
    </row>
    <row r="1630" spans="42:46">
      <c r="AP1630">
        <v>154500</v>
      </c>
      <c r="AQ1630" t="e">
        <v>#N/A</v>
      </c>
      <c r="AR1630" t="e">
        <v>#N/A</v>
      </c>
      <c r="AS1630" t="e">
        <v>#N/A</v>
      </c>
      <c r="AT1630" t="e">
        <v>#N/A</v>
      </c>
    </row>
    <row r="1631" spans="42:46">
      <c r="AP1631">
        <v>154550</v>
      </c>
      <c r="AQ1631" t="e">
        <v>#N/A</v>
      </c>
      <c r="AR1631" t="e">
        <v>#N/A</v>
      </c>
      <c r="AS1631" t="e">
        <v>#N/A</v>
      </c>
      <c r="AT1631" t="e">
        <v>#N/A</v>
      </c>
    </row>
    <row r="1632" spans="42:46">
      <c r="AP1632">
        <v>154600</v>
      </c>
      <c r="AQ1632" t="e">
        <v>#N/A</v>
      </c>
      <c r="AR1632" t="e">
        <v>#N/A</v>
      </c>
      <c r="AS1632" t="e">
        <v>#N/A</v>
      </c>
      <c r="AT1632" t="e">
        <v>#N/A</v>
      </c>
    </row>
    <row r="1633" spans="42:46">
      <c r="AP1633">
        <v>154650</v>
      </c>
      <c r="AQ1633" t="e">
        <v>#N/A</v>
      </c>
      <c r="AR1633" t="e">
        <v>#N/A</v>
      </c>
      <c r="AS1633" t="e">
        <v>#N/A</v>
      </c>
      <c r="AT1633" t="e">
        <v>#N/A</v>
      </c>
    </row>
    <row r="1634" spans="42:46">
      <c r="AP1634">
        <v>154700</v>
      </c>
      <c r="AQ1634" t="e">
        <v>#N/A</v>
      </c>
      <c r="AR1634" t="e">
        <v>#N/A</v>
      </c>
      <c r="AS1634" t="e">
        <v>#N/A</v>
      </c>
      <c r="AT1634" t="e">
        <v>#N/A</v>
      </c>
    </row>
    <row r="1635" spans="42:46">
      <c r="AP1635">
        <v>154750</v>
      </c>
      <c r="AQ1635" t="e">
        <v>#N/A</v>
      </c>
      <c r="AR1635" t="e">
        <v>#N/A</v>
      </c>
      <c r="AS1635" t="e">
        <v>#N/A</v>
      </c>
      <c r="AT1635" t="e">
        <v>#N/A</v>
      </c>
    </row>
    <row r="1636" spans="42:46">
      <c r="AP1636">
        <v>154800</v>
      </c>
      <c r="AQ1636" t="e">
        <v>#N/A</v>
      </c>
      <c r="AR1636" t="e">
        <v>#N/A</v>
      </c>
      <c r="AS1636" t="e">
        <v>#N/A</v>
      </c>
      <c r="AT1636" t="e">
        <v>#N/A</v>
      </c>
    </row>
    <row r="1637" spans="42:46">
      <c r="AP1637">
        <v>154850</v>
      </c>
      <c r="AQ1637" t="e">
        <v>#N/A</v>
      </c>
      <c r="AR1637" t="e">
        <v>#N/A</v>
      </c>
      <c r="AS1637" t="e">
        <v>#N/A</v>
      </c>
      <c r="AT1637" t="e">
        <v>#N/A</v>
      </c>
    </row>
    <row r="1638" spans="42:46">
      <c r="AP1638">
        <v>154900</v>
      </c>
      <c r="AQ1638" t="e">
        <v>#N/A</v>
      </c>
      <c r="AR1638" t="e">
        <v>#N/A</v>
      </c>
      <c r="AS1638" t="e">
        <v>#N/A</v>
      </c>
      <c r="AT1638" t="e">
        <v>#N/A</v>
      </c>
    </row>
    <row r="1639" spans="42:46">
      <c r="AP1639">
        <v>154950</v>
      </c>
      <c r="AQ1639" t="e">
        <v>#N/A</v>
      </c>
      <c r="AR1639" t="e">
        <v>#N/A</v>
      </c>
      <c r="AS1639" t="e">
        <v>#N/A</v>
      </c>
      <c r="AT1639" t="e">
        <v>#N/A</v>
      </c>
    </row>
    <row r="1640" spans="42:46">
      <c r="AP1640">
        <v>155000</v>
      </c>
      <c r="AQ1640" t="e">
        <v>#N/A</v>
      </c>
      <c r="AR1640" t="e">
        <v>#N/A</v>
      </c>
      <c r="AS1640" t="e">
        <v>#N/A</v>
      </c>
      <c r="AT1640" t="e">
        <v>#N/A</v>
      </c>
    </row>
    <row r="1641" spans="42:46">
      <c r="AP1641">
        <v>155050</v>
      </c>
      <c r="AQ1641" t="e">
        <v>#N/A</v>
      </c>
      <c r="AR1641" t="e">
        <v>#N/A</v>
      </c>
      <c r="AS1641" t="e">
        <v>#N/A</v>
      </c>
      <c r="AT1641" t="e">
        <v>#N/A</v>
      </c>
    </row>
    <row r="1642" spans="42:46">
      <c r="AP1642">
        <v>155100</v>
      </c>
      <c r="AQ1642" t="e">
        <v>#N/A</v>
      </c>
      <c r="AR1642" t="e">
        <v>#N/A</v>
      </c>
      <c r="AS1642" t="e">
        <v>#N/A</v>
      </c>
      <c r="AT1642" t="e">
        <v>#N/A</v>
      </c>
    </row>
    <row r="1643" spans="42:46">
      <c r="AP1643">
        <v>155150</v>
      </c>
      <c r="AQ1643" t="e">
        <v>#N/A</v>
      </c>
      <c r="AR1643" t="e">
        <v>#N/A</v>
      </c>
      <c r="AS1643" t="e">
        <v>#N/A</v>
      </c>
      <c r="AT1643" t="e">
        <v>#N/A</v>
      </c>
    </row>
    <row r="1644" spans="42:46">
      <c r="AP1644">
        <v>155200</v>
      </c>
      <c r="AQ1644" t="e">
        <v>#N/A</v>
      </c>
      <c r="AR1644" t="e">
        <v>#N/A</v>
      </c>
      <c r="AS1644" t="e">
        <v>#N/A</v>
      </c>
      <c r="AT1644" t="e">
        <v>#N/A</v>
      </c>
    </row>
    <row r="1645" spans="42:46">
      <c r="AP1645">
        <v>155250</v>
      </c>
      <c r="AQ1645" t="e">
        <v>#N/A</v>
      </c>
      <c r="AR1645" t="e">
        <v>#N/A</v>
      </c>
      <c r="AS1645" t="e">
        <v>#N/A</v>
      </c>
      <c r="AT1645" t="e">
        <v>#N/A</v>
      </c>
    </row>
    <row r="1646" spans="42:46">
      <c r="AP1646">
        <v>155300</v>
      </c>
      <c r="AQ1646" t="e">
        <v>#N/A</v>
      </c>
      <c r="AR1646" t="e">
        <v>#N/A</v>
      </c>
      <c r="AS1646" t="e">
        <v>#N/A</v>
      </c>
      <c r="AT1646" t="e">
        <v>#N/A</v>
      </c>
    </row>
    <row r="1647" spans="42:46">
      <c r="AP1647">
        <v>155350</v>
      </c>
      <c r="AQ1647" t="e">
        <v>#N/A</v>
      </c>
      <c r="AR1647" t="e">
        <v>#N/A</v>
      </c>
      <c r="AS1647" t="e">
        <v>#N/A</v>
      </c>
      <c r="AT1647" t="e">
        <v>#N/A</v>
      </c>
    </row>
    <row r="1648" spans="42:46">
      <c r="AP1648">
        <v>155400</v>
      </c>
      <c r="AQ1648" t="e">
        <v>#N/A</v>
      </c>
      <c r="AR1648" t="e">
        <v>#N/A</v>
      </c>
      <c r="AS1648" t="e">
        <v>#N/A</v>
      </c>
      <c r="AT1648" t="e">
        <v>#N/A</v>
      </c>
    </row>
    <row r="1649" spans="42:46">
      <c r="AP1649">
        <v>155450</v>
      </c>
      <c r="AQ1649" t="e">
        <v>#N/A</v>
      </c>
      <c r="AR1649" t="e">
        <v>#N/A</v>
      </c>
      <c r="AS1649" t="e">
        <v>#N/A</v>
      </c>
      <c r="AT1649" t="e">
        <v>#N/A</v>
      </c>
    </row>
    <row r="1650" spans="42:46">
      <c r="AP1650">
        <v>155500</v>
      </c>
      <c r="AQ1650" t="e">
        <v>#N/A</v>
      </c>
      <c r="AR1650" t="e">
        <v>#N/A</v>
      </c>
      <c r="AS1650" t="e">
        <v>#N/A</v>
      </c>
      <c r="AT1650" t="e">
        <v>#N/A</v>
      </c>
    </row>
    <row r="1651" spans="42:46">
      <c r="AP1651">
        <v>155550</v>
      </c>
      <c r="AQ1651" t="e">
        <v>#N/A</v>
      </c>
      <c r="AR1651" t="e">
        <v>#N/A</v>
      </c>
      <c r="AS1651" t="e">
        <v>#N/A</v>
      </c>
      <c r="AT1651" t="e">
        <v>#N/A</v>
      </c>
    </row>
    <row r="1652" spans="42:46">
      <c r="AP1652">
        <v>155600</v>
      </c>
      <c r="AQ1652" t="e">
        <v>#N/A</v>
      </c>
      <c r="AR1652" t="e">
        <v>#N/A</v>
      </c>
      <c r="AS1652" t="e">
        <v>#N/A</v>
      </c>
      <c r="AT1652" t="e">
        <v>#N/A</v>
      </c>
    </row>
    <row r="1653" spans="42:46">
      <c r="AP1653">
        <v>155650</v>
      </c>
      <c r="AQ1653" t="e">
        <v>#N/A</v>
      </c>
      <c r="AR1653" t="e">
        <v>#N/A</v>
      </c>
      <c r="AS1653" t="e">
        <v>#N/A</v>
      </c>
      <c r="AT1653" t="e">
        <v>#N/A</v>
      </c>
    </row>
    <row r="1654" spans="42:46">
      <c r="AP1654">
        <v>155700</v>
      </c>
      <c r="AQ1654" t="e">
        <v>#N/A</v>
      </c>
      <c r="AR1654" t="e">
        <v>#N/A</v>
      </c>
      <c r="AS1654" t="e">
        <v>#N/A</v>
      </c>
      <c r="AT1654" t="e">
        <v>#N/A</v>
      </c>
    </row>
    <row r="1655" spans="42:46">
      <c r="AP1655">
        <v>155750</v>
      </c>
      <c r="AQ1655" t="e">
        <v>#N/A</v>
      </c>
      <c r="AR1655" t="e">
        <v>#N/A</v>
      </c>
      <c r="AS1655" t="e">
        <v>#N/A</v>
      </c>
      <c r="AT1655" t="e">
        <v>#N/A</v>
      </c>
    </row>
    <row r="1656" spans="42:46">
      <c r="AP1656">
        <v>155800</v>
      </c>
      <c r="AQ1656" t="e">
        <v>#N/A</v>
      </c>
      <c r="AR1656" t="e">
        <v>#N/A</v>
      </c>
      <c r="AS1656" t="e">
        <v>#N/A</v>
      </c>
      <c r="AT1656" t="e">
        <v>#N/A</v>
      </c>
    </row>
    <row r="1657" spans="42:46">
      <c r="AP1657">
        <v>155850</v>
      </c>
      <c r="AQ1657" t="e">
        <v>#N/A</v>
      </c>
      <c r="AR1657" t="e">
        <v>#N/A</v>
      </c>
      <c r="AS1657" t="e">
        <v>#N/A</v>
      </c>
      <c r="AT1657" t="e">
        <v>#N/A</v>
      </c>
    </row>
    <row r="1658" spans="42:46">
      <c r="AP1658">
        <v>155900</v>
      </c>
      <c r="AQ1658" t="e">
        <v>#N/A</v>
      </c>
      <c r="AR1658" t="e">
        <v>#N/A</v>
      </c>
      <c r="AS1658" t="e">
        <v>#N/A</v>
      </c>
      <c r="AT1658" t="e">
        <v>#N/A</v>
      </c>
    </row>
    <row r="1659" spans="42:46">
      <c r="AP1659">
        <v>155950</v>
      </c>
      <c r="AQ1659" t="e">
        <v>#N/A</v>
      </c>
      <c r="AR1659" t="e">
        <v>#N/A</v>
      </c>
      <c r="AS1659" t="e">
        <v>#N/A</v>
      </c>
      <c r="AT1659" t="e">
        <v>#N/A</v>
      </c>
    </row>
    <row r="1660" spans="42:46">
      <c r="AP1660">
        <v>156000</v>
      </c>
      <c r="AQ1660" t="e">
        <v>#N/A</v>
      </c>
      <c r="AR1660" t="e">
        <v>#N/A</v>
      </c>
      <c r="AS1660" t="e">
        <v>#N/A</v>
      </c>
      <c r="AT1660" t="e">
        <v>#N/A</v>
      </c>
    </row>
    <row r="1661" spans="42:46">
      <c r="AP1661">
        <v>156050</v>
      </c>
      <c r="AQ1661" t="e">
        <v>#N/A</v>
      </c>
      <c r="AR1661" t="e">
        <v>#N/A</v>
      </c>
      <c r="AS1661" t="e">
        <v>#N/A</v>
      </c>
      <c r="AT1661" t="e">
        <v>#N/A</v>
      </c>
    </row>
    <row r="1662" spans="42:46">
      <c r="AP1662">
        <v>156100</v>
      </c>
      <c r="AQ1662" t="e">
        <v>#N/A</v>
      </c>
      <c r="AR1662" t="e">
        <v>#N/A</v>
      </c>
      <c r="AS1662" t="e">
        <v>#N/A</v>
      </c>
      <c r="AT1662" t="e">
        <v>#N/A</v>
      </c>
    </row>
    <row r="1663" spans="42:46">
      <c r="AP1663">
        <v>156150</v>
      </c>
      <c r="AQ1663" t="e">
        <v>#N/A</v>
      </c>
      <c r="AR1663" t="e">
        <v>#N/A</v>
      </c>
      <c r="AS1663" t="e">
        <v>#N/A</v>
      </c>
      <c r="AT1663" t="e">
        <v>#N/A</v>
      </c>
    </row>
    <row r="1664" spans="42:46">
      <c r="AP1664">
        <v>156200</v>
      </c>
      <c r="AQ1664" t="e">
        <v>#N/A</v>
      </c>
      <c r="AR1664" t="e">
        <v>#N/A</v>
      </c>
      <c r="AS1664" t="e">
        <v>#N/A</v>
      </c>
      <c r="AT1664" t="e">
        <v>#N/A</v>
      </c>
    </row>
    <row r="1665" spans="42:46">
      <c r="AP1665">
        <v>156250</v>
      </c>
      <c r="AQ1665" t="e">
        <v>#N/A</v>
      </c>
      <c r="AR1665" t="e">
        <v>#N/A</v>
      </c>
      <c r="AS1665" t="e">
        <v>#N/A</v>
      </c>
      <c r="AT1665" t="e">
        <v>#N/A</v>
      </c>
    </row>
    <row r="1666" spans="42:46">
      <c r="AP1666">
        <v>156300</v>
      </c>
      <c r="AQ1666" t="e">
        <v>#N/A</v>
      </c>
      <c r="AR1666" t="e">
        <v>#N/A</v>
      </c>
      <c r="AS1666" t="e">
        <v>#N/A</v>
      </c>
      <c r="AT1666" t="e">
        <v>#N/A</v>
      </c>
    </row>
    <row r="1667" spans="42:46">
      <c r="AP1667">
        <v>156350</v>
      </c>
      <c r="AQ1667" t="e">
        <v>#N/A</v>
      </c>
      <c r="AR1667" t="e">
        <v>#N/A</v>
      </c>
      <c r="AS1667" t="e">
        <v>#N/A</v>
      </c>
      <c r="AT1667" t="e">
        <v>#N/A</v>
      </c>
    </row>
    <row r="1668" spans="42:46">
      <c r="AP1668">
        <v>156400</v>
      </c>
      <c r="AQ1668" t="e">
        <v>#N/A</v>
      </c>
      <c r="AR1668" t="e">
        <v>#N/A</v>
      </c>
      <c r="AS1668" t="e">
        <v>#N/A</v>
      </c>
      <c r="AT1668" t="e">
        <v>#N/A</v>
      </c>
    </row>
    <row r="1669" spans="42:46">
      <c r="AP1669">
        <v>156450</v>
      </c>
      <c r="AQ1669" t="e">
        <v>#N/A</v>
      </c>
      <c r="AR1669" t="e">
        <v>#N/A</v>
      </c>
      <c r="AS1669" t="e">
        <v>#N/A</v>
      </c>
      <c r="AT1669" t="e">
        <v>#N/A</v>
      </c>
    </row>
    <row r="1670" spans="42:46">
      <c r="AP1670">
        <v>156500</v>
      </c>
      <c r="AQ1670" t="e">
        <v>#N/A</v>
      </c>
      <c r="AR1670" t="e">
        <v>#N/A</v>
      </c>
      <c r="AS1670" t="e">
        <v>#N/A</v>
      </c>
      <c r="AT1670" t="e">
        <v>#N/A</v>
      </c>
    </row>
    <row r="1671" spans="42:46">
      <c r="AP1671">
        <v>156550</v>
      </c>
      <c r="AQ1671" t="e">
        <v>#N/A</v>
      </c>
      <c r="AR1671" t="e">
        <v>#N/A</v>
      </c>
      <c r="AS1671" t="e">
        <v>#N/A</v>
      </c>
      <c r="AT1671" t="e">
        <v>#N/A</v>
      </c>
    </row>
    <row r="1672" spans="42:46">
      <c r="AP1672">
        <v>156600</v>
      </c>
      <c r="AQ1672" t="e">
        <v>#N/A</v>
      </c>
      <c r="AR1672" t="e">
        <v>#N/A</v>
      </c>
      <c r="AS1672" t="e">
        <v>#N/A</v>
      </c>
      <c r="AT1672" t="e">
        <v>#N/A</v>
      </c>
    </row>
    <row r="1673" spans="42:46">
      <c r="AP1673">
        <v>156650</v>
      </c>
      <c r="AQ1673" t="e">
        <v>#N/A</v>
      </c>
      <c r="AR1673" t="e">
        <v>#N/A</v>
      </c>
      <c r="AS1673" t="e">
        <v>#N/A</v>
      </c>
      <c r="AT1673" t="e">
        <v>#N/A</v>
      </c>
    </row>
    <row r="1674" spans="42:46">
      <c r="AP1674">
        <v>156700</v>
      </c>
      <c r="AQ1674" t="e">
        <v>#N/A</v>
      </c>
      <c r="AR1674" t="e">
        <v>#N/A</v>
      </c>
      <c r="AS1674" t="e">
        <v>#N/A</v>
      </c>
      <c r="AT1674" t="e">
        <v>#N/A</v>
      </c>
    </row>
    <row r="1675" spans="42:46">
      <c r="AP1675">
        <v>156750</v>
      </c>
      <c r="AQ1675" t="e">
        <v>#N/A</v>
      </c>
      <c r="AR1675" t="e">
        <v>#N/A</v>
      </c>
      <c r="AS1675" t="e">
        <v>#N/A</v>
      </c>
      <c r="AT1675" t="e">
        <v>#N/A</v>
      </c>
    </row>
    <row r="1676" spans="42:46">
      <c r="AP1676">
        <v>156800</v>
      </c>
      <c r="AQ1676" t="e">
        <v>#N/A</v>
      </c>
      <c r="AR1676" t="e">
        <v>#N/A</v>
      </c>
      <c r="AS1676" t="e">
        <v>#N/A</v>
      </c>
      <c r="AT1676" t="e">
        <v>#N/A</v>
      </c>
    </row>
    <row r="1677" spans="42:46">
      <c r="AP1677">
        <v>156850</v>
      </c>
      <c r="AQ1677" t="e">
        <v>#N/A</v>
      </c>
      <c r="AR1677" t="e">
        <v>#N/A</v>
      </c>
      <c r="AS1677" t="e">
        <v>#N/A</v>
      </c>
      <c r="AT1677" t="e">
        <v>#N/A</v>
      </c>
    </row>
    <row r="1678" spans="42:46">
      <c r="AP1678">
        <v>156900</v>
      </c>
      <c r="AQ1678" t="e">
        <v>#N/A</v>
      </c>
      <c r="AR1678" t="e">
        <v>#N/A</v>
      </c>
      <c r="AS1678" t="e">
        <v>#N/A</v>
      </c>
      <c r="AT1678" t="e">
        <v>#N/A</v>
      </c>
    </row>
    <row r="1679" spans="42:46">
      <c r="AP1679">
        <v>156950</v>
      </c>
      <c r="AQ1679" t="e">
        <v>#N/A</v>
      </c>
      <c r="AR1679" t="e">
        <v>#N/A</v>
      </c>
      <c r="AS1679" t="e">
        <v>#N/A</v>
      </c>
      <c r="AT1679" t="e">
        <v>#N/A</v>
      </c>
    </row>
    <row r="1680" spans="42:46">
      <c r="AP1680">
        <v>157000</v>
      </c>
      <c r="AQ1680" t="e">
        <v>#N/A</v>
      </c>
      <c r="AR1680" t="e">
        <v>#N/A</v>
      </c>
      <c r="AS1680" t="e">
        <v>#N/A</v>
      </c>
      <c r="AT1680" t="e">
        <v>#N/A</v>
      </c>
    </row>
    <row r="1681" spans="42:46">
      <c r="AP1681">
        <v>157050</v>
      </c>
      <c r="AQ1681" t="e">
        <v>#N/A</v>
      </c>
      <c r="AR1681" t="e">
        <v>#N/A</v>
      </c>
      <c r="AS1681" t="e">
        <v>#N/A</v>
      </c>
      <c r="AT1681" t="e">
        <v>#N/A</v>
      </c>
    </row>
    <row r="1682" spans="42:46">
      <c r="AP1682">
        <v>157100</v>
      </c>
      <c r="AQ1682" t="e">
        <v>#N/A</v>
      </c>
      <c r="AR1682" t="e">
        <v>#N/A</v>
      </c>
      <c r="AS1682" t="e">
        <v>#N/A</v>
      </c>
      <c r="AT1682" t="e">
        <v>#N/A</v>
      </c>
    </row>
    <row r="1683" spans="42:46">
      <c r="AP1683">
        <v>157150</v>
      </c>
      <c r="AQ1683" t="e">
        <v>#N/A</v>
      </c>
      <c r="AR1683" t="e">
        <v>#N/A</v>
      </c>
      <c r="AS1683" t="e">
        <v>#N/A</v>
      </c>
      <c r="AT1683" t="e">
        <v>#N/A</v>
      </c>
    </row>
    <row r="1684" spans="42:46">
      <c r="AP1684">
        <v>157200</v>
      </c>
      <c r="AQ1684" t="e">
        <v>#N/A</v>
      </c>
      <c r="AR1684" t="e">
        <v>#N/A</v>
      </c>
      <c r="AS1684" t="e">
        <v>#N/A</v>
      </c>
      <c r="AT1684" t="e">
        <v>#N/A</v>
      </c>
    </row>
    <row r="1685" spans="42:46">
      <c r="AP1685">
        <v>157250</v>
      </c>
      <c r="AQ1685" t="e">
        <v>#N/A</v>
      </c>
      <c r="AR1685" t="e">
        <v>#N/A</v>
      </c>
      <c r="AS1685" t="e">
        <v>#N/A</v>
      </c>
      <c r="AT1685" t="e">
        <v>#N/A</v>
      </c>
    </row>
    <row r="1686" spans="42:46">
      <c r="AP1686">
        <v>157300</v>
      </c>
      <c r="AQ1686" t="e">
        <v>#N/A</v>
      </c>
      <c r="AR1686" t="e">
        <v>#N/A</v>
      </c>
      <c r="AS1686" t="e">
        <v>#N/A</v>
      </c>
      <c r="AT1686" t="e">
        <v>#N/A</v>
      </c>
    </row>
    <row r="1687" spans="42:46">
      <c r="AP1687">
        <v>157350</v>
      </c>
      <c r="AQ1687" t="e">
        <v>#N/A</v>
      </c>
      <c r="AR1687" t="e">
        <v>#N/A</v>
      </c>
      <c r="AS1687" t="e">
        <v>#N/A</v>
      </c>
      <c r="AT1687" t="e">
        <v>#N/A</v>
      </c>
    </row>
    <row r="1688" spans="42:46">
      <c r="AP1688">
        <v>157400</v>
      </c>
      <c r="AQ1688" t="e">
        <v>#N/A</v>
      </c>
      <c r="AR1688" t="e">
        <v>#N/A</v>
      </c>
      <c r="AS1688" t="e">
        <v>#N/A</v>
      </c>
      <c r="AT1688" t="e">
        <v>#N/A</v>
      </c>
    </row>
    <row r="1689" spans="42:46">
      <c r="AP1689">
        <v>157450</v>
      </c>
      <c r="AQ1689" t="e">
        <v>#N/A</v>
      </c>
      <c r="AR1689" t="e">
        <v>#N/A</v>
      </c>
      <c r="AS1689" t="e">
        <v>#N/A</v>
      </c>
      <c r="AT1689" t="e">
        <v>#N/A</v>
      </c>
    </row>
    <row r="1690" spans="42:46">
      <c r="AP1690">
        <v>157500</v>
      </c>
      <c r="AQ1690" t="e">
        <v>#N/A</v>
      </c>
      <c r="AR1690" t="e">
        <v>#N/A</v>
      </c>
      <c r="AS1690" t="e">
        <v>#N/A</v>
      </c>
      <c r="AT1690" t="e">
        <v>#N/A</v>
      </c>
    </row>
    <row r="1691" spans="42:46">
      <c r="AP1691">
        <v>157550</v>
      </c>
      <c r="AQ1691" t="e">
        <v>#N/A</v>
      </c>
      <c r="AR1691" t="e">
        <v>#N/A</v>
      </c>
      <c r="AS1691" t="e">
        <v>#N/A</v>
      </c>
      <c r="AT1691" t="e">
        <v>#N/A</v>
      </c>
    </row>
    <row r="1692" spans="42:46">
      <c r="AP1692">
        <v>157600</v>
      </c>
      <c r="AQ1692" t="e">
        <v>#N/A</v>
      </c>
      <c r="AR1692" t="e">
        <v>#N/A</v>
      </c>
      <c r="AS1692" t="e">
        <v>#N/A</v>
      </c>
      <c r="AT1692" t="e">
        <v>#N/A</v>
      </c>
    </row>
    <row r="1693" spans="42:46">
      <c r="AP1693">
        <v>157650</v>
      </c>
      <c r="AQ1693" t="e">
        <v>#N/A</v>
      </c>
      <c r="AR1693" t="e">
        <v>#N/A</v>
      </c>
      <c r="AS1693" t="e">
        <v>#N/A</v>
      </c>
      <c r="AT1693" t="e">
        <v>#N/A</v>
      </c>
    </row>
    <row r="1694" spans="42:46">
      <c r="AP1694">
        <v>157700</v>
      </c>
      <c r="AQ1694" t="e">
        <v>#N/A</v>
      </c>
      <c r="AR1694" t="e">
        <v>#N/A</v>
      </c>
      <c r="AS1694" t="e">
        <v>#N/A</v>
      </c>
      <c r="AT1694" t="e">
        <v>#N/A</v>
      </c>
    </row>
    <row r="1695" spans="42:46">
      <c r="AP1695">
        <v>157750</v>
      </c>
      <c r="AQ1695" t="e">
        <v>#N/A</v>
      </c>
      <c r="AR1695" t="e">
        <v>#N/A</v>
      </c>
      <c r="AS1695" t="e">
        <v>#N/A</v>
      </c>
      <c r="AT1695" t="e">
        <v>#N/A</v>
      </c>
    </row>
    <row r="1696" spans="42:46">
      <c r="AP1696">
        <v>157800</v>
      </c>
      <c r="AQ1696" t="e">
        <v>#N/A</v>
      </c>
      <c r="AR1696" t="e">
        <v>#N/A</v>
      </c>
      <c r="AS1696" t="e">
        <v>#N/A</v>
      </c>
      <c r="AT1696" t="e">
        <v>#N/A</v>
      </c>
    </row>
    <row r="1697" spans="42:46">
      <c r="AP1697">
        <v>157850</v>
      </c>
      <c r="AQ1697" t="e">
        <v>#N/A</v>
      </c>
      <c r="AR1697" t="e">
        <v>#N/A</v>
      </c>
      <c r="AS1697" t="e">
        <v>#N/A</v>
      </c>
      <c r="AT1697" t="e">
        <v>#N/A</v>
      </c>
    </row>
    <row r="1698" spans="42:46">
      <c r="AP1698">
        <v>157900</v>
      </c>
      <c r="AQ1698" t="e">
        <v>#N/A</v>
      </c>
      <c r="AR1698" t="e">
        <v>#N/A</v>
      </c>
      <c r="AS1698" t="e">
        <v>#N/A</v>
      </c>
      <c r="AT1698" t="e">
        <v>#N/A</v>
      </c>
    </row>
    <row r="1699" spans="42:46">
      <c r="AP1699">
        <v>157950</v>
      </c>
      <c r="AQ1699" t="e">
        <v>#N/A</v>
      </c>
      <c r="AR1699" t="e">
        <v>#N/A</v>
      </c>
      <c r="AS1699" t="e">
        <v>#N/A</v>
      </c>
      <c r="AT1699" t="e">
        <v>#N/A</v>
      </c>
    </row>
    <row r="1700" spans="42:46">
      <c r="AP1700">
        <v>158000</v>
      </c>
      <c r="AQ1700" t="e">
        <v>#N/A</v>
      </c>
      <c r="AR1700" t="e">
        <v>#N/A</v>
      </c>
      <c r="AS1700" t="e">
        <v>#N/A</v>
      </c>
      <c r="AT1700" t="e">
        <v>#N/A</v>
      </c>
    </row>
    <row r="1701" spans="42:46">
      <c r="AP1701">
        <v>158050</v>
      </c>
      <c r="AQ1701" t="e">
        <v>#N/A</v>
      </c>
      <c r="AR1701" t="e">
        <v>#N/A</v>
      </c>
      <c r="AS1701" t="e">
        <v>#N/A</v>
      </c>
      <c r="AT1701" t="e">
        <v>#N/A</v>
      </c>
    </row>
    <row r="1702" spans="42:46">
      <c r="AP1702">
        <v>158100</v>
      </c>
      <c r="AQ1702" t="e">
        <v>#N/A</v>
      </c>
      <c r="AR1702" t="e">
        <v>#N/A</v>
      </c>
      <c r="AS1702" t="e">
        <v>#N/A</v>
      </c>
      <c r="AT1702" t="e">
        <v>#N/A</v>
      </c>
    </row>
    <row r="1703" spans="42:46">
      <c r="AP1703">
        <v>158150</v>
      </c>
      <c r="AQ1703" t="e">
        <v>#N/A</v>
      </c>
      <c r="AR1703" t="e">
        <v>#N/A</v>
      </c>
      <c r="AS1703" t="e">
        <v>#N/A</v>
      </c>
      <c r="AT1703" t="e">
        <v>#N/A</v>
      </c>
    </row>
    <row r="1704" spans="42:46">
      <c r="AP1704">
        <v>158200</v>
      </c>
      <c r="AQ1704" t="e">
        <v>#N/A</v>
      </c>
      <c r="AR1704" t="e">
        <v>#N/A</v>
      </c>
      <c r="AS1704" t="e">
        <v>#N/A</v>
      </c>
      <c r="AT1704" t="e">
        <v>#N/A</v>
      </c>
    </row>
    <row r="1705" spans="42:46">
      <c r="AP1705">
        <v>158250</v>
      </c>
      <c r="AQ1705" t="e">
        <v>#N/A</v>
      </c>
      <c r="AR1705" t="e">
        <v>#N/A</v>
      </c>
      <c r="AS1705" t="e">
        <v>#N/A</v>
      </c>
      <c r="AT1705" t="e">
        <v>#N/A</v>
      </c>
    </row>
    <row r="1706" spans="42:46">
      <c r="AP1706">
        <v>158300</v>
      </c>
      <c r="AQ1706" t="e">
        <v>#N/A</v>
      </c>
      <c r="AR1706" t="e">
        <v>#N/A</v>
      </c>
      <c r="AS1706" t="e">
        <v>#N/A</v>
      </c>
      <c r="AT1706" t="e">
        <v>#N/A</v>
      </c>
    </row>
    <row r="1707" spans="42:46">
      <c r="AP1707">
        <v>158350</v>
      </c>
      <c r="AQ1707" t="e">
        <v>#N/A</v>
      </c>
      <c r="AR1707" t="e">
        <v>#N/A</v>
      </c>
      <c r="AS1707" t="e">
        <v>#N/A</v>
      </c>
      <c r="AT1707" t="e">
        <v>#N/A</v>
      </c>
    </row>
    <row r="1708" spans="42:46">
      <c r="AP1708">
        <v>158400</v>
      </c>
      <c r="AQ1708" t="e">
        <v>#N/A</v>
      </c>
      <c r="AR1708" t="e">
        <v>#N/A</v>
      </c>
      <c r="AS1708" t="e">
        <v>#N/A</v>
      </c>
      <c r="AT1708" t="e">
        <v>#N/A</v>
      </c>
    </row>
    <row r="1709" spans="42:46">
      <c r="AP1709">
        <v>158450</v>
      </c>
      <c r="AQ1709" t="e">
        <v>#N/A</v>
      </c>
      <c r="AR1709" t="e">
        <v>#N/A</v>
      </c>
      <c r="AS1709" t="e">
        <v>#N/A</v>
      </c>
      <c r="AT1709" t="e">
        <v>#N/A</v>
      </c>
    </row>
    <row r="1710" spans="42:46">
      <c r="AP1710">
        <v>158500</v>
      </c>
      <c r="AQ1710" t="e">
        <v>#N/A</v>
      </c>
      <c r="AR1710" t="e">
        <v>#N/A</v>
      </c>
      <c r="AS1710" t="e">
        <v>#N/A</v>
      </c>
      <c r="AT1710" t="e">
        <v>#N/A</v>
      </c>
    </row>
    <row r="1711" spans="42:46">
      <c r="AP1711">
        <v>158550</v>
      </c>
      <c r="AQ1711" t="e">
        <v>#N/A</v>
      </c>
      <c r="AR1711" t="e">
        <v>#N/A</v>
      </c>
      <c r="AS1711" t="e">
        <v>#N/A</v>
      </c>
      <c r="AT1711" t="e">
        <v>#N/A</v>
      </c>
    </row>
    <row r="1712" spans="42:46">
      <c r="AP1712">
        <v>158600</v>
      </c>
      <c r="AQ1712" t="e">
        <v>#N/A</v>
      </c>
      <c r="AR1712" t="e">
        <v>#N/A</v>
      </c>
      <c r="AS1712" t="e">
        <v>#N/A</v>
      </c>
      <c r="AT1712" t="e">
        <v>#N/A</v>
      </c>
    </row>
    <row r="1713" spans="42:46">
      <c r="AP1713">
        <v>158650</v>
      </c>
      <c r="AQ1713" t="e">
        <v>#N/A</v>
      </c>
      <c r="AR1713" t="e">
        <v>#N/A</v>
      </c>
      <c r="AS1713" t="e">
        <v>#N/A</v>
      </c>
      <c r="AT1713" t="e">
        <v>#N/A</v>
      </c>
    </row>
    <row r="1714" spans="42:46">
      <c r="AP1714">
        <v>158700</v>
      </c>
      <c r="AQ1714" t="e">
        <v>#N/A</v>
      </c>
      <c r="AR1714" t="e">
        <v>#N/A</v>
      </c>
      <c r="AS1714" t="e">
        <v>#N/A</v>
      </c>
      <c r="AT1714" t="e">
        <v>#N/A</v>
      </c>
    </row>
    <row r="1715" spans="42:46">
      <c r="AP1715">
        <v>158750</v>
      </c>
      <c r="AQ1715" t="e">
        <v>#N/A</v>
      </c>
      <c r="AR1715" t="e">
        <v>#N/A</v>
      </c>
      <c r="AS1715" t="e">
        <v>#N/A</v>
      </c>
      <c r="AT1715" t="e">
        <v>#N/A</v>
      </c>
    </row>
    <row r="1716" spans="42:46">
      <c r="AP1716">
        <v>158800</v>
      </c>
      <c r="AQ1716" t="e">
        <v>#N/A</v>
      </c>
      <c r="AR1716" t="e">
        <v>#N/A</v>
      </c>
      <c r="AS1716" t="e">
        <v>#N/A</v>
      </c>
      <c r="AT1716" t="e">
        <v>#N/A</v>
      </c>
    </row>
    <row r="1717" spans="42:46">
      <c r="AP1717">
        <v>158850</v>
      </c>
      <c r="AQ1717" t="e">
        <v>#N/A</v>
      </c>
      <c r="AR1717" t="e">
        <v>#N/A</v>
      </c>
      <c r="AS1717" t="e">
        <v>#N/A</v>
      </c>
      <c r="AT1717" t="e">
        <v>#N/A</v>
      </c>
    </row>
    <row r="1718" spans="42:46">
      <c r="AP1718">
        <v>158900</v>
      </c>
      <c r="AQ1718" t="e">
        <v>#N/A</v>
      </c>
      <c r="AR1718" t="e">
        <v>#N/A</v>
      </c>
      <c r="AS1718" t="e">
        <v>#N/A</v>
      </c>
      <c r="AT1718" t="e">
        <v>#N/A</v>
      </c>
    </row>
    <row r="1719" spans="42:46">
      <c r="AP1719">
        <v>158950</v>
      </c>
      <c r="AQ1719" t="e">
        <v>#N/A</v>
      </c>
      <c r="AR1719" t="e">
        <v>#N/A</v>
      </c>
      <c r="AS1719" t="e">
        <v>#N/A</v>
      </c>
      <c r="AT1719" t="e">
        <v>#N/A</v>
      </c>
    </row>
    <row r="1720" spans="42:46">
      <c r="AP1720">
        <v>159000</v>
      </c>
      <c r="AQ1720" t="e">
        <v>#N/A</v>
      </c>
      <c r="AR1720" t="e">
        <v>#N/A</v>
      </c>
      <c r="AS1720" t="e">
        <v>#N/A</v>
      </c>
      <c r="AT1720" t="e">
        <v>#N/A</v>
      </c>
    </row>
    <row r="1721" spans="42:46">
      <c r="AP1721">
        <v>159050</v>
      </c>
      <c r="AQ1721" t="e">
        <v>#N/A</v>
      </c>
      <c r="AR1721" t="e">
        <v>#N/A</v>
      </c>
      <c r="AS1721" t="e">
        <v>#N/A</v>
      </c>
      <c r="AT1721" t="e">
        <v>#N/A</v>
      </c>
    </row>
    <row r="1722" spans="42:46">
      <c r="AP1722">
        <v>159100</v>
      </c>
      <c r="AQ1722" t="e">
        <v>#N/A</v>
      </c>
      <c r="AR1722" t="e">
        <v>#N/A</v>
      </c>
      <c r="AS1722" t="e">
        <v>#N/A</v>
      </c>
      <c r="AT1722" t="e">
        <v>#N/A</v>
      </c>
    </row>
    <row r="1723" spans="42:46">
      <c r="AP1723">
        <v>159150</v>
      </c>
      <c r="AQ1723" t="e">
        <v>#N/A</v>
      </c>
      <c r="AR1723" t="e">
        <v>#N/A</v>
      </c>
      <c r="AS1723" t="e">
        <v>#N/A</v>
      </c>
      <c r="AT1723" t="e">
        <v>#N/A</v>
      </c>
    </row>
    <row r="1724" spans="42:46">
      <c r="AP1724">
        <v>159200</v>
      </c>
      <c r="AQ1724" t="e">
        <v>#N/A</v>
      </c>
      <c r="AR1724" t="e">
        <v>#N/A</v>
      </c>
      <c r="AS1724" t="e">
        <v>#N/A</v>
      </c>
      <c r="AT1724" t="e">
        <v>#N/A</v>
      </c>
    </row>
    <row r="1725" spans="42:46">
      <c r="AP1725">
        <v>159250</v>
      </c>
      <c r="AQ1725" t="e">
        <v>#N/A</v>
      </c>
      <c r="AR1725" t="e">
        <v>#N/A</v>
      </c>
      <c r="AS1725" t="e">
        <v>#N/A</v>
      </c>
      <c r="AT1725" t="e">
        <v>#N/A</v>
      </c>
    </row>
    <row r="1726" spans="42:46">
      <c r="AP1726">
        <v>159300</v>
      </c>
      <c r="AQ1726" t="e">
        <v>#N/A</v>
      </c>
      <c r="AR1726" t="e">
        <v>#N/A</v>
      </c>
      <c r="AS1726" t="e">
        <v>#N/A</v>
      </c>
      <c r="AT1726" t="e">
        <v>#N/A</v>
      </c>
    </row>
    <row r="1727" spans="42:46">
      <c r="AP1727">
        <v>159350</v>
      </c>
      <c r="AQ1727" t="e">
        <v>#N/A</v>
      </c>
      <c r="AR1727" t="e">
        <v>#N/A</v>
      </c>
      <c r="AS1727" t="e">
        <v>#N/A</v>
      </c>
      <c r="AT1727" t="e">
        <v>#N/A</v>
      </c>
    </row>
    <row r="1728" spans="42:46">
      <c r="AP1728">
        <v>159400</v>
      </c>
      <c r="AQ1728" t="e">
        <v>#N/A</v>
      </c>
      <c r="AR1728" t="e">
        <v>#N/A</v>
      </c>
      <c r="AS1728" t="e">
        <v>#N/A</v>
      </c>
      <c r="AT1728" t="e">
        <v>#N/A</v>
      </c>
    </row>
    <row r="1729" spans="42:46">
      <c r="AP1729">
        <v>159450</v>
      </c>
      <c r="AQ1729" t="e">
        <v>#N/A</v>
      </c>
      <c r="AR1729" t="e">
        <v>#N/A</v>
      </c>
      <c r="AS1729" t="e">
        <v>#N/A</v>
      </c>
      <c r="AT1729" t="e">
        <v>#N/A</v>
      </c>
    </row>
    <row r="1730" spans="42:46">
      <c r="AP1730">
        <v>159500</v>
      </c>
      <c r="AQ1730" t="e">
        <v>#N/A</v>
      </c>
      <c r="AR1730" t="e">
        <v>#N/A</v>
      </c>
      <c r="AS1730" t="e">
        <v>#N/A</v>
      </c>
      <c r="AT1730" t="e">
        <v>#N/A</v>
      </c>
    </row>
    <row r="1731" spans="42:46">
      <c r="AP1731">
        <v>159550</v>
      </c>
      <c r="AQ1731" t="e">
        <v>#N/A</v>
      </c>
      <c r="AR1731" t="e">
        <v>#N/A</v>
      </c>
      <c r="AS1731" t="e">
        <v>#N/A</v>
      </c>
      <c r="AT1731" t="e">
        <v>#N/A</v>
      </c>
    </row>
    <row r="1732" spans="42:46">
      <c r="AP1732">
        <v>159600</v>
      </c>
      <c r="AQ1732" t="e">
        <v>#N/A</v>
      </c>
      <c r="AR1732" t="e">
        <v>#N/A</v>
      </c>
      <c r="AS1732" t="e">
        <v>#N/A</v>
      </c>
      <c r="AT1732" t="e">
        <v>#N/A</v>
      </c>
    </row>
    <row r="1733" spans="42:46">
      <c r="AP1733">
        <v>159650</v>
      </c>
      <c r="AQ1733" t="e">
        <v>#N/A</v>
      </c>
      <c r="AR1733" t="e">
        <v>#N/A</v>
      </c>
      <c r="AS1733" t="e">
        <v>#N/A</v>
      </c>
      <c r="AT1733" t="e">
        <v>#N/A</v>
      </c>
    </row>
    <row r="1734" spans="42:46">
      <c r="AP1734">
        <v>159700</v>
      </c>
      <c r="AQ1734" t="e">
        <v>#N/A</v>
      </c>
      <c r="AR1734" t="e">
        <v>#N/A</v>
      </c>
      <c r="AS1734" t="e">
        <v>#N/A</v>
      </c>
      <c r="AT1734" t="e">
        <v>#N/A</v>
      </c>
    </row>
    <row r="1735" spans="42:46">
      <c r="AP1735">
        <v>159750</v>
      </c>
      <c r="AQ1735" t="e">
        <v>#N/A</v>
      </c>
      <c r="AR1735" t="e">
        <v>#N/A</v>
      </c>
      <c r="AS1735" t="e">
        <v>#N/A</v>
      </c>
      <c r="AT1735" t="e">
        <v>#N/A</v>
      </c>
    </row>
    <row r="1736" spans="42:46">
      <c r="AP1736">
        <v>159800</v>
      </c>
      <c r="AQ1736" t="e">
        <v>#N/A</v>
      </c>
      <c r="AR1736" t="e">
        <v>#N/A</v>
      </c>
      <c r="AS1736" t="e">
        <v>#N/A</v>
      </c>
      <c r="AT1736" t="e">
        <v>#N/A</v>
      </c>
    </row>
    <row r="1737" spans="42:46">
      <c r="AP1737">
        <v>159850</v>
      </c>
      <c r="AQ1737" t="e">
        <v>#N/A</v>
      </c>
      <c r="AR1737" t="e">
        <v>#N/A</v>
      </c>
      <c r="AS1737" t="e">
        <v>#N/A</v>
      </c>
      <c r="AT1737" t="e">
        <v>#N/A</v>
      </c>
    </row>
    <row r="1738" spans="42:46">
      <c r="AP1738">
        <v>159900</v>
      </c>
      <c r="AQ1738" t="e">
        <v>#N/A</v>
      </c>
      <c r="AR1738" t="e">
        <v>#N/A</v>
      </c>
      <c r="AS1738" t="e">
        <v>#N/A</v>
      </c>
      <c r="AT1738" t="e">
        <v>#N/A</v>
      </c>
    </row>
    <row r="1739" spans="42:46">
      <c r="AP1739">
        <v>159950</v>
      </c>
      <c r="AQ1739" t="e">
        <v>#N/A</v>
      </c>
      <c r="AR1739" t="e">
        <v>#N/A</v>
      </c>
      <c r="AS1739" t="e">
        <v>#N/A</v>
      </c>
      <c r="AT1739" t="e">
        <v>#N/A</v>
      </c>
    </row>
    <row r="1740" spans="42:46">
      <c r="AP1740">
        <v>160000</v>
      </c>
      <c r="AQ1740" t="e">
        <v>#N/A</v>
      </c>
      <c r="AR1740" t="e">
        <v>#N/A</v>
      </c>
      <c r="AS1740" t="e">
        <v>#N/A</v>
      </c>
      <c r="AT1740" t="e">
        <v>#N/A</v>
      </c>
    </row>
    <row r="1741" spans="42:46">
      <c r="AP1741">
        <v>160050</v>
      </c>
      <c r="AQ1741" t="e">
        <v>#N/A</v>
      </c>
      <c r="AR1741" t="e">
        <v>#N/A</v>
      </c>
      <c r="AS1741" t="e">
        <v>#N/A</v>
      </c>
      <c r="AT1741" t="e">
        <v>#N/A</v>
      </c>
    </row>
    <row r="1742" spans="42:46">
      <c r="AP1742">
        <v>160100</v>
      </c>
      <c r="AQ1742" t="e">
        <v>#N/A</v>
      </c>
      <c r="AR1742" t="e">
        <v>#N/A</v>
      </c>
      <c r="AS1742" t="e">
        <v>#N/A</v>
      </c>
      <c r="AT1742" t="e">
        <v>#N/A</v>
      </c>
    </row>
    <row r="1743" spans="42:46">
      <c r="AP1743">
        <v>160150</v>
      </c>
      <c r="AQ1743" t="e">
        <v>#N/A</v>
      </c>
      <c r="AR1743" t="e">
        <v>#N/A</v>
      </c>
      <c r="AS1743" t="e">
        <v>#N/A</v>
      </c>
      <c r="AT1743" t="e">
        <v>#N/A</v>
      </c>
    </row>
    <row r="1744" spans="42:46">
      <c r="AP1744">
        <v>160200</v>
      </c>
      <c r="AQ1744" t="e">
        <v>#N/A</v>
      </c>
      <c r="AR1744" t="e">
        <v>#N/A</v>
      </c>
      <c r="AS1744" t="e">
        <v>#N/A</v>
      </c>
      <c r="AT1744" t="e">
        <v>#N/A</v>
      </c>
    </row>
    <row r="1745" spans="42:46">
      <c r="AP1745">
        <v>160250</v>
      </c>
      <c r="AQ1745" t="e">
        <v>#N/A</v>
      </c>
      <c r="AR1745" t="e">
        <v>#N/A</v>
      </c>
      <c r="AS1745" t="e">
        <v>#N/A</v>
      </c>
      <c r="AT1745" t="e">
        <v>#N/A</v>
      </c>
    </row>
    <row r="1746" spans="42:46">
      <c r="AP1746">
        <v>160300</v>
      </c>
      <c r="AQ1746" t="e">
        <v>#N/A</v>
      </c>
      <c r="AR1746" t="e">
        <v>#N/A</v>
      </c>
      <c r="AS1746" t="e">
        <v>#N/A</v>
      </c>
      <c r="AT1746" t="e">
        <v>#N/A</v>
      </c>
    </row>
    <row r="1747" spans="42:46">
      <c r="AP1747">
        <v>160350</v>
      </c>
      <c r="AQ1747" t="e">
        <v>#N/A</v>
      </c>
      <c r="AR1747" t="e">
        <v>#N/A</v>
      </c>
      <c r="AS1747" t="e">
        <v>#N/A</v>
      </c>
      <c r="AT1747" t="e">
        <v>#N/A</v>
      </c>
    </row>
    <row r="1748" spans="42:46">
      <c r="AP1748">
        <v>160400</v>
      </c>
      <c r="AQ1748" t="e">
        <v>#N/A</v>
      </c>
      <c r="AR1748" t="e">
        <v>#N/A</v>
      </c>
      <c r="AS1748" t="e">
        <v>#N/A</v>
      </c>
      <c r="AT1748" t="e">
        <v>#N/A</v>
      </c>
    </row>
    <row r="1749" spans="42:46">
      <c r="AP1749">
        <v>160450</v>
      </c>
      <c r="AQ1749" t="e">
        <v>#N/A</v>
      </c>
      <c r="AR1749" t="e">
        <v>#N/A</v>
      </c>
      <c r="AS1749" t="e">
        <v>#N/A</v>
      </c>
      <c r="AT1749" t="e">
        <v>#N/A</v>
      </c>
    </row>
    <row r="1750" spans="42:46">
      <c r="AP1750">
        <v>160500</v>
      </c>
      <c r="AQ1750" t="e">
        <v>#N/A</v>
      </c>
      <c r="AR1750" t="e">
        <v>#N/A</v>
      </c>
      <c r="AS1750" t="e">
        <v>#N/A</v>
      </c>
      <c r="AT1750" t="e">
        <v>#N/A</v>
      </c>
    </row>
    <row r="1751" spans="42:46">
      <c r="AP1751">
        <v>160550</v>
      </c>
      <c r="AQ1751" t="e">
        <v>#N/A</v>
      </c>
      <c r="AR1751" t="e">
        <v>#N/A</v>
      </c>
      <c r="AS1751" t="e">
        <v>#N/A</v>
      </c>
      <c r="AT1751" t="e">
        <v>#N/A</v>
      </c>
    </row>
    <row r="1752" spans="42:46">
      <c r="AP1752">
        <v>160600</v>
      </c>
      <c r="AQ1752" t="e">
        <v>#N/A</v>
      </c>
      <c r="AR1752" t="e">
        <v>#N/A</v>
      </c>
      <c r="AS1752" t="e">
        <v>#N/A</v>
      </c>
      <c r="AT1752" t="e">
        <v>#N/A</v>
      </c>
    </row>
    <row r="1753" spans="42:46">
      <c r="AP1753">
        <v>160650</v>
      </c>
      <c r="AQ1753" t="e">
        <v>#N/A</v>
      </c>
      <c r="AR1753" t="e">
        <v>#N/A</v>
      </c>
      <c r="AS1753" t="e">
        <v>#N/A</v>
      </c>
      <c r="AT1753" t="e">
        <v>#N/A</v>
      </c>
    </row>
    <row r="1754" spans="42:46">
      <c r="AP1754">
        <v>160700</v>
      </c>
      <c r="AQ1754" t="e">
        <v>#N/A</v>
      </c>
      <c r="AR1754" t="e">
        <v>#N/A</v>
      </c>
      <c r="AS1754" t="e">
        <v>#N/A</v>
      </c>
      <c r="AT1754" t="e">
        <v>#N/A</v>
      </c>
    </row>
    <row r="1755" spans="42:46">
      <c r="AP1755">
        <v>160750</v>
      </c>
      <c r="AQ1755" t="e">
        <v>#N/A</v>
      </c>
      <c r="AR1755" t="e">
        <v>#N/A</v>
      </c>
      <c r="AS1755" t="e">
        <v>#N/A</v>
      </c>
      <c r="AT1755" t="e">
        <v>#N/A</v>
      </c>
    </row>
    <row r="1756" spans="42:46">
      <c r="AP1756">
        <v>160800</v>
      </c>
      <c r="AQ1756" t="e">
        <v>#N/A</v>
      </c>
      <c r="AR1756" t="e">
        <v>#N/A</v>
      </c>
      <c r="AS1756" t="e">
        <v>#N/A</v>
      </c>
      <c r="AT1756" t="e">
        <v>#N/A</v>
      </c>
    </row>
    <row r="1757" spans="42:46">
      <c r="AP1757">
        <v>160850</v>
      </c>
      <c r="AQ1757" t="e">
        <v>#N/A</v>
      </c>
      <c r="AR1757" t="e">
        <v>#N/A</v>
      </c>
      <c r="AS1757" t="e">
        <v>#N/A</v>
      </c>
      <c r="AT1757" t="e">
        <v>#N/A</v>
      </c>
    </row>
    <row r="1758" spans="42:46">
      <c r="AP1758">
        <v>160900</v>
      </c>
      <c r="AQ1758" t="e">
        <v>#N/A</v>
      </c>
      <c r="AR1758" t="e">
        <v>#N/A</v>
      </c>
      <c r="AS1758" t="e">
        <v>#N/A</v>
      </c>
      <c r="AT1758" t="e">
        <v>#N/A</v>
      </c>
    </row>
    <row r="1759" spans="42:46">
      <c r="AP1759">
        <v>160950</v>
      </c>
      <c r="AQ1759" t="e">
        <v>#N/A</v>
      </c>
      <c r="AR1759" t="e">
        <v>#N/A</v>
      </c>
      <c r="AS1759" t="e">
        <v>#N/A</v>
      </c>
      <c r="AT1759" t="e">
        <v>#N/A</v>
      </c>
    </row>
    <row r="1760" spans="42:46">
      <c r="AP1760">
        <v>161000</v>
      </c>
      <c r="AQ1760" t="e">
        <v>#N/A</v>
      </c>
      <c r="AR1760" t="e">
        <v>#N/A</v>
      </c>
      <c r="AS1760" t="e">
        <v>#N/A</v>
      </c>
      <c r="AT1760" t="e">
        <v>#N/A</v>
      </c>
    </row>
    <row r="1761" spans="42:46">
      <c r="AP1761">
        <v>161050</v>
      </c>
      <c r="AQ1761" t="e">
        <v>#N/A</v>
      </c>
      <c r="AR1761" t="e">
        <v>#N/A</v>
      </c>
      <c r="AS1761" t="e">
        <v>#N/A</v>
      </c>
      <c r="AT1761" t="e">
        <v>#N/A</v>
      </c>
    </row>
    <row r="1762" spans="42:46">
      <c r="AP1762">
        <v>161100</v>
      </c>
      <c r="AQ1762" t="e">
        <v>#N/A</v>
      </c>
      <c r="AR1762" t="e">
        <v>#N/A</v>
      </c>
      <c r="AS1762" t="e">
        <v>#N/A</v>
      </c>
      <c r="AT1762" t="e">
        <v>#N/A</v>
      </c>
    </row>
    <row r="1763" spans="42:46">
      <c r="AP1763">
        <v>161150</v>
      </c>
      <c r="AQ1763" t="e">
        <v>#N/A</v>
      </c>
      <c r="AR1763" t="e">
        <v>#N/A</v>
      </c>
      <c r="AS1763" t="e">
        <v>#N/A</v>
      </c>
      <c r="AT1763" t="e">
        <v>#N/A</v>
      </c>
    </row>
    <row r="1764" spans="42:46">
      <c r="AP1764">
        <v>161200</v>
      </c>
      <c r="AQ1764" t="e">
        <v>#N/A</v>
      </c>
      <c r="AR1764" t="e">
        <v>#N/A</v>
      </c>
      <c r="AS1764" t="e">
        <v>#N/A</v>
      </c>
      <c r="AT1764" t="e">
        <v>#N/A</v>
      </c>
    </row>
    <row r="1765" spans="42:46">
      <c r="AP1765">
        <v>161250</v>
      </c>
      <c r="AQ1765" t="e">
        <v>#N/A</v>
      </c>
      <c r="AR1765" t="e">
        <v>#N/A</v>
      </c>
      <c r="AS1765" t="e">
        <v>#N/A</v>
      </c>
      <c r="AT1765" t="e">
        <v>#N/A</v>
      </c>
    </row>
    <row r="1766" spans="42:46">
      <c r="AP1766">
        <v>161300</v>
      </c>
      <c r="AQ1766" t="e">
        <v>#N/A</v>
      </c>
      <c r="AR1766" t="e">
        <v>#N/A</v>
      </c>
      <c r="AS1766" t="e">
        <v>#N/A</v>
      </c>
      <c r="AT1766" t="e">
        <v>#N/A</v>
      </c>
    </row>
    <row r="1767" spans="42:46">
      <c r="AP1767">
        <v>161350</v>
      </c>
      <c r="AQ1767" t="e">
        <v>#N/A</v>
      </c>
      <c r="AR1767" t="e">
        <v>#N/A</v>
      </c>
      <c r="AS1767" t="e">
        <v>#N/A</v>
      </c>
      <c r="AT1767" t="e">
        <v>#N/A</v>
      </c>
    </row>
    <row r="1768" spans="42:46">
      <c r="AP1768">
        <v>161400</v>
      </c>
      <c r="AQ1768" t="e">
        <v>#N/A</v>
      </c>
      <c r="AR1768" t="e">
        <v>#N/A</v>
      </c>
      <c r="AS1768" t="e">
        <v>#N/A</v>
      </c>
      <c r="AT1768" t="e">
        <v>#N/A</v>
      </c>
    </row>
    <row r="1769" spans="42:46">
      <c r="AP1769">
        <v>161450</v>
      </c>
      <c r="AQ1769" t="e">
        <v>#N/A</v>
      </c>
      <c r="AR1769" t="e">
        <v>#N/A</v>
      </c>
      <c r="AS1769" t="e">
        <v>#N/A</v>
      </c>
      <c r="AT1769" t="e">
        <v>#N/A</v>
      </c>
    </row>
    <row r="1770" spans="42:46">
      <c r="AP1770">
        <v>161500</v>
      </c>
      <c r="AQ1770" t="e">
        <v>#N/A</v>
      </c>
      <c r="AR1770" t="e">
        <v>#N/A</v>
      </c>
      <c r="AS1770" t="e">
        <v>#N/A</v>
      </c>
      <c r="AT1770" t="e">
        <v>#N/A</v>
      </c>
    </row>
    <row r="1771" spans="42:46">
      <c r="AP1771">
        <v>161550</v>
      </c>
      <c r="AQ1771" t="e">
        <v>#N/A</v>
      </c>
      <c r="AR1771" t="e">
        <v>#N/A</v>
      </c>
      <c r="AS1771" t="e">
        <v>#N/A</v>
      </c>
      <c r="AT1771" t="e">
        <v>#N/A</v>
      </c>
    </row>
    <row r="1772" spans="42:46">
      <c r="AP1772">
        <v>161600</v>
      </c>
      <c r="AQ1772" t="e">
        <v>#N/A</v>
      </c>
      <c r="AR1772" t="e">
        <v>#N/A</v>
      </c>
      <c r="AS1772" t="e">
        <v>#N/A</v>
      </c>
      <c r="AT1772" t="e">
        <v>#N/A</v>
      </c>
    </row>
    <row r="1773" spans="42:46">
      <c r="AP1773">
        <v>161650</v>
      </c>
      <c r="AQ1773" t="e">
        <v>#N/A</v>
      </c>
      <c r="AR1773" t="e">
        <v>#N/A</v>
      </c>
      <c r="AS1773" t="e">
        <v>#N/A</v>
      </c>
      <c r="AT1773" t="e">
        <v>#N/A</v>
      </c>
    </row>
    <row r="1774" spans="42:46">
      <c r="AP1774">
        <v>161700</v>
      </c>
      <c r="AQ1774" t="e">
        <v>#N/A</v>
      </c>
      <c r="AR1774" t="e">
        <v>#N/A</v>
      </c>
      <c r="AS1774" t="e">
        <v>#N/A</v>
      </c>
      <c r="AT1774" t="e">
        <v>#N/A</v>
      </c>
    </row>
    <row r="1775" spans="42:46">
      <c r="AP1775">
        <v>161750</v>
      </c>
      <c r="AQ1775" t="e">
        <v>#N/A</v>
      </c>
      <c r="AR1775" t="e">
        <v>#N/A</v>
      </c>
      <c r="AS1775" t="e">
        <v>#N/A</v>
      </c>
      <c r="AT1775" t="e">
        <v>#N/A</v>
      </c>
    </row>
    <row r="1776" spans="42:46">
      <c r="AP1776">
        <v>161800</v>
      </c>
      <c r="AQ1776" t="e">
        <v>#N/A</v>
      </c>
      <c r="AR1776" t="e">
        <v>#N/A</v>
      </c>
      <c r="AS1776" t="e">
        <v>#N/A</v>
      </c>
      <c r="AT1776" t="e">
        <v>#N/A</v>
      </c>
    </row>
    <row r="1777" spans="42:46">
      <c r="AP1777">
        <v>161850</v>
      </c>
      <c r="AQ1777" t="e">
        <v>#N/A</v>
      </c>
      <c r="AR1777" t="e">
        <v>#N/A</v>
      </c>
      <c r="AS1777" t="e">
        <v>#N/A</v>
      </c>
      <c r="AT1777" t="e">
        <v>#N/A</v>
      </c>
    </row>
    <row r="1778" spans="42:46">
      <c r="AP1778">
        <v>161900</v>
      </c>
      <c r="AQ1778" t="e">
        <v>#N/A</v>
      </c>
      <c r="AR1778" t="e">
        <v>#N/A</v>
      </c>
      <c r="AS1778" t="e">
        <v>#N/A</v>
      </c>
      <c r="AT1778" t="e">
        <v>#N/A</v>
      </c>
    </row>
    <row r="1779" spans="42:46">
      <c r="AP1779">
        <v>161950</v>
      </c>
      <c r="AQ1779" t="e">
        <v>#N/A</v>
      </c>
      <c r="AR1779" t="e">
        <v>#N/A</v>
      </c>
      <c r="AS1779" t="e">
        <v>#N/A</v>
      </c>
      <c r="AT1779" t="e">
        <v>#N/A</v>
      </c>
    </row>
    <row r="1780" spans="42:46">
      <c r="AP1780">
        <v>162000</v>
      </c>
      <c r="AQ1780" t="e">
        <v>#N/A</v>
      </c>
      <c r="AR1780" t="e">
        <v>#N/A</v>
      </c>
      <c r="AS1780" t="e">
        <v>#N/A</v>
      </c>
      <c r="AT1780" t="e">
        <v>#N/A</v>
      </c>
    </row>
    <row r="1781" spans="42:46">
      <c r="AP1781">
        <v>162050</v>
      </c>
      <c r="AQ1781" t="e">
        <v>#N/A</v>
      </c>
      <c r="AR1781" t="e">
        <v>#N/A</v>
      </c>
      <c r="AS1781" t="e">
        <v>#N/A</v>
      </c>
      <c r="AT1781" t="e">
        <v>#N/A</v>
      </c>
    </row>
    <row r="1782" spans="42:46">
      <c r="AP1782">
        <v>162100</v>
      </c>
      <c r="AQ1782" t="e">
        <v>#N/A</v>
      </c>
      <c r="AR1782" t="e">
        <v>#N/A</v>
      </c>
      <c r="AS1782" t="e">
        <v>#N/A</v>
      </c>
      <c r="AT1782" t="e">
        <v>#N/A</v>
      </c>
    </row>
    <row r="1783" spans="42:46">
      <c r="AP1783">
        <v>162150</v>
      </c>
      <c r="AQ1783" t="e">
        <v>#N/A</v>
      </c>
      <c r="AR1783" t="e">
        <v>#N/A</v>
      </c>
      <c r="AS1783" t="e">
        <v>#N/A</v>
      </c>
      <c r="AT1783" t="e">
        <v>#N/A</v>
      </c>
    </row>
    <row r="1784" spans="42:46">
      <c r="AP1784">
        <v>162200</v>
      </c>
      <c r="AQ1784" t="e">
        <v>#N/A</v>
      </c>
      <c r="AR1784" t="e">
        <v>#N/A</v>
      </c>
      <c r="AS1784" t="e">
        <v>#N/A</v>
      </c>
      <c r="AT1784" t="e">
        <v>#N/A</v>
      </c>
    </row>
    <row r="1785" spans="42:46">
      <c r="AP1785">
        <v>162250</v>
      </c>
      <c r="AQ1785" t="e">
        <v>#N/A</v>
      </c>
      <c r="AR1785" t="e">
        <v>#N/A</v>
      </c>
      <c r="AS1785" t="e">
        <v>#N/A</v>
      </c>
      <c r="AT1785" t="e">
        <v>#N/A</v>
      </c>
    </row>
    <row r="1786" spans="42:46">
      <c r="AP1786">
        <v>162300</v>
      </c>
      <c r="AQ1786" t="e">
        <v>#N/A</v>
      </c>
      <c r="AR1786" t="e">
        <v>#N/A</v>
      </c>
      <c r="AS1786" t="e">
        <v>#N/A</v>
      </c>
      <c r="AT1786" t="e">
        <v>#N/A</v>
      </c>
    </row>
    <row r="1787" spans="42:46">
      <c r="AP1787">
        <v>162350</v>
      </c>
      <c r="AQ1787" t="e">
        <v>#N/A</v>
      </c>
      <c r="AR1787" t="e">
        <v>#N/A</v>
      </c>
      <c r="AS1787" t="e">
        <v>#N/A</v>
      </c>
      <c r="AT1787" t="e">
        <v>#N/A</v>
      </c>
    </row>
    <row r="1788" spans="42:46">
      <c r="AP1788">
        <v>162400</v>
      </c>
      <c r="AQ1788" t="e">
        <v>#N/A</v>
      </c>
      <c r="AR1788" t="e">
        <v>#N/A</v>
      </c>
      <c r="AS1788" t="e">
        <v>#N/A</v>
      </c>
      <c r="AT1788" t="e">
        <v>#N/A</v>
      </c>
    </row>
    <row r="1789" spans="42:46">
      <c r="AP1789">
        <v>162450</v>
      </c>
      <c r="AQ1789" t="e">
        <v>#N/A</v>
      </c>
      <c r="AR1789" t="e">
        <v>#N/A</v>
      </c>
      <c r="AS1789" t="e">
        <v>#N/A</v>
      </c>
      <c r="AT1789" t="e">
        <v>#N/A</v>
      </c>
    </row>
    <row r="1790" spans="42:46">
      <c r="AP1790">
        <v>162500</v>
      </c>
      <c r="AQ1790" t="e">
        <v>#N/A</v>
      </c>
      <c r="AR1790" t="e">
        <v>#N/A</v>
      </c>
      <c r="AS1790" t="e">
        <v>#N/A</v>
      </c>
      <c r="AT1790" t="e">
        <v>#N/A</v>
      </c>
    </row>
    <row r="1791" spans="42:46">
      <c r="AP1791">
        <v>162550</v>
      </c>
      <c r="AQ1791" t="e">
        <v>#N/A</v>
      </c>
      <c r="AR1791" t="e">
        <v>#N/A</v>
      </c>
      <c r="AS1791" t="e">
        <v>#N/A</v>
      </c>
      <c r="AT1791" t="e">
        <v>#N/A</v>
      </c>
    </row>
    <row r="1792" spans="42:46">
      <c r="AP1792">
        <v>162600</v>
      </c>
      <c r="AQ1792" t="e">
        <v>#N/A</v>
      </c>
      <c r="AR1792" t="e">
        <v>#N/A</v>
      </c>
      <c r="AS1792" t="e">
        <v>#N/A</v>
      </c>
      <c r="AT1792" t="e">
        <v>#N/A</v>
      </c>
    </row>
    <row r="1793" spans="42:46">
      <c r="AP1793">
        <v>162650</v>
      </c>
      <c r="AQ1793" t="e">
        <v>#N/A</v>
      </c>
      <c r="AR1793" t="e">
        <v>#N/A</v>
      </c>
      <c r="AS1793" t="e">
        <v>#N/A</v>
      </c>
      <c r="AT1793" t="e">
        <v>#N/A</v>
      </c>
    </row>
    <row r="1794" spans="42:46">
      <c r="AP1794">
        <v>162700</v>
      </c>
      <c r="AQ1794" t="e">
        <v>#N/A</v>
      </c>
      <c r="AR1794" t="e">
        <v>#N/A</v>
      </c>
      <c r="AS1794" t="e">
        <v>#N/A</v>
      </c>
      <c r="AT1794" t="e">
        <v>#N/A</v>
      </c>
    </row>
    <row r="1795" spans="42:46">
      <c r="AP1795">
        <v>162750</v>
      </c>
      <c r="AQ1795" t="e">
        <v>#N/A</v>
      </c>
      <c r="AR1795" t="e">
        <v>#N/A</v>
      </c>
      <c r="AS1795" t="e">
        <v>#N/A</v>
      </c>
      <c r="AT1795" t="e">
        <v>#N/A</v>
      </c>
    </row>
    <row r="1796" spans="42:46">
      <c r="AP1796">
        <v>162800</v>
      </c>
      <c r="AQ1796" t="e">
        <v>#N/A</v>
      </c>
      <c r="AR1796" t="e">
        <v>#N/A</v>
      </c>
      <c r="AS1796" t="e">
        <v>#N/A</v>
      </c>
      <c r="AT1796" t="e">
        <v>#N/A</v>
      </c>
    </row>
    <row r="1797" spans="42:46">
      <c r="AP1797">
        <v>162850</v>
      </c>
      <c r="AQ1797" t="e">
        <v>#N/A</v>
      </c>
      <c r="AR1797" t="e">
        <v>#N/A</v>
      </c>
      <c r="AS1797" t="e">
        <v>#N/A</v>
      </c>
      <c r="AT1797" t="e">
        <v>#N/A</v>
      </c>
    </row>
    <row r="1798" spans="42:46">
      <c r="AP1798">
        <v>162900</v>
      </c>
      <c r="AQ1798" t="e">
        <v>#N/A</v>
      </c>
      <c r="AR1798" t="e">
        <v>#N/A</v>
      </c>
      <c r="AS1798" t="e">
        <v>#N/A</v>
      </c>
      <c r="AT1798" t="e">
        <v>#N/A</v>
      </c>
    </row>
    <row r="1799" spans="42:46">
      <c r="AP1799">
        <v>162950</v>
      </c>
      <c r="AQ1799" t="e">
        <v>#N/A</v>
      </c>
      <c r="AR1799" t="e">
        <v>#N/A</v>
      </c>
      <c r="AS1799" t="e">
        <v>#N/A</v>
      </c>
      <c r="AT1799" t="e">
        <v>#N/A</v>
      </c>
    </row>
    <row r="1800" spans="42:46">
      <c r="AP1800">
        <v>163000</v>
      </c>
      <c r="AQ1800" t="e">
        <v>#N/A</v>
      </c>
      <c r="AR1800" t="e">
        <v>#N/A</v>
      </c>
      <c r="AS1800" t="e">
        <v>#N/A</v>
      </c>
      <c r="AT1800" t="e">
        <v>#N/A</v>
      </c>
    </row>
    <row r="1801" spans="42:46">
      <c r="AP1801">
        <v>163050</v>
      </c>
      <c r="AQ1801" t="e">
        <v>#N/A</v>
      </c>
      <c r="AR1801" t="e">
        <v>#N/A</v>
      </c>
      <c r="AS1801" t="e">
        <v>#N/A</v>
      </c>
      <c r="AT1801" t="e">
        <v>#N/A</v>
      </c>
    </row>
    <row r="1802" spans="42:46">
      <c r="AP1802">
        <v>163100</v>
      </c>
      <c r="AQ1802" t="e">
        <v>#N/A</v>
      </c>
      <c r="AR1802" t="e">
        <v>#N/A</v>
      </c>
      <c r="AS1802" t="e">
        <v>#N/A</v>
      </c>
      <c r="AT1802" t="e">
        <v>#N/A</v>
      </c>
    </row>
    <row r="1803" spans="42:46">
      <c r="AP1803">
        <v>163150</v>
      </c>
      <c r="AQ1803" t="e">
        <v>#N/A</v>
      </c>
      <c r="AR1803" t="e">
        <v>#N/A</v>
      </c>
      <c r="AS1803" t="e">
        <v>#N/A</v>
      </c>
      <c r="AT1803" t="e">
        <v>#N/A</v>
      </c>
    </row>
    <row r="1804" spans="42:46">
      <c r="AP1804">
        <v>163200</v>
      </c>
      <c r="AQ1804" t="e">
        <v>#N/A</v>
      </c>
      <c r="AR1804" t="e">
        <v>#N/A</v>
      </c>
      <c r="AS1804" t="e">
        <v>#N/A</v>
      </c>
      <c r="AT1804" t="e">
        <v>#N/A</v>
      </c>
    </row>
    <row r="1805" spans="42:46">
      <c r="AP1805">
        <v>163250</v>
      </c>
      <c r="AQ1805" t="e">
        <v>#N/A</v>
      </c>
      <c r="AR1805" t="e">
        <v>#N/A</v>
      </c>
      <c r="AS1805" t="e">
        <v>#N/A</v>
      </c>
      <c r="AT1805" t="e">
        <v>#N/A</v>
      </c>
    </row>
    <row r="1806" spans="42:46">
      <c r="AP1806">
        <v>163300</v>
      </c>
      <c r="AQ1806" t="e">
        <v>#N/A</v>
      </c>
      <c r="AR1806" t="e">
        <v>#N/A</v>
      </c>
      <c r="AS1806" t="e">
        <v>#N/A</v>
      </c>
      <c r="AT1806" t="e">
        <v>#N/A</v>
      </c>
    </row>
    <row r="1807" spans="42:46">
      <c r="AP1807">
        <v>163350</v>
      </c>
      <c r="AQ1807" t="e">
        <v>#N/A</v>
      </c>
      <c r="AR1807" t="e">
        <v>#N/A</v>
      </c>
      <c r="AS1807" t="e">
        <v>#N/A</v>
      </c>
      <c r="AT1807" t="e">
        <v>#N/A</v>
      </c>
    </row>
    <row r="1808" spans="42:46">
      <c r="AP1808">
        <v>163400</v>
      </c>
      <c r="AQ1808" t="e">
        <v>#N/A</v>
      </c>
      <c r="AR1808" t="e">
        <v>#N/A</v>
      </c>
      <c r="AS1808" t="e">
        <v>#N/A</v>
      </c>
      <c r="AT1808" t="e">
        <v>#N/A</v>
      </c>
    </row>
    <row r="1809" spans="42:46">
      <c r="AP1809">
        <v>163450</v>
      </c>
      <c r="AQ1809" t="e">
        <v>#N/A</v>
      </c>
      <c r="AR1809" t="e">
        <v>#N/A</v>
      </c>
      <c r="AS1809" t="e">
        <v>#N/A</v>
      </c>
      <c r="AT1809" t="e">
        <v>#N/A</v>
      </c>
    </row>
    <row r="1810" spans="42:46">
      <c r="AP1810">
        <v>163500</v>
      </c>
      <c r="AQ1810" t="e">
        <v>#N/A</v>
      </c>
      <c r="AR1810" t="e">
        <v>#N/A</v>
      </c>
      <c r="AS1810" t="e">
        <v>#N/A</v>
      </c>
      <c r="AT1810" t="e">
        <v>#N/A</v>
      </c>
    </row>
    <row r="1811" spans="42:46">
      <c r="AP1811">
        <v>163550</v>
      </c>
      <c r="AQ1811" t="e">
        <v>#N/A</v>
      </c>
      <c r="AR1811" t="e">
        <v>#N/A</v>
      </c>
      <c r="AS1811" t="e">
        <v>#N/A</v>
      </c>
      <c r="AT1811" t="e">
        <v>#N/A</v>
      </c>
    </row>
    <row r="1812" spans="42:46">
      <c r="AP1812">
        <v>163600</v>
      </c>
      <c r="AQ1812" t="e">
        <v>#N/A</v>
      </c>
      <c r="AR1812" t="e">
        <v>#N/A</v>
      </c>
      <c r="AS1812" t="e">
        <v>#N/A</v>
      </c>
      <c r="AT1812" t="e">
        <v>#N/A</v>
      </c>
    </row>
    <row r="1813" spans="42:46">
      <c r="AP1813">
        <v>163650</v>
      </c>
      <c r="AQ1813" t="e">
        <v>#N/A</v>
      </c>
      <c r="AR1813" t="e">
        <v>#N/A</v>
      </c>
      <c r="AS1813" t="e">
        <v>#N/A</v>
      </c>
      <c r="AT1813" t="e">
        <v>#N/A</v>
      </c>
    </row>
    <row r="1814" spans="42:46">
      <c r="AP1814">
        <v>163700</v>
      </c>
      <c r="AQ1814" t="e">
        <v>#N/A</v>
      </c>
      <c r="AR1814" t="e">
        <v>#N/A</v>
      </c>
      <c r="AS1814" t="e">
        <v>#N/A</v>
      </c>
      <c r="AT1814" t="e">
        <v>#N/A</v>
      </c>
    </row>
    <row r="1815" spans="42:46">
      <c r="AP1815">
        <v>163750</v>
      </c>
      <c r="AQ1815" t="e">
        <v>#N/A</v>
      </c>
      <c r="AR1815" t="e">
        <v>#N/A</v>
      </c>
      <c r="AS1815" t="e">
        <v>#N/A</v>
      </c>
      <c r="AT1815" t="e">
        <v>#N/A</v>
      </c>
    </row>
    <row r="1816" spans="42:46">
      <c r="AP1816">
        <v>163800</v>
      </c>
      <c r="AQ1816" t="e">
        <v>#N/A</v>
      </c>
      <c r="AR1816" t="e">
        <v>#N/A</v>
      </c>
      <c r="AS1816" t="e">
        <v>#N/A</v>
      </c>
      <c r="AT1816" t="e">
        <v>#N/A</v>
      </c>
    </row>
    <row r="1817" spans="42:46">
      <c r="AP1817">
        <v>163850</v>
      </c>
      <c r="AQ1817" t="e">
        <v>#N/A</v>
      </c>
      <c r="AR1817" t="e">
        <v>#N/A</v>
      </c>
      <c r="AS1817" t="e">
        <v>#N/A</v>
      </c>
      <c r="AT1817" t="e">
        <v>#N/A</v>
      </c>
    </row>
    <row r="1818" spans="42:46">
      <c r="AP1818">
        <v>163900</v>
      </c>
      <c r="AQ1818" t="e">
        <v>#N/A</v>
      </c>
      <c r="AR1818" t="e">
        <v>#N/A</v>
      </c>
      <c r="AS1818" t="e">
        <v>#N/A</v>
      </c>
      <c r="AT1818" t="e">
        <v>#N/A</v>
      </c>
    </row>
    <row r="1819" spans="42:46">
      <c r="AP1819">
        <v>163950</v>
      </c>
      <c r="AQ1819" t="e">
        <v>#N/A</v>
      </c>
      <c r="AR1819" t="e">
        <v>#N/A</v>
      </c>
      <c r="AS1819" t="e">
        <v>#N/A</v>
      </c>
      <c r="AT1819" t="e">
        <v>#N/A</v>
      </c>
    </row>
    <row r="1820" spans="42:46">
      <c r="AP1820">
        <v>164000</v>
      </c>
      <c r="AQ1820" t="e">
        <v>#N/A</v>
      </c>
      <c r="AR1820" t="e">
        <v>#N/A</v>
      </c>
      <c r="AS1820" t="e">
        <v>#N/A</v>
      </c>
      <c r="AT1820" t="e">
        <v>#N/A</v>
      </c>
    </row>
    <row r="1821" spans="42:46">
      <c r="AP1821">
        <v>164050</v>
      </c>
      <c r="AQ1821" t="e">
        <v>#N/A</v>
      </c>
      <c r="AR1821" t="e">
        <v>#N/A</v>
      </c>
      <c r="AS1821" t="e">
        <v>#N/A</v>
      </c>
      <c r="AT1821" t="e">
        <v>#N/A</v>
      </c>
    </row>
    <row r="1822" spans="42:46">
      <c r="AP1822">
        <v>164100</v>
      </c>
      <c r="AQ1822" t="e">
        <v>#N/A</v>
      </c>
      <c r="AR1822" t="e">
        <v>#N/A</v>
      </c>
      <c r="AS1822" t="e">
        <v>#N/A</v>
      </c>
      <c r="AT1822" t="e">
        <v>#N/A</v>
      </c>
    </row>
    <row r="1823" spans="42:46">
      <c r="AP1823">
        <v>164150</v>
      </c>
      <c r="AQ1823" t="e">
        <v>#N/A</v>
      </c>
      <c r="AR1823" t="e">
        <v>#N/A</v>
      </c>
      <c r="AS1823" t="e">
        <v>#N/A</v>
      </c>
      <c r="AT1823" t="e">
        <v>#N/A</v>
      </c>
    </row>
    <row r="1824" spans="42:46">
      <c r="AP1824">
        <v>164200</v>
      </c>
      <c r="AQ1824" t="e">
        <v>#N/A</v>
      </c>
      <c r="AR1824" t="e">
        <v>#N/A</v>
      </c>
      <c r="AS1824" t="e">
        <v>#N/A</v>
      </c>
      <c r="AT1824" t="e">
        <v>#N/A</v>
      </c>
    </row>
    <row r="1825" spans="42:46">
      <c r="AP1825">
        <v>164250</v>
      </c>
      <c r="AQ1825" t="e">
        <v>#N/A</v>
      </c>
      <c r="AR1825" t="e">
        <v>#N/A</v>
      </c>
      <c r="AS1825" t="e">
        <v>#N/A</v>
      </c>
      <c r="AT1825" t="e">
        <v>#N/A</v>
      </c>
    </row>
    <row r="1826" spans="42:46">
      <c r="AP1826">
        <v>164300</v>
      </c>
      <c r="AQ1826" t="e">
        <v>#N/A</v>
      </c>
      <c r="AR1826" t="e">
        <v>#N/A</v>
      </c>
      <c r="AS1826" t="e">
        <v>#N/A</v>
      </c>
      <c r="AT1826" t="e">
        <v>#N/A</v>
      </c>
    </row>
    <row r="1827" spans="42:46">
      <c r="AP1827">
        <v>164350</v>
      </c>
      <c r="AQ1827" t="e">
        <v>#N/A</v>
      </c>
      <c r="AR1827" t="e">
        <v>#N/A</v>
      </c>
      <c r="AS1827" t="e">
        <v>#N/A</v>
      </c>
      <c r="AT1827" t="e">
        <v>#N/A</v>
      </c>
    </row>
    <row r="1828" spans="42:46">
      <c r="AP1828">
        <v>164400</v>
      </c>
      <c r="AQ1828" t="e">
        <v>#N/A</v>
      </c>
      <c r="AR1828" t="e">
        <v>#N/A</v>
      </c>
      <c r="AS1828" t="e">
        <v>#N/A</v>
      </c>
      <c r="AT1828" t="e">
        <v>#N/A</v>
      </c>
    </row>
    <row r="1829" spans="42:46">
      <c r="AP1829">
        <v>164450</v>
      </c>
      <c r="AQ1829" t="e">
        <v>#N/A</v>
      </c>
      <c r="AR1829" t="e">
        <v>#N/A</v>
      </c>
      <c r="AS1829" t="e">
        <v>#N/A</v>
      </c>
      <c r="AT1829" t="e">
        <v>#N/A</v>
      </c>
    </row>
    <row r="1830" spans="42:46">
      <c r="AP1830">
        <v>164500</v>
      </c>
      <c r="AQ1830" t="e">
        <v>#N/A</v>
      </c>
      <c r="AR1830" t="e">
        <v>#N/A</v>
      </c>
      <c r="AS1830" t="e">
        <v>#N/A</v>
      </c>
      <c r="AT1830" t="e">
        <v>#N/A</v>
      </c>
    </row>
    <row r="1831" spans="42:46">
      <c r="AP1831">
        <v>164550</v>
      </c>
      <c r="AQ1831" t="e">
        <v>#N/A</v>
      </c>
      <c r="AR1831" t="e">
        <v>#N/A</v>
      </c>
      <c r="AS1831" t="e">
        <v>#N/A</v>
      </c>
      <c r="AT1831" t="e">
        <v>#N/A</v>
      </c>
    </row>
    <row r="1832" spans="42:46">
      <c r="AP1832">
        <v>164600</v>
      </c>
      <c r="AQ1832" t="e">
        <v>#N/A</v>
      </c>
      <c r="AR1832" t="e">
        <v>#N/A</v>
      </c>
      <c r="AS1832" t="e">
        <v>#N/A</v>
      </c>
      <c r="AT1832" t="e">
        <v>#N/A</v>
      </c>
    </row>
    <row r="1833" spans="42:46">
      <c r="AP1833">
        <v>164650</v>
      </c>
      <c r="AQ1833" t="e">
        <v>#N/A</v>
      </c>
      <c r="AR1833" t="e">
        <v>#N/A</v>
      </c>
      <c r="AS1833" t="e">
        <v>#N/A</v>
      </c>
      <c r="AT1833" t="e">
        <v>#N/A</v>
      </c>
    </row>
    <row r="1834" spans="42:46">
      <c r="AP1834">
        <v>164700</v>
      </c>
      <c r="AQ1834" t="e">
        <v>#N/A</v>
      </c>
      <c r="AR1834" t="e">
        <v>#N/A</v>
      </c>
      <c r="AS1834" t="e">
        <v>#N/A</v>
      </c>
      <c r="AT1834" t="e">
        <v>#N/A</v>
      </c>
    </row>
    <row r="1835" spans="42:46">
      <c r="AP1835">
        <v>164750</v>
      </c>
      <c r="AQ1835" t="e">
        <v>#N/A</v>
      </c>
      <c r="AR1835" t="e">
        <v>#N/A</v>
      </c>
      <c r="AS1835" t="e">
        <v>#N/A</v>
      </c>
      <c r="AT1835" t="e">
        <v>#N/A</v>
      </c>
    </row>
    <row r="1836" spans="42:46">
      <c r="AP1836">
        <v>164800</v>
      </c>
      <c r="AQ1836" t="e">
        <v>#N/A</v>
      </c>
      <c r="AR1836" t="e">
        <v>#N/A</v>
      </c>
      <c r="AS1836" t="e">
        <v>#N/A</v>
      </c>
      <c r="AT1836" t="e">
        <v>#N/A</v>
      </c>
    </row>
    <row r="1837" spans="42:46">
      <c r="AP1837">
        <v>164850</v>
      </c>
      <c r="AQ1837" t="e">
        <v>#N/A</v>
      </c>
      <c r="AR1837" t="e">
        <v>#N/A</v>
      </c>
      <c r="AS1837" t="e">
        <v>#N/A</v>
      </c>
      <c r="AT1837" t="e">
        <v>#N/A</v>
      </c>
    </row>
    <row r="1838" spans="42:46">
      <c r="AP1838">
        <v>164900</v>
      </c>
      <c r="AQ1838" t="e">
        <v>#N/A</v>
      </c>
      <c r="AR1838" t="e">
        <v>#N/A</v>
      </c>
      <c r="AS1838" t="e">
        <v>#N/A</v>
      </c>
      <c r="AT1838" t="e">
        <v>#N/A</v>
      </c>
    </row>
    <row r="1839" spans="42:46">
      <c r="AP1839">
        <v>164950</v>
      </c>
      <c r="AQ1839" t="e">
        <v>#N/A</v>
      </c>
      <c r="AR1839" t="e">
        <v>#N/A</v>
      </c>
      <c r="AS1839" t="e">
        <v>#N/A</v>
      </c>
      <c r="AT1839" t="e">
        <v>#N/A</v>
      </c>
    </row>
    <row r="1840" spans="42:46">
      <c r="AP1840">
        <v>165000</v>
      </c>
      <c r="AQ1840" t="e">
        <v>#N/A</v>
      </c>
      <c r="AR1840" t="e">
        <v>#N/A</v>
      </c>
      <c r="AS1840" t="e">
        <v>#N/A</v>
      </c>
      <c r="AT1840" t="e">
        <v>#N/A</v>
      </c>
    </row>
    <row r="1841" spans="42:46">
      <c r="AP1841">
        <v>165050</v>
      </c>
      <c r="AQ1841" t="e">
        <v>#N/A</v>
      </c>
      <c r="AR1841" t="e">
        <v>#N/A</v>
      </c>
      <c r="AS1841" t="e">
        <v>#N/A</v>
      </c>
      <c r="AT1841" t="e">
        <v>#N/A</v>
      </c>
    </row>
    <row r="1842" spans="42:46">
      <c r="AP1842">
        <v>165100</v>
      </c>
      <c r="AQ1842" t="e">
        <v>#N/A</v>
      </c>
      <c r="AR1842" t="e">
        <v>#N/A</v>
      </c>
      <c r="AS1842" t="e">
        <v>#N/A</v>
      </c>
      <c r="AT1842" t="e">
        <v>#N/A</v>
      </c>
    </row>
    <row r="1843" spans="42:46">
      <c r="AP1843">
        <v>165150</v>
      </c>
      <c r="AQ1843" t="e">
        <v>#N/A</v>
      </c>
      <c r="AR1843" t="e">
        <v>#N/A</v>
      </c>
      <c r="AS1843" t="e">
        <v>#N/A</v>
      </c>
      <c r="AT1843" t="e">
        <v>#N/A</v>
      </c>
    </row>
    <row r="1844" spans="42:46">
      <c r="AP1844">
        <v>165200</v>
      </c>
      <c r="AQ1844" t="e">
        <v>#N/A</v>
      </c>
      <c r="AR1844" t="e">
        <v>#N/A</v>
      </c>
      <c r="AS1844" t="e">
        <v>#N/A</v>
      </c>
      <c r="AT1844" t="e">
        <v>#N/A</v>
      </c>
    </row>
    <row r="1845" spans="42:46">
      <c r="AP1845">
        <v>165250</v>
      </c>
      <c r="AQ1845" t="e">
        <v>#N/A</v>
      </c>
      <c r="AR1845" t="e">
        <v>#N/A</v>
      </c>
      <c r="AS1845" t="e">
        <v>#N/A</v>
      </c>
      <c r="AT1845" t="e">
        <v>#N/A</v>
      </c>
    </row>
    <row r="1846" spans="42:46">
      <c r="AP1846">
        <v>165300</v>
      </c>
      <c r="AQ1846" t="e">
        <v>#N/A</v>
      </c>
      <c r="AR1846" t="e">
        <v>#N/A</v>
      </c>
      <c r="AS1846" t="e">
        <v>#N/A</v>
      </c>
      <c r="AT1846" t="e">
        <v>#N/A</v>
      </c>
    </row>
    <row r="1847" spans="42:46">
      <c r="AP1847">
        <v>165350</v>
      </c>
      <c r="AQ1847" t="e">
        <v>#N/A</v>
      </c>
      <c r="AR1847" t="e">
        <v>#N/A</v>
      </c>
      <c r="AS1847" t="e">
        <v>#N/A</v>
      </c>
      <c r="AT1847" t="e">
        <v>#N/A</v>
      </c>
    </row>
    <row r="1848" spans="42:46">
      <c r="AP1848">
        <v>165400</v>
      </c>
      <c r="AQ1848" t="e">
        <v>#N/A</v>
      </c>
      <c r="AR1848" t="e">
        <v>#N/A</v>
      </c>
      <c r="AS1848" t="e">
        <v>#N/A</v>
      </c>
      <c r="AT1848" t="e">
        <v>#N/A</v>
      </c>
    </row>
    <row r="1849" spans="42:46">
      <c r="AP1849">
        <v>165450</v>
      </c>
      <c r="AQ1849" t="e">
        <v>#N/A</v>
      </c>
      <c r="AR1849" t="e">
        <v>#N/A</v>
      </c>
      <c r="AS1849" t="e">
        <v>#N/A</v>
      </c>
      <c r="AT1849" t="e">
        <v>#N/A</v>
      </c>
    </row>
    <row r="1850" spans="42:46">
      <c r="AP1850">
        <v>165500</v>
      </c>
      <c r="AQ1850" t="e">
        <v>#N/A</v>
      </c>
      <c r="AR1850" t="e">
        <v>#N/A</v>
      </c>
      <c r="AS1850" t="e">
        <v>#N/A</v>
      </c>
      <c r="AT1850" t="e">
        <v>#N/A</v>
      </c>
    </row>
    <row r="1851" spans="42:46">
      <c r="AP1851">
        <v>165550</v>
      </c>
      <c r="AQ1851" t="e">
        <v>#N/A</v>
      </c>
      <c r="AR1851" t="e">
        <v>#N/A</v>
      </c>
      <c r="AS1851" t="e">
        <v>#N/A</v>
      </c>
      <c r="AT1851" t="e">
        <v>#N/A</v>
      </c>
    </row>
    <row r="1852" spans="42:46">
      <c r="AP1852">
        <v>165600</v>
      </c>
      <c r="AQ1852" t="e">
        <v>#N/A</v>
      </c>
      <c r="AR1852" t="e">
        <v>#N/A</v>
      </c>
      <c r="AS1852" t="e">
        <v>#N/A</v>
      </c>
      <c r="AT1852" t="e">
        <v>#N/A</v>
      </c>
    </row>
    <row r="1853" spans="42:46">
      <c r="AP1853">
        <v>165650</v>
      </c>
      <c r="AQ1853" t="e">
        <v>#N/A</v>
      </c>
      <c r="AR1853" t="e">
        <v>#N/A</v>
      </c>
      <c r="AS1853" t="e">
        <v>#N/A</v>
      </c>
      <c r="AT1853" t="e">
        <v>#N/A</v>
      </c>
    </row>
    <row r="1854" spans="42:46">
      <c r="AP1854">
        <v>165700</v>
      </c>
      <c r="AQ1854" t="e">
        <v>#N/A</v>
      </c>
      <c r="AR1854" t="e">
        <v>#N/A</v>
      </c>
      <c r="AS1854" t="e">
        <v>#N/A</v>
      </c>
      <c r="AT1854" t="e">
        <v>#N/A</v>
      </c>
    </row>
    <row r="1855" spans="42:46">
      <c r="AP1855">
        <v>165750</v>
      </c>
      <c r="AQ1855" t="e">
        <v>#N/A</v>
      </c>
      <c r="AR1855" t="e">
        <v>#N/A</v>
      </c>
      <c r="AS1855" t="e">
        <v>#N/A</v>
      </c>
      <c r="AT1855" t="e">
        <v>#N/A</v>
      </c>
    </row>
    <row r="1856" spans="42:46">
      <c r="AP1856">
        <v>165800</v>
      </c>
      <c r="AQ1856" t="e">
        <v>#N/A</v>
      </c>
      <c r="AR1856" t="e">
        <v>#N/A</v>
      </c>
      <c r="AS1856" t="e">
        <v>#N/A</v>
      </c>
      <c r="AT1856" t="e">
        <v>#N/A</v>
      </c>
    </row>
    <row r="1857" spans="42:46">
      <c r="AP1857">
        <v>165850</v>
      </c>
      <c r="AQ1857" t="e">
        <v>#N/A</v>
      </c>
      <c r="AR1857" t="e">
        <v>#N/A</v>
      </c>
      <c r="AS1857" t="e">
        <v>#N/A</v>
      </c>
      <c r="AT1857" t="e">
        <v>#N/A</v>
      </c>
    </row>
    <row r="1858" spans="42:46">
      <c r="AP1858">
        <v>165900</v>
      </c>
      <c r="AQ1858" t="e">
        <v>#N/A</v>
      </c>
      <c r="AR1858" t="e">
        <v>#N/A</v>
      </c>
      <c r="AS1858" t="e">
        <v>#N/A</v>
      </c>
      <c r="AT1858" t="e">
        <v>#N/A</v>
      </c>
    </row>
    <row r="1859" spans="42:46">
      <c r="AP1859">
        <v>165950</v>
      </c>
      <c r="AQ1859" t="e">
        <v>#N/A</v>
      </c>
      <c r="AR1859" t="e">
        <v>#N/A</v>
      </c>
      <c r="AS1859" t="e">
        <v>#N/A</v>
      </c>
      <c r="AT1859" t="e">
        <v>#N/A</v>
      </c>
    </row>
    <row r="1860" spans="42:46">
      <c r="AP1860">
        <v>166000</v>
      </c>
      <c r="AQ1860" t="e">
        <v>#N/A</v>
      </c>
      <c r="AR1860" t="e">
        <v>#N/A</v>
      </c>
      <c r="AS1860" t="e">
        <v>#N/A</v>
      </c>
      <c r="AT1860" t="e">
        <v>#N/A</v>
      </c>
    </row>
    <row r="1861" spans="42:46">
      <c r="AP1861">
        <v>166050</v>
      </c>
      <c r="AQ1861" t="e">
        <v>#N/A</v>
      </c>
      <c r="AR1861" t="e">
        <v>#N/A</v>
      </c>
      <c r="AS1861" t="e">
        <v>#N/A</v>
      </c>
      <c r="AT1861" t="e">
        <v>#N/A</v>
      </c>
    </row>
    <row r="1862" spans="42:46">
      <c r="AP1862">
        <v>166100</v>
      </c>
      <c r="AQ1862" t="e">
        <v>#N/A</v>
      </c>
      <c r="AR1862" t="e">
        <v>#N/A</v>
      </c>
      <c r="AS1862" t="e">
        <v>#N/A</v>
      </c>
      <c r="AT1862" t="e">
        <v>#N/A</v>
      </c>
    </row>
    <row r="1863" spans="42:46">
      <c r="AP1863">
        <v>166150</v>
      </c>
      <c r="AQ1863" t="e">
        <v>#N/A</v>
      </c>
      <c r="AR1863" t="e">
        <v>#N/A</v>
      </c>
      <c r="AS1863" t="e">
        <v>#N/A</v>
      </c>
      <c r="AT1863" t="e">
        <v>#N/A</v>
      </c>
    </row>
    <row r="1864" spans="42:46">
      <c r="AP1864">
        <v>166200</v>
      </c>
      <c r="AQ1864" t="e">
        <v>#N/A</v>
      </c>
      <c r="AR1864" t="e">
        <v>#N/A</v>
      </c>
      <c r="AS1864" t="e">
        <v>#N/A</v>
      </c>
      <c r="AT1864" t="e">
        <v>#N/A</v>
      </c>
    </row>
    <row r="1865" spans="42:46">
      <c r="AP1865">
        <v>166250</v>
      </c>
      <c r="AQ1865" t="e">
        <v>#N/A</v>
      </c>
      <c r="AR1865" t="e">
        <v>#N/A</v>
      </c>
      <c r="AS1865" t="e">
        <v>#N/A</v>
      </c>
      <c r="AT1865" t="e">
        <v>#N/A</v>
      </c>
    </row>
    <row r="1866" spans="42:46">
      <c r="AP1866">
        <v>166300</v>
      </c>
      <c r="AQ1866" t="e">
        <v>#N/A</v>
      </c>
      <c r="AR1866" t="e">
        <v>#N/A</v>
      </c>
      <c r="AS1866" t="e">
        <v>#N/A</v>
      </c>
      <c r="AT1866" t="e">
        <v>#N/A</v>
      </c>
    </row>
    <row r="1867" spans="42:46">
      <c r="AP1867">
        <v>166350</v>
      </c>
      <c r="AQ1867" t="e">
        <v>#N/A</v>
      </c>
      <c r="AR1867" t="e">
        <v>#N/A</v>
      </c>
      <c r="AS1867" t="e">
        <v>#N/A</v>
      </c>
      <c r="AT1867" t="e">
        <v>#N/A</v>
      </c>
    </row>
    <row r="1868" spans="42:46">
      <c r="AP1868">
        <v>166400</v>
      </c>
      <c r="AQ1868" t="e">
        <v>#N/A</v>
      </c>
      <c r="AR1868" t="e">
        <v>#N/A</v>
      </c>
      <c r="AS1868" t="e">
        <v>#N/A</v>
      </c>
      <c r="AT1868" t="e">
        <v>#N/A</v>
      </c>
    </row>
    <row r="1869" spans="42:46">
      <c r="AP1869">
        <v>166450</v>
      </c>
      <c r="AQ1869" t="e">
        <v>#N/A</v>
      </c>
      <c r="AR1869" t="e">
        <v>#N/A</v>
      </c>
      <c r="AS1869" t="e">
        <v>#N/A</v>
      </c>
      <c r="AT1869" t="e">
        <v>#N/A</v>
      </c>
    </row>
    <row r="1870" spans="42:46">
      <c r="AP1870">
        <v>166500</v>
      </c>
      <c r="AQ1870" t="e">
        <v>#N/A</v>
      </c>
      <c r="AR1870" t="e">
        <v>#N/A</v>
      </c>
      <c r="AS1870" t="e">
        <v>#N/A</v>
      </c>
      <c r="AT1870" t="e">
        <v>#N/A</v>
      </c>
    </row>
    <row r="1871" spans="42:46">
      <c r="AP1871">
        <v>166550</v>
      </c>
      <c r="AQ1871" t="e">
        <v>#N/A</v>
      </c>
      <c r="AR1871" t="e">
        <v>#N/A</v>
      </c>
      <c r="AS1871" t="e">
        <v>#N/A</v>
      </c>
      <c r="AT1871" t="e">
        <v>#N/A</v>
      </c>
    </row>
    <row r="1872" spans="42:46">
      <c r="AP1872">
        <v>166600</v>
      </c>
      <c r="AQ1872" t="e">
        <v>#N/A</v>
      </c>
      <c r="AR1872" t="e">
        <v>#N/A</v>
      </c>
      <c r="AS1872" t="e">
        <v>#N/A</v>
      </c>
      <c r="AT1872" t="e">
        <v>#N/A</v>
      </c>
    </row>
    <row r="1873" spans="42:46">
      <c r="AP1873">
        <v>166650</v>
      </c>
      <c r="AQ1873" t="e">
        <v>#N/A</v>
      </c>
      <c r="AR1873" t="e">
        <v>#N/A</v>
      </c>
      <c r="AS1873" t="e">
        <v>#N/A</v>
      </c>
      <c r="AT1873" t="e">
        <v>#N/A</v>
      </c>
    </row>
    <row r="1874" spans="42:46">
      <c r="AP1874">
        <v>166700</v>
      </c>
      <c r="AQ1874" t="e">
        <v>#N/A</v>
      </c>
      <c r="AR1874" t="e">
        <v>#N/A</v>
      </c>
      <c r="AS1874" t="e">
        <v>#N/A</v>
      </c>
      <c r="AT1874" t="e">
        <v>#N/A</v>
      </c>
    </row>
    <row r="1875" spans="42:46">
      <c r="AP1875">
        <v>166750</v>
      </c>
      <c r="AQ1875" t="e">
        <v>#N/A</v>
      </c>
      <c r="AR1875" t="e">
        <v>#N/A</v>
      </c>
      <c r="AS1875" t="e">
        <v>#N/A</v>
      </c>
      <c r="AT1875" t="e">
        <v>#N/A</v>
      </c>
    </row>
    <row r="1876" spans="42:46">
      <c r="AP1876">
        <v>166800</v>
      </c>
      <c r="AQ1876" t="e">
        <v>#N/A</v>
      </c>
      <c r="AR1876" t="e">
        <v>#N/A</v>
      </c>
      <c r="AS1876" t="e">
        <v>#N/A</v>
      </c>
      <c r="AT1876" t="e">
        <v>#N/A</v>
      </c>
    </row>
    <row r="1877" spans="42:46">
      <c r="AP1877">
        <v>166850</v>
      </c>
      <c r="AQ1877" t="e">
        <v>#N/A</v>
      </c>
      <c r="AR1877" t="e">
        <v>#N/A</v>
      </c>
      <c r="AS1877" t="e">
        <v>#N/A</v>
      </c>
      <c r="AT1877" t="e">
        <v>#N/A</v>
      </c>
    </row>
    <row r="1878" spans="42:46">
      <c r="AP1878">
        <v>166900</v>
      </c>
      <c r="AQ1878" t="e">
        <v>#N/A</v>
      </c>
      <c r="AR1878" t="e">
        <v>#N/A</v>
      </c>
      <c r="AS1878" t="e">
        <v>#N/A</v>
      </c>
      <c r="AT1878" t="e">
        <v>#N/A</v>
      </c>
    </row>
    <row r="1879" spans="42:46">
      <c r="AP1879">
        <v>166950</v>
      </c>
      <c r="AQ1879" t="e">
        <v>#N/A</v>
      </c>
      <c r="AR1879" t="e">
        <v>#N/A</v>
      </c>
      <c r="AS1879" t="e">
        <v>#N/A</v>
      </c>
      <c r="AT1879" t="e">
        <v>#N/A</v>
      </c>
    </row>
    <row r="1880" spans="42:46">
      <c r="AP1880">
        <v>167000</v>
      </c>
      <c r="AQ1880" t="e">
        <v>#N/A</v>
      </c>
      <c r="AR1880" t="e">
        <v>#N/A</v>
      </c>
      <c r="AS1880" t="e">
        <v>#N/A</v>
      </c>
      <c r="AT1880" t="e">
        <v>#N/A</v>
      </c>
    </row>
    <row r="1881" spans="42:46">
      <c r="AP1881">
        <v>167050</v>
      </c>
      <c r="AQ1881" t="e">
        <v>#N/A</v>
      </c>
      <c r="AR1881" t="e">
        <v>#N/A</v>
      </c>
      <c r="AS1881" t="e">
        <v>#N/A</v>
      </c>
      <c r="AT1881" t="e">
        <v>#N/A</v>
      </c>
    </row>
    <row r="1882" spans="42:46">
      <c r="AP1882">
        <v>167100</v>
      </c>
      <c r="AQ1882" t="e">
        <v>#N/A</v>
      </c>
      <c r="AR1882" t="e">
        <v>#N/A</v>
      </c>
      <c r="AS1882" t="e">
        <v>#N/A</v>
      </c>
      <c r="AT1882" t="e">
        <v>#N/A</v>
      </c>
    </row>
    <row r="1883" spans="42:46">
      <c r="AP1883">
        <v>167150</v>
      </c>
      <c r="AQ1883" t="e">
        <v>#N/A</v>
      </c>
      <c r="AR1883" t="e">
        <v>#N/A</v>
      </c>
      <c r="AS1883" t="e">
        <v>#N/A</v>
      </c>
      <c r="AT1883" t="e">
        <v>#N/A</v>
      </c>
    </row>
    <row r="1884" spans="42:46">
      <c r="AP1884">
        <v>167200</v>
      </c>
      <c r="AQ1884" t="e">
        <v>#N/A</v>
      </c>
      <c r="AR1884" t="e">
        <v>#N/A</v>
      </c>
      <c r="AS1884" t="e">
        <v>#N/A</v>
      </c>
      <c r="AT1884" t="e">
        <v>#N/A</v>
      </c>
    </row>
    <row r="1885" spans="42:46">
      <c r="AP1885">
        <v>167250</v>
      </c>
      <c r="AQ1885" t="e">
        <v>#N/A</v>
      </c>
      <c r="AR1885" t="e">
        <v>#N/A</v>
      </c>
      <c r="AS1885" t="e">
        <v>#N/A</v>
      </c>
      <c r="AT1885" t="e">
        <v>#N/A</v>
      </c>
    </row>
    <row r="1886" spans="42:46">
      <c r="AP1886">
        <v>167300</v>
      </c>
      <c r="AQ1886" t="e">
        <v>#N/A</v>
      </c>
      <c r="AR1886" t="e">
        <v>#N/A</v>
      </c>
      <c r="AS1886" t="e">
        <v>#N/A</v>
      </c>
      <c r="AT1886" t="e">
        <v>#N/A</v>
      </c>
    </row>
    <row r="1887" spans="42:46">
      <c r="AP1887">
        <v>167350</v>
      </c>
      <c r="AQ1887" t="e">
        <v>#N/A</v>
      </c>
      <c r="AR1887" t="e">
        <v>#N/A</v>
      </c>
      <c r="AS1887" t="e">
        <v>#N/A</v>
      </c>
      <c r="AT1887" t="e">
        <v>#N/A</v>
      </c>
    </row>
    <row r="1888" spans="42:46">
      <c r="AP1888">
        <v>167400</v>
      </c>
      <c r="AQ1888" t="e">
        <v>#N/A</v>
      </c>
      <c r="AR1888" t="e">
        <v>#N/A</v>
      </c>
      <c r="AS1888" t="e">
        <v>#N/A</v>
      </c>
      <c r="AT1888" t="e">
        <v>#N/A</v>
      </c>
    </row>
    <row r="1889" spans="42:46">
      <c r="AP1889">
        <v>167450</v>
      </c>
      <c r="AQ1889" t="e">
        <v>#N/A</v>
      </c>
      <c r="AR1889" t="e">
        <v>#N/A</v>
      </c>
      <c r="AS1889" t="e">
        <v>#N/A</v>
      </c>
      <c r="AT1889" t="e">
        <v>#N/A</v>
      </c>
    </row>
    <row r="1890" spans="42:46">
      <c r="AP1890">
        <v>167500</v>
      </c>
      <c r="AQ1890" t="e">
        <v>#N/A</v>
      </c>
      <c r="AR1890" t="e">
        <v>#N/A</v>
      </c>
      <c r="AS1890" t="e">
        <v>#N/A</v>
      </c>
      <c r="AT1890" t="e">
        <v>#N/A</v>
      </c>
    </row>
    <row r="1891" spans="42:46">
      <c r="AP1891">
        <v>167550</v>
      </c>
      <c r="AQ1891" t="e">
        <v>#N/A</v>
      </c>
      <c r="AR1891" t="e">
        <v>#N/A</v>
      </c>
      <c r="AS1891" t="e">
        <v>#N/A</v>
      </c>
      <c r="AT1891" t="e">
        <v>#N/A</v>
      </c>
    </row>
    <row r="1892" spans="42:46">
      <c r="AP1892">
        <v>167600</v>
      </c>
      <c r="AQ1892" t="e">
        <v>#N/A</v>
      </c>
      <c r="AR1892" t="e">
        <v>#N/A</v>
      </c>
      <c r="AS1892" t="e">
        <v>#N/A</v>
      </c>
      <c r="AT1892" t="e">
        <v>#N/A</v>
      </c>
    </row>
    <row r="1893" spans="42:46">
      <c r="AP1893">
        <v>167650</v>
      </c>
      <c r="AQ1893" t="e">
        <v>#N/A</v>
      </c>
      <c r="AR1893" t="e">
        <v>#N/A</v>
      </c>
      <c r="AS1893" t="e">
        <v>#N/A</v>
      </c>
      <c r="AT1893" t="e">
        <v>#N/A</v>
      </c>
    </row>
    <row r="1894" spans="42:46">
      <c r="AP1894">
        <v>167700</v>
      </c>
      <c r="AQ1894" t="e">
        <v>#N/A</v>
      </c>
      <c r="AR1894" t="e">
        <v>#N/A</v>
      </c>
      <c r="AS1894" t="e">
        <v>#N/A</v>
      </c>
      <c r="AT1894" t="e">
        <v>#N/A</v>
      </c>
    </row>
    <row r="1895" spans="42:46">
      <c r="AP1895">
        <v>167750</v>
      </c>
      <c r="AQ1895" t="e">
        <v>#N/A</v>
      </c>
      <c r="AR1895" t="e">
        <v>#N/A</v>
      </c>
      <c r="AS1895" t="e">
        <v>#N/A</v>
      </c>
      <c r="AT1895" t="e">
        <v>#N/A</v>
      </c>
    </row>
    <row r="1896" spans="42:46">
      <c r="AP1896">
        <v>167800</v>
      </c>
      <c r="AQ1896" t="e">
        <v>#N/A</v>
      </c>
      <c r="AR1896" t="e">
        <v>#N/A</v>
      </c>
      <c r="AS1896" t="e">
        <v>#N/A</v>
      </c>
      <c r="AT1896" t="e">
        <v>#N/A</v>
      </c>
    </row>
    <row r="1897" spans="42:46">
      <c r="AP1897">
        <v>167850</v>
      </c>
      <c r="AQ1897" t="e">
        <v>#N/A</v>
      </c>
      <c r="AR1897" t="e">
        <v>#N/A</v>
      </c>
      <c r="AS1897" t="e">
        <v>#N/A</v>
      </c>
      <c r="AT1897" t="e">
        <v>#N/A</v>
      </c>
    </row>
    <row r="1898" spans="42:46">
      <c r="AP1898">
        <v>167900</v>
      </c>
      <c r="AQ1898" t="e">
        <v>#N/A</v>
      </c>
      <c r="AR1898" t="e">
        <v>#N/A</v>
      </c>
      <c r="AS1898" t="e">
        <v>#N/A</v>
      </c>
      <c r="AT1898" t="e">
        <v>#N/A</v>
      </c>
    </row>
    <row r="1899" spans="42:46">
      <c r="AP1899">
        <v>167950</v>
      </c>
      <c r="AQ1899" t="e">
        <v>#N/A</v>
      </c>
      <c r="AR1899" t="e">
        <v>#N/A</v>
      </c>
      <c r="AS1899" t="e">
        <v>#N/A</v>
      </c>
      <c r="AT1899" t="e">
        <v>#N/A</v>
      </c>
    </row>
    <row r="1900" spans="42:46">
      <c r="AP1900">
        <v>168000</v>
      </c>
      <c r="AQ1900" t="e">
        <v>#N/A</v>
      </c>
      <c r="AR1900" t="e">
        <v>#N/A</v>
      </c>
      <c r="AS1900" t="e">
        <v>#N/A</v>
      </c>
      <c r="AT1900" t="e">
        <v>#N/A</v>
      </c>
    </row>
    <row r="1901" spans="42:46">
      <c r="AP1901">
        <v>168050</v>
      </c>
      <c r="AQ1901" t="e">
        <v>#N/A</v>
      </c>
      <c r="AR1901" t="e">
        <v>#N/A</v>
      </c>
      <c r="AS1901" t="e">
        <v>#N/A</v>
      </c>
      <c r="AT1901" t="e">
        <v>#N/A</v>
      </c>
    </row>
    <row r="1902" spans="42:46">
      <c r="AP1902">
        <v>168100</v>
      </c>
      <c r="AQ1902" t="e">
        <v>#N/A</v>
      </c>
      <c r="AR1902" t="e">
        <v>#N/A</v>
      </c>
      <c r="AS1902" t="e">
        <v>#N/A</v>
      </c>
      <c r="AT1902" t="e">
        <v>#N/A</v>
      </c>
    </row>
    <row r="1903" spans="42:46">
      <c r="AP1903">
        <v>168150</v>
      </c>
      <c r="AQ1903" t="e">
        <v>#N/A</v>
      </c>
      <c r="AR1903" t="e">
        <v>#N/A</v>
      </c>
      <c r="AS1903" t="e">
        <v>#N/A</v>
      </c>
      <c r="AT1903" t="e">
        <v>#N/A</v>
      </c>
    </row>
    <row r="1904" spans="42:46">
      <c r="AP1904">
        <v>168200</v>
      </c>
      <c r="AQ1904" t="e">
        <v>#N/A</v>
      </c>
      <c r="AR1904" t="e">
        <v>#N/A</v>
      </c>
      <c r="AS1904" t="e">
        <v>#N/A</v>
      </c>
      <c r="AT1904" t="e">
        <v>#N/A</v>
      </c>
    </row>
    <row r="1905" spans="42:46">
      <c r="AP1905">
        <v>168250</v>
      </c>
      <c r="AQ1905" t="e">
        <v>#N/A</v>
      </c>
      <c r="AR1905" t="e">
        <v>#N/A</v>
      </c>
      <c r="AS1905" t="e">
        <v>#N/A</v>
      </c>
      <c r="AT1905" t="e">
        <v>#N/A</v>
      </c>
    </row>
    <row r="1906" spans="42:46">
      <c r="AP1906">
        <v>168300</v>
      </c>
      <c r="AQ1906" t="e">
        <v>#N/A</v>
      </c>
      <c r="AR1906" t="e">
        <v>#N/A</v>
      </c>
      <c r="AS1906" t="e">
        <v>#N/A</v>
      </c>
      <c r="AT1906" t="e">
        <v>#N/A</v>
      </c>
    </row>
    <row r="1907" spans="42:46">
      <c r="AP1907">
        <v>168350</v>
      </c>
      <c r="AQ1907" t="e">
        <v>#N/A</v>
      </c>
      <c r="AR1907" t="e">
        <v>#N/A</v>
      </c>
      <c r="AS1907" t="e">
        <v>#N/A</v>
      </c>
      <c r="AT1907" t="e">
        <v>#N/A</v>
      </c>
    </row>
    <row r="1908" spans="42:46">
      <c r="AP1908">
        <v>168400</v>
      </c>
      <c r="AQ1908" t="e">
        <v>#N/A</v>
      </c>
      <c r="AR1908" t="e">
        <v>#N/A</v>
      </c>
      <c r="AS1908" t="e">
        <v>#N/A</v>
      </c>
      <c r="AT1908" t="e">
        <v>#N/A</v>
      </c>
    </row>
    <row r="1909" spans="42:46">
      <c r="AP1909">
        <v>168450</v>
      </c>
      <c r="AQ1909" t="e">
        <v>#N/A</v>
      </c>
      <c r="AR1909" t="e">
        <v>#N/A</v>
      </c>
      <c r="AS1909" t="e">
        <v>#N/A</v>
      </c>
      <c r="AT1909" t="e">
        <v>#N/A</v>
      </c>
    </row>
    <row r="1910" spans="42:46">
      <c r="AP1910">
        <v>168500</v>
      </c>
      <c r="AQ1910" t="e">
        <v>#N/A</v>
      </c>
      <c r="AR1910" t="e">
        <v>#N/A</v>
      </c>
      <c r="AS1910" t="e">
        <v>#N/A</v>
      </c>
      <c r="AT1910" t="e">
        <v>#N/A</v>
      </c>
    </row>
    <row r="1911" spans="42:46">
      <c r="AP1911">
        <v>168550</v>
      </c>
      <c r="AQ1911" t="e">
        <v>#N/A</v>
      </c>
      <c r="AR1911" t="e">
        <v>#N/A</v>
      </c>
      <c r="AS1911" t="e">
        <v>#N/A</v>
      </c>
      <c r="AT1911" t="e">
        <v>#N/A</v>
      </c>
    </row>
    <row r="1912" spans="42:46">
      <c r="AP1912">
        <v>168600</v>
      </c>
      <c r="AQ1912" t="e">
        <v>#N/A</v>
      </c>
      <c r="AR1912" t="e">
        <v>#N/A</v>
      </c>
      <c r="AS1912" t="e">
        <v>#N/A</v>
      </c>
      <c r="AT1912" t="e">
        <v>#N/A</v>
      </c>
    </row>
    <row r="1913" spans="42:46">
      <c r="AP1913">
        <v>168650</v>
      </c>
      <c r="AQ1913" t="e">
        <v>#N/A</v>
      </c>
      <c r="AR1913" t="e">
        <v>#N/A</v>
      </c>
      <c r="AS1913" t="e">
        <v>#N/A</v>
      </c>
      <c r="AT1913" t="e">
        <v>#N/A</v>
      </c>
    </row>
    <row r="1914" spans="42:46">
      <c r="AP1914">
        <v>168700</v>
      </c>
      <c r="AQ1914" t="e">
        <v>#N/A</v>
      </c>
      <c r="AR1914" t="e">
        <v>#N/A</v>
      </c>
      <c r="AS1914" t="e">
        <v>#N/A</v>
      </c>
      <c r="AT1914" t="e">
        <v>#N/A</v>
      </c>
    </row>
    <row r="1915" spans="42:46">
      <c r="AP1915">
        <v>168750</v>
      </c>
      <c r="AQ1915" t="e">
        <v>#N/A</v>
      </c>
      <c r="AR1915" t="e">
        <v>#N/A</v>
      </c>
      <c r="AS1915" t="e">
        <v>#N/A</v>
      </c>
      <c r="AT1915" t="e">
        <v>#N/A</v>
      </c>
    </row>
    <row r="1916" spans="42:46">
      <c r="AP1916">
        <v>168800</v>
      </c>
      <c r="AQ1916" t="e">
        <v>#N/A</v>
      </c>
      <c r="AR1916" t="e">
        <v>#N/A</v>
      </c>
      <c r="AS1916" t="e">
        <v>#N/A</v>
      </c>
      <c r="AT1916" t="e">
        <v>#N/A</v>
      </c>
    </row>
    <row r="1917" spans="42:46">
      <c r="AP1917">
        <v>168850</v>
      </c>
      <c r="AQ1917" t="e">
        <v>#N/A</v>
      </c>
      <c r="AR1917" t="e">
        <v>#N/A</v>
      </c>
      <c r="AS1917" t="e">
        <v>#N/A</v>
      </c>
      <c r="AT1917" t="e">
        <v>#N/A</v>
      </c>
    </row>
    <row r="1918" spans="42:46">
      <c r="AP1918">
        <v>168900</v>
      </c>
      <c r="AQ1918" t="e">
        <v>#N/A</v>
      </c>
      <c r="AR1918" t="e">
        <v>#N/A</v>
      </c>
      <c r="AS1918" t="e">
        <v>#N/A</v>
      </c>
      <c r="AT1918" t="e">
        <v>#N/A</v>
      </c>
    </row>
    <row r="1919" spans="42:46">
      <c r="AP1919">
        <v>168950</v>
      </c>
      <c r="AQ1919" t="e">
        <v>#N/A</v>
      </c>
      <c r="AR1919" t="e">
        <v>#N/A</v>
      </c>
      <c r="AS1919" t="e">
        <v>#N/A</v>
      </c>
      <c r="AT1919" t="e">
        <v>#N/A</v>
      </c>
    </row>
    <row r="1920" spans="42:46">
      <c r="AP1920">
        <v>169000</v>
      </c>
      <c r="AQ1920" t="e">
        <v>#N/A</v>
      </c>
      <c r="AR1920" t="e">
        <v>#N/A</v>
      </c>
      <c r="AS1920" t="e">
        <v>#N/A</v>
      </c>
      <c r="AT1920" t="e">
        <v>#N/A</v>
      </c>
    </row>
    <row r="1921" spans="42:46">
      <c r="AP1921">
        <v>169050</v>
      </c>
      <c r="AQ1921" t="e">
        <v>#N/A</v>
      </c>
      <c r="AR1921" t="e">
        <v>#N/A</v>
      </c>
      <c r="AS1921" t="e">
        <v>#N/A</v>
      </c>
      <c r="AT1921" t="e">
        <v>#N/A</v>
      </c>
    </row>
    <row r="1922" spans="42:46">
      <c r="AP1922">
        <v>169100</v>
      </c>
      <c r="AQ1922" t="e">
        <v>#N/A</v>
      </c>
      <c r="AR1922" t="e">
        <v>#N/A</v>
      </c>
      <c r="AS1922" t="e">
        <v>#N/A</v>
      </c>
      <c r="AT1922" t="e">
        <v>#N/A</v>
      </c>
    </row>
    <row r="1923" spans="42:46">
      <c r="AP1923">
        <v>169150</v>
      </c>
      <c r="AQ1923" t="e">
        <v>#N/A</v>
      </c>
      <c r="AR1923" t="e">
        <v>#N/A</v>
      </c>
      <c r="AS1923" t="e">
        <v>#N/A</v>
      </c>
      <c r="AT1923" t="e">
        <v>#N/A</v>
      </c>
    </row>
    <row r="1924" spans="42:46">
      <c r="AP1924">
        <v>169200</v>
      </c>
      <c r="AQ1924" t="e">
        <v>#N/A</v>
      </c>
      <c r="AR1924" t="e">
        <v>#N/A</v>
      </c>
      <c r="AS1924" t="e">
        <v>#N/A</v>
      </c>
      <c r="AT1924" t="e">
        <v>#N/A</v>
      </c>
    </row>
    <row r="1925" spans="42:46">
      <c r="AP1925">
        <v>169250</v>
      </c>
      <c r="AQ1925" t="e">
        <v>#N/A</v>
      </c>
      <c r="AR1925" t="e">
        <v>#N/A</v>
      </c>
      <c r="AS1925" t="e">
        <v>#N/A</v>
      </c>
      <c r="AT1925" t="e">
        <v>#N/A</v>
      </c>
    </row>
    <row r="1926" spans="42:46">
      <c r="AP1926">
        <v>169300</v>
      </c>
      <c r="AQ1926" t="e">
        <v>#N/A</v>
      </c>
      <c r="AR1926" t="e">
        <v>#N/A</v>
      </c>
      <c r="AS1926" t="e">
        <v>#N/A</v>
      </c>
      <c r="AT1926" t="e">
        <v>#N/A</v>
      </c>
    </row>
    <row r="1927" spans="42:46">
      <c r="AP1927">
        <v>169350</v>
      </c>
      <c r="AQ1927" t="e">
        <v>#N/A</v>
      </c>
      <c r="AR1927" t="e">
        <v>#N/A</v>
      </c>
      <c r="AS1927" t="e">
        <v>#N/A</v>
      </c>
      <c r="AT1927" t="e">
        <v>#N/A</v>
      </c>
    </row>
    <row r="1928" spans="42:46">
      <c r="AP1928">
        <v>169400</v>
      </c>
      <c r="AQ1928" t="e">
        <v>#N/A</v>
      </c>
      <c r="AR1928" t="e">
        <v>#N/A</v>
      </c>
      <c r="AS1928" t="e">
        <v>#N/A</v>
      </c>
      <c r="AT1928" t="e">
        <v>#N/A</v>
      </c>
    </row>
    <row r="1929" spans="42:46">
      <c r="AP1929">
        <v>169450</v>
      </c>
      <c r="AQ1929" t="e">
        <v>#N/A</v>
      </c>
      <c r="AR1929" t="e">
        <v>#N/A</v>
      </c>
      <c r="AS1929" t="e">
        <v>#N/A</v>
      </c>
      <c r="AT1929" t="e">
        <v>#N/A</v>
      </c>
    </row>
    <row r="1930" spans="42:46">
      <c r="AP1930">
        <v>169500</v>
      </c>
      <c r="AQ1930" t="e">
        <v>#N/A</v>
      </c>
      <c r="AR1930" t="e">
        <v>#N/A</v>
      </c>
      <c r="AS1930" t="e">
        <v>#N/A</v>
      </c>
      <c r="AT1930" t="e">
        <v>#N/A</v>
      </c>
    </row>
    <row r="1931" spans="42:46">
      <c r="AP1931">
        <v>169550</v>
      </c>
      <c r="AQ1931" t="e">
        <v>#N/A</v>
      </c>
      <c r="AR1931" t="e">
        <v>#N/A</v>
      </c>
      <c r="AS1931" t="e">
        <v>#N/A</v>
      </c>
      <c r="AT1931" t="e">
        <v>#N/A</v>
      </c>
    </row>
    <row r="1932" spans="42:46">
      <c r="AP1932">
        <v>169600</v>
      </c>
      <c r="AQ1932" t="e">
        <v>#N/A</v>
      </c>
      <c r="AR1932" t="e">
        <v>#N/A</v>
      </c>
      <c r="AS1932" t="e">
        <v>#N/A</v>
      </c>
      <c r="AT1932" t="e">
        <v>#N/A</v>
      </c>
    </row>
    <row r="1933" spans="42:46">
      <c r="AP1933">
        <v>169650</v>
      </c>
      <c r="AQ1933" t="e">
        <v>#N/A</v>
      </c>
      <c r="AR1933" t="e">
        <v>#N/A</v>
      </c>
      <c r="AS1933" t="e">
        <v>#N/A</v>
      </c>
      <c r="AT1933" t="e">
        <v>#N/A</v>
      </c>
    </row>
    <row r="1934" spans="42:46">
      <c r="AP1934">
        <v>169700</v>
      </c>
      <c r="AQ1934" t="e">
        <v>#N/A</v>
      </c>
      <c r="AR1934" t="e">
        <v>#N/A</v>
      </c>
      <c r="AS1934" t="e">
        <v>#N/A</v>
      </c>
      <c r="AT1934" t="e">
        <v>#N/A</v>
      </c>
    </row>
    <row r="1935" spans="42:46">
      <c r="AP1935">
        <v>169750</v>
      </c>
      <c r="AQ1935" t="e">
        <v>#N/A</v>
      </c>
      <c r="AR1935" t="e">
        <v>#N/A</v>
      </c>
      <c r="AS1935" t="e">
        <v>#N/A</v>
      </c>
      <c r="AT1935" t="e">
        <v>#N/A</v>
      </c>
    </row>
    <row r="1936" spans="42:46">
      <c r="AP1936">
        <v>169800</v>
      </c>
      <c r="AQ1936" t="e">
        <v>#N/A</v>
      </c>
      <c r="AR1936" t="e">
        <v>#N/A</v>
      </c>
      <c r="AS1936" t="e">
        <v>#N/A</v>
      </c>
      <c r="AT1936" t="e">
        <v>#N/A</v>
      </c>
    </row>
    <row r="1937" spans="42:46">
      <c r="AP1937">
        <v>169850</v>
      </c>
      <c r="AQ1937" t="e">
        <v>#N/A</v>
      </c>
      <c r="AR1937" t="e">
        <v>#N/A</v>
      </c>
      <c r="AS1937" t="e">
        <v>#N/A</v>
      </c>
      <c r="AT1937" t="e">
        <v>#N/A</v>
      </c>
    </row>
    <row r="1938" spans="42:46">
      <c r="AP1938">
        <v>169900</v>
      </c>
      <c r="AQ1938" t="e">
        <v>#N/A</v>
      </c>
      <c r="AR1938" t="e">
        <v>#N/A</v>
      </c>
      <c r="AS1938" t="e">
        <v>#N/A</v>
      </c>
      <c r="AT1938" t="e">
        <v>#N/A</v>
      </c>
    </row>
    <row r="1939" spans="42:46">
      <c r="AP1939">
        <v>169950</v>
      </c>
      <c r="AQ1939" t="e">
        <v>#N/A</v>
      </c>
      <c r="AR1939" t="e">
        <v>#N/A</v>
      </c>
      <c r="AS1939" t="e">
        <v>#N/A</v>
      </c>
      <c r="AT1939" t="e">
        <v>#N/A</v>
      </c>
    </row>
    <row r="1940" spans="42:46">
      <c r="AP1940">
        <v>170000</v>
      </c>
      <c r="AQ1940" t="e">
        <v>#N/A</v>
      </c>
      <c r="AR1940" t="e">
        <v>#N/A</v>
      </c>
      <c r="AS1940" t="e">
        <v>#N/A</v>
      </c>
      <c r="AT1940" t="e">
        <v>#N/A</v>
      </c>
    </row>
    <row r="1941" spans="42:46">
      <c r="AP1941">
        <v>170050</v>
      </c>
      <c r="AQ1941" t="e">
        <v>#N/A</v>
      </c>
      <c r="AR1941" t="e">
        <v>#N/A</v>
      </c>
      <c r="AS1941" t="e">
        <v>#N/A</v>
      </c>
      <c r="AT1941" t="e">
        <v>#N/A</v>
      </c>
    </row>
    <row r="1942" spans="42:46">
      <c r="AP1942">
        <v>170100</v>
      </c>
      <c r="AQ1942" t="e">
        <v>#N/A</v>
      </c>
      <c r="AR1942" t="e">
        <v>#N/A</v>
      </c>
      <c r="AS1942" t="e">
        <v>#N/A</v>
      </c>
      <c r="AT1942" t="e">
        <v>#N/A</v>
      </c>
    </row>
    <row r="1943" spans="42:46">
      <c r="AP1943">
        <v>170150</v>
      </c>
      <c r="AQ1943" t="e">
        <v>#N/A</v>
      </c>
      <c r="AR1943" t="e">
        <v>#N/A</v>
      </c>
      <c r="AS1943" t="e">
        <v>#N/A</v>
      </c>
      <c r="AT1943" t="e">
        <v>#N/A</v>
      </c>
    </row>
    <row r="1944" spans="42:46">
      <c r="AP1944">
        <v>170200</v>
      </c>
      <c r="AQ1944" t="e">
        <v>#N/A</v>
      </c>
      <c r="AR1944" t="e">
        <v>#N/A</v>
      </c>
      <c r="AS1944" t="e">
        <v>#N/A</v>
      </c>
      <c r="AT1944" t="e">
        <v>#N/A</v>
      </c>
    </row>
    <row r="1945" spans="42:46">
      <c r="AP1945">
        <v>170250</v>
      </c>
      <c r="AQ1945" t="e">
        <v>#N/A</v>
      </c>
      <c r="AR1945" t="e">
        <v>#N/A</v>
      </c>
      <c r="AS1945" t="e">
        <v>#N/A</v>
      </c>
      <c r="AT1945" t="e">
        <v>#N/A</v>
      </c>
    </row>
    <row r="1946" spans="42:46">
      <c r="AP1946">
        <v>170300</v>
      </c>
      <c r="AQ1946" t="e">
        <v>#N/A</v>
      </c>
      <c r="AR1946" t="e">
        <v>#N/A</v>
      </c>
      <c r="AS1946" t="e">
        <v>#N/A</v>
      </c>
      <c r="AT1946" t="e">
        <v>#N/A</v>
      </c>
    </row>
    <row r="1947" spans="42:46">
      <c r="AP1947">
        <v>170350</v>
      </c>
      <c r="AQ1947" t="e">
        <v>#N/A</v>
      </c>
      <c r="AR1947" t="e">
        <v>#N/A</v>
      </c>
      <c r="AS1947" t="e">
        <v>#N/A</v>
      </c>
      <c r="AT1947" t="e">
        <v>#N/A</v>
      </c>
    </row>
    <row r="1948" spans="42:46">
      <c r="AP1948">
        <v>170400</v>
      </c>
      <c r="AQ1948" t="e">
        <v>#N/A</v>
      </c>
      <c r="AR1948" t="e">
        <v>#N/A</v>
      </c>
      <c r="AS1948" t="e">
        <v>#N/A</v>
      </c>
      <c r="AT1948" t="e">
        <v>#N/A</v>
      </c>
    </row>
    <row r="1949" spans="42:46">
      <c r="AP1949">
        <v>170450</v>
      </c>
      <c r="AQ1949" t="e">
        <v>#N/A</v>
      </c>
      <c r="AR1949" t="e">
        <v>#N/A</v>
      </c>
      <c r="AS1949" t="e">
        <v>#N/A</v>
      </c>
      <c r="AT1949" t="e">
        <v>#N/A</v>
      </c>
    </row>
    <row r="1950" spans="42:46">
      <c r="AP1950">
        <v>170500</v>
      </c>
      <c r="AQ1950" t="e">
        <v>#N/A</v>
      </c>
      <c r="AR1950" t="e">
        <v>#N/A</v>
      </c>
      <c r="AS1950" t="e">
        <v>#N/A</v>
      </c>
      <c r="AT1950" t="e">
        <v>#N/A</v>
      </c>
    </row>
    <row r="1951" spans="42:46">
      <c r="AP1951">
        <v>170550</v>
      </c>
      <c r="AQ1951" t="e">
        <v>#N/A</v>
      </c>
      <c r="AR1951" t="e">
        <v>#N/A</v>
      </c>
      <c r="AS1951" t="e">
        <v>#N/A</v>
      </c>
      <c r="AT1951" t="e">
        <v>#N/A</v>
      </c>
    </row>
    <row r="1952" spans="42:46">
      <c r="AP1952">
        <v>170600</v>
      </c>
      <c r="AQ1952" t="e">
        <v>#N/A</v>
      </c>
      <c r="AR1952" t="e">
        <v>#N/A</v>
      </c>
      <c r="AS1952" t="e">
        <v>#N/A</v>
      </c>
      <c r="AT1952" t="e">
        <v>#N/A</v>
      </c>
    </row>
    <row r="1953" spans="42:46">
      <c r="AP1953">
        <v>170650</v>
      </c>
      <c r="AQ1953" t="e">
        <v>#N/A</v>
      </c>
      <c r="AR1953" t="e">
        <v>#N/A</v>
      </c>
      <c r="AS1953" t="e">
        <v>#N/A</v>
      </c>
      <c r="AT1953" t="e">
        <v>#N/A</v>
      </c>
    </row>
    <row r="1954" spans="42:46">
      <c r="AP1954">
        <v>170700</v>
      </c>
      <c r="AQ1954" t="e">
        <v>#N/A</v>
      </c>
      <c r="AR1954" t="e">
        <v>#N/A</v>
      </c>
      <c r="AS1954" t="e">
        <v>#N/A</v>
      </c>
      <c r="AT1954" t="e">
        <v>#N/A</v>
      </c>
    </row>
    <row r="1955" spans="42:46">
      <c r="AP1955">
        <v>170750</v>
      </c>
      <c r="AQ1955" t="e">
        <v>#N/A</v>
      </c>
      <c r="AR1955" t="e">
        <v>#N/A</v>
      </c>
      <c r="AS1955" t="e">
        <v>#N/A</v>
      </c>
      <c r="AT1955" t="e">
        <v>#N/A</v>
      </c>
    </row>
    <row r="1956" spans="42:46">
      <c r="AP1956">
        <v>170800</v>
      </c>
      <c r="AQ1956" t="e">
        <v>#N/A</v>
      </c>
      <c r="AR1956" t="e">
        <v>#N/A</v>
      </c>
      <c r="AS1956" t="e">
        <v>#N/A</v>
      </c>
      <c r="AT1956" t="e">
        <v>#N/A</v>
      </c>
    </row>
    <row r="1957" spans="42:46">
      <c r="AP1957">
        <v>170850</v>
      </c>
      <c r="AQ1957" t="e">
        <v>#N/A</v>
      </c>
      <c r="AR1957" t="e">
        <v>#N/A</v>
      </c>
      <c r="AS1957" t="e">
        <v>#N/A</v>
      </c>
      <c r="AT1957" t="e">
        <v>#N/A</v>
      </c>
    </row>
    <row r="1958" spans="42:46">
      <c r="AP1958">
        <v>170900</v>
      </c>
      <c r="AQ1958" t="e">
        <v>#N/A</v>
      </c>
      <c r="AR1958" t="e">
        <v>#N/A</v>
      </c>
      <c r="AS1958" t="e">
        <v>#N/A</v>
      </c>
      <c r="AT1958" t="e">
        <v>#N/A</v>
      </c>
    </row>
    <row r="1959" spans="42:46">
      <c r="AP1959">
        <v>170950</v>
      </c>
      <c r="AQ1959" t="e">
        <v>#N/A</v>
      </c>
      <c r="AR1959" t="e">
        <v>#N/A</v>
      </c>
      <c r="AS1959" t="e">
        <v>#N/A</v>
      </c>
      <c r="AT1959" t="e">
        <v>#N/A</v>
      </c>
    </row>
    <row r="1960" spans="42:46">
      <c r="AP1960">
        <v>171000</v>
      </c>
      <c r="AQ1960" t="e">
        <v>#N/A</v>
      </c>
      <c r="AR1960" t="e">
        <v>#N/A</v>
      </c>
      <c r="AS1960" t="e">
        <v>#N/A</v>
      </c>
      <c r="AT1960" t="e">
        <v>#N/A</v>
      </c>
    </row>
    <row r="1961" spans="42:46">
      <c r="AP1961">
        <v>171050</v>
      </c>
      <c r="AQ1961" t="e">
        <v>#N/A</v>
      </c>
      <c r="AR1961" t="e">
        <v>#N/A</v>
      </c>
      <c r="AS1961" t="e">
        <v>#N/A</v>
      </c>
      <c r="AT1961" t="e">
        <v>#N/A</v>
      </c>
    </row>
    <row r="1962" spans="42:46">
      <c r="AP1962">
        <v>171100</v>
      </c>
      <c r="AQ1962" t="e">
        <v>#N/A</v>
      </c>
      <c r="AR1962" t="e">
        <v>#N/A</v>
      </c>
      <c r="AS1962" t="e">
        <v>#N/A</v>
      </c>
      <c r="AT1962" t="e">
        <v>#N/A</v>
      </c>
    </row>
    <row r="1963" spans="42:46">
      <c r="AP1963">
        <v>171150</v>
      </c>
      <c r="AQ1963" t="e">
        <v>#N/A</v>
      </c>
      <c r="AR1963" t="e">
        <v>#N/A</v>
      </c>
      <c r="AS1963" t="e">
        <v>#N/A</v>
      </c>
      <c r="AT1963" t="e">
        <v>#N/A</v>
      </c>
    </row>
    <row r="1964" spans="42:46">
      <c r="AP1964">
        <v>171200</v>
      </c>
      <c r="AQ1964" t="e">
        <v>#N/A</v>
      </c>
      <c r="AR1964" t="e">
        <v>#N/A</v>
      </c>
      <c r="AS1964" t="e">
        <v>#N/A</v>
      </c>
      <c r="AT1964" t="e">
        <v>#N/A</v>
      </c>
    </row>
    <row r="1965" spans="42:46">
      <c r="AP1965">
        <v>171250</v>
      </c>
      <c r="AQ1965" t="e">
        <v>#N/A</v>
      </c>
      <c r="AR1965" t="e">
        <v>#N/A</v>
      </c>
      <c r="AS1965" t="e">
        <v>#N/A</v>
      </c>
      <c r="AT1965" t="e">
        <v>#N/A</v>
      </c>
    </row>
    <row r="1966" spans="42:46">
      <c r="AP1966">
        <v>171300</v>
      </c>
      <c r="AQ1966" t="e">
        <v>#N/A</v>
      </c>
      <c r="AR1966" t="e">
        <v>#N/A</v>
      </c>
      <c r="AS1966" t="e">
        <v>#N/A</v>
      </c>
      <c r="AT1966" t="e">
        <v>#N/A</v>
      </c>
    </row>
    <row r="1967" spans="42:46">
      <c r="AP1967">
        <v>171350</v>
      </c>
      <c r="AQ1967" t="e">
        <v>#N/A</v>
      </c>
      <c r="AR1967" t="e">
        <v>#N/A</v>
      </c>
      <c r="AS1967" t="e">
        <v>#N/A</v>
      </c>
      <c r="AT1967" t="e">
        <v>#N/A</v>
      </c>
    </row>
    <row r="1968" spans="42:46">
      <c r="AP1968">
        <v>171400</v>
      </c>
      <c r="AQ1968" t="e">
        <v>#N/A</v>
      </c>
      <c r="AR1968" t="e">
        <v>#N/A</v>
      </c>
      <c r="AS1968" t="e">
        <v>#N/A</v>
      </c>
      <c r="AT1968" t="e">
        <v>#N/A</v>
      </c>
    </row>
    <row r="1969" spans="42:46">
      <c r="AP1969">
        <v>171450</v>
      </c>
      <c r="AQ1969" t="e">
        <v>#N/A</v>
      </c>
      <c r="AR1969" t="e">
        <v>#N/A</v>
      </c>
      <c r="AS1969" t="e">
        <v>#N/A</v>
      </c>
      <c r="AT1969" t="e">
        <v>#N/A</v>
      </c>
    </row>
    <row r="1970" spans="42:46">
      <c r="AP1970">
        <v>171500</v>
      </c>
      <c r="AQ1970" t="e">
        <v>#N/A</v>
      </c>
      <c r="AR1970" t="e">
        <v>#N/A</v>
      </c>
      <c r="AS1970" t="e">
        <v>#N/A</v>
      </c>
      <c r="AT1970" t="e">
        <v>#N/A</v>
      </c>
    </row>
    <row r="1971" spans="42:46">
      <c r="AP1971">
        <v>171550</v>
      </c>
      <c r="AQ1971" t="e">
        <v>#N/A</v>
      </c>
      <c r="AR1971" t="e">
        <v>#N/A</v>
      </c>
      <c r="AS1971" t="e">
        <v>#N/A</v>
      </c>
      <c r="AT1971" t="e">
        <v>#N/A</v>
      </c>
    </row>
    <row r="1972" spans="42:46">
      <c r="AP1972">
        <v>171600</v>
      </c>
      <c r="AQ1972" t="e">
        <v>#N/A</v>
      </c>
      <c r="AR1972" t="e">
        <v>#N/A</v>
      </c>
      <c r="AS1972" t="e">
        <v>#N/A</v>
      </c>
      <c r="AT1972" t="e">
        <v>#N/A</v>
      </c>
    </row>
    <row r="1973" spans="42:46">
      <c r="AP1973">
        <v>171650</v>
      </c>
      <c r="AQ1973" t="e">
        <v>#N/A</v>
      </c>
      <c r="AR1973" t="e">
        <v>#N/A</v>
      </c>
      <c r="AS1973" t="e">
        <v>#N/A</v>
      </c>
      <c r="AT1973" t="e">
        <v>#N/A</v>
      </c>
    </row>
    <row r="1974" spans="42:46">
      <c r="AP1974">
        <v>171700</v>
      </c>
      <c r="AQ1974" t="e">
        <v>#N/A</v>
      </c>
      <c r="AR1974" t="e">
        <v>#N/A</v>
      </c>
      <c r="AS1974" t="e">
        <v>#N/A</v>
      </c>
      <c r="AT1974" t="e">
        <v>#N/A</v>
      </c>
    </row>
    <row r="1975" spans="42:46">
      <c r="AP1975">
        <v>171750</v>
      </c>
      <c r="AQ1975" t="e">
        <v>#N/A</v>
      </c>
      <c r="AR1975" t="e">
        <v>#N/A</v>
      </c>
      <c r="AS1975" t="e">
        <v>#N/A</v>
      </c>
      <c r="AT1975" t="e">
        <v>#N/A</v>
      </c>
    </row>
    <row r="1976" spans="42:46">
      <c r="AP1976">
        <v>171800</v>
      </c>
      <c r="AQ1976" t="e">
        <v>#N/A</v>
      </c>
      <c r="AR1976" t="e">
        <v>#N/A</v>
      </c>
      <c r="AS1976" t="e">
        <v>#N/A</v>
      </c>
      <c r="AT1976" t="e">
        <v>#N/A</v>
      </c>
    </row>
    <row r="1977" spans="42:46">
      <c r="AP1977">
        <v>171850</v>
      </c>
      <c r="AQ1977" t="e">
        <v>#N/A</v>
      </c>
      <c r="AR1977" t="e">
        <v>#N/A</v>
      </c>
      <c r="AS1977" t="e">
        <v>#N/A</v>
      </c>
      <c r="AT1977" t="e">
        <v>#N/A</v>
      </c>
    </row>
    <row r="1978" spans="42:46">
      <c r="AP1978">
        <v>171900</v>
      </c>
      <c r="AQ1978" t="e">
        <v>#N/A</v>
      </c>
      <c r="AR1978" t="e">
        <v>#N/A</v>
      </c>
      <c r="AS1978" t="e">
        <v>#N/A</v>
      </c>
      <c r="AT1978" t="e">
        <v>#N/A</v>
      </c>
    </row>
    <row r="1979" spans="42:46">
      <c r="AP1979">
        <v>171950</v>
      </c>
      <c r="AQ1979" t="e">
        <v>#N/A</v>
      </c>
      <c r="AR1979" t="e">
        <v>#N/A</v>
      </c>
      <c r="AS1979" t="e">
        <v>#N/A</v>
      </c>
      <c r="AT1979" t="e">
        <v>#N/A</v>
      </c>
    </row>
    <row r="1980" spans="42:46">
      <c r="AP1980">
        <v>172000</v>
      </c>
      <c r="AQ1980" t="e">
        <v>#N/A</v>
      </c>
      <c r="AR1980" t="e">
        <v>#N/A</v>
      </c>
      <c r="AS1980" t="e">
        <v>#N/A</v>
      </c>
      <c r="AT1980" t="e">
        <v>#N/A</v>
      </c>
    </row>
    <row r="1981" spans="42:46">
      <c r="AP1981">
        <v>172050</v>
      </c>
      <c r="AQ1981" t="e">
        <v>#N/A</v>
      </c>
      <c r="AR1981" t="e">
        <v>#N/A</v>
      </c>
      <c r="AS1981" t="e">
        <v>#N/A</v>
      </c>
      <c r="AT1981" t="e">
        <v>#N/A</v>
      </c>
    </row>
    <row r="1982" spans="42:46">
      <c r="AP1982">
        <v>172100</v>
      </c>
      <c r="AQ1982" t="e">
        <v>#N/A</v>
      </c>
      <c r="AR1982" t="e">
        <v>#N/A</v>
      </c>
      <c r="AS1982" t="e">
        <v>#N/A</v>
      </c>
      <c r="AT1982" t="e">
        <v>#N/A</v>
      </c>
    </row>
    <row r="1983" spans="42:46">
      <c r="AP1983">
        <v>172150</v>
      </c>
      <c r="AQ1983" t="e">
        <v>#N/A</v>
      </c>
      <c r="AR1983" t="e">
        <v>#N/A</v>
      </c>
      <c r="AS1983" t="e">
        <v>#N/A</v>
      </c>
      <c r="AT1983" t="e">
        <v>#N/A</v>
      </c>
    </row>
    <row r="1984" spans="42:46">
      <c r="AP1984">
        <v>172200</v>
      </c>
      <c r="AQ1984" t="e">
        <v>#N/A</v>
      </c>
      <c r="AR1984" t="e">
        <v>#N/A</v>
      </c>
      <c r="AS1984" t="e">
        <v>#N/A</v>
      </c>
      <c r="AT1984" t="e">
        <v>#N/A</v>
      </c>
    </row>
    <row r="1985" spans="42:46">
      <c r="AP1985">
        <v>172250</v>
      </c>
      <c r="AQ1985" t="e">
        <v>#N/A</v>
      </c>
      <c r="AR1985" t="e">
        <v>#N/A</v>
      </c>
      <c r="AS1985" t="e">
        <v>#N/A</v>
      </c>
      <c r="AT1985" t="e">
        <v>#N/A</v>
      </c>
    </row>
    <row r="1986" spans="42:46">
      <c r="AP1986">
        <v>172300</v>
      </c>
      <c r="AQ1986" t="e">
        <v>#N/A</v>
      </c>
      <c r="AR1986" t="e">
        <v>#N/A</v>
      </c>
      <c r="AS1986" t="e">
        <v>#N/A</v>
      </c>
      <c r="AT1986" t="e">
        <v>#N/A</v>
      </c>
    </row>
    <row r="1987" spans="42:46">
      <c r="AP1987">
        <v>172350</v>
      </c>
      <c r="AQ1987" t="e">
        <v>#N/A</v>
      </c>
      <c r="AR1987" t="e">
        <v>#N/A</v>
      </c>
      <c r="AS1987" t="e">
        <v>#N/A</v>
      </c>
      <c r="AT1987" t="e">
        <v>#N/A</v>
      </c>
    </row>
    <row r="1988" spans="42:46">
      <c r="AP1988">
        <v>172400</v>
      </c>
      <c r="AQ1988" t="e">
        <v>#N/A</v>
      </c>
      <c r="AR1988" t="e">
        <v>#N/A</v>
      </c>
      <c r="AS1988" t="e">
        <v>#N/A</v>
      </c>
      <c r="AT1988" t="e">
        <v>#N/A</v>
      </c>
    </row>
    <row r="1989" spans="42:46">
      <c r="AP1989">
        <v>172450</v>
      </c>
      <c r="AQ1989" t="e">
        <v>#N/A</v>
      </c>
      <c r="AR1989" t="e">
        <v>#N/A</v>
      </c>
      <c r="AS1989" t="e">
        <v>#N/A</v>
      </c>
      <c r="AT1989" t="e">
        <v>#N/A</v>
      </c>
    </row>
    <row r="1990" spans="42:46">
      <c r="AP1990">
        <v>172500</v>
      </c>
      <c r="AQ1990" t="e">
        <v>#N/A</v>
      </c>
      <c r="AR1990" t="e">
        <v>#N/A</v>
      </c>
      <c r="AS1990" t="e">
        <v>#N/A</v>
      </c>
      <c r="AT1990" t="e">
        <v>#N/A</v>
      </c>
    </row>
    <row r="1991" spans="42:46">
      <c r="AP1991">
        <v>172550</v>
      </c>
      <c r="AQ1991" t="e">
        <v>#N/A</v>
      </c>
      <c r="AR1991" t="e">
        <v>#N/A</v>
      </c>
      <c r="AS1991" t="e">
        <v>#N/A</v>
      </c>
      <c r="AT1991" t="e">
        <v>#N/A</v>
      </c>
    </row>
    <row r="1992" spans="42:46">
      <c r="AP1992">
        <v>172600</v>
      </c>
      <c r="AQ1992" t="e">
        <v>#N/A</v>
      </c>
      <c r="AR1992" t="e">
        <v>#N/A</v>
      </c>
      <c r="AS1992" t="e">
        <v>#N/A</v>
      </c>
      <c r="AT1992" t="e">
        <v>#N/A</v>
      </c>
    </row>
    <row r="1993" spans="42:46">
      <c r="AP1993">
        <v>172650</v>
      </c>
      <c r="AQ1993" t="e">
        <v>#N/A</v>
      </c>
      <c r="AR1993" t="e">
        <v>#N/A</v>
      </c>
      <c r="AS1993" t="e">
        <v>#N/A</v>
      </c>
      <c r="AT1993" t="e">
        <v>#N/A</v>
      </c>
    </row>
    <row r="1994" spans="42:46">
      <c r="AP1994">
        <v>172700</v>
      </c>
      <c r="AQ1994" t="e">
        <v>#N/A</v>
      </c>
      <c r="AR1994" t="e">
        <v>#N/A</v>
      </c>
      <c r="AS1994" t="e">
        <v>#N/A</v>
      </c>
      <c r="AT1994" t="e">
        <v>#N/A</v>
      </c>
    </row>
    <row r="1995" spans="42:46">
      <c r="AP1995">
        <v>172750</v>
      </c>
      <c r="AQ1995" t="e">
        <v>#N/A</v>
      </c>
      <c r="AR1995" t="e">
        <v>#N/A</v>
      </c>
      <c r="AS1995" t="e">
        <v>#N/A</v>
      </c>
      <c r="AT1995" t="e">
        <v>#N/A</v>
      </c>
    </row>
    <row r="1996" spans="42:46">
      <c r="AP1996">
        <v>172800</v>
      </c>
      <c r="AQ1996" t="e">
        <v>#N/A</v>
      </c>
      <c r="AR1996" t="e">
        <v>#N/A</v>
      </c>
      <c r="AS1996" t="e">
        <v>#N/A</v>
      </c>
      <c r="AT1996" t="e">
        <v>#N/A</v>
      </c>
    </row>
    <row r="1997" spans="42:46">
      <c r="AP1997">
        <v>172850</v>
      </c>
      <c r="AQ1997" t="e">
        <v>#N/A</v>
      </c>
      <c r="AR1997" t="e">
        <v>#N/A</v>
      </c>
      <c r="AS1997" t="e">
        <v>#N/A</v>
      </c>
      <c r="AT1997" t="e">
        <v>#N/A</v>
      </c>
    </row>
    <row r="1998" spans="42:46">
      <c r="AP1998">
        <v>172900</v>
      </c>
      <c r="AQ1998" t="e">
        <v>#N/A</v>
      </c>
      <c r="AR1998" t="e">
        <v>#N/A</v>
      </c>
      <c r="AS1998" t="e">
        <v>#N/A</v>
      </c>
      <c r="AT1998" t="e">
        <v>#N/A</v>
      </c>
    </row>
    <row r="1999" spans="42:46">
      <c r="AP1999">
        <v>172950</v>
      </c>
      <c r="AQ1999" t="e">
        <v>#N/A</v>
      </c>
      <c r="AR1999" t="e">
        <v>#N/A</v>
      </c>
      <c r="AS1999" t="e">
        <v>#N/A</v>
      </c>
      <c r="AT1999" t="e">
        <v>#N/A</v>
      </c>
    </row>
    <row r="2000" spans="42:46">
      <c r="AP2000">
        <v>173000</v>
      </c>
      <c r="AQ2000" t="e">
        <v>#N/A</v>
      </c>
      <c r="AR2000" t="e">
        <v>#N/A</v>
      </c>
      <c r="AS2000" t="e">
        <v>#N/A</v>
      </c>
      <c r="AT2000" t="e">
        <v>#N/A</v>
      </c>
    </row>
    <row r="2001" spans="42:46">
      <c r="AP2001">
        <v>173050</v>
      </c>
      <c r="AQ2001" t="e">
        <v>#N/A</v>
      </c>
      <c r="AR2001" t="e">
        <v>#N/A</v>
      </c>
      <c r="AS2001" t="e">
        <v>#N/A</v>
      </c>
      <c r="AT2001" t="e">
        <v>#N/A</v>
      </c>
    </row>
    <row r="2002" spans="42:46">
      <c r="AP2002">
        <v>173100</v>
      </c>
      <c r="AQ2002" t="e">
        <v>#N/A</v>
      </c>
      <c r="AR2002" t="e">
        <v>#N/A</v>
      </c>
      <c r="AS2002" t="e">
        <v>#N/A</v>
      </c>
      <c r="AT2002" t="e">
        <v>#N/A</v>
      </c>
    </row>
    <row r="2003" spans="42:46">
      <c r="AP2003">
        <v>173150</v>
      </c>
      <c r="AQ2003" t="e">
        <v>#N/A</v>
      </c>
      <c r="AR2003" t="e">
        <v>#N/A</v>
      </c>
      <c r="AS2003" t="e">
        <v>#N/A</v>
      </c>
      <c r="AT2003" t="e">
        <v>#N/A</v>
      </c>
    </row>
    <row r="2004" spans="42:46">
      <c r="AP2004">
        <v>173200</v>
      </c>
      <c r="AQ2004" t="e">
        <v>#N/A</v>
      </c>
      <c r="AR2004" t="e">
        <v>#N/A</v>
      </c>
      <c r="AS2004" t="e">
        <v>#N/A</v>
      </c>
      <c r="AT2004" t="e">
        <v>#N/A</v>
      </c>
    </row>
    <row r="2005" spans="42:46">
      <c r="AP2005">
        <v>173250</v>
      </c>
      <c r="AQ2005" t="e">
        <v>#N/A</v>
      </c>
      <c r="AR2005" t="e">
        <v>#N/A</v>
      </c>
      <c r="AS2005" t="e">
        <v>#N/A</v>
      </c>
      <c r="AT2005" t="e">
        <v>#N/A</v>
      </c>
    </row>
    <row r="2006" spans="42:46">
      <c r="AP2006">
        <v>173300</v>
      </c>
      <c r="AQ2006" t="e">
        <v>#N/A</v>
      </c>
      <c r="AR2006" t="e">
        <v>#N/A</v>
      </c>
      <c r="AS2006" t="e">
        <v>#N/A</v>
      </c>
      <c r="AT2006" t="e">
        <v>#N/A</v>
      </c>
    </row>
    <row r="2007" spans="42:46">
      <c r="AP2007">
        <v>173350</v>
      </c>
      <c r="AQ2007" t="e">
        <v>#N/A</v>
      </c>
      <c r="AR2007" t="e">
        <v>#N/A</v>
      </c>
      <c r="AS2007" t="e">
        <v>#N/A</v>
      </c>
      <c r="AT2007" t="e">
        <v>#N/A</v>
      </c>
    </row>
    <row r="2008" spans="42:46">
      <c r="AP2008">
        <v>173400</v>
      </c>
      <c r="AQ2008" t="e">
        <v>#N/A</v>
      </c>
      <c r="AR2008" t="e">
        <v>#N/A</v>
      </c>
      <c r="AS2008" t="e">
        <v>#N/A</v>
      </c>
      <c r="AT2008" t="e">
        <v>#N/A</v>
      </c>
    </row>
    <row r="2009" spans="42:46">
      <c r="AP2009">
        <v>173450</v>
      </c>
      <c r="AQ2009" t="e">
        <v>#N/A</v>
      </c>
      <c r="AR2009" t="e">
        <v>#N/A</v>
      </c>
      <c r="AS2009" t="e">
        <v>#N/A</v>
      </c>
      <c r="AT2009" t="e">
        <v>#N/A</v>
      </c>
    </row>
    <row r="2010" spans="42:46">
      <c r="AP2010">
        <v>173500</v>
      </c>
      <c r="AQ2010" t="e">
        <v>#N/A</v>
      </c>
      <c r="AR2010" t="e">
        <v>#N/A</v>
      </c>
      <c r="AS2010" t="e">
        <v>#N/A</v>
      </c>
      <c r="AT2010" t="e">
        <v>#N/A</v>
      </c>
    </row>
    <row r="2011" spans="42:46">
      <c r="AP2011">
        <v>173550</v>
      </c>
      <c r="AQ2011" t="e">
        <v>#N/A</v>
      </c>
      <c r="AR2011" t="e">
        <v>#N/A</v>
      </c>
      <c r="AS2011" t="e">
        <v>#N/A</v>
      </c>
      <c r="AT2011" t="e">
        <v>#N/A</v>
      </c>
    </row>
    <row r="2012" spans="42:46">
      <c r="AP2012">
        <v>173600</v>
      </c>
      <c r="AQ2012" t="e">
        <v>#N/A</v>
      </c>
      <c r="AR2012" t="e">
        <v>#N/A</v>
      </c>
      <c r="AS2012" t="e">
        <v>#N/A</v>
      </c>
      <c r="AT2012" t="e">
        <v>#N/A</v>
      </c>
    </row>
    <row r="2013" spans="42:46">
      <c r="AP2013">
        <v>173650</v>
      </c>
      <c r="AQ2013" t="e">
        <v>#N/A</v>
      </c>
      <c r="AR2013" t="e">
        <v>#N/A</v>
      </c>
      <c r="AS2013" t="e">
        <v>#N/A</v>
      </c>
      <c r="AT2013" t="e">
        <v>#N/A</v>
      </c>
    </row>
    <row r="2014" spans="42:46">
      <c r="AP2014">
        <v>173700</v>
      </c>
      <c r="AQ2014" t="e">
        <v>#N/A</v>
      </c>
      <c r="AR2014" t="e">
        <v>#N/A</v>
      </c>
      <c r="AS2014" t="e">
        <v>#N/A</v>
      </c>
      <c r="AT2014" t="e">
        <v>#N/A</v>
      </c>
    </row>
    <row r="2015" spans="42:46">
      <c r="AP2015">
        <v>173750</v>
      </c>
      <c r="AQ2015" t="e">
        <v>#N/A</v>
      </c>
      <c r="AR2015" t="e">
        <v>#N/A</v>
      </c>
      <c r="AS2015" t="e">
        <v>#N/A</v>
      </c>
      <c r="AT2015" t="e">
        <v>#N/A</v>
      </c>
    </row>
    <row r="2016" spans="42:46">
      <c r="AP2016">
        <v>173800</v>
      </c>
      <c r="AQ2016" t="e">
        <v>#N/A</v>
      </c>
      <c r="AR2016" t="e">
        <v>#N/A</v>
      </c>
      <c r="AS2016" t="e">
        <v>#N/A</v>
      </c>
      <c r="AT2016" t="e">
        <v>#N/A</v>
      </c>
    </row>
    <row r="2017" spans="42:46">
      <c r="AP2017">
        <v>173850</v>
      </c>
      <c r="AQ2017" t="e">
        <v>#N/A</v>
      </c>
      <c r="AR2017" t="e">
        <v>#N/A</v>
      </c>
      <c r="AS2017" t="e">
        <v>#N/A</v>
      </c>
      <c r="AT2017" t="e">
        <v>#N/A</v>
      </c>
    </row>
    <row r="2018" spans="42:46">
      <c r="AP2018">
        <v>173900</v>
      </c>
      <c r="AQ2018" t="e">
        <v>#N/A</v>
      </c>
      <c r="AR2018" t="e">
        <v>#N/A</v>
      </c>
      <c r="AS2018" t="e">
        <v>#N/A</v>
      </c>
      <c r="AT2018" t="e">
        <v>#N/A</v>
      </c>
    </row>
    <row r="2019" spans="42:46">
      <c r="AP2019">
        <v>173950</v>
      </c>
      <c r="AQ2019" t="e">
        <v>#N/A</v>
      </c>
      <c r="AR2019" t="e">
        <v>#N/A</v>
      </c>
      <c r="AS2019" t="e">
        <v>#N/A</v>
      </c>
      <c r="AT2019" t="e">
        <v>#N/A</v>
      </c>
    </row>
    <row r="2020" spans="42:46">
      <c r="AP2020">
        <v>174000</v>
      </c>
      <c r="AQ2020" t="e">
        <v>#N/A</v>
      </c>
      <c r="AR2020" t="e">
        <v>#N/A</v>
      </c>
      <c r="AS2020" t="e">
        <v>#N/A</v>
      </c>
      <c r="AT2020" t="e">
        <v>#N/A</v>
      </c>
    </row>
    <row r="2021" spans="42:46">
      <c r="AP2021">
        <v>174050</v>
      </c>
      <c r="AQ2021" t="e">
        <v>#N/A</v>
      </c>
      <c r="AR2021" t="e">
        <v>#N/A</v>
      </c>
      <c r="AS2021" t="e">
        <v>#N/A</v>
      </c>
      <c r="AT2021" t="e">
        <v>#N/A</v>
      </c>
    </row>
    <row r="2022" spans="42:46">
      <c r="AP2022">
        <v>174100</v>
      </c>
      <c r="AQ2022" t="e">
        <v>#N/A</v>
      </c>
      <c r="AR2022" t="e">
        <v>#N/A</v>
      </c>
      <c r="AS2022" t="e">
        <v>#N/A</v>
      </c>
      <c r="AT2022" t="e">
        <v>#N/A</v>
      </c>
    </row>
    <row r="2023" spans="42:46">
      <c r="AP2023">
        <v>174150</v>
      </c>
      <c r="AQ2023" t="e">
        <v>#N/A</v>
      </c>
      <c r="AR2023" t="e">
        <v>#N/A</v>
      </c>
      <c r="AS2023" t="e">
        <v>#N/A</v>
      </c>
      <c r="AT2023" t="e">
        <v>#N/A</v>
      </c>
    </row>
    <row r="2024" spans="42:46">
      <c r="AP2024">
        <v>174200</v>
      </c>
      <c r="AQ2024" t="e">
        <v>#N/A</v>
      </c>
      <c r="AR2024" t="e">
        <v>#N/A</v>
      </c>
      <c r="AS2024" t="e">
        <v>#N/A</v>
      </c>
      <c r="AT2024" t="e">
        <v>#N/A</v>
      </c>
    </row>
    <row r="2025" spans="42:46">
      <c r="AP2025">
        <v>174250</v>
      </c>
      <c r="AQ2025" t="e">
        <v>#N/A</v>
      </c>
      <c r="AR2025" t="e">
        <v>#N/A</v>
      </c>
      <c r="AS2025" t="e">
        <v>#N/A</v>
      </c>
      <c r="AT2025" t="e">
        <v>#N/A</v>
      </c>
    </row>
    <row r="2026" spans="42:46">
      <c r="AP2026">
        <v>174300</v>
      </c>
      <c r="AQ2026" t="e">
        <v>#N/A</v>
      </c>
      <c r="AR2026" t="e">
        <v>#N/A</v>
      </c>
      <c r="AS2026" t="e">
        <v>#N/A</v>
      </c>
      <c r="AT2026" t="e">
        <v>#N/A</v>
      </c>
    </row>
    <row r="2027" spans="42:46">
      <c r="AP2027">
        <v>174350</v>
      </c>
      <c r="AQ2027" t="e">
        <v>#N/A</v>
      </c>
      <c r="AR2027" t="e">
        <v>#N/A</v>
      </c>
      <c r="AS2027" t="e">
        <v>#N/A</v>
      </c>
      <c r="AT2027" t="e">
        <v>#N/A</v>
      </c>
    </row>
    <row r="2028" spans="42:46">
      <c r="AP2028">
        <v>174400</v>
      </c>
      <c r="AQ2028" t="e">
        <v>#N/A</v>
      </c>
      <c r="AR2028" t="e">
        <v>#N/A</v>
      </c>
      <c r="AS2028" t="e">
        <v>#N/A</v>
      </c>
      <c r="AT2028" t="e">
        <v>#N/A</v>
      </c>
    </row>
    <row r="2029" spans="42:46">
      <c r="AP2029">
        <v>174450</v>
      </c>
      <c r="AQ2029" t="e">
        <v>#N/A</v>
      </c>
      <c r="AR2029" t="e">
        <v>#N/A</v>
      </c>
      <c r="AS2029" t="e">
        <v>#N/A</v>
      </c>
      <c r="AT2029" t="e">
        <v>#N/A</v>
      </c>
    </row>
    <row r="2030" spans="42:46">
      <c r="AP2030">
        <v>174500</v>
      </c>
      <c r="AQ2030" t="e">
        <v>#N/A</v>
      </c>
      <c r="AR2030" t="e">
        <v>#N/A</v>
      </c>
      <c r="AS2030" t="e">
        <v>#N/A</v>
      </c>
      <c r="AT2030" t="e">
        <v>#N/A</v>
      </c>
    </row>
    <row r="2031" spans="42:46">
      <c r="AP2031">
        <v>174550</v>
      </c>
      <c r="AQ2031" t="e">
        <v>#N/A</v>
      </c>
      <c r="AR2031" t="e">
        <v>#N/A</v>
      </c>
      <c r="AS2031" t="e">
        <v>#N/A</v>
      </c>
      <c r="AT2031" t="e">
        <v>#N/A</v>
      </c>
    </row>
    <row r="2032" spans="42:46">
      <c r="AP2032">
        <v>174600</v>
      </c>
      <c r="AQ2032" t="e">
        <v>#N/A</v>
      </c>
      <c r="AR2032" t="e">
        <v>#N/A</v>
      </c>
      <c r="AS2032" t="e">
        <v>#N/A</v>
      </c>
      <c r="AT2032" t="e">
        <v>#N/A</v>
      </c>
    </row>
    <row r="2033" spans="42:46">
      <c r="AP2033">
        <v>174650</v>
      </c>
      <c r="AQ2033" t="e">
        <v>#N/A</v>
      </c>
      <c r="AR2033" t="e">
        <v>#N/A</v>
      </c>
      <c r="AS2033" t="e">
        <v>#N/A</v>
      </c>
      <c r="AT2033" t="e">
        <v>#N/A</v>
      </c>
    </row>
    <row r="2034" spans="42:46">
      <c r="AP2034">
        <v>174700</v>
      </c>
      <c r="AQ2034" t="e">
        <v>#N/A</v>
      </c>
      <c r="AR2034" t="e">
        <v>#N/A</v>
      </c>
      <c r="AS2034" t="e">
        <v>#N/A</v>
      </c>
      <c r="AT2034" t="e">
        <v>#N/A</v>
      </c>
    </row>
    <row r="2035" spans="42:46">
      <c r="AP2035">
        <v>174750</v>
      </c>
      <c r="AQ2035" t="e">
        <v>#N/A</v>
      </c>
      <c r="AR2035" t="e">
        <v>#N/A</v>
      </c>
      <c r="AS2035" t="e">
        <v>#N/A</v>
      </c>
      <c r="AT2035" t="e">
        <v>#N/A</v>
      </c>
    </row>
    <row r="2036" spans="42:46">
      <c r="AP2036">
        <v>174800</v>
      </c>
      <c r="AQ2036" t="e">
        <v>#N/A</v>
      </c>
      <c r="AR2036" t="e">
        <v>#N/A</v>
      </c>
      <c r="AS2036" t="e">
        <v>#N/A</v>
      </c>
      <c r="AT2036" t="e">
        <v>#N/A</v>
      </c>
    </row>
    <row r="2037" spans="42:46">
      <c r="AP2037">
        <v>174850</v>
      </c>
      <c r="AQ2037" t="e">
        <v>#N/A</v>
      </c>
      <c r="AR2037" t="e">
        <v>#N/A</v>
      </c>
      <c r="AS2037" t="e">
        <v>#N/A</v>
      </c>
      <c r="AT2037" t="e">
        <v>#N/A</v>
      </c>
    </row>
    <row r="2038" spans="42:46">
      <c r="AP2038">
        <v>174900</v>
      </c>
      <c r="AQ2038" t="e">
        <v>#N/A</v>
      </c>
      <c r="AR2038" t="e">
        <v>#N/A</v>
      </c>
      <c r="AS2038" t="e">
        <v>#N/A</v>
      </c>
      <c r="AT2038" t="e">
        <v>#N/A</v>
      </c>
    </row>
    <row r="2039" spans="42:46">
      <c r="AP2039">
        <v>174950</v>
      </c>
      <c r="AQ2039" t="e">
        <v>#N/A</v>
      </c>
      <c r="AR2039" t="e">
        <v>#N/A</v>
      </c>
      <c r="AS2039" t="e">
        <v>#N/A</v>
      </c>
      <c r="AT2039" t="e">
        <v>#N/A</v>
      </c>
    </row>
    <row r="2040" spans="42:46">
      <c r="AP2040">
        <v>175000</v>
      </c>
      <c r="AQ2040" t="e">
        <v>#N/A</v>
      </c>
      <c r="AR2040" t="e">
        <v>#N/A</v>
      </c>
      <c r="AS2040" t="e">
        <v>#N/A</v>
      </c>
      <c r="AT2040" t="e">
        <v>#N/A</v>
      </c>
    </row>
    <row r="2041" spans="42:46">
      <c r="AP2041">
        <v>175050</v>
      </c>
      <c r="AQ2041" t="e">
        <v>#N/A</v>
      </c>
      <c r="AR2041" t="e">
        <v>#N/A</v>
      </c>
      <c r="AS2041" t="e">
        <v>#N/A</v>
      </c>
      <c r="AT2041" t="e">
        <v>#N/A</v>
      </c>
    </row>
    <row r="2042" spans="42:46">
      <c r="AP2042">
        <v>175100</v>
      </c>
      <c r="AQ2042" t="e">
        <v>#N/A</v>
      </c>
      <c r="AR2042" t="e">
        <v>#N/A</v>
      </c>
      <c r="AS2042" t="e">
        <v>#N/A</v>
      </c>
      <c r="AT2042" t="e">
        <v>#N/A</v>
      </c>
    </row>
    <row r="2043" spans="42:46">
      <c r="AP2043">
        <v>175150</v>
      </c>
      <c r="AQ2043" t="e">
        <v>#N/A</v>
      </c>
      <c r="AR2043" t="e">
        <v>#N/A</v>
      </c>
      <c r="AS2043" t="e">
        <v>#N/A</v>
      </c>
      <c r="AT2043" t="e">
        <v>#N/A</v>
      </c>
    </row>
    <row r="2044" spans="42:46">
      <c r="AP2044">
        <v>175200</v>
      </c>
      <c r="AQ2044" t="e">
        <v>#N/A</v>
      </c>
      <c r="AR2044" t="e">
        <v>#N/A</v>
      </c>
      <c r="AS2044" t="e">
        <v>#N/A</v>
      </c>
      <c r="AT2044" t="e">
        <v>#N/A</v>
      </c>
    </row>
    <row r="2045" spans="42:46">
      <c r="AP2045">
        <v>175250</v>
      </c>
      <c r="AQ2045" t="e">
        <v>#N/A</v>
      </c>
      <c r="AR2045" t="e">
        <v>#N/A</v>
      </c>
      <c r="AS2045" t="e">
        <v>#N/A</v>
      </c>
      <c r="AT2045" t="e">
        <v>#N/A</v>
      </c>
    </row>
    <row r="2046" spans="42:46">
      <c r="AP2046">
        <v>175300</v>
      </c>
      <c r="AQ2046" t="e">
        <v>#N/A</v>
      </c>
      <c r="AR2046" t="e">
        <v>#N/A</v>
      </c>
      <c r="AS2046" t="e">
        <v>#N/A</v>
      </c>
      <c r="AT2046" t="e">
        <v>#N/A</v>
      </c>
    </row>
    <row r="2047" spans="42:46">
      <c r="AP2047">
        <v>175350</v>
      </c>
      <c r="AQ2047" t="e">
        <v>#N/A</v>
      </c>
      <c r="AR2047" t="e">
        <v>#N/A</v>
      </c>
      <c r="AS2047" t="e">
        <v>#N/A</v>
      </c>
      <c r="AT2047" t="e">
        <v>#N/A</v>
      </c>
    </row>
    <row r="2048" spans="42:46">
      <c r="AP2048">
        <v>175400</v>
      </c>
      <c r="AQ2048" t="e">
        <v>#N/A</v>
      </c>
      <c r="AR2048" t="e">
        <v>#N/A</v>
      </c>
      <c r="AS2048" t="e">
        <v>#N/A</v>
      </c>
      <c r="AT2048" t="e">
        <v>#N/A</v>
      </c>
    </row>
    <row r="2049" spans="42:46">
      <c r="AP2049">
        <v>175450</v>
      </c>
      <c r="AQ2049" t="e">
        <v>#N/A</v>
      </c>
      <c r="AR2049" t="e">
        <v>#N/A</v>
      </c>
      <c r="AS2049" t="e">
        <v>#N/A</v>
      </c>
      <c r="AT2049" t="e">
        <v>#N/A</v>
      </c>
    </row>
    <row r="2050" spans="42:46">
      <c r="AP2050">
        <v>175500</v>
      </c>
      <c r="AQ2050" t="e">
        <v>#N/A</v>
      </c>
      <c r="AR2050" t="e">
        <v>#N/A</v>
      </c>
      <c r="AS2050" t="e">
        <v>#N/A</v>
      </c>
      <c r="AT2050" t="e">
        <v>#N/A</v>
      </c>
    </row>
    <row r="2051" spans="42:46">
      <c r="AP2051">
        <v>175550</v>
      </c>
      <c r="AQ2051" t="e">
        <v>#N/A</v>
      </c>
      <c r="AR2051" t="e">
        <v>#N/A</v>
      </c>
      <c r="AS2051" t="e">
        <v>#N/A</v>
      </c>
      <c r="AT2051" t="e">
        <v>#N/A</v>
      </c>
    </row>
    <row r="2052" spans="42:46">
      <c r="AP2052">
        <v>175600</v>
      </c>
      <c r="AQ2052" t="e">
        <v>#N/A</v>
      </c>
      <c r="AR2052" t="e">
        <v>#N/A</v>
      </c>
      <c r="AS2052" t="e">
        <v>#N/A</v>
      </c>
      <c r="AT2052" t="e">
        <v>#N/A</v>
      </c>
    </row>
    <row r="2053" spans="42:46">
      <c r="AP2053">
        <v>175650</v>
      </c>
      <c r="AQ2053" t="e">
        <v>#N/A</v>
      </c>
      <c r="AR2053" t="e">
        <v>#N/A</v>
      </c>
      <c r="AS2053" t="e">
        <v>#N/A</v>
      </c>
      <c r="AT2053" t="e">
        <v>#N/A</v>
      </c>
    </row>
    <row r="2054" spans="42:46">
      <c r="AP2054">
        <v>175700</v>
      </c>
      <c r="AQ2054" t="e">
        <v>#N/A</v>
      </c>
      <c r="AR2054" t="e">
        <v>#N/A</v>
      </c>
      <c r="AS2054" t="e">
        <v>#N/A</v>
      </c>
      <c r="AT2054" t="e">
        <v>#N/A</v>
      </c>
    </row>
    <row r="2055" spans="42:46">
      <c r="AP2055">
        <v>175750</v>
      </c>
      <c r="AQ2055" t="e">
        <v>#N/A</v>
      </c>
      <c r="AR2055" t="e">
        <v>#N/A</v>
      </c>
      <c r="AS2055" t="e">
        <v>#N/A</v>
      </c>
      <c r="AT2055" t="e">
        <v>#N/A</v>
      </c>
    </row>
    <row r="2056" spans="42:46">
      <c r="AP2056">
        <v>175800</v>
      </c>
      <c r="AQ2056" t="e">
        <v>#N/A</v>
      </c>
      <c r="AR2056" t="e">
        <v>#N/A</v>
      </c>
      <c r="AS2056" t="e">
        <v>#N/A</v>
      </c>
      <c r="AT2056" t="e">
        <v>#N/A</v>
      </c>
    </row>
    <row r="2057" spans="42:46">
      <c r="AP2057">
        <v>175850</v>
      </c>
      <c r="AQ2057" t="e">
        <v>#N/A</v>
      </c>
      <c r="AR2057" t="e">
        <v>#N/A</v>
      </c>
      <c r="AS2057" t="e">
        <v>#N/A</v>
      </c>
      <c r="AT2057" t="e">
        <v>#N/A</v>
      </c>
    </row>
    <row r="2058" spans="42:46">
      <c r="AP2058">
        <v>175900</v>
      </c>
      <c r="AQ2058" t="e">
        <v>#N/A</v>
      </c>
      <c r="AR2058" t="e">
        <v>#N/A</v>
      </c>
      <c r="AS2058" t="e">
        <v>#N/A</v>
      </c>
      <c r="AT2058" t="e">
        <v>#N/A</v>
      </c>
    </row>
    <row r="2059" spans="42:46">
      <c r="AP2059">
        <v>175950</v>
      </c>
      <c r="AQ2059" t="e">
        <v>#N/A</v>
      </c>
      <c r="AR2059" t="e">
        <v>#N/A</v>
      </c>
      <c r="AS2059" t="e">
        <v>#N/A</v>
      </c>
      <c r="AT2059" t="e">
        <v>#N/A</v>
      </c>
    </row>
    <row r="2060" spans="42:46">
      <c r="AP2060">
        <v>176000</v>
      </c>
      <c r="AQ2060" t="e">
        <v>#N/A</v>
      </c>
      <c r="AR2060" t="e">
        <v>#N/A</v>
      </c>
      <c r="AS2060" t="e">
        <v>#N/A</v>
      </c>
      <c r="AT2060" t="e">
        <v>#N/A</v>
      </c>
    </row>
    <row r="2061" spans="42:46">
      <c r="AP2061">
        <v>176050</v>
      </c>
      <c r="AQ2061" t="e">
        <v>#N/A</v>
      </c>
      <c r="AR2061" t="e">
        <v>#N/A</v>
      </c>
      <c r="AS2061" t="e">
        <v>#N/A</v>
      </c>
      <c r="AT2061" t="e">
        <v>#N/A</v>
      </c>
    </row>
    <row r="2062" spans="42:46">
      <c r="AP2062">
        <v>176100</v>
      </c>
      <c r="AQ2062" t="e">
        <v>#N/A</v>
      </c>
      <c r="AR2062" t="e">
        <v>#N/A</v>
      </c>
      <c r="AS2062" t="e">
        <v>#N/A</v>
      </c>
      <c r="AT2062" t="e">
        <v>#N/A</v>
      </c>
    </row>
    <row r="2063" spans="42:46">
      <c r="AP2063">
        <v>176150</v>
      </c>
      <c r="AQ2063" t="e">
        <v>#N/A</v>
      </c>
      <c r="AR2063" t="e">
        <v>#N/A</v>
      </c>
      <c r="AS2063" t="e">
        <v>#N/A</v>
      </c>
      <c r="AT2063" t="e">
        <v>#N/A</v>
      </c>
    </row>
    <row r="2064" spans="42:46">
      <c r="AP2064">
        <v>176200</v>
      </c>
      <c r="AQ2064" t="e">
        <v>#N/A</v>
      </c>
      <c r="AR2064" t="e">
        <v>#N/A</v>
      </c>
      <c r="AS2064" t="e">
        <v>#N/A</v>
      </c>
      <c r="AT2064" t="e">
        <v>#N/A</v>
      </c>
    </row>
    <row r="2065" spans="42:46">
      <c r="AP2065">
        <v>176250</v>
      </c>
      <c r="AQ2065" t="e">
        <v>#N/A</v>
      </c>
      <c r="AR2065" t="e">
        <v>#N/A</v>
      </c>
      <c r="AS2065" t="e">
        <v>#N/A</v>
      </c>
      <c r="AT2065" t="e">
        <v>#N/A</v>
      </c>
    </row>
    <row r="2066" spans="42:46">
      <c r="AP2066">
        <v>176300</v>
      </c>
      <c r="AQ2066" t="e">
        <v>#N/A</v>
      </c>
      <c r="AR2066" t="e">
        <v>#N/A</v>
      </c>
      <c r="AS2066" t="e">
        <v>#N/A</v>
      </c>
      <c r="AT2066" t="e">
        <v>#N/A</v>
      </c>
    </row>
    <row r="2067" spans="42:46">
      <c r="AP2067">
        <v>176350</v>
      </c>
      <c r="AQ2067" t="e">
        <v>#N/A</v>
      </c>
      <c r="AR2067" t="e">
        <v>#N/A</v>
      </c>
      <c r="AS2067" t="e">
        <v>#N/A</v>
      </c>
      <c r="AT2067" t="e">
        <v>#N/A</v>
      </c>
    </row>
    <row r="2068" spans="42:46">
      <c r="AP2068">
        <v>176400</v>
      </c>
      <c r="AQ2068" t="e">
        <v>#N/A</v>
      </c>
      <c r="AR2068" t="e">
        <v>#N/A</v>
      </c>
      <c r="AS2068" t="e">
        <v>#N/A</v>
      </c>
      <c r="AT2068" t="e">
        <v>#N/A</v>
      </c>
    </row>
    <row r="2069" spans="42:46">
      <c r="AP2069">
        <v>176450</v>
      </c>
      <c r="AQ2069" t="e">
        <v>#N/A</v>
      </c>
      <c r="AR2069" t="e">
        <v>#N/A</v>
      </c>
      <c r="AS2069" t="e">
        <v>#N/A</v>
      </c>
      <c r="AT2069" t="e">
        <v>#N/A</v>
      </c>
    </row>
    <row r="2070" spans="42:46">
      <c r="AP2070">
        <v>176500</v>
      </c>
      <c r="AQ2070" t="e">
        <v>#N/A</v>
      </c>
      <c r="AR2070" t="e">
        <v>#N/A</v>
      </c>
      <c r="AS2070" t="e">
        <v>#N/A</v>
      </c>
      <c r="AT2070" t="e">
        <v>#N/A</v>
      </c>
    </row>
    <row r="2071" spans="42:46">
      <c r="AP2071">
        <v>176550</v>
      </c>
      <c r="AQ2071" t="e">
        <v>#N/A</v>
      </c>
      <c r="AR2071" t="e">
        <v>#N/A</v>
      </c>
      <c r="AS2071" t="e">
        <v>#N/A</v>
      </c>
      <c r="AT2071" t="e">
        <v>#N/A</v>
      </c>
    </row>
    <row r="2072" spans="42:46">
      <c r="AP2072">
        <v>176600</v>
      </c>
      <c r="AQ2072" t="e">
        <v>#N/A</v>
      </c>
      <c r="AR2072" t="e">
        <v>#N/A</v>
      </c>
      <c r="AS2072" t="e">
        <v>#N/A</v>
      </c>
      <c r="AT2072" t="e">
        <v>#N/A</v>
      </c>
    </row>
    <row r="2073" spans="42:46">
      <c r="AP2073">
        <v>176650</v>
      </c>
      <c r="AQ2073" t="e">
        <v>#N/A</v>
      </c>
      <c r="AR2073" t="e">
        <v>#N/A</v>
      </c>
      <c r="AS2073" t="e">
        <v>#N/A</v>
      </c>
      <c r="AT2073" t="e">
        <v>#N/A</v>
      </c>
    </row>
    <row r="2074" spans="42:46">
      <c r="AP2074">
        <v>176700</v>
      </c>
      <c r="AQ2074" t="e">
        <v>#N/A</v>
      </c>
      <c r="AR2074" t="e">
        <v>#N/A</v>
      </c>
      <c r="AS2074" t="e">
        <v>#N/A</v>
      </c>
      <c r="AT2074" t="e">
        <v>#N/A</v>
      </c>
    </row>
    <row r="2075" spans="42:46">
      <c r="AP2075">
        <v>176750</v>
      </c>
      <c r="AQ2075" t="e">
        <v>#N/A</v>
      </c>
      <c r="AR2075" t="e">
        <v>#N/A</v>
      </c>
      <c r="AS2075" t="e">
        <v>#N/A</v>
      </c>
      <c r="AT2075" t="e">
        <v>#N/A</v>
      </c>
    </row>
    <row r="2076" spans="42:46">
      <c r="AP2076">
        <v>176800</v>
      </c>
      <c r="AQ2076" t="e">
        <v>#N/A</v>
      </c>
      <c r="AR2076" t="e">
        <v>#N/A</v>
      </c>
      <c r="AS2076" t="e">
        <v>#N/A</v>
      </c>
      <c r="AT2076" t="e">
        <v>#N/A</v>
      </c>
    </row>
    <row r="2077" spans="42:46">
      <c r="AP2077">
        <v>176850</v>
      </c>
      <c r="AQ2077" t="e">
        <v>#N/A</v>
      </c>
      <c r="AR2077" t="e">
        <v>#N/A</v>
      </c>
      <c r="AS2077" t="e">
        <v>#N/A</v>
      </c>
      <c r="AT2077" t="e">
        <v>#N/A</v>
      </c>
    </row>
    <row r="2078" spans="42:46">
      <c r="AP2078">
        <v>176900</v>
      </c>
      <c r="AQ2078" t="e">
        <v>#N/A</v>
      </c>
      <c r="AR2078" t="e">
        <v>#N/A</v>
      </c>
      <c r="AS2078" t="e">
        <v>#N/A</v>
      </c>
      <c r="AT2078" t="e">
        <v>#N/A</v>
      </c>
    </row>
    <row r="2079" spans="42:46">
      <c r="AP2079">
        <v>176950</v>
      </c>
      <c r="AQ2079" t="e">
        <v>#N/A</v>
      </c>
      <c r="AR2079" t="e">
        <v>#N/A</v>
      </c>
      <c r="AS2079" t="e">
        <v>#N/A</v>
      </c>
      <c r="AT2079" t="e">
        <v>#N/A</v>
      </c>
    </row>
    <row r="2080" spans="42:46">
      <c r="AP2080">
        <v>177000</v>
      </c>
      <c r="AQ2080" t="e">
        <v>#N/A</v>
      </c>
      <c r="AR2080" t="e">
        <v>#N/A</v>
      </c>
      <c r="AS2080" t="e">
        <v>#N/A</v>
      </c>
      <c r="AT2080" t="e">
        <v>#N/A</v>
      </c>
    </row>
    <row r="2081" spans="42:46">
      <c r="AP2081">
        <v>177050</v>
      </c>
      <c r="AQ2081" t="e">
        <v>#N/A</v>
      </c>
      <c r="AR2081" t="e">
        <v>#N/A</v>
      </c>
      <c r="AS2081" t="e">
        <v>#N/A</v>
      </c>
      <c r="AT2081" t="e">
        <v>#N/A</v>
      </c>
    </row>
    <row r="2082" spans="42:46">
      <c r="AP2082">
        <v>177100</v>
      </c>
      <c r="AQ2082" t="e">
        <v>#N/A</v>
      </c>
      <c r="AR2082" t="e">
        <v>#N/A</v>
      </c>
      <c r="AS2082" t="e">
        <v>#N/A</v>
      </c>
      <c r="AT2082" t="e">
        <v>#N/A</v>
      </c>
    </row>
    <row r="2083" spans="42:46">
      <c r="AP2083">
        <v>177150</v>
      </c>
      <c r="AQ2083" t="e">
        <v>#N/A</v>
      </c>
      <c r="AR2083" t="e">
        <v>#N/A</v>
      </c>
      <c r="AS2083" t="e">
        <v>#N/A</v>
      </c>
      <c r="AT2083" t="e">
        <v>#N/A</v>
      </c>
    </row>
    <row r="2084" spans="42:46">
      <c r="AP2084">
        <v>177200</v>
      </c>
      <c r="AQ2084" t="e">
        <v>#N/A</v>
      </c>
      <c r="AR2084" t="e">
        <v>#N/A</v>
      </c>
      <c r="AS2084" t="e">
        <v>#N/A</v>
      </c>
      <c r="AT2084" t="e">
        <v>#N/A</v>
      </c>
    </row>
    <row r="2085" spans="42:46">
      <c r="AP2085">
        <v>177250</v>
      </c>
      <c r="AQ2085" t="e">
        <v>#N/A</v>
      </c>
      <c r="AR2085" t="e">
        <v>#N/A</v>
      </c>
      <c r="AS2085" t="e">
        <v>#N/A</v>
      </c>
      <c r="AT2085" t="e">
        <v>#N/A</v>
      </c>
    </row>
    <row r="2086" spans="42:46">
      <c r="AP2086">
        <v>177300</v>
      </c>
      <c r="AQ2086" t="e">
        <v>#N/A</v>
      </c>
      <c r="AR2086" t="e">
        <v>#N/A</v>
      </c>
      <c r="AS2086" t="e">
        <v>#N/A</v>
      </c>
      <c r="AT2086" t="e">
        <v>#N/A</v>
      </c>
    </row>
    <row r="2087" spans="42:46">
      <c r="AP2087">
        <v>177350</v>
      </c>
      <c r="AQ2087" t="e">
        <v>#N/A</v>
      </c>
      <c r="AR2087" t="e">
        <v>#N/A</v>
      </c>
      <c r="AS2087" t="e">
        <v>#N/A</v>
      </c>
      <c r="AT2087" t="e">
        <v>#N/A</v>
      </c>
    </row>
    <row r="2088" spans="42:46">
      <c r="AP2088">
        <v>177400</v>
      </c>
      <c r="AQ2088" t="e">
        <v>#N/A</v>
      </c>
      <c r="AR2088" t="e">
        <v>#N/A</v>
      </c>
      <c r="AS2088" t="e">
        <v>#N/A</v>
      </c>
      <c r="AT2088" t="e">
        <v>#N/A</v>
      </c>
    </row>
    <row r="2089" spans="42:46">
      <c r="AP2089">
        <v>177450</v>
      </c>
      <c r="AQ2089" t="e">
        <v>#N/A</v>
      </c>
      <c r="AR2089" t="e">
        <v>#N/A</v>
      </c>
      <c r="AS2089" t="e">
        <v>#N/A</v>
      </c>
      <c r="AT2089" t="e">
        <v>#N/A</v>
      </c>
    </row>
    <row r="2090" spans="42:46">
      <c r="AP2090">
        <v>177500</v>
      </c>
      <c r="AQ2090" t="e">
        <v>#N/A</v>
      </c>
      <c r="AR2090" t="e">
        <v>#N/A</v>
      </c>
      <c r="AS2090" t="e">
        <v>#N/A</v>
      </c>
      <c r="AT2090" t="e">
        <v>#N/A</v>
      </c>
    </row>
    <row r="2091" spans="42:46">
      <c r="AP2091">
        <v>177550</v>
      </c>
      <c r="AQ2091" t="e">
        <v>#N/A</v>
      </c>
      <c r="AR2091" t="e">
        <v>#N/A</v>
      </c>
      <c r="AS2091" t="e">
        <v>#N/A</v>
      </c>
      <c r="AT2091" t="e">
        <v>#N/A</v>
      </c>
    </row>
    <row r="2092" spans="42:46">
      <c r="AP2092">
        <v>177600</v>
      </c>
      <c r="AQ2092" t="e">
        <v>#N/A</v>
      </c>
      <c r="AR2092" t="e">
        <v>#N/A</v>
      </c>
      <c r="AS2092" t="e">
        <v>#N/A</v>
      </c>
      <c r="AT2092" t="e">
        <v>#N/A</v>
      </c>
    </row>
    <row r="2093" spans="42:46">
      <c r="AP2093">
        <v>177650</v>
      </c>
      <c r="AQ2093" t="e">
        <v>#N/A</v>
      </c>
      <c r="AR2093" t="e">
        <v>#N/A</v>
      </c>
      <c r="AS2093" t="e">
        <v>#N/A</v>
      </c>
      <c r="AT2093" t="e">
        <v>#N/A</v>
      </c>
    </row>
    <row r="2094" spans="42:46">
      <c r="AP2094">
        <v>177700</v>
      </c>
      <c r="AQ2094" t="e">
        <v>#N/A</v>
      </c>
      <c r="AR2094" t="e">
        <v>#N/A</v>
      </c>
      <c r="AS2094" t="e">
        <v>#N/A</v>
      </c>
      <c r="AT2094" t="e">
        <v>#N/A</v>
      </c>
    </row>
    <row r="2095" spans="42:46">
      <c r="AP2095">
        <v>177750</v>
      </c>
      <c r="AQ2095" t="e">
        <v>#N/A</v>
      </c>
      <c r="AR2095" t="e">
        <v>#N/A</v>
      </c>
      <c r="AS2095" t="e">
        <v>#N/A</v>
      </c>
      <c r="AT2095" t="e">
        <v>#N/A</v>
      </c>
    </row>
    <row r="2096" spans="42:46">
      <c r="AP2096">
        <v>177800</v>
      </c>
      <c r="AQ2096" t="e">
        <v>#N/A</v>
      </c>
      <c r="AR2096" t="e">
        <v>#N/A</v>
      </c>
      <c r="AS2096" t="e">
        <v>#N/A</v>
      </c>
      <c r="AT2096" t="e">
        <v>#N/A</v>
      </c>
    </row>
    <row r="2097" spans="42:46">
      <c r="AP2097">
        <v>177850</v>
      </c>
      <c r="AQ2097" t="e">
        <v>#N/A</v>
      </c>
      <c r="AR2097" t="e">
        <v>#N/A</v>
      </c>
      <c r="AS2097" t="e">
        <v>#N/A</v>
      </c>
      <c r="AT2097" t="e">
        <v>#N/A</v>
      </c>
    </row>
    <row r="2098" spans="42:46">
      <c r="AP2098">
        <v>177900</v>
      </c>
      <c r="AQ2098" t="e">
        <v>#N/A</v>
      </c>
      <c r="AR2098" t="e">
        <v>#N/A</v>
      </c>
      <c r="AS2098" t="e">
        <v>#N/A</v>
      </c>
      <c r="AT2098" t="e">
        <v>#N/A</v>
      </c>
    </row>
    <row r="2099" spans="42:46">
      <c r="AP2099">
        <v>177950</v>
      </c>
      <c r="AQ2099" t="e">
        <v>#N/A</v>
      </c>
      <c r="AR2099" t="e">
        <v>#N/A</v>
      </c>
      <c r="AS2099" t="e">
        <v>#N/A</v>
      </c>
      <c r="AT2099" t="e">
        <v>#N/A</v>
      </c>
    </row>
    <row r="2100" spans="42:46">
      <c r="AP2100">
        <v>178000</v>
      </c>
      <c r="AQ2100" t="e">
        <v>#N/A</v>
      </c>
      <c r="AR2100" t="e">
        <v>#N/A</v>
      </c>
      <c r="AS2100" t="e">
        <v>#N/A</v>
      </c>
      <c r="AT2100" t="e">
        <v>#N/A</v>
      </c>
    </row>
    <row r="2101" spans="42:46">
      <c r="AP2101">
        <v>178050</v>
      </c>
      <c r="AQ2101" t="e">
        <v>#N/A</v>
      </c>
      <c r="AR2101" t="e">
        <v>#N/A</v>
      </c>
      <c r="AS2101" t="e">
        <v>#N/A</v>
      </c>
      <c r="AT2101" t="e">
        <v>#N/A</v>
      </c>
    </row>
    <row r="2102" spans="42:46">
      <c r="AP2102">
        <v>178100</v>
      </c>
      <c r="AQ2102" t="e">
        <v>#N/A</v>
      </c>
      <c r="AR2102" t="e">
        <v>#N/A</v>
      </c>
      <c r="AS2102" t="e">
        <v>#N/A</v>
      </c>
      <c r="AT2102" t="e">
        <v>#N/A</v>
      </c>
    </row>
    <row r="2103" spans="42:46">
      <c r="AP2103">
        <v>178150</v>
      </c>
      <c r="AQ2103" t="e">
        <v>#N/A</v>
      </c>
      <c r="AR2103" t="e">
        <v>#N/A</v>
      </c>
      <c r="AS2103" t="e">
        <v>#N/A</v>
      </c>
      <c r="AT2103" t="e">
        <v>#N/A</v>
      </c>
    </row>
    <row r="2104" spans="42:46">
      <c r="AP2104">
        <v>178200</v>
      </c>
      <c r="AQ2104" t="e">
        <v>#N/A</v>
      </c>
      <c r="AR2104" t="e">
        <v>#N/A</v>
      </c>
      <c r="AS2104" t="e">
        <v>#N/A</v>
      </c>
      <c r="AT2104" t="e">
        <v>#N/A</v>
      </c>
    </row>
    <row r="2105" spans="42:46">
      <c r="AP2105">
        <v>178250</v>
      </c>
      <c r="AQ2105" t="e">
        <v>#N/A</v>
      </c>
      <c r="AR2105" t="e">
        <v>#N/A</v>
      </c>
      <c r="AS2105" t="e">
        <v>#N/A</v>
      </c>
      <c r="AT2105" t="e">
        <v>#N/A</v>
      </c>
    </row>
    <row r="2106" spans="42:46">
      <c r="AP2106">
        <v>178300</v>
      </c>
      <c r="AQ2106" t="e">
        <v>#N/A</v>
      </c>
      <c r="AR2106" t="e">
        <v>#N/A</v>
      </c>
      <c r="AS2106" t="e">
        <v>#N/A</v>
      </c>
      <c r="AT2106" t="e">
        <v>#N/A</v>
      </c>
    </row>
    <row r="2107" spans="42:46">
      <c r="AP2107">
        <v>178350</v>
      </c>
      <c r="AQ2107" t="e">
        <v>#N/A</v>
      </c>
      <c r="AR2107" t="e">
        <v>#N/A</v>
      </c>
      <c r="AS2107" t="e">
        <v>#N/A</v>
      </c>
      <c r="AT2107" t="e">
        <v>#N/A</v>
      </c>
    </row>
    <row r="2108" spans="42:46">
      <c r="AP2108">
        <v>178400</v>
      </c>
      <c r="AQ2108" t="e">
        <v>#N/A</v>
      </c>
      <c r="AR2108" t="e">
        <v>#N/A</v>
      </c>
      <c r="AS2108" t="e">
        <v>#N/A</v>
      </c>
      <c r="AT2108" t="e">
        <v>#N/A</v>
      </c>
    </row>
    <row r="2109" spans="42:46">
      <c r="AP2109">
        <v>178450</v>
      </c>
      <c r="AQ2109" t="e">
        <v>#N/A</v>
      </c>
      <c r="AR2109" t="e">
        <v>#N/A</v>
      </c>
      <c r="AS2109" t="e">
        <v>#N/A</v>
      </c>
      <c r="AT2109" t="e">
        <v>#N/A</v>
      </c>
    </row>
    <row r="2110" spans="42:46">
      <c r="AP2110">
        <v>178500</v>
      </c>
      <c r="AQ2110" t="e">
        <v>#N/A</v>
      </c>
      <c r="AR2110" t="e">
        <v>#N/A</v>
      </c>
      <c r="AS2110" t="e">
        <v>#N/A</v>
      </c>
      <c r="AT2110" t="e">
        <v>#N/A</v>
      </c>
    </row>
    <row r="2111" spans="42:46">
      <c r="AP2111">
        <v>178550</v>
      </c>
      <c r="AQ2111" t="e">
        <v>#N/A</v>
      </c>
      <c r="AR2111" t="e">
        <v>#N/A</v>
      </c>
      <c r="AS2111" t="e">
        <v>#N/A</v>
      </c>
      <c r="AT2111" t="e">
        <v>#N/A</v>
      </c>
    </row>
    <row r="2112" spans="42:46">
      <c r="AP2112">
        <v>178600</v>
      </c>
      <c r="AQ2112" t="e">
        <v>#N/A</v>
      </c>
      <c r="AR2112" t="e">
        <v>#N/A</v>
      </c>
      <c r="AS2112" t="e">
        <v>#N/A</v>
      </c>
      <c r="AT2112" t="e">
        <v>#N/A</v>
      </c>
    </row>
    <row r="2113" spans="42:46">
      <c r="AP2113">
        <v>178650</v>
      </c>
      <c r="AQ2113" t="e">
        <v>#N/A</v>
      </c>
      <c r="AR2113" t="e">
        <v>#N/A</v>
      </c>
      <c r="AS2113" t="e">
        <v>#N/A</v>
      </c>
      <c r="AT2113" t="e">
        <v>#N/A</v>
      </c>
    </row>
    <row r="2114" spans="42:46">
      <c r="AP2114">
        <v>178700</v>
      </c>
      <c r="AQ2114" t="e">
        <v>#N/A</v>
      </c>
      <c r="AR2114" t="e">
        <v>#N/A</v>
      </c>
      <c r="AS2114" t="e">
        <v>#N/A</v>
      </c>
      <c r="AT2114" t="e">
        <v>#N/A</v>
      </c>
    </row>
    <row r="2115" spans="42:46">
      <c r="AP2115">
        <v>178750</v>
      </c>
      <c r="AQ2115" t="e">
        <v>#N/A</v>
      </c>
      <c r="AR2115" t="e">
        <v>#N/A</v>
      </c>
      <c r="AS2115" t="e">
        <v>#N/A</v>
      </c>
      <c r="AT2115" t="e">
        <v>#N/A</v>
      </c>
    </row>
    <row r="2116" spans="42:46">
      <c r="AP2116">
        <v>178800</v>
      </c>
      <c r="AQ2116" t="e">
        <v>#N/A</v>
      </c>
      <c r="AR2116" t="e">
        <v>#N/A</v>
      </c>
      <c r="AS2116" t="e">
        <v>#N/A</v>
      </c>
      <c r="AT2116" t="e">
        <v>#N/A</v>
      </c>
    </row>
    <row r="2117" spans="42:46">
      <c r="AP2117">
        <v>178850</v>
      </c>
      <c r="AQ2117" t="e">
        <v>#N/A</v>
      </c>
      <c r="AR2117" t="e">
        <v>#N/A</v>
      </c>
      <c r="AS2117" t="e">
        <v>#N/A</v>
      </c>
      <c r="AT2117" t="e">
        <v>#N/A</v>
      </c>
    </row>
    <row r="2118" spans="42:46">
      <c r="AP2118">
        <v>178900</v>
      </c>
      <c r="AQ2118" t="e">
        <v>#N/A</v>
      </c>
      <c r="AR2118" t="e">
        <v>#N/A</v>
      </c>
      <c r="AS2118" t="e">
        <v>#N/A</v>
      </c>
      <c r="AT2118" t="e">
        <v>#N/A</v>
      </c>
    </row>
    <row r="2119" spans="42:46">
      <c r="AP2119">
        <v>178950</v>
      </c>
      <c r="AQ2119" t="e">
        <v>#N/A</v>
      </c>
      <c r="AR2119" t="e">
        <v>#N/A</v>
      </c>
      <c r="AS2119" t="e">
        <v>#N/A</v>
      </c>
      <c r="AT2119" t="e">
        <v>#N/A</v>
      </c>
    </row>
    <row r="2120" spans="42:46">
      <c r="AP2120">
        <v>179000</v>
      </c>
      <c r="AQ2120" t="e">
        <v>#N/A</v>
      </c>
      <c r="AR2120" t="e">
        <v>#N/A</v>
      </c>
      <c r="AS2120" t="e">
        <v>#N/A</v>
      </c>
      <c r="AT2120" t="e">
        <v>#N/A</v>
      </c>
    </row>
    <row r="2121" spans="42:46">
      <c r="AP2121">
        <v>179050</v>
      </c>
      <c r="AQ2121" t="e">
        <v>#N/A</v>
      </c>
      <c r="AR2121" t="e">
        <v>#N/A</v>
      </c>
      <c r="AS2121" t="e">
        <v>#N/A</v>
      </c>
      <c r="AT2121" t="e">
        <v>#N/A</v>
      </c>
    </row>
    <row r="2122" spans="42:46">
      <c r="AP2122">
        <v>179100</v>
      </c>
      <c r="AQ2122" t="e">
        <v>#N/A</v>
      </c>
      <c r="AR2122" t="e">
        <v>#N/A</v>
      </c>
      <c r="AS2122" t="e">
        <v>#N/A</v>
      </c>
      <c r="AT2122" t="e">
        <v>#N/A</v>
      </c>
    </row>
    <row r="2123" spans="42:46">
      <c r="AP2123">
        <v>179150</v>
      </c>
      <c r="AQ2123" t="e">
        <v>#N/A</v>
      </c>
      <c r="AR2123" t="e">
        <v>#N/A</v>
      </c>
      <c r="AS2123" t="e">
        <v>#N/A</v>
      </c>
      <c r="AT2123" t="e">
        <v>#N/A</v>
      </c>
    </row>
    <row r="2124" spans="42:46">
      <c r="AP2124">
        <v>179200</v>
      </c>
      <c r="AQ2124" t="e">
        <v>#N/A</v>
      </c>
      <c r="AR2124" t="e">
        <v>#N/A</v>
      </c>
      <c r="AS2124" t="e">
        <v>#N/A</v>
      </c>
      <c r="AT2124" t="e">
        <v>#N/A</v>
      </c>
    </row>
    <row r="2125" spans="42:46">
      <c r="AP2125">
        <v>179250</v>
      </c>
      <c r="AQ2125" t="e">
        <v>#N/A</v>
      </c>
      <c r="AR2125" t="e">
        <v>#N/A</v>
      </c>
      <c r="AS2125" t="e">
        <v>#N/A</v>
      </c>
      <c r="AT2125" t="e">
        <v>#N/A</v>
      </c>
    </row>
    <row r="2126" spans="42:46">
      <c r="AP2126">
        <v>179300</v>
      </c>
      <c r="AQ2126" t="e">
        <v>#N/A</v>
      </c>
      <c r="AR2126" t="e">
        <v>#N/A</v>
      </c>
      <c r="AS2126" t="e">
        <v>#N/A</v>
      </c>
      <c r="AT2126" t="e">
        <v>#N/A</v>
      </c>
    </row>
    <row r="2127" spans="42:46">
      <c r="AP2127">
        <v>179350</v>
      </c>
      <c r="AQ2127" t="e">
        <v>#N/A</v>
      </c>
      <c r="AR2127" t="e">
        <v>#N/A</v>
      </c>
      <c r="AS2127" t="e">
        <v>#N/A</v>
      </c>
      <c r="AT2127" t="e">
        <v>#N/A</v>
      </c>
    </row>
    <row r="2128" spans="42:46">
      <c r="AP2128">
        <v>179400</v>
      </c>
      <c r="AQ2128" t="e">
        <v>#N/A</v>
      </c>
      <c r="AR2128" t="e">
        <v>#N/A</v>
      </c>
      <c r="AS2128" t="e">
        <v>#N/A</v>
      </c>
      <c r="AT2128" t="e">
        <v>#N/A</v>
      </c>
    </row>
    <row r="2129" spans="42:46">
      <c r="AP2129">
        <v>179450</v>
      </c>
      <c r="AQ2129" t="e">
        <v>#N/A</v>
      </c>
      <c r="AR2129" t="e">
        <v>#N/A</v>
      </c>
      <c r="AS2129" t="e">
        <v>#N/A</v>
      </c>
      <c r="AT2129" t="e">
        <v>#N/A</v>
      </c>
    </row>
    <row r="2130" spans="42:46">
      <c r="AP2130">
        <v>179500</v>
      </c>
      <c r="AQ2130" t="e">
        <v>#N/A</v>
      </c>
      <c r="AR2130" t="e">
        <v>#N/A</v>
      </c>
      <c r="AS2130" t="e">
        <v>#N/A</v>
      </c>
      <c r="AT2130" t="e">
        <v>#N/A</v>
      </c>
    </row>
    <row r="2131" spans="42:46">
      <c r="AP2131">
        <v>179550</v>
      </c>
      <c r="AQ2131" t="e">
        <v>#N/A</v>
      </c>
      <c r="AR2131" t="e">
        <v>#N/A</v>
      </c>
      <c r="AS2131" t="e">
        <v>#N/A</v>
      </c>
      <c r="AT2131" t="e">
        <v>#N/A</v>
      </c>
    </row>
    <row r="2132" spans="42:46">
      <c r="AP2132">
        <v>179600</v>
      </c>
      <c r="AQ2132" t="e">
        <v>#N/A</v>
      </c>
      <c r="AR2132" t="e">
        <v>#N/A</v>
      </c>
      <c r="AS2132" t="e">
        <v>#N/A</v>
      </c>
      <c r="AT2132" t="e">
        <v>#N/A</v>
      </c>
    </row>
    <row r="2133" spans="42:46">
      <c r="AP2133">
        <v>179650</v>
      </c>
      <c r="AQ2133" t="e">
        <v>#N/A</v>
      </c>
      <c r="AR2133" t="e">
        <v>#N/A</v>
      </c>
      <c r="AS2133" t="e">
        <v>#N/A</v>
      </c>
      <c r="AT2133" t="e">
        <v>#N/A</v>
      </c>
    </row>
    <row r="2134" spans="42:46">
      <c r="AP2134">
        <v>179700</v>
      </c>
      <c r="AQ2134" t="e">
        <v>#N/A</v>
      </c>
      <c r="AR2134" t="e">
        <v>#N/A</v>
      </c>
      <c r="AS2134" t="e">
        <v>#N/A</v>
      </c>
      <c r="AT2134" t="e">
        <v>#N/A</v>
      </c>
    </row>
    <row r="2135" spans="42:46">
      <c r="AP2135">
        <v>179750</v>
      </c>
      <c r="AQ2135" t="e">
        <v>#N/A</v>
      </c>
      <c r="AR2135" t="e">
        <v>#N/A</v>
      </c>
      <c r="AS2135" t="e">
        <v>#N/A</v>
      </c>
      <c r="AT2135" t="e">
        <v>#N/A</v>
      </c>
    </row>
    <row r="2136" spans="42:46">
      <c r="AP2136">
        <v>179800</v>
      </c>
      <c r="AQ2136" t="e">
        <v>#N/A</v>
      </c>
      <c r="AR2136" t="e">
        <v>#N/A</v>
      </c>
      <c r="AS2136" t="e">
        <v>#N/A</v>
      </c>
      <c r="AT2136" t="e">
        <v>#N/A</v>
      </c>
    </row>
    <row r="2137" spans="42:46">
      <c r="AP2137">
        <v>179850</v>
      </c>
      <c r="AQ2137" t="e">
        <v>#N/A</v>
      </c>
      <c r="AR2137" t="e">
        <v>#N/A</v>
      </c>
      <c r="AS2137" t="e">
        <v>#N/A</v>
      </c>
      <c r="AT2137" t="e">
        <v>#N/A</v>
      </c>
    </row>
    <row r="2138" spans="42:46">
      <c r="AP2138">
        <v>179900</v>
      </c>
      <c r="AQ2138" t="e">
        <v>#N/A</v>
      </c>
      <c r="AR2138" t="e">
        <v>#N/A</v>
      </c>
      <c r="AS2138" t="e">
        <v>#N/A</v>
      </c>
      <c r="AT2138" t="e">
        <v>#N/A</v>
      </c>
    </row>
    <row r="2139" spans="42:46">
      <c r="AP2139">
        <v>179950</v>
      </c>
      <c r="AQ2139" t="e">
        <v>#N/A</v>
      </c>
      <c r="AR2139" t="e">
        <v>#N/A</v>
      </c>
      <c r="AS2139" t="e">
        <v>#N/A</v>
      </c>
      <c r="AT2139" t="e">
        <v>#N/A</v>
      </c>
    </row>
    <row r="2140" spans="42:46">
      <c r="AP2140">
        <v>180000</v>
      </c>
      <c r="AQ2140" t="e">
        <v>#N/A</v>
      </c>
      <c r="AR2140" t="e">
        <v>#N/A</v>
      </c>
      <c r="AS2140" t="e">
        <v>#N/A</v>
      </c>
      <c r="AT2140" t="e">
        <v>#N/A</v>
      </c>
    </row>
    <row r="2141" spans="42:46">
      <c r="AP2141">
        <v>180050</v>
      </c>
      <c r="AQ2141" t="e">
        <v>#N/A</v>
      </c>
      <c r="AR2141" t="e">
        <v>#N/A</v>
      </c>
      <c r="AS2141" t="e">
        <v>#N/A</v>
      </c>
      <c r="AT2141" t="e">
        <v>#N/A</v>
      </c>
    </row>
    <row r="2142" spans="42:46">
      <c r="AP2142">
        <v>180100</v>
      </c>
      <c r="AQ2142" t="e">
        <v>#N/A</v>
      </c>
      <c r="AR2142" t="e">
        <v>#N/A</v>
      </c>
      <c r="AS2142" t="e">
        <v>#N/A</v>
      </c>
      <c r="AT2142" t="e">
        <v>#N/A</v>
      </c>
    </row>
    <row r="2143" spans="42:46">
      <c r="AP2143">
        <v>180150</v>
      </c>
      <c r="AQ2143" t="e">
        <v>#N/A</v>
      </c>
      <c r="AR2143" t="e">
        <v>#N/A</v>
      </c>
      <c r="AS2143" t="e">
        <v>#N/A</v>
      </c>
      <c r="AT2143" t="e">
        <v>#N/A</v>
      </c>
    </row>
    <row r="2144" spans="42:46">
      <c r="AP2144">
        <v>180200</v>
      </c>
      <c r="AQ2144" t="e">
        <v>#N/A</v>
      </c>
      <c r="AR2144" t="e">
        <v>#N/A</v>
      </c>
      <c r="AS2144" t="e">
        <v>#N/A</v>
      </c>
      <c r="AT2144" t="e">
        <v>#N/A</v>
      </c>
    </row>
    <row r="2145" spans="42:46">
      <c r="AP2145">
        <v>180250</v>
      </c>
      <c r="AQ2145" t="e">
        <v>#N/A</v>
      </c>
      <c r="AR2145" t="e">
        <v>#N/A</v>
      </c>
      <c r="AS2145" t="e">
        <v>#N/A</v>
      </c>
      <c r="AT2145" t="e">
        <v>#N/A</v>
      </c>
    </row>
    <row r="2146" spans="42:46">
      <c r="AP2146">
        <v>180300</v>
      </c>
      <c r="AQ2146" t="e">
        <v>#N/A</v>
      </c>
      <c r="AR2146" t="e">
        <v>#N/A</v>
      </c>
      <c r="AS2146" t="e">
        <v>#N/A</v>
      </c>
      <c r="AT2146" t="e">
        <v>#N/A</v>
      </c>
    </row>
    <row r="2147" spans="42:46">
      <c r="AP2147">
        <v>180350</v>
      </c>
      <c r="AQ2147" t="e">
        <v>#N/A</v>
      </c>
      <c r="AR2147" t="e">
        <v>#N/A</v>
      </c>
      <c r="AS2147" t="e">
        <v>#N/A</v>
      </c>
      <c r="AT2147" t="e">
        <v>#N/A</v>
      </c>
    </row>
    <row r="2148" spans="42:46">
      <c r="AP2148">
        <v>180400</v>
      </c>
      <c r="AQ2148" t="e">
        <v>#N/A</v>
      </c>
      <c r="AR2148" t="e">
        <v>#N/A</v>
      </c>
      <c r="AS2148" t="e">
        <v>#N/A</v>
      </c>
      <c r="AT2148" t="e">
        <v>#N/A</v>
      </c>
    </row>
    <row r="2149" spans="42:46">
      <c r="AP2149">
        <v>180450</v>
      </c>
      <c r="AQ2149" t="e">
        <v>#N/A</v>
      </c>
      <c r="AR2149" t="e">
        <v>#N/A</v>
      </c>
      <c r="AS2149" t="e">
        <v>#N/A</v>
      </c>
      <c r="AT2149" t="e">
        <v>#N/A</v>
      </c>
    </row>
    <row r="2150" spans="42:46">
      <c r="AP2150">
        <v>180500</v>
      </c>
      <c r="AQ2150" t="e">
        <v>#N/A</v>
      </c>
      <c r="AR2150" t="e">
        <v>#N/A</v>
      </c>
      <c r="AS2150" t="e">
        <v>#N/A</v>
      </c>
      <c r="AT2150" t="e">
        <v>#N/A</v>
      </c>
    </row>
    <row r="2151" spans="42:46">
      <c r="AP2151">
        <v>180550</v>
      </c>
      <c r="AQ2151" t="e">
        <v>#N/A</v>
      </c>
      <c r="AR2151" t="e">
        <v>#N/A</v>
      </c>
      <c r="AS2151" t="e">
        <v>#N/A</v>
      </c>
      <c r="AT2151" t="e">
        <v>#N/A</v>
      </c>
    </row>
    <row r="2152" spans="42:46">
      <c r="AP2152">
        <v>180600</v>
      </c>
      <c r="AQ2152" t="e">
        <v>#N/A</v>
      </c>
      <c r="AR2152" t="e">
        <v>#N/A</v>
      </c>
      <c r="AS2152" t="e">
        <v>#N/A</v>
      </c>
      <c r="AT2152" t="e">
        <v>#N/A</v>
      </c>
    </row>
    <row r="2153" spans="42:46">
      <c r="AP2153">
        <v>180650</v>
      </c>
      <c r="AQ2153" t="e">
        <v>#N/A</v>
      </c>
      <c r="AR2153" t="e">
        <v>#N/A</v>
      </c>
      <c r="AS2153" t="e">
        <v>#N/A</v>
      </c>
      <c r="AT2153" t="e">
        <v>#N/A</v>
      </c>
    </row>
    <row r="2154" spans="42:46">
      <c r="AP2154">
        <v>180700</v>
      </c>
      <c r="AQ2154" t="e">
        <v>#N/A</v>
      </c>
      <c r="AR2154" t="e">
        <v>#N/A</v>
      </c>
      <c r="AS2154" t="e">
        <v>#N/A</v>
      </c>
      <c r="AT2154" t="e">
        <v>#N/A</v>
      </c>
    </row>
    <row r="2155" spans="42:46">
      <c r="AP2155">
        <v>180750</v>
      </c>
      <c r="AQ2155" t="e">
        <v>#N/A</v>
      </c>
      <c r="AR2155" t="e">
        <v>#N/A</v>
      </c>
      <c r="AS2155" t="e">
        <v>#N/A</v>
      </c>
      <c r="AT2155" t="e">
        <v>#N/A</v>
      </c>
    </row>
    <row r="2156" spans="42:46">
      <c r="AP2156">
        <v>180800</v>
      </c>
      <c r="AQ2156" t="e">
        <v>#N/A</v>
      </c>
      <c r="AR2156" t="e">
        <v>#N/A</v>
      </c>
      <c r="AS2156" t="e">
        <v>#N/A</v>
      </c>
      <c r="AT2156" t="e">
        <v>#N/A</v>
      </c>
    </row>
    <row r="2157" spans="42:46">
      <c r="AP2157">
        <v>180850</v>
      </c>
      <c r="AQ2157" t="e">
        <v>#N/A</v>
      </c>
      <c r="AR2157" t="e">
        <v>#N/A</v>
      </c>
      <c r="AS2157" t="e">
        <v>#N/A</v>
      </c>
      <c r="AT2157" t="e">
        <v>#N/A</v>
      </c>
    </row>
    <row r="2158" spans="42:46">
      <c r="AP2158">
        <v>180900</v>
      </c>
      <c r="AQ2158" t="e">
        <v>#N/A</v>
      </c>
      <c r="AR2158" t="e">
        <v>#N/A</v>
      </c>
      <c r="AS2158" t="e">
        <v>#N/A</v>
      </c>
      <c r="AT2158" t="e">
        <v>#N/A</v>
      </c>
    </row>
    <row r="2159" spans="42:46">
      <c r="AP2159">
        <v>180950</v>
      </c>
      <c r="AQ2159" t="e">
        <v>#N/A</v>
      </c>
      <c r="AR2159" t="e">
        <v>#N/A</v>
      </c>
      <c r="AS2159" t="e">
        <v>#N/A</v>
      </c>
      <c r="AT2159" t="e">
        <v>#N/A</v>
      </c>
    </row>
    <row r="2160" spans="42:46">
      <c r="AP2160">
        <v>181000</v>
      </c>
      <c r="AQ2160" t="e">
        <v>#N/A</v>
      </c>
      <c r="AR2160" t="e">
        <v>#N/A</v>
      </c>
      <c r="AS2160" t="e">
        <v>#N/A</v>
      </c>
      <c r="AT2160" t="e">
        <v>#N/A</v>
      </c>
    </row>
    <row r="2161" spans="42:46">
      <c r="AP2161">
        <v>181050</v>
      </c>
      <c r="AQ2161" t="e">
        <v>#N/A</v>
      </c>
      <c r="AR2161" t="e">
        <v>#N/A</v>
      </c>
      <c r="AS2161" t="e">
        <v>#N/A</v>
      </c>
      <c r="AT2161" t="e">
        <v>#N/A</v>
      </c>
    </row>
    <row r="2162" spans="42:46">
      <c r="AP2162">
        <v>181100</v>
      </c>
      <c r="AQ2162" t="e">
        <v>#N/A</v>
      </c>
      <c r="AR2162" t="e">
        <v>#N/A</v>
      </c>
      <c r="AS2162" t="e">
        <v>#N/A</v>
      </c>
      <c r="AT2162" t="e">
        <v>#N/A</v>
      </c>
    </row>
    <row r="2163" spans="42:46">
      <c r="AP2163">
        <v>181150</v>
      </c>
      <c r="AQ2163" t="e">
        <v>#N/A</v>
      </c>
      <c r="AR2163" t="e">
        <v>#N/A</v>
      </c>
      <c r="AS2163" t="e">
        <v>#N/A</v>
      </c>
      <c r="AT2163" t="e">
        <v>#N/A</v>
      </c>
    </row>
    <row r="2164" spans="42:46">
      <c r="AP2164">
        <v>181200</v>
      </c>
      <c r="AQ2164" t="e">
        <v>#N/A</v>
      </c>
      <c r="AR2164" t="e">
        <v>#N/A</v>
      </c>
      <c r="AS2164" t="e">
        <v>#N/A</v>
      </c>
      <c r="AT2164" t="e">
        <v>#N/A</v>
      </c>
    </row>
    <row r="2165" spans="42:46">
      <c r="AP2165">
        <v>181250</v>
      </c>
      <c r="AQ2165" t="e">
        <v>#N/A</v>
      </c>
      <c r="AR2165" t="e">
        <v>#N/A</v>
      </c>
      <c r="AS2165" t="e">
        <v>#N/A</v>
      </c>
      <c r="AT2165" t="e">
        <v>#N/A</v>
      </c>
    </row>
    <row r="2166" spans="42:46">
      <c r="AP2166">
        <v>181300</v>
      </c>
      <c r="AQ2166" t="e">
        <v>#N/A</v>
      </c>
      <c r="AR2166" t="e">
        <v>#N/A</v>
      </c>
      <c r="AS2166" t="e">
        <v>#N/A</v>
      </c>
      <c r="AT2166" t="e">
        <v>#N/A</v>
      </c>
    </row>
    <row r="2167" spans="42:46">
      <c r="AP2167">
        <v>181350</v>
      </c>
      <c r="AQ2167" t="e">
        <v>#N/A</v>
      </c>
      <c r="AR2167" t="e">
        <v>#N/A</v>
      </c>
      <c r="AS2167" t="e">
        <v>#N/A</v>
      </c>
      <c r="AT2167" t="e">
        <v>#N/A</v>
      </c>
    </row>
    <row r="2168" spans="42:46">
      <c r="AP2168">
        <v>181400</v>
      </c>
      <c r="AQ2168" t="e">
        <v>#N/A</v>
      </c>
      <c r="AR2168" t="e">
        <v>#N/A</v>
      </c>
      <c r="AS2168" t="e">
        <v>#N/A</v>
      </c>
      <c r="AT2168" t="e">
        <v>#N/A</v>
      </c>
    </row>
    <row r="2169" spans="42:46">
      <c r="AP2169">
        <v>181450</v>
      </c>
      <c r="AQ2169" t="e">
        <v>#N/A</v>
      </c>
      <c r="AR2169" t="e">
        <v>#N/A</v>
      </c>
      <c r="AS2169" t="e">
        <v>#N/A</v>
      </c>
      <c r="AT2169" t="e">
        <v>#N/A</v>
      </c>
    </row>
    <row r="2170" spans="42:46">
      <c r="AP2170">
        <v>181500</v>
      </c>
      <c r="AQ2170" t="e">
        <v>#N/A</v>
      </c>
      <c r="AR2170" t="e">
        <v>#N/A</v>
      </c>
      <c r="AS2170" t="e">
        <v>#N/A</v>
      </c>
      <c r="AT2170" t="e">
        <v>#N/A</v>
      </c>
    </row>
    <row r="2171" spans="42:46">
      <c r="AP2171">
        <v>181550</v>
      </c>
      <c r="AQ2171" t="e">
        <v>#N/A</v>
      </c>
      <c r="AR2171" t="e">
        <v>#N/A</v>
      </c>
      <c r="AS2171" t="e">
        <v>#N/A</v>
      </c>
      <c r="AT2171" t="e">
        <v>#N/A</v>
      </c>
    </row>
    <row r="2172" spans="42:46">
      <c r="AP2172">
        <v>181600</v>
      </c>
      <c r="AQ2172" t="e">
        <v>#N/A</v>
      </c>
      <c r="AR2172" t="e">
        <v>#N/A</v>
      </c>
      <c r="AS2172" t="e">
        <v>#N/A</v>
      </c>
      <c r="AT2172" t="e">
        <v>#N/A</v>
      </c>
    </row>
    <row r="2173" spans="42:46">
      <c r="AP2173">
        <v>181650</v>
      </c>
      <c r="AQ2173" t="e">
        <v>#N/A</v>
      </c>
      <c r="AR2173" t="e">
        <v>#N/A</v>
      </c>
      <c r="AS2173" t="e">
        <v>#N/A</v>
      </c>
      <c r="AT2173" t="e">
        <v>#N/A</v>
      </c>
    </row>
    <row r="2174" spans="42:46">
      <c r="AP2174">
        <v>181700</v>
      </c>
      <c r="AQ2174" t="e">
        <v>#N/A</v>
      </c>
      <c r="AR2174" t="e">
        <v>#N/A</v>
      </c>
      <c r="AS2174" t="e">
        <v>#N/A</v>
      </c>
      <c r="AT2174" t="e">
        <v>#N/A</v>
      </c>
    </row>
    <row r="2175" spans="42:46">
      <c r="AP2175">
        <v>181750</v>
      </c>
      <c r="AQ2175" t="e">
        <v>#N/A</v>
      </c>
      <c r="AR2175" t="e">
        <v>#N/A</v>
      </c>
      <c r="AS2175" t="e">
        <v>#N/A</v>
      </c>
      <c r="AT2175" t="e">
        <v>#N/A</v>
      </c>
    </row>
    <row r="2176" spans="42:46">
      <c r="AP2176">
        <v>181800</v>
      </c>
      <c r="AQ2176" t="e">
        <v>#N/A</v>
      </c>
      <c r="AR2176" t="e">
        <v>#N/A</v>
      </c>
      <c r="AS2176" t="e">
        <v>#N/A</v>
      </c>
      <c r="AT2176" t="e">
        <v>#N/A</v>
      </c>
    </row>
    <row r="2177" spans="42:46">
      <c r="AP2177">
        <v>181850</v>
      </c>
      <c r="AQ2177" t="e">
        <v>#N/A</v>
      </c>
      <c r="AR2177" t="e">
        <v>#N/A</v>
      </c>
      <c r="AS2177" t="e">
        <v>#N/A</v>
      </c>
      <c r="AT2177" t="e">
        <v>#N/A</v>
      </c>
    </row>
    <row r="2178" spans="42:46">
      <c r="AP2178">
        <v>181900</v>
      </c>
      <c r="AQ2178" t="e">
        <v>#N/A</v>
      </c>
      <c r="AR2178" t="e">
        <v>#N/A</v>
      </c>
      <c r="AS2178" t="e">
        <v>#N/A</v>
      </c>
      <c r="AT2178" t="e">
        <v>#N/A</v>
      </c>
    </row>
    <row r="2179" spans="42:46">
      <c r="AP2179">
        <v>181950</v>
      </c>
      <c r="AQ2179" t="e">
        <v>#N/A</v>
      </c>
      <c r="AR2179" t="e">
        <v>#N/A</v>
      </c>
      <c r="AS2179" t="e">
        <v>#N/A</v>
      </c>
      <c r="AT2179" t="e">
        <v>#N/A</v>
      </c>
    </row>
    <row r="2180" spans="42:46">
      <c r="AP2180">
        <v>182000</v>
      </c>
      <c r="AQ2180" t="e">
        <v>#N/A</v>
      </c>
      <c r="AR2180" t="e">
        <v>#N/A</v>
      </c>
      <c r="AS2180" t="e">
        <v>#N/A</v>
      </c>
      <c r="AT2180" t="e">
        <v>#N/A</v>
      </c>
    </row>
    <row r="2181" spans="42:46">
      <c r="AP2181">
        <v>182050</v>
      </c>
      <c r="AQ2181" t="e">
        <v>#N/A</v>
      </c>
      <c r="AR2181" t="e">
        <v>#N/A</v>
      </c>
      <c r="AS2181" t="e">
        <v>#N/A</v>
      </c>
      <c r="AT2181" t="e">
        <v>#N/A</v>
      </c>
    </row>
    <row r="2182" spans="42:46">
      <c r="AP2182">
        <v>182100</v>
      </c>
      <c r="AQ2182" t="e">
        <v>#N/A</v>
      </c>
      <c r="AR2182" t="e">
        <v>#N/A</v>
      </c>
      <c r="AS2182" t="e">
        <v>#N/A</v>
      </c>
      <c r="AT2182" t="e">
        <v>#N/A</v>
      </c>
    </row>
    <row r="2183" spans="42:46">
      <c r="AP2183">
        <v>182150</v>
      </c>
      <c r="AQ2183" t="e">
        <v>#N/A</v>
      </c>
      <c r="AR2183" t="e">
        <v>#N/A</v>
      </c>
      <c r="AS2183" t="e">
        <v>#N/A</v>
      </c>
      <c r="AT2183" t="e">
        <v>#N/A</v>
      </c>
    </row>
    <row r="2184" spans="42:46">
      <c r="AP2184">
        <v>182200</v>
      </c>
      <c r="AQ2184" t="e">
        <v>#N/A</v>
      </c>
      <c r="AR2184" t="e">
        <v>#N/A</v>
      </c>
      <c r="AS2184" t="e">
        <v>#N/A</v>
      </c>
      <c r="AT2184" t="e">
        <v>#N/A</v>
      </c>
    </row>
    <row r="2185" spans="42:46">
      <c r="AP2185">
        <v>182250</v>
      </c>
      <c r="AQ2185" t="e">
        <v>#N/A</v>
      </c>
      <c r="AR2185" t="e">
        <v>#N/A</v>
      </c>
      <c r="AS2185" t="e">
        <v>#N/A</v>
      </c>
      <c r="AT2185" t="e">
        <v>#N/A</v>
      </c>
    </row>
    <row r="2186" spans="42:46">
      <c r="AP2186">
        <v>182300</v>
      </c>
      <c r="AQ2186" t="e">
        <v>#N/A</v>
      </c>
      <c r="AR2186" t="e">
        <v>#N/A</v>
      </c>
      <c r="AS2186" t="e">
        <v>#N/A</v>
      </c>
      <c r="AT2186" t="e">
        <v>#N/A</v>
      </c>
    </row>
    <row r="2187" spans="42:46">
      <c r="AP2187">
        <v>182350</v>
      </c>
      <c r="AQ2187" t="e">
        <v>#N/A</v>
      </c>
      <c r="AR2187" t="e">
        <v>#N/A</v>
      </c>
      <c r="AS2187" t="e">
        <v>#N/A</v>
      </c>
      <c r="AT2187" t="e">
        <v>#N/A</v>
      </c>
    </row>
    <row r="2188" spans="42:46">
      <c r="AP2188">
        <v>182400</v>
      </c>
      <c r="AQ2188" t="e">
        <v>#N/A</v>
      </c>
      <c r="AR2188" t="e">
        <v>#N/A</v>
      </c>
      <c r="AS2188" t="e">
        <v>#N/A</v>
      </c>
      <c r="AT2188" t="e">
        <v>#N/A</v>
      </c>
    </row>
    <row r="2189" spans="42:46">
      <c r="AP2189">
        <v>182450</v>
      </c>
      <c r="AQ2189" t="e">
        <v>#N/A</v>
      </c>
      <c r="AR2189" t="e">
        <v>#N/A</v>
      </c>
      <c r="AS2189" t="e">
        <v>#N/A</v>
      </c>
      <c r="AT2189" t="e">
        <v>#N/A</v>
      </c>
    </row>
    <row r="2190" spans="42:46">
      <c r="AP2190">
        <v>182500</v>
      </c>
      <c r="AQ2190" t="e">
        <v>#N/A</v>
      </c>
      <c r="AR2190" t="e">
        <v>#N/A</v>
      </c>
      <c r="AS2190" t="e">
        <v>#N/A</v>
      </c>
      <c r="AT2190" t="e">
        <v>#N/A</v>
      </c>
    </row>
    <row r="2191" spans="42:46">
      <c r="AP2191">
        <v>182550</v>
      </c>
      <c r="AQ2191" t="e">
        <v>#N/A</v>
      </c>
      <c r="AR2191" t="e">
        <v>#N/A</v>
      </c>
      <c r="AS2191" t="e">
        <v>#N/A</v>
      </c>
      <c r="AT2191" t="e">
        <v>#N/A</v>
      </c>
    </row>
    <row r="2192" spans="42:46">
      <c r="AP2192">
        <v>182600</v>
      </c>
      <c r="AQ2192" t="e">
        <v>#N/A</v>
      </c>
      <c r="AR2192" t="e">
        <v>#N/A</v>
      </c>
      <c r="AS2192" t="e">
        <v>#N/A</v>
      </c>
      <c r="AT2192" t="e">
        <v>#N/A</v>
      </c>
    </row>
    <row r="2193" spans="42:46">
      <c r="AP2193">
        <v>182650</v>
      </c>
      <c r="AQ2193" t="e">
        <v>#N/A</v>
      </c>
      <c r="AR2193" t="e">
        <v>#N/A</v>
      </c>
      <c r="AS2193" t="e">
        <v>#N/A</v>
      </c>
      <c r="AT2193" t="e">
        <v>#N/A</v>
      </c>
    </row>
    <row r="2194" spans="42:46">
      <c r="AP2194">
        <v>182700</v>
      </c>
      <c r="AQ2194" t="e">
        <v>#N/A</v>
      </c>
      <c r="AR2194" t="e">
        <v>#N/A</v>
      </c>
      <c r="AS2194" t="e">
        <v>#N/A</v>
      </c>
      <c r="AT2194" t="e">
        <v>#N/A</v>
      </c>
    </row>
    <row r="2195" spans="42:46">
      <c r="AP2195">
        <v>182750</v>
      </c>
      <c r="AQ2195" t="e">
        <v>#N/A</v>
      </c>
      <c r="AR2195" t="e">
        <v>#N/A</v>
      </c>
      <c r="AS2195" t="e">
        <v>#N/A</v>
      </c>
      <c r="AT2195" t="e">
        <v>#N/A</v>
      </c>
    </row>
    <row r="2196" spans="42:46">
      <c r="AP2196">
        <v>182800</v>
      </c>
      <c r="AQ2196" t="e">
        <v>#N/A</v>
      </c>
      <c r="AR2196" t="e">
        <v>#N/A</v>
      </c>
      <c r="AS2196" t="e">
        <v>#N/A</v>
      </c>
      <c r="AT2196" t="e">
        <v>#N/A</v>
      </c>
    </row>
    <row r="2197" spans="42:46">
      <c r="AP2197">
        <v>182850</v>
      </c>
      <c r="AQ2197" t="e">
        <v>#N/A</v>
      </c>
      <c r="AR2197" t="e">
        <v>#N/A</v>
      </c>
      <c r="AS2197" t="e">
        <v>#N/A</v>
      </c>
      <c r="AT2197" t="e">
        <v>#N/A</v>
      </c>
    </row>
    <row r="2198" spans="42:46">
      <c r="AP2198">
        <v>182900</v>
      </c>
      <c r="AQ2198" t="e">
        <v>#N/A</v>
      </c>
      <c r="AR2198" t="e">
        <v>#N/A</v>
      </c>
      <c r="AS2198" t="e">
        <v>#N/A</v>
      </c>
      <c r="AT2198" t="e">
        <v>#N/A</v>
      </c>
    </row>
    <row r="2199" spans="42:46">
      <c r="AP2199">
        <v>182950</v>
      </c>
      <c r="AQ2199" t="e">
        <v>#N/A</v>
      </c>
      <c r="AR2199" t="e">
        <v>#N/A</v>
      </c>
      <c r="AS2199" t="e">
        <v>#N/A</v>
      </c>
      <c r="AT2199" t="e">
        <v>#N/A</v>
      </c>
    </row>
    <row r="2200" spans="42:46">
      <c r="AP2200">
        <v>183000</v>
      </c>
      <c r="AQ2200" t="e">
        <v>#N/A</v>
      </c>
      <c r="AR2200" t="e">
        <v>#N/A</v>
      </c>
      <c r="AS2200" t="e">
        <v>#N/A</v>
      </c>
      <c r="AT2200" t="e">
        <v>#N/A</v>
      </c>
    </row>
    <row r="2201" spans="42:46">
      <c r="AP2201">
        <v>183050</v>
      </c>
      <c r="AQ2201" t="e">
        <v>#N/A</v>
      </c>
      <c r="AR2201" t="e">
        <v>#N/A</v>
      </c>
      <c r="AS2201" t="e">
        <v>#N/A</v>
      </c>
      <c r="AT2201" t="e">
        <v>#N/A</v>
      </c>
    </row>
    <row r="2202" spans="42:46">
      <c r="AP2202">
        <v>183100</v>
      </c>
      <c r="AQ2202" t="e">
        <v>#N/A</v>
      </c>
      <c r="AR2202" t="e">
        <v>#N/A</v>
      </c>
      <c r="AS2202" t="e">
        <v>#N/A</v>
      </c>
      <c r="AT2202" t="e">
        <v>#N/A</v>
      </c>
    </row>
    <row r="2203" spans="42:46">
      <c r="AP2203">
        <v>183150</v>
      </c>
      <c r="AQ2203" t="e">
        <v>#N/A</v>
      </c>
      <c r="AR2203" t="e">
        <v>#N/A</v>
      </c>
      <c r="AS2203" t="e">
        <v>#N/A</v>
      </c>
      <c r="AT2203" t="e">
        <v>#N/A</v>
      </c>
    </row>
    <row r="2204" spans="42:46">
      <c r="AP2204">
        <v>183200</v>
      </c>
      <c r="AQ2204" t="e">
        <v>#N/A</v>
      </c>
      <c r="AR2204" t="e">
        <v>#N/A</v>
      </c>
      <c r="AS2204" t="e">
        <v>#N/A</v>
      </c>
      <c r="AT2204" t="e">
        <v>#N/A</v>
      </c>
    </row>
    <row r="2205" spans="42:46">
      <c r="AP2205">
        <v>183250</v>
      </c>
      <c r="AQ2205" t="e">
        <v>#N/A</v>
      </c>
      <c r="AR2205" t="e">
        <v>#N/A</v>
      </c>
      <c r="AS2205" t="e">
        <v>#N/A</v>
      </c>
      <c r="AT2205" t="e">
        <v>#N/A</v>
      </c>
    </row>
    <row r="2206" spans="42:46">
      <c r="AP2206">
        <v>183300</v>
      </c>
      <c r="AQ2206" t="e">
        <v>#N/A</v>
      </c>
      <c r="AR2206" t="e">
        <v>#N/A</v>
      </c>
      <c r="AS2206" t="e">
        <v>#N/A</v>
      </c>
      <c r="AT2206" t="e">
        <v>#N/A</v>
      </c>
    </row>
    <row r="2207" spans="42:46">
      <c r="AP2207">
        <v>183350</v>
      </c>
      <c r="AQ2207" t="e">
        <v>#N/A</v>
      </c>
      <c r="AR2207" t="e">
        <v>#N/A</v>
      </c>
      <c r="AS2207" t="e">
        <v>#N/A</v>
      </c>
      <c r="AT2207" t="e">
        <v>#N/A</v>
      </c>
    </row>
    <row r="2208" spans="42:46">
      <c r="AP2208">
        <v>183400</v>
      </c>
      <c r="AQ2208" t="e">
        <v>#N/A</v>
      </c>
      <c r="AR2208" t="e">
        <v>#N/A</v>
      </c>
      <c r="AS2208" t="e">
        <v>#N/A</v>
      </c>
      <c r="AT2208" t="e">
        <v>#N/A</v>
      </c>
    </row>
    <row r="2209" spans="42:46">
      <c r="AP2209">
        <v>183450</v>
      </c>
      <c r="AQ2209" t="e">
        <v>#N/A</v>
      </c>
      <c r="AR2209" t="e">
        <v>#N/A</v>
      </c>
      <c r="AS2209" t="e">
        <v>#N/A</v>
      </c>
      <c r="AT2209" t="e">
        <v>#N/A</v>
      </c>
    </row>
    <row r="2210" spans="42:46">
      <c r="AP2210">
        <v>183500</v>
      </c>
      <c r="AQ2210" t="e">
        <v>#N/A</v>
      </c>
      <c r="AR2210" t="e">
        <v>#N/A</v>
      </c>
      <c r="AS2210" t="e">
        <v>#N/A</v>
      </c>
      <c r="AT2210" t="e">
        <v>#N/A</v>
      </c>
    </row>
    <row r="2211" spans="42:46">
      <c r="AP2211">
        <v>183550</v>
      </c>
      <c r="AQ2211" t="e">
        <v>#N/A</v>
      </c>
      <c r="AR2211" t="e">
        <v>#N/A</v>
      </c>
      <c r="AS2211" t="e">
        <v>#N/A</v>
      </c>
      <c r="AT2211" t="e">
        <v>#N/A</v>
      </c>
    </row>
    <row r="2212" spans="42:46">
      <c r="AP2212">
        <v>183600</v>
      </c>
      <c r="AQ2212" t="e">
        <v>#N/A</v>
      </c>
      <c r="AR2212" t="e">
        <v>#N/A</v>
      </c>
      <c r="AS2212" t="e">
        <v>#N/A</v>
      </c>
      <c r="AT2212" t="e">
        <v>#N/A</v>
      </c>
    </row>
    <row r="2213" spans="42:46">
      <c r="AP2213">
        <v>183650</v>
      </c>
      <c r="AQ2213" t="e">
        <v>#N/A</v>
      </c>
      <c r="AR2213" t="e">
        <v>#N/A</v>
      </c>
      <c r="AS2213" t="e">
        <v>#N/A</v>
      </c>
      <c r="AT2213" t="e">
        <v>#N/A</v>
      </c>
    </row>
    <row r="2214" spans="42:46">
      <c r="AP2214">
        <v>183700</v>
      </c>
      <c r="AQ2214" t="e">
        <v>#N/A</v>
      </c>
      <c r="AR2214" t="e">
        <v>#N/A</v>
      </c>
      <c r="AS2214" t="e">
        <v>#N/A</v>
      </c>
      <c r="AT2214" t="e">
        <v>#N/A</v>
      </c>
    </row>
    <row r="2215" spans="42:46">
      <c r="AP2215">
        <v>183750</v>
      </c>
      <c r="AQ2215" t="e">
        <v>#N/A</v>
      </c>
      <c r="AR2215" t="e">
        <v>#N/A</v>
      </c>
      <c r="AS2215" t="e">
        <v>#N/A</v>
      </c>
      <c r="AT2215" t="e">
        <v>#N/A</v>
      </c>
    </row>
    <row r="2216" spans="42:46">
      <c r="AP2216">
        <v>183800</v>
      </c>
      <c r="AQ2216" t="e">
        <v>#N/A</v>
      </c>
      <c r="AR2216" t="e">
        <v>#N/A</v>
      </c>
      <c r="AS2216" t="e">
        <v>#N/A</v>
      </c>
      <c r="AT2216" t="e">
        <v>#N/A</v>
      </c>
    </row>
    <row r="2217" spans="42:46">
      <c r="AP2217">
        <v>183850</v>
      </c>
      <c r="AQ2217" t="e">
        <v>#N/A</v>
      </c>
      <c r="AR2217" t="e">
        <v>#N/A</v>
      </c>
      <c r="AS2217" t="e">
        <v>#N/A</v>
      </c>
      <c r="AT2217" t="e">
        <v>#N/A</v>
      </c>
    </row>
    <row r="2218" spans="42:46">
      <c r="AP2218">
        <v>183900</v>
      </c>
      <c r="AQ2218" t="e">
        <v>#N/A</v>
      </c>
      <c r="AR2218" t="e">
        <v>#N/A</v>
      </c>
      <c r="AS2218" t="e">
        <v>#N/A</v>
      </c>
      <c r="AT2218" t="e">
        <v>#N/A</v>
      </c>
    </row>
    <row r="2219" spans="42:46">
      <c r="AP2219">
        <v>183950</v>
      </c>
      <c r="AQ2219" t="e">
        <v>#N/A</v>
      </c>
      <c r="AR2219" t="e">
        <v>#N/A</v>
      </c>
      <c r="AS2219" t="e">
        <v>#N/A</v>
      </c>
      <c r="AT2219" t="e">
        <v>#N/A</v>
      </c>
    </row>
    <row r="2220" spans="42:46">
      <c r="AP2220">
        <v>184000</v>
      </c>
      <c r="AQ2220" t="e">
        <v>#N/A</v>
      </c>
      <c r="AR2220" t="e">
        <v>#N/A</v>
      </c>
      <c r="AS2220" t="e">
        <v>#N/A</v>
      </c>
      <c r="AT2220" t="e">
        <v>#N/A</v>
      </c>
    </row>
    <row r="2221" spans="42:46">
      <c r="AP2221">
        <v>184050</v>
      </c>
      <c r="AQ2221" t="e">
        <v>#N/A</v>
      </c>
      <c r="AR2221" t="e">
        <v>#N/A</v>
      </c>
      <c r="AS2221" t="e">
        <v>#N/A</v>
      </c>
      <c r="AT2221" t="e">
        <v>#N/A</v>
      </c>
    </row>
    <row r="2222" spans="42:46">
      <c r="AP2222">
        <v>184100</v>
      </c>
      <c r="AQ2222" t="e">
        <v>#N/A</v>
      </c>
      <c r="AR2222" t="e">
        <v>#N/A</v>
      </c>
      <c r="AS2222" t="e">
        <v>#N/A</v>
      </c>
      <c r="AT2222" t="e">
        <v>#N/A</v>
      </c>
    </row>
    <row r="2223" spans="42:46">
      <c r="AP2223">
        <v>184150</v>
      </c>
      <c r="AQ2223" t="e">
        <v>#N/A</v>
      </c>
      <c r="AR2223" t="e">
        <v>#N/A</v>
      </c>
      <c r="AS2223" t="e">
        <v>#N/A</v>
      </c>
      <c r="AT2223" t="e">
        <v>#N/A</v>
      </c>
    </row>
    <row r="2224" spans="42:46">
      <c r="AP2224">
        <v>184200</v>
      </c>
      <c r="AQ2224" t="e">
        <v>#N/A</v>
      </c>
      <c r="AR2224" t="e">
        <v>#N/A</v>
      </c>
      <c r="AS2224" t="e">
        <v>#N/A</v>
      </c>
      <c r="AT2224" t="e">
        <v>#N/A</v>
      </c>
    </row>
    <row r="2225" spans="42:46">
      <c r="AP2225">
        <v>184250</v>
      </c>
      <c r="AQ2225" t="e">
        <v>#N/A</v>
      </c>
      <c r="AR2225" t="e">
        <v>#N/A</v>
      </c>
      <c r="AS2225" t="e">
        <v>#N/A</v>
      </c>
      <c r="AT2225" t="e">
        <v>#N/A</v>
      </c>
    </row>
    <row r="2226" spans="42:46">
      <c r="AP2226">
        <v>184300</v>
      </c>
      <c r="AQ2226" t="e">
        <v>#N/A</v>
      </c>
      <c r="AR2226" t="e">
        <v>#N/A</v>
      </c>
      <c r="AS2226" t="e">
        <v>#N/A</v>
      </c>
      <c r="AT2226" t="e">
        <v>#N/A</v>
      </c>
    </row>
    <row r="2227" spans="42:46">
      <c r="AP2227">
        <v>184350</v>
      </c>
      <c r="AQ2227" t="e">
        <v>#N/A</v>
      </c>
      <c r="AR2227" t="e">
        <v>#N/A</v>
      </c>
      <c r="AS2227" t="e">
        <v>#N/A</v>
      </c>
      <c r="AT2227" t="e">
        <v>#N/A</v>
      </c>
    </row>
    <row r="2228" spans="42:46">
      <c r="AP2228">
        <v>184400</v>
      </c>
      <c r="AQ2228" t="e">
        <v>#N/A</v>
      </c>
      <c r="AR2228" t="e">
        <v>#N/A</v>
      </c>
      <c r="AS2228" t="e">
        <v>#N/A</v>
      </c>
      <c r="AT2228" t="e">
        <v>#N/A</v>
      </c>
    </row>
    <row r="2229" spans="42:46">
      <c r="AP2229">
        <v>184450</v>
      </c>
      <c r="AQ2229" t="e">
        <v>#N/A</v>
      </c>
      <c r="AR2229" t="e">
        <v>#N/A</v>
      </c>
      <c r="AS2229" t="e">
        <v>#N/A</v>
      </c>
      <c r="AT2229" t="e">
        <v>#N/A</v>
      </c>
    </row>
    <row r="2230" spans="42:46">
      <c r="AP2230">
        <v>184500</v>
      </c>
      <c r="AQ2230" t="e">
        <v>#N/A</v>
      </c>
      <c r="AR2230" t="e">
        <v>#N/A</v>
      </c>
      <c r="AS2230" t="e">
        <v>#N/A</v>
      </c>
      <c r="AT2230" t="e">
        <v>#N/A</v>
      </c>
    </row>
    <row r="2231" spans="42:46">
      <c r="AP2231">
        <v>184550</v>
      </c>
      <c r="AQ2231" t="e">
        <v>#N/A</v>
      </c>
      <c r="AR2231" t="e">
        <v>#N/A</v>
      </c>
      <c r="AS2231" t="e">
        <v>#N/A</v>
      </c>
      <c r="AT2231" t="e">
        <v>#N/A</v>
      </c>
    </row>
    <row r="2232" spans="42:46">
      <c r="AP2232">
        <v>184600</v>
      </c>
      <c r="AQ2232" t="e">
        <v>#N/A</v>
      </c>
      <c r="AR2232" t="e">
        <v>#N/A</v>
      </c>
      <c r="AS2232" t="e">
        <v>#N/A</v>
      </c>
      <c r="AT2232" t="e">
        <v>#N/A</v>
      </c>
    </row>
    <row r="2233" spans="42:46">
      <c r="AP2233">
        <v>184650</v>
      </c>
      <c r="AQ2233" t="e">
        <v>#N/A</v>
      </c>
      <c r="AR2233" t="e">
        <v>#N/A</v>
      </c>
      <c r="AS2233" t="e">
        <v>#N/A</v>
      </c>
      <c r="AT2233" t="e">
        <v>#N/A</v>
      </c>
    </row>
    <row r="2234" spans="42:46">
      <c r="AP2234">
        <v>184700</v>
      </c>
      <c r="AQ2234" t="e">
        <v>#N/A</v>
      </c>
      <c r="AR2234" t="e">
        <v>#N/A</v>
      </c>
      <c r="AS2234" t="e">
        <v>#N/A</v>
      </c>
      <c r="AT2234" t="e">
        <v>#N/A</v>
      </c>
    </row>
    <row r="2235" spans="42:46">
      <c r="AP2235">
        <v>184750</v>
      </c>
      <c r="AQ2235" t="e">
        <v>#N/A</v>
      </c>
      <c r="AR2235" t="e">
        <v>#N/A</v>
      </c>
      <c r="AS2235" t="e">
        <v>#N/A</v>
      </c>
      <c r="AT2235" t="e">
        <v>#N/A</v>
      </c>
    </row>
    <row r="2236" spans="42:46">
      <c r="AP2236">
        <v>184800</v>
      </c>
      <c r="AQ2236" t="e">
        <v>#N/A</v>
      </c>
      <c r="AR2236" t="e">
        <v>#N/A</v>
      </c>
      <c r="AS2236" t="e">
        <v>#N/A</v>
      </c>
      <c r="AT2236" t="e">
        <v>#N/A</v>
      </c>
    </row>
    <row r="2237" spans="42:46">
      <c r="AP2237">
        <v>184850</v>
      </c>
      <c r="AQ2237" t="e">
        <v>#N/A</v>
      </c>
      <c r="AR2237" t="e">
        <v>#N/A</v>
      </c>
      <c r="AS2237" t="e">
        <v>#N/A</v>
      </c>
      <c r="AT2237" t="e">
        <v>#N/A</v>
      </c>
    </row>
    <row r="2238" spans="42:46">
      <c r="AP2238">
        <v>184900</v>
      </c>
      <c r="AQ2238" t="e">
        <v>#N/A</v>
      </c>
      <c r="AR2238" t="e">
        <v>#N/A</v>
      </c>
      <c r="AS2238" t="e">
        <v>#N/A</v>
      </c>
      <c r="AT2238" t="e">
        <v>#N/A</v>
      </c>
    </row>
    <row r="2239" spans="42:46">
      <c r="AP2239">
        <v>184950</v>
      </c>
      <c r="AQ2239" t="e">
        <v>#N/A</v>
      </c>
      <c r="AR2239" t="e">
        <v>#N/A</v>
      </c>
      <c r="AS2239" t="e">
        <v>#N/A</v>
      </c>
      <c r="AT2239" t="e">
        <v>#N/A</v>
      </c>
    </row>
    <row r="2240" spans="42:46">
      <c r="AP2240">
        <v>185000</v>
      </c>
      <c r="AQ2240" t="e">
        <v>#N/A</v>
      </c>
      <c r="AR2240" t="e">
        <v>#N/A</v>
      </c>
      <c r="AS2240" t="e">
        <v>#N/A</v>
      </c>
      <c r="AT2240" t="e">
        <v>#N/A</v>
      </c>
    </row>
    <row r="2241" spans="42:46">
      <c r="AP2241">
        <v>185050</v>
      </c>
      <c r="AQ2241" t="e">
        <v>#N/A</v>
      </c>
      <c r="AR2241" t="e">
        <v>#N/A</v>
      </c>
      <c r="AS2241" t="e">
        <v>#N/A</v>
      </c>
      <c r="AT2241" t="e">
        <v>#N/A</v>
      </c>
    </row>
    <row r="2242" spans="42:46">
      <c r="AP2242">
        <v>185100</v>
      </c>
      <c r="AQ2242" t="e">
        <v>#N/A</v>
      </c>
      <c r="AR2242" t="e">
        <v>#N/A</v>
      </c>
      <c r="AS2242" t="e">
        <v>#N/A</v>
      </c>
      <c r="AT2242" t="e">
        <v>#N/A</v>
      </c>
    </row>
    <row r="2243" spans="42:46">
      <c r="AP2243">
        <v>185150</v>
      </c>
      <c r="AQ2243" t="e">
        <v>#N/A</v>
      </c>
      <c r="AR2243" t="e">
        <v>#N/A</v>
      </c>
      <c r="AS2243" t="e">
        <v>#N/A</v>
      </c>
      <c r="AT2243" t="e">
        <v>#N/A</v>
      </c>
    </row>
    <row r="2244" spans="42:46">
      <c r="AP2244">
        <v>185200</v>
      </c>
      <c r="AQ2244" t="e">
        <v>#N/A</v>
      </c>
      <c r="AR2244" t="e">
        <v>#N/A</v>
      </c>
      <c r="AS2244" t="e">
        <v>#N/A</v>
      </c>
      <c r="AT2244" t="e">
        <v>#N/A</v>
      </c>
    </row>
    <row r="2245" spans="42:46">
      <c r="AP2245">
        <v>185250</v>
      </c>
      <c r="AQ2245" t="e">
        <v>#N/A</v>
      </c>
      <c r="AR2245" t="e">
        <v>#N/A</v>
      </c>
      <c r="AS2245" t="e">
        <v>#N/A</v>
      </c>
      <c r="AT2245" t="e">
        <v>#N/A</v>
      </c>
    </row>
    <row r="2246" spans="42:46">
      <c r="AP2246">
        <v>185300</v>
      </c>
      <c r="AQ2246" t="e">
        <v>#N/A</v>
      </c>
      <c r="AR2246" t="e">
        <v>#N/A</v>
      </c>
      <c r="AS2246" t="e">
        <v>#N/A</v>
      </c>
      <c r="AT2246" t="e">
        <v>#N/A</v>
      </c>
    </row>
    <row r="2247" spans="42:46">
      <c r="AP2247">
        <v>185350</v>
      </c>
      <c r="AQ2247" t="e">
        <v>#N/A</v>
      </c>
      <c r="AR2247" t="e">
        <v>#N/A</v>
      </c>
      <c r="AS2247" t="e">
        <v>#N/A</v>
      </c>
      <c r="AT2247" t="e">
        <v>#N/A</v>
      </c>
    </row>
    <row r="2248" spans="42:46">
      <c r="AP2248">
        <v>185400</v>
      </c>
      <c r="AQ2248" t="e">
        <v>#N/A</v>
      </c>
      <c r="AR2248" t="e">
        <v>#N/A</v>
      </c>
      <c r="AS2248" t="e">
        <v>#N/A</v>
      </c>
      <c r="AT2248" t="e">
        <v>#N/A</v>
      </c>
    </row>
    <row r="2249" spans="42:46">
      <c r="AP2249">
        <v>185450</v>
      </c>
      <c r="AQ2249" t="e">
        <v>#N/A</v>
      </c>
      <c r="AR2249" t="e">
        <v>#N/A</v>
      </c>
      <c r="AS2249" t="e">
        <v>#N/A</v>
      </c>
      <c r="AT2249" t="e">
        <v>#N/A</v>
      </c>
    </row>
    <row r="2250" spans="42:46">
      <c r="AP2250">
        <v>185500</v>
      </c>
      <c r="AQ2250" t="e">
        <v>#N/A</v>
      </c>
      <c r="AR2250" t="e">
        <v>#N/A</v>
      </c>
      <c r="AS2250" t="e">
        <v>#N/A</v>
      </c>
      <c r="AT2250" t="e">
        <v>#N/A</v>
      </c>
    </row>
    <row r="2251" spans="42:46">
      <c r="AP2251">
        <v>185550</v>
      </c>
      <c r="AQ2251" t="e">
        <v>#N/A</v>
      </c>
      <c r="AR2251" t="e">
        <v>#N/A</v>
      </c>
      <c r="AS2251" t="e">
        <v>#N/A</v>
      </c>
      <c r="AT2251" t="e">
        <v>#N/A</v>
      </c>
    </row>
    <row r="2252" spans="42:46">
      <c r="AP2252">
        <v>185600</v>
      </c>
      <c r="AQ2252" t="e">
        <v>#N/A</v>
      </c>
      <c r="AR2252" t="e">
        <v>#N/A</v>
      </c>
      <c r="AS2252" t="e">
        <v>#N/A</v>
      </c>
      <c r="AT2252" t="e">
        <v>#N/A</v>
      </c>
    </row>
    <row r="2253" spans="42:46">
      <c r="AP2253">
        <v>185650</v>
      </c>
      <c r="AQ2253" t="e">
        <v>#N/A</v>
      </c>
      <c r="AR2253" t="e">
        <v>#N/A</v>
      </c>
      <c r="AS2253" t="e">
        <v>#N/A</v>
      </c>
      <c r="AT2253" t="e">
        <v>#N/A</v>
      </c>
    </row>
    <row r="2254" spans="42:46">
      <c r="AP2254">
        <v>185700</v>
      </c>
      <c r="AQ2254" t="e">
        <v>#N/A</v>
      </c>
      <c r="AR2254" t="e">
        <v>#N/A</v>
      </c>
      <c r="AS2254" t="e">
        <v>#N/A</v>
      </c>
      <c r="AT2254" t="e">
        <v>#N/A</v>
      </c>
    </row>
    <row r="2255" spans="42:46">
      <c r="AP2255">
        <v>185750</v>
      </c>
      <c r="AQ2255" t="e">
        <v>#N/A</v>
      </c>
      <c r="AR2255" t="e">
        <v>#N/A</v>
      </c>
      <c r="AS2255" t="e">
        <v>#N/A</v>
      </c>
      <c r="AT2255" t="e">
        <v>#N/A</v>
      </c>
    </row>
    <row r="2256" spans="42:46">
      <c r="AP2256">
        <v>185800</v>
      </c>
      <c r="AQ2256" t="e">
        <v>#N/A</v>
      </c>
      <c r="AR2256" t="e">
        <v>#N/A</v>
      </c>
      <c r="AS2256" t="e">
        <v>#N/A</v>
      </c>
      <c r="AT2256" t="e">
        <v>#N/A</v>
      </c>
    </row>
    <row r="2257" spans="42:46">
      <c r="AP2257">
        <v>185850</v>
      </c>
      <c r="AQ2257" t="e">
        <v>#N/A</v>
      </c>
      <c r="AR2257" t="e">
        <v>#N/A</v>
      </c>
      <c r="AS2257" t="e">
        <v>#N/A</v>
      </c>
      <c r="AT2257" t="e">
        <v>#N/A</v>
      </c>
    </row>
    <row r="2258" spans="42:46">
      <c r="AP2258">
        <v>185900</v>
      </c>
      <c r="AQ2258" t="e">
        <v>#N/A</v>
      </c>
      <c r="AR2258" t="e">
        <v>#N/A</v>
      </c>
      <c r="AS2258" t="e">
        <v>#N/A</v>
      </c>
      <c r="AT2258" t="e">
        <v>#N/A</v>
      </c>
    </row>
    <row r="2259" spans="42:46">
      <c r="AP2259">
        <v>185950</v>
      </c>
      <c r="AQ2259" t="e">
        <v>#N/A</v>
      </c>
      <c r="AR2259" t="e">
        <v>#N/A</v>
      </c>
      <c r="AS2259" t="e">
        <v>#N/A</v>
      </c>
      <c r="AT2259" t="e">
        <v>#N/A</v>
      </c>
    </row>
    <row r="2260" spans="42:46">
      <c r="AP2260">
        <v>186000</v>
      </c>
      <c r="AQ2260" t="e">
        <v>#N/A</v>
      </c>
      <c r="AR2260" t="e">
        <v>#N/A</v>
      </c>
      <c r="AS2260" t="e">
        <v>#N/A</v>
      </c>
      <c r="AT2260" t="e">
        <v>#N/A</v>
      </c>
    </row>
    <row r="2261" spans="42:46">
      <c r="AP2261">
        <v>186050</v>
      </c>
      <c r="AQ2261" t="e">
        <v>#N/A</v>
      </c>
      <c r="AR2261" t="e">
        <v>#N/A</v>
      </c>
      <c r="AS2261" t="e">
        <v>#N/A</v>
      </c>
      <c r="AT2261" t="e">
        <v>#N/A</v>
      </c>
    </row>
    <row r="2262" spans="42:46">
      <c r="AP2262">
        <v>186100</v>
      </c>
      <c r="AQ2262" t="e">
        <v>#N/A</v>
      </c>
      <c r="AR2262" t="e">
        <v>#N/A</v>
      </c>
      <c r="AS2262" t="e">
        <v>#N/A</v>
      </c>
      <c r="AT2262" t="e">
        <v>#N/A</v>
      </c>
    </row>
    <row r="2263" spans="42:46">
      <c r="AP2263">
        <v>186150</v>
      </c>
      <c r="AQ2263" t="e">
        <v>#N/A</v>
      </c>
      <c r="AR2263" t="e">
        <v>#N/A</v>
      </c>
      <c r="AS2263" t="e">
        <v>#N/A</v>
      </c>
      <c r="AT2263" t="e">
        <v>#N/A</v>
      </c>
    </row>
    <row r="2264" spans="42:46">
      <c r="AP2264">
        <v>186200</v>
      </c>
      <c r="AQ2264" t="e">
        <v>#N/A</v>
      </c>
      <c r="AR2264" t="e">
        <v>#N/A</v>
      </c>
      <c r="AS2264" t="e">
        <v>#N/A</v>
      </c>
      <c r="AT2264" t="e">
        <v>#N/A</v>
      </c>
    </row>
    <row r="2265" spans="42:46">
      <c r="AP2265">
        <v>186250</v>
      </c>
      <c r="AQ2265" t="e">
        <v>#N/A</v>
      </c>
      <c r="AR2265" t="e">
        <v>#N/A</v>
      </c>
      <c r="AS2265" t="e">
        <v>#N/A</v>
      </c>
      <c r="AT2265" t="e">
        <v>#N/A</v>
      </c>
    </row>
    <row r="2266" spans="42:46">
      <c r="AP2266">
        <v>186300</v>
      </c>
      <c r="AQ2266" t="e">
        <v>#N/A</v>
      </c>
      <c r="AR2266" t="e">
        <v>#N/A</v>
      </c>
      <c r="AS2266" t="e">
        <v>#N/A</v>
      </c>
      <c r="AT2266" t="e">
        <v>#N/A</v>
      </c>
    </row>
    <row r="2267" spans="42:46">
      <c r="AP2267">
        <v>186350</v>
      </c>
      <c r="AQ2267" t="e">
        <v>#N/A</v>
      </c>
      <c r="AR2267" t="e">
        <v>#N/A</v>
      </c>
      <c r="AS2267" t="e">
        <v>#N/A</v>
      </c>
      <c r="AT2267" t="e">
        <v>#N/A</v>
      </c>
    </row>
    <row r="2268" spans="42:46">
      <c r="AP2268">
        <v>186400</v>
      </c>
      <c r="AQ2268" t="e">
        <v>#N/A</v>
      </c>
      <c r="AR2268" t="e">
        <v>#N/A</v>
      </c>
      <c r="AS2268" t="e">
        <v>#N/A</v>
      </c>
      <c r="AT2268" t="e">
        <v>#N/A</v>
      </c>
    </row>
    <row r="2269" spans="42:46">
      <c r="AP2269">
        <v>186450</v>
      </c>
      <c r="AQ2269" t="e">
        <v>#N/A</v>
      </c>
      <c r="AR2269" t="e">
        <v>#N/A</v>
      </c>
      <c r="AS2269" t="e">
        <v>#N/A</v>
      </c>
      <c r="AT2269" t="e">
        <v>#N/A</v>
      </c>
    </row>
    <row r="2270" spans="42:46">
      <c r="AP2270">
        <v>186500</v>
      </c>
      <c r="AQ2270" t="e">
        <v>#N/A</v>
      </c>
      <c r="AR2270" t="e">
        <v>#N/A</v>
      </c>
      <c r="AS2270" t="e">
        <v>#N/A</v>
      </c>
      <c r="AT2270" t="e">
        <v>#N/A</v>
      </c>
    </row>
    <row r="2271" spans="42:46">
      <c r="AP2271">
        <v>186550</v>
      </c>
      <c r="AQ2271" t="e">
        <v>#N/A</v>
      </c>
      <c r="AR2271" t="e">
        <v>#N/A</v>
      </c>
      <c r="AS2271" t="e">
        <v>#N/A</v>
      </c>
      <c r="AT2271" t="e">
        <v>#N/A</v>
      </c>
    </row>
    <row r="2272" spans="42:46">
      <c r="AP2272">
        <v>186600</v>
      </c>
      <c r="AQ2272" t="e">
        <v>#N/A</v>
      </c>
      <c r="AR2272" t="e">
        <v>#N/A</v>
      </c>
      <c r="AS2272" t="e">
        <v>#N/A</v>
      </c>
      <c r="AT2272" t="e">
        <v>#N/A</v>
      </c>
    </row>
    <row r="2273" spans="42:46">
      <c r="AP2273">
        <v>186650</v>
      </c>
      <c r="AQ2273" t="e">
        <v>#N/A</v>
      </c>
      <c r="AR2273" t="e">
        <v>#N/A</v>
      </c>
      <c r="AS2273" t="e">
        <v>#N/A</v>
      </c>
      <c r="AT2273" t="e">
        <v>#N/A</v>
      </c>
    </row>
    <row r="2274" spans="42:46">
      <c r="AP2274">
        <v>186700</v>
      </c>
      <c r="AQ2274" t="e">
        <v>#N/A</v>
      </c>
      <c r="AR2274" t="e">
        <v>#N/A</v>
      </c>
      <c r="AS2274" t="e">
        <v>#N/A</v>
      </c>
      <c r="AT2274" t="e">
        <v>#N/A</v>
      </c>
    </row>
    <row r="2275" spans="42:46">
      <c r="AP2275">
        <v>186750</v>
      </c>
      <c r="AQ2275" t="e">
        <v>#N/A</v>
      </c>
      <c r="AR2275" t="e">
        <v>#N/A</v>
      </c>
      <c r="AS2275" t="e">
        <v>#N/A</v>
      </c>
      <c r="AT2275" t="e">
        <v>#N/A</v>
      </c>
    </row>
    <row r="2276" spans="42:46">
      <c r="AP2276">
        <v>186800</v>
      </c>
      <c r="AQ2276" t="e">
        <v>#N/A</v>
      </c>
      <c r="AR2276" t="e">
        <v>#N/A</v>
      </c>
      <c r="AS2276" t="e">
        <v>#N/A</v>
      </c>
      <c r="AT2276" t="e">
        <v>#N/A</v>
      </c>
    </row>
    <row r="2277" spans="42:46">
      <c r="AP2277">
        <v>186850</v>
      </c>
      <c r="AQ2277" t="e">
        <v>#N/A</v>
      </c>
      <c r="AR2277" t="e">
        <v>#N/A</v>
      </c>
      <c r="AS2277" t="e">
        <v>#N/A</v>
      </c>
      <c r="AT2277" t="e">
        <v>#N/A</v>
      </c>
    </row>
    <row r="2278" spans="42:46">
      <c r="AP2278">
        <v>186900</v>
      </c>
      <c r="AQ2278" t="e">
        <v>#N/A</v>
      </c>
      <c r="AR2278" t="e">
        <v>#N/A</v>
      </c>
      <c r="AS2278" t="e">
        <v>#N/A</v>
      </c>
      <c r="AT2278" t="e">
        <v>#N/A</v>
      </c>
    </row>
    <row r="2279" spans="42:46">
      <c r="AP2279">
        <v>186950</v>
      </c>
      <c r="AQ2279" t="e">
        <v>#N/A</v>
      </c>
      <c r="AR2279" t="e">
        <v>#N/A</v>
      </c>
      <c r="AS2279" t="e">
        <v>#N/A</v>
      </c>
      <c r="AT2279" t="e">
        <v>#N/A</v>
      </c>
    </row>
    <row r="2280" spans="42:46">
      <c r="AP2280">
        <v>187000</v>
      </c>
      <c r="AQ2280" t="e">
        <v>#N/A</v>
      </c>
      <c r="AR2280" t="e">
        <v>#N/A</v>
      </c>
      <c r="AS2280" t="e">
        <v>#N/A</v>
      </c>
      <c r="AT2280" t="e">
        <v>#N/A</v>
      </c>
    </row>
    <row r="2281" spans="42:46">
      <c r="AP2281">
        <v>187050</v>
      </c>
      <c r="AQ2281" t="e">
        <v>#N/A</v>
      </c>
      <c r="AR2281" t="e">
        <v>#N/A</v>
      </c>
      <c r="AS2281" t="e">
        <v>#N/A</v>
      </c>
      <c r="AT2281" t="e">
        <v>#N/A</v>
      </c>
    </row>
    <row r="2282" spans="42:46">
      <c r="AP2282">
        <v>187100</v>
      </c>
      <c r="AQ2282" t="e">
        <v>#N/A</v>
      </c>
      <c r="AR2282" t="e">
        <v>#N/A</v>
      </c>
      <c r="AS2282" t="e">
        <v>#N/A</v>
      </c>
      <c r="AT2282" t="e">
        <v>#N/A</v>
      </c>
    </row>
    <row r="2283" spans="42:46">
      <c r="AP2283">
        <v>187150</v>
      </c>
      <c r="AQ2283" t="e">
        <v>#N/A</v>
      </c>
      <c r="AR2283" t="e">
        <v>#N/A</v>
      </c>
      <c r="AS2283" t="e">
        <v>#N/A</v>
      </c>
      <c r="AT2283" t="e">
        <v>#N/A</v>
      </c>
    </row>
    <row r="2284" spans="42:46">
      <c r="AP2284">
        <v>187200</v>
      </c>
      <c r="AQ2284" t="e">
        <v>#N/A</v>
      </c>
      <c r="AR2284" t="e">
        <v>#N/A</v>
      </c>
      <c r="AS2284" t="e">
        <v>#N/A</v>
      </c>
      <c r="AT2284" t="e">
        <v>#N/A</v>
      </c>
    </row>
    <row r="2285" spans="42:46">
      <c r="AP2285">
        <v>187250</v>
      </c>
      <c r="AQ2285" t="e">
        <v>#N/A</v>
      </c>
      <c r="AR2285" t="e">
        <v>#N/A</v>
      </c>
      <c r="AS2285" t="e">
        <v>#N/A</v>
      </c>
      <c r="AT2285" t="e">
        <v>#N/A</v>
      </c>
    </row>
    <row r="2286" spans="42:46">
      <c r="AP2286">
        <v>187300</v>
      </c>
      <c r="AQ2286" t="e">
        <v>#N/A</v>
      </c>
      <c r="AR2286" t="e">
        <v>#N/A</v>
      </c>
      <c r="AS2286" t="e">
        <v>#N/A</v>
      </c>
      <c r="AT2286" t="e">
        <v>#N/A</v>
      </c>
    </row>
    <row r="2287" spans="42:46">
      <c r="AP2287">
        <v>187350</v>
      </c>
      <c r="AQ2287" t="e">
        <v>#N/A</v>
      </c>
      <c r="AR2287" t="e">
        <v>#N/A</v>
      </c>
      <c r="AS2287" t="e">
        <v>#N/A</v>
      </c>
      <c r="AT2287" t="e">
        <v>#N/A</v>
      </c>
    </row>
    <row r="2288" spans="42:46">
      <c r="AP2288">
        <v>187400</v>
      </c>
      <c r="AQ2288" t="e">
        <v>#N/A</v>
      </c>
      <c r="AR2288" t="e">
        <v>#N/A</v>
      </c>
      <c r="AS2288" t="e">
        <v>#N/A</v>
      </c>
      <c r="AT2288" t="e">
        <v>#N/A</v>
      </c>
    </row>
    <row r="2289" spans="42:46">
      <c r="AP2289">
        <v>187450</v>
      </c>
      <c r="AQ2289" t="e">
        <v>#N/A</v>
      </c>
      <c r="AR2289" t="e">
        <v>#N/A</v>
      </c>
      <c r="AS2289" t="e">
        <v>#N/A</v>
      </c>
      <c r="AT2289" t="e">
        <v>#N/A</v>
      </c>
    </row>
    <row r="2290" spans="42:46">
      <c r="AP2290">
        <v>187500</v>
      </c>
      <c r="AQ2290" t="e">
        <v>#N/A</v>
      </c>
      <c r="AR2290" t="e">
        <v>#N/A</v>
      </c>
      <c r="AS2290" t="e">
        <v>#N/A</v>
      </c>
      <c r="AT2290" t="e">
        <v>#N/A</v>
      </c>
    </row>
    <row r="2291" spans="42:46">
      <c r="AP2291">
        <v>187550</v>
      </c>
      <c r="AQ2291" t="e">
        <v>#N/A</v>
      </c>
      <c r="AR2291" t="e">
        <v>#N/A</v>
      </c>
      <c r="AS2291" t="e">
        <v>#N/A</v>
      </c>
      <c r="AT2291" t="e">
        <v>#N/A</v>
      </c>
    </row>
    <row r="2292" spans="42:46">
      <c r="AP2292">
        <v>187600</v>
      </c>
      <c r="AQ2292" t="e">
        <v>#N/A</v>
      </c>
      <c r="AR2292" t="e">
        <v>#N/A</v>
      </c>
      <c r="AS2292" t="e">
        <v>#N/A</v>
      </c>
      <c r="AT2292" t="e">
        <v>#N/A</v>
      </c>
    </row>
    <row r="2293" spans="42:46">
      <c r="AP2293">
        <v>187650</v>
      </c>
      <c r="AQ2293" t="e">
        <v>#N/A</v>
      </c>
      <c r="AR2293" t="e">
        <v>#N/A</v>
      </c>
      <c r="AS2293" t="e">
        <v>#N/A</v>
      </c>
      <c r="AT2293" t="e">
        <v>#N/A</v>
      </c>
    </row>
    <row r="2294" spans="42:46">
      <c r="AP2294">
        <v>187700</v>
      </c>
      <c r="AQ2294" t="e">
        <v>#N/A</v>
      </c>
      <c r="AR2294" t="e">
        <v>#N/A</v>
      </c>
      <c r="AS2294" t="e">
        <v>#N/A</v>
      </c>
      <c r="AT2294" t="e">
        <v>#N/A</v>
      </c>
    </row>
    <row r="2295" spans="42:46">
      <c r="AP2295">
        <v>187750</v>
      </c>
      <c r="AQ2295" t="e">
        <v>#N/A</v>
      </c>
      <c r="AR2295" t="e">
        <v>#N/A</v>
      </c>
      <c r="AS2295" t="e">
        <v>#N/A</v>
      </c>
      <c r="AT2295" t="e">
        <v>#N/A</v>
      </c>
    </row>
    <row r="2296" spans="42:46">
      <c r="AP2296">
        <v>187800</v>
      </c>
      <c r="AQ2296" t="e">
        <v>#N/A</v>
      </c>
      <c r="AR2296" t="e">
        <v>#N/A</v>
      </c>
      <c r="AS2296" t="e">
        <v>#N/A</v>
      </c>
      <c r="AT2296" t="e">
        <v>#N/A</v>
      </c>
    </row>
    <row r="2297" spans="42:46">
      <c r="AP2297">
        <v>187850</v>
      </c>
      <c r="AQ2297" t="e">
        <v>#N/A</v>
      </c>
      <c r="AR2297" t="e">
        <v>#N/A</v>
      </c>
      <c r="AS2297" t="e">
        <v>#N/A</v>
      </c>
      <c r="AT2297" t="e">
        <v>#N/A</v>
      </c>
    </row>
    <row r="2298" spans="42:46">
      <c r="AP2298">
        <v>187900</v>
      </c>
      <c r="AQ2298" t="e">
        <v>#N/A</v>
      </c>
      <c r="AR2298" t="e">
        <v>#N/A</v>
      </c>
      <c r="AS2298" t="e">
        <v>#N/A</v>
      </c>
      <c r="AT2298" t="e">
        <v>#N/A</v>
      </c>
    </row>
    <row r="2299" spans="42:46">
      <c r="AP2299">
        <v>187950</v>
      </c>
      <c r="AQ2299" t="e">
        <v>#N/A</v>
      </c>
      <c r="AR2299" t="e">
        <v>#N/A</v>
      </c>
      <c r="AS2299" t="e">
        <v>#N/A</v>
      </c>
      <c r="AT2299" t="e">
        <v>#N/A</v>
      </c>
    </row>
    <row r="2300" spans="42:46">
      <c r="AP2300">
        <v>188000</v>
      </c>
      <c r="AQ2300" t="e">
        <v>#N/A</v>
      </c>
      <c r="AR2300" t="e">
        <v>#N/A</v>
      </c>
      <c r="AS2300" t="e">
        <v>#N/A</v>
      </c>
      <c r="AT2300" t="e">
        <v>#N/A</v>
      </c>
    </row>
    <row r="2301" spans="42:46">
      <c r="AP2301">
        <v>188050</v>
      </c>
      <c r="AQ2301" t="e">
        <v>#N/A</v>
      </c>
      <c r="AR2301" t="e">
        <v>#N/A</v>
      </c>
      <c r="AS2301" t="e">
        <v>#N/A</v>
      </c>
      <c r="AT2301" t="e">
        <v>#N/A</v>
      </c>
    </row>
    <row r="2302" spans="42:46">
      <c r="AP2302">
        <v>188100</v>
      </c>
      <c r="AQ2302" t="e">
        <v>#N/A</v>
      </c>
      <c r="AR2302" t="e">
        <v>#N/A</v>
      </c>
      <c r="AS2302" t="e">
        <v>#N/A</v>
      </c>
      <c r="AT2302" t="e">
        <v>#N/A</v>
      </c>
    </row>
    <row r="2303" spans="42:46">
      <c r="AP2303">
        <v>188150</v>
      </c>
      <c r="AQ2303" t="e">
        <v>#N/A</v>
      </c>
      <c r="AR2303" t="e">
        <v>#N/A</v>
      </c>
      <c r="AS2303" t="e">
        <v>#N/A</v>
      </c>
      <c r="AT2303" t="e">
        <v>#N/A</v>
      </c>
    </row>
    <row r="2304" spans="42:46">
      <c r="AP2304">
        <v>188200</v>
      </c>
      <c r="AQ2304" t="e">
        <v>#N/A</v>
      </c>
      <c r="AR2304" t="e">
        <v>#N/A</v>
      </c>
      <c r="AS2304" t="e">
        <v>#N/A</v>
      </c>
      <c r="AT2304" t="e">
        <v>#N/A</v>
      </c>
    </row>
    <row r="2305" spans="42:46">
      <c r="AP2305">
        <v>188250</v>
      </c>
      <c r="AQ2305" t="e">
        <v>#N/A</v>
      </c>
      <c r="AR2305" t="e">
        <v>#N/A</v>
      </c>
      <c r="AS2305" t="e">
        <v>#N/A</v>
      </c>
      <c r="AT2305" t="e">
        <v>#N/A</v>
      </c>
    </row>
    <row r="2306" spans="42:46">
      <c r="AP2306">
        <v>188300</v>
      </c>
      <c r="AQ2306" t="e">
        <v>#N/A</v>
      </c>
      <c r="AR2306" t="e">
        <v>#N/A</v>
      </c>
      <c r="AS2306" t="e">
        <v>#N/A</v>
      </c>
      <c r="AT2306" t="e">
        <v>#N/A</v>
      </c>
    </row>
    <row r="2307" spans="42:46">
      <c r="AP2307">
        <v>188350</v>
      </c>
      <c r="AQ2307" t="e">
        <v>#N/A</v>
      </c>
      <c r="AR2307" t="e">
        <v>#N/A</v>
      </c>
      <c r="AS2307" t="e">
        <v>#N/A</v>
      </c>
      <c r="AT2307" t="e">
        <v>#N/A</v>
      </c>
    </row>
    <row r="2308" spans="42:46">
      <c r="AP2308">
        <v>188400</v>
      </c>
      <c r="AQ2308" t="e">
        <v>#N/A</v>
      </c>
      <c r="AR2308" t="e">
        <v>#N/A</v>
      </c>
      <c r="AS2308" t="e">
        <v>#N/A</v>
      </c>
      <c r="AT2308" t="e">
        <v>#N/A</v>
      </c>
    </row>
    <row r="2309" spans="42:46">
      <c r="AP2309">
        <v>188450</v>
      </c>
      <c r="AQ2309" t="e">
        <v>#N/A</v>
      </c>
      <c r="AR2309" t="e">
        <v>#N/A</v>
      </c>
      <c r="AS2309" t="e">
        <v>#N/A</v>
      </c>
      <c r="AT2309" t="e">
        <v>#N/A</v>
      </c>
    </row>
    <row r="2310" spans="42:46">
      <c r="AP2310">
        <v>188500</v>
      </c>
      <c r="AQ2310" t="e">
        <v>#N/A</v>
      </c>
      <c r="AR2310" t="e">
        <v>#N/A</v>
      </c>
      <c r="AS2310" t="e">
        <v>#N/A</v>
      </c>
      <c r="AT2310" t="e">
        <v>#N/A</v>
      </c>
    </row>
    <row r="2311" spans="42:46">
      <c r="AP2311">
        <v>188550</v>
      </c>
      <c r="AQ2311" t="e">
        <v>#N/A</v>
      </c>
      <c r="AR2311" t="e">
        <v>#N/A</v>
      </c>
      <c r="AS2311" t="e">
        <v>#N/A</v>
      </c>
      <c r="AT2311" t="e">
        <v>#N/A</v>
      </c>
    </row>
    <row r="2312" spans="42:46">
      <c r="AP2312">
        <v>188600</v>
      </c>
      <c r="AQ2312" t="e">
        <v>#N/A</v>
      </c>
      <c r="AR2312" t="e">
        <v>#N/A</v>
      </c>
      <c r="AS2312" t="e">
        <v>#N/A</v>
      </c>
      <c r="AT2312" t="e">
        <v>#N/A</v>
      </c>
    </row>
    <row r="2313" spans="42:46">
      <c r="AP2313">
        <v>188650</v>
      </c>
      <c r="AQ2313" t="e">
        <v>#N/A</v>
      </c>
      <c r="AR2313" t="e">
        <v>#N/A</v>
      </c>
      <c r="AS2313" t="e">
        <v>#N/A</v>
      </c>
      <c r="AT2313" t="e">
        <v>#N/A</v>
      </c>
    </row>
    <row r="2314" spans="42:46">
      <c r="AP2314">
        <v>188700</v>
      </c>
      <c r="AQ2314" t="e">
        <v>#N/A</v>
      </c>
      <c r="AR2314" t="e">
        <v>#N/A</v>
      </c>
      <c r="AS2314" t="e">
        <v>#N/A</v>
      </c>
      <c r="AT2314" t="e">
        <v>#N/A</v>
      </c>
    </row>
    <row r="2315" spans="42:46">
      <c r="AP2315">
        <v>188750</v>
      </c>
      <c r="AQ2315" t="e">
        <v>#N/A</v>
      </c>
      <c r="AR2315" t="e">
        <v>#N/A</v>
      </c>
      <c r="AS2315" t="e">
        <v>#N/A</v>
      </c>
      <c r="AT2315" t="e">
        <v>#N/A</v>
      </c>
    </row>
    <row r="2316" spans="42:46">
      <c r="AP2316">
        <v>188800</v>
      </c>
      <c r="AQ2316" t="e">
        <v>#N/A</v>
      </c>
      <c r="AR2316" t="e">
        <v>#N/A</v>
      </c>
      <c r="AS2316" t="e">
        <v>#N/A</v>
      </c>
      <c r="AT2316" t="e">
        <v>#N/A</v>
      </c>
    </row>
    <row r="2317" spans="42:46">
      <c r="AP2317">
        <v>188850</v>
      </c>
      <c r="AQ2317" t="e">
        <v>#N/A</v>
      </c>
      <c r="AR2317" t="e">
        <v>#N/A</v>
      </c>
      <c r="AS2317" t="e">
        <v>#N/A</v>
      </c>
      <c r="AT2317" t="e">
        <v>#N/A</v>
      </c>
    </row>
    <row r="2318" spans="42:46">
      <c r="AP2318">
        <v>188900</v>
      </c>
      <c r="AQ2318" t="e">
        <v>#N/A</v>
      </c>
      <c r="AR2318" t="e">
        <v>#N/A</v>
      </c>
      <c r="AS2318" t="e">
        <v>#N/A</v>
      </c>
      <c r="AT2318" t="e">
        <v>#N/A</v>
      </c>
    </row>
    <row r="2319" spans="42:46">
      <c r="AP2319">
        <v>188950</v>
      </c>
      <c r="AQ2319" t="e">
        <v>#N/A</v>
      </c>
      <c r="AR2319" t="e">
        <v>#N/A</v>
      </c>
      <c r="AS2319" t="e">
        <v>#N/A</v>
      </c>
      <c r="AT2319" t="e">
        <v>#N/A</v>
      </c>
    </row>
    <row r="2320" spans="42:46">
      <c r="AP2320">
        <v>189000</v>
      </c>
      <c r="AQ2320" t="e">
        <v>#N/A</v>
      </c>
      <c r="AR2320" t="e">
        <v>#N/A</v>
      </c>
      <c r="AS2320" t="e">
        <v>#N/A</v>
      </c>
      <c r="AT2320" t="e">
        <v>#N/A</v>
      </c>
    </row>
    <row r="2321" spans="42:46">
      <c r="AP2321">
        <v>189050</v>
      </c>
      <c r="AQ2321" t="e">
        <v>#N/A</v>
      </c>
      <c r="AR2321" t="e">
        <v>#N/A</v>
      </c>
      <c r="AS2321" t="e">
        <v>#N/A</v>
      </c>
      <c r="AT2321" t="e">
        <v>#N/A</v>
      </c>
    </row>
    <row r="2322" spans="42:46">
      <c r="AP2322">
        <v>189100</v>
      </c>
      <c r="AQ2322" t="e">
        <v>#N/A</v>
      </c>
      <c r="AR2322" t="e">
        <v>#N/A</v>
      </c>
      <c r="AS2322" t="e">
        <v>#N/A</v>
      </c>
      <c r="AT2322" t="e">
        <v>#N/A</v>
      </c>
    </row>
    <row r="2323" spans="42:46">
      <c r="AP2323">
        <v>189150</v>
      </c>
      <c r="AQ2323" t="e">
        <v>#N/A</v>
      </c>
      <c r="AR2323" t="e">
        <v>#N/A</v>
      </c>
      <c r="AS2323" t="e">
        <v>#N/A</v>
      </c>
      <c r="AT2323" t="e">
        <v>#N/A</v>
      </c>
    </row>
    <row r="2324" spans="42:46">
      <c r="AP2324">
        <v>189200</v>
      </c>
      <c r="AQ2324" t="e">
        <v>#N/A</v>
      </c>
      <c r="AR2324" t="e">
        <v>#N/A</v>
      </c>
      <c r="AS2324" t="e">
        <v>#N/A</v>
      </c>
      <c r="AT2324" t="e">
        <v>#N/A</v>
      </c>
    </row>
    <row r="2325" spans="42:46">
      <c r="AP2325">
        <v>189250</v>
      </c>
      <c r="AQ2325" t="e">
        <v>#N/A</v>
      </c>
      <c r="AR2325" t="e">
        <v>#N/A</v>
      </c>
      <c r="AS2325" t="e">
        <v>#N/A</v>
      </c>
      <c r="AT2325" t="e">
        <v>#N/A</v>
      </c>
    </row>
    <row r="2326" spans="42:46">
      <c r="AP2326">
        <v>189300</v>
      </c>
      <c r="AQ2326" t="e">
        <v>#N/A</v>
      </c>
      <c r="AR2326" t="e">
        <v>#N/A</v>
      </c>
      <c r="AS2326" t="e">
        <v>#N/A</v>
      </c>
      <c r="AT2326" t="e">
        <v>#N/A</v>
      </c>
    </row>
    <row r="2327" spans="42:46">
      <c r="AP2327">
        <v>189350</v>
      </c>
      <c r="AQ2327" t="e">
        <v>#N/A</v>
      </c>
      <c r="AR2327" t="e">
        <v>#N/A</v>
      </c>
      <c r="AS2327" t="e">
        <v>#N/A</v>
      </c>
      <c r="AT2327" t="e">
        <v>#N/A</v>
      </c>
    </row>
    <row r="2328" spans="42:46">
      <c r="AP2328">
        <v>189400</v>
      </c>
      <c r="AQ2328" t="e">
        <v>#N/A</v>
      </c>
      <c r="AR2328" t="e">
        <v>#N/A</v>
      </c>
      <c r="AS2328" t="e">
        <v>#N/A</v>
      </c>
      <c r="AT2328" t="e">
        <v>#N/A</v>
      </c>
    </row>
    <row r="2329" spans="42:46">
      <c r="AP2329">
        <v>189450</v>
      </c>
      <c r="AQ2329" t="e">
        <v>#N/A</v>
      </c>
      <c r="AR2329" t="e">
        <v>#N/A</v>
      </c>
      <c r="AS2329" t="e">
        <v>#N/A</v>
      </c>
      <c r="AT2329" t="e">
        <v>#N/A</v>
      </c>
    </row>
    <row r="2330" spans="42:46">
      <c r="AP2330">
        <v>189500</v>
      </c>
      <c r="AQ2330" t="e">
        <v>#N/A</v>
      </c>
      <c r="AR2330" t="e">
        <v>#N/A</v>
      </c>
      <c r="AS2330" t="e">
        <v>#N/A</v>
      </c>
      <c r="AT2330" t="e">
        <v>#N/A</v>
      </c>
    </row>
    <row r="2331" spans="42:46">
      <c r="AP2331">
        <v>189550</v>
      </c>
      <c r="AQ2331" t="e">
        <v>#N/A</v>
      </c>
      <c r="AR2331" t="e">
        <v>#N/A</v>
      </c>
      <c r="AS2331" t="e">
        <v>#N/A</v>
      </c>
      <c r="AT2331" t="e">
        <v>#N/A</v>
      </c>
    </row>
    <row r="2332" spans="42:46">
      <c r="AP2332">
        <v>189600</v>
      </c>
      <c r="AQ2332" t="e">
        <v>#N/A</v>
      </c>
      <c r="AR2332" t="e">
        <v>#N/A</v>
      </c>
      <c r="AS2332" t="e">
        <v>#N/A</v>
      </c>
      <c r="AT2332" t="e">
        <v>#N/A</v>
      </c>
    </row>
    <row r="2333" spans="42:46">
      <c r="AP2333">
        <v>189650</v>
      </c>
      <c r="AQ2333" t="e">
        <v>#N/A</v>
      </c>
      <c r="AR2333" t="e">
        <v>#N/A</v>
      </c>
      <c r="AS2333" t="e">
        <v>#N/A</v>
      </c>
      <c r="AT2333" t="e">
        <v>#N/A</v>
      </c>
    </row>
    <row r="2334" spans="42:46">
      <c r="AP2334">
        <v>189700</v>
      </c>
      <c r="AQ2334" t="e">
        <v>#N/A</v>
      </c>
      <c r="AR2334" t="e">
        <v>#N/A</v>
      </c>
      <c r="AS2334" t="e">
        <v>#N/A</v>
      </c>
      <c r="AT2334" t="e">
        <v>#N/A</v>
      </c>
    </row>
    <row r="2335" spans="42:46">
      <c r="AP2335">
        <v>189750</v>
      </c>
      <c r="AQ2335" t="e">
        <v>#N/A</v>
      </c>
      <c r="AR2335" t="e">
        <v>#N/A</v>
      </c>
      <c r="AS2335" t="e">
        <v>#N/A</v>
      </c>
      <c r="AT2335" t="e">
        <v>#N/A</v>
      </c>
    </row>
    <row r="2336" spans="42:46">
      <c r="AP2336">
        <v>189800</v>
      </c>
      <c r="AQ2336" t="e">
        <v>#N/A</v>
      </c>
      <c r="AR2336" t="e">
        <v>#N/A</v>
      </c>
      <c r="AS2336" t="e">
        <v>#N/A</v>
      </c>
      <c r="AT2336" t="e">
        <v>#N/A</v>
      </c>
    </row>
    <row r="2337" spans="42:46">
      <c r="AP2337">
        <v>189850</v>
      </c>
      <c r="AQ2337" t="e">
        <v>#N/A</v>
      </c>
      <c r="AR2337" t="e">
        <v>#N/A</v>
      </c>
      <c r="AS2337" t="e">
        <v>#N/A</v>
      </c>
      <c r="AT2337" t="e">
        <v>#N/A</v>
      </c>
    </row>
    <row r="2338" spans="42:46">
      <c r="AP2338">
        <v>189900</v>
      </c>
      <c r="AQ2338" t="e">
        <v>#N/A</v>
      </c>
      <c r="AR2338" t="e">
        <v>#N/A</v>
      </c>
      <c r="AS2338" t="e">
        <v>#N/A</v>
      </c>
      <c r="AT2338" t="e">
        <v>#N/A</v>
      </c>
    </row>
    <row r="2339" spans="42:46">
      <c r="AP2339">
        <v>189950</v>
      </c>
      <c r="AQ2339" t="e">
        <v>#N/A</v>
      </c>
      <c r="AR2339" t="e">
        <v>#N/A</v>
      </c>
      <c r="AS2339" t="e">
        <v>#N/A</v>
      </c>
      <c r="AT2339" t="e">
        <v>#N/A</v>
      </c>
    </row>
    <row r="2340" spans="42:46">
      <c r="AP2340">
        <v>190000</v>
      </c>
      <c r="AQ2340" t="e">
        <v>#N/A</v>
      </c>
      <c r="AR2340" t="e">
        <v>#N/A</v>
      </c>
      <c r="AS2340" t="e">
        <v>#N/A</v>
      </c>
      <c r="AT2340" t="e">
        <v>#N/A</v>
      </c>
    </row>
    <row r="2341" spans="42:46">
      <c r="AP2341">
        <v>190050</v>
      </c>
      <c r="AQ2341" t="e">
        <v>#N/A</v>
      </c>
      <c r="AR2341" t="e">
        <v>#N/A</v>
      </c>
      <c r="AS2341" t="e">
        <v>#N/A</v>
      </c>
      <c r="AT2341" t="e">
        <v>#N/A</v>
      </c>
    </row>
    <row r="2342" spans="42:46">
      <c r="AP2342">
        <v>190100</v>
      </c>
      <c r="AQ2342" t="e">
        <v>#N/A</v>
      </c>
      <c r="AR2342" t="e">
        <v>#N/A</v>
      </c>
      <c r="AS2342" t="e">
        <v>#N/A</v>
      </c>
      <c r="AT2342" t="e">
        <v>#N/A</v>
      </c>
    </row>
    <row r="2343" spans="42:46">
      <c r="AP2343">
        <v>190150</v>
      </c>
      <c r="AQ2343" t="e">
        <v>#N/A</v>
      </c>
      <c r="AR2343" t="e">
        <v>#N/A</v>
      </c>
      <c r="AS2343" t="e">
        <v>#N/A</v>
      </c>
      <c r="AT2343" t="e">
        <v>#N/A</v>
      </c>
    </row>
    <row r="2344" spans="42:46">
      <c r="AP2344">
        <v>190200</v>
      </c>
      <c r="AQ2344" t="e">
        <v>#N/A</v>
      </c>
      <c r="AR2344" t="e">
        <v>#N/A</v>
      </c>
      <c r="AS2344" t="e">
        <v>#N/A</v>
      </c>
      <c r="AT2344" t="e">
        <v>#N/A</v>
      </c>
    </row>
    <row r="2345" spans="42:46">
      <c r="AP2345">
        <v>190250</v>
      </c>
      <c r="AQ2345" t="e">
        <v>#N/A</v>
      </c>
      <c r="AR2345" t="e">
        <v>#N/A</v>
      </c>
      <c r="AS2345" t="e">
        <v>#N/A</v>
      </c>
      <c r="AT2345" t="e">
        <v>#N/A</v>
      </c>
    </row>
    <row r="2346" spans="42:46">
      <c r="AP2346">
        <v>190300</v>
      </c>
      <c r="AQ2346" t="e">
        <v>#N/A</v>
      </c>
      <c r="AR2346" t="e">
        <v>#N/A</v>
      </c>
      <c r="AS2346" t="e">
        <v>#N/A</v>
      </c>
      <c r="AT2346" t="e">
        <v>#N/A</v>
      </c>
    </row>
    <row r="2347" spans="42:46">
      <c r="AP2347">
        <v>190350</v>
      </c>
      <c r="AQ2347" t="e">
        <v>#N/A</v>
      </c>
      <c r="AR2347" t="e">
        <v>#N/A</v>
      </c>
      <c r="AS2347" t="e">
        <v>#N/A</v>
      </c>
      <c r="AT2347" t="e">
        <v>#N/A</v>
      </c>
    </row>
    <row r="2348" spans="42:46">
      <c r="AP2348">
        <v>190400</v>
      </c>
      <c r="AQ2348" t="e">
        <v>#N/A</v>
      </c>
      <c r="AR2348" t="e">
        <v>#N/A</v>
      </c>
      <c r="AS2348" t="e">
        <v>#N/A</v>
      </c>
      <c r="AT2348" t="e">
        <v>#N/A</v>
      </c>
    </row>
    <row r="2349" spans="42:46">
      <c r="AP2349">
        <v>190450</v>
      </c>
      <c r="AQ2349" t="e">
        <v>#N/A</v>
      </c>
      <c r="AR2349" t="e">
        <v>#N/A</v>
      </c>
      <c r="AS2349" t="e">
        <v>#N/A</v>
      </c>
      <c r="AT2349" t="e">
        <v>#N/A</v>
      </c>
    </row>
    <row r="2350" spans="42:46">
      <c r="AP2350">
        <v>190500</v>
      </c>
      <c r="AQ2350" t="e">
        <v>#N/A</v>
      </c>
      <c r="AR2350" t="e">
        <v>#N/A</v>
      </c>
      <c r="AS2350" t="e">
        <v>#N/A</v>
      </c>
      <c r="AT2350" t="e">
        <v>#N/A</v>
      </c>
    </row>
    <row r="2351" spans="42:46">
      <c r="AP2351">
        <v>190550</v>
      </c>
      <c r="AQ2351" t="e">
        <v>#N/A</v>
      </c>
      <c r="AR2351" t="e">
        <v>#N/A</v>
      </c>
      <c r="AS2351" t="e">
        <v>#N/A</v>
      </c>
      <c r="AT2351" t="e">
        <v>#N/A</v>
      </c>
    </row>
    <row r="2352" spans="42:46">
      <c r="AP2352">
        <v>190600</v>
      </c>
      <c r="AQ2352" t="e">
        <v>#N/A</v>
      </c>
      <c r="AR2352" t="e">
        <v>#N/A</v>
      </c>
      <c r="AS2352" t="e">
        <v>#N/A</v>
      </c>
      <c r="AT2352" t="e">
        <v>#N/A</v>
      </c>
    </row>
    <row r="2353" spans="42:46">
      <c r="AP2353">
        <v>190650</v>
      </c>
      <c r="AQ2353" t="e">
        <v>#N/A</v>
      </c>
      <c r="AR2353" t="e">
        <v>#N/A</v>
      </c>
      <c r="AS2353" t="e">
        <v>#N/A</v>
      </c>
      <c r="AT2353" t="e">
        <v>#N/A</v>
      </c>
    </row>
    <row r="2354" spans="42:46">
      <c r="AP2354">
        <v>190700</v>
      </c>
      <c r="AQ2354" t="e">
        <v>#N/A</v>
      </c>
      <c r="AR2354" t="e">
        <v>#N/A</v>
      </c>
      <c r="AS2354" t="e">
        <v>#N/A</v>
      </c>
      <c r="AT2354" t="e">
        <v>#N/A</v>
      </c>
    </row>
    <row r="2355" spans="42:46">
      <c r="AP2355">
        <v>190750</v>
      </c>
      <c r="AQ2355" t="e">
        <v>#N/A</v>
      </c>
      <c r="AR2355" t="e">
        <v>#N/A</v>
      </c>
      <c r="AS2355" t="e">
        <v>#N/A</v>
      </c>
      <c r="AT2355" t="e">
        <v>#N/A</v>
      </c>
    </row>
    <row r="2356" spans="42:46">
      <c r="AP2356">
        <v>190800</v>
      </c>
      <c r="AQ2356" t="e">
        <v>#N/A</v>
      </c>
      <c r="AR2356" t="e">
        <v>#N/A</v>
      </c>
      <c r="AS2356" t="e">
        <v>#N/A</v>
      </c>
      <c r="AT2356" t="e">
        <v>#N/A</v>
      </c>
    </row>
    <row r="2357" spans="42:46">
      <c r="AP2357">
        <v>190850</v>
      </c>
      <c r="AQ2357" t="e">
        <v>#N/A</v>
      </c>
      <c r="AR2357" t="e">
        <v>#N/A</v>
      </c>
      <c r="AS2357" t="e">
        <v>#N/A</v>
      </c>
      <c r="AT2357" t="e">
        <v>#N/A</v>
      </c>
    </row>
    <row r="2358" spans="42:46">
      <c r="AP2358">
        <v>190900</v>
      </c>
      <c r="AQ2358" t="e">
        <v>#N/A</v>
      </c>
      <c r="AR2358" t="e">
        <v>#N/A</v>
      </c>
      <c r="AS2358" t="e">
        <v>#N/A</v>
      </c>
      <c r="AT2358" t="e">
        <v>#N/A</v>
      </c>
    </row>
    <row r="2359" spans="42:46">
      <c r="AP2359">
        <v>190950</v>
      </c>
      <c r="AQ2359" t="e">
        <v>#N/A</v>
      </c>
      <c r="AR2359" t="e">
        <v>#N/A</v>
      </c>
      <c r="AS2359" t="e">
        <v>#N/A</v>
      </c>
      <c r="AT2359" t="e">
        <v>#N/A</v>
      </c>
    </row>
    <row r="2360" spans="42:46">
      <c r="AP2360">
        <v>191000</v>
      </c>
      <c r="AQ2360" t="e">
        <v>#N/A</v>
      </c>
      <c r="AR2360" t="e">
        <v>#N/A</v>
      </c>
      <c r="AS2360" t="e">
        <v>#N/A</v>
      </c>
      <c r="AT2360" t="e">
        <v>#N/A</v>
      </c>
    </row>
    <row r="2361" spans="42:46">
      <c r="AP2361">
        <v>191050</v>
      </c>
      <c r="AQ2361" t="e">
        <v>#N/A</v>
      </c>
      <c r="AR2361" t="e">
        <v>#N/A</v>
      </c>
      <c r="AS2361" t="e">
        <v>#N/A</v>
      </c>
      <c r="AT2361" t="e">
        <v>#N/A</v>
      </c>
    </row>
    <row r="2362" spans="42:46">
      <c r="AP2362">
        <v>191100</v>
      </c>
      <c r="AQ2362" t="e">
        <v>#N/A</v>
      </c>
      <c r="AR2362" t="e">
        <v>#N/A</v>
      </c>
      <c r="AS2362" t="e">
        <v>#N/A</v>
      </c>
      <c r="AT2362" t="e">
        <v>#N/A</v>
      </c>
    </row>
    <row r="2363" spans="42:46">
      <c r="AP2363">
        <v>191150</v>
      </c>
      <c r="AQ2363" t="e">
        <v>#N/A</v>
      </c>
      <c r="AR2363" t="e">
        <v>#N/A</v>
      </c>
      <c r="AS2363" t="e">
        <v>#N/A</v>
      </c>
      <c r="AT2363" t="e">
        <v>#N/A</v>
      </c>
    </row>
    <row r="2364" spans="42:46">
      <c r="AP2364">
        <v>191200</v>
      </c>
      <c r="AQ2364" t="e">
        <v>#N/A</v>
      </c>
      <c r="AR2364" t="e">
        <v>#N/A</v>
      </c>
      <c r="AS2364" t="e">
        <v>#N/A</v>
      </c>
      <c r="AT2364" t="e">
        <v>#N/A</v>
      </c>
    </row>
    <row r="2365" spans="42:46">
      <c r="AP2365">
        <v>191250</v>
      </c>
      <c r="AQ2365" t="e">
        <v>#N/A</v>
      </c>
      <c r="AR2365" t="e">
        <v>#N/A</v>
      </c>
      <c r="AS2365" t="e">
        <v>#N/A</v>
      </c>
      <c r="AT2365" t="e">
        <v>#N/A</v>
      </c>
    </row>
    <row r="2366" spans="42:46">
      <c r="AP2366">
        <v>191300</v>
      </c>
      <c r="AQ2366" t="e">
        <v>#N/A</v>
      </c>
      <c r="AR2366" t="e">
        <v>#N/A</v>
      </c>
      <c r="AS2366" t="e">
        <v>#N/A</v>
      </c>
      <c r="AT2366" t="e">
        <v>#N/A</v>
      </c>
    </row>
    <row r="2367" spans="42:46">
      <c r="AP2367">
        <v>191350</v>
      </c>
      <c r="AQ2367" t="e">
        <v>#N/A</v>
      </c>
      <c r="AR2367" t="e">
        <v>#N/A</v>
      </c>
      <c r="AS2367" t="e">
        <v>#N/A</v>
      </c>
      <c r="AT2367" t="e">
        <v>#N/A</v>
      </c>
    </row>
    <row r="2368" spans="42:46">
      <c r="AP2368">
        <v>191400</v>
      </c>
      <c r="AQ2368" t="e">
        <v>#N/A</v>
      </c>
      <c r="AR2368" t="e">
        <v>#N/A</v>
      </c>
      <c r="AS2368" t="e">
        <v>#N/A</v>
      </c>
      <c r="AT2368" t="e">
        <v>#N/A</v>
      </c>
    </row>
    <row r="2369" spans="42:46">
      <c r="AP2369">
        <v>191450</v>
      </c>
      <c r="AQ2369" t="e">
        <v>#N/A</v>
      </c>
      <c r="AR2369" t="e">
        <v>#N/A</v>
      </c>
      <c r="AS2369" t="e">
        <v>#N/A</v>
      </c>
      <c r="AT2369" t="e">
        <v>#N/A</v>
      </c>
    </row>
    <row r="2370" spans="42:46">
      <c r="AP2370">
        <v>191500</v>
      </c>
      <c r="AQ2370" t="e">
        <v>#N/A</v>
      </c>
      <c r="AR2370" t="e">
        <v>#N/A</v>
      </c>
      <c r="AS2370" t="e">
        <v>#N/A</v>
      </c>
      <c r="AT2370" t="e">
        <v>#N/A</v>
      </c>
    </row>
    <row r="2371" spans="42:46">
      <c r="AP2371">
        <v>191550</v>
      </c>
      <c r="AQ2371" t="e">
        <v>#N/A</v>
      </c>
      <c r="AR2371" t="e">
        <v>#N/A</v>
      </c>
      <c r="AS2371" t="e">
        <v>#N/A</v>
      </c>
      <c r="AT2371" t="e">
        <v>#N/A</v>
      </c>
    </row>
    <row r="2372" spans="42:46">
      <c r="AP2372">
        <v>191600</v>
      </c>
      <c r="AQ2372" t="e">
        <v>#N/A</v>
      </c>
      <c r="AR2372" t="e">
        <v>#N/A</v>
      </c>
      <c r="AS2372" t="e">
        <v>#N/A</v>
      </c>
      <c r="AT2372" t="e">
        <v>#N/A</v>
      </c>
    </row>
    <row r="2373" spans="42:46">
      <c r="AP2373">
        <v>191650</v>
      </c>
      <c r="AQ2373" t="e">
        <v>#N/A</v>
      </c>
      <c r="AR2373" t="e">
        <v>#N/A</v>
      </c>
      <c r="AS2373" t="e">
        <v>#N/A</v>
      </c>
      <c r="AT2373" t="e">
        <v>#N/A</v>
      </c>
    </row>
    <row r="2374" spans="42:46">
      <c r="AP2374">
        <v>191700</v>
      </c>
      <c r="AQ2374" t="e">
        <v>#N/A</v>
      </c>
      <c r="AR2374" t="e">
        <v>#N/A</v>
      </c>
      <c r="AS2374" t="e">
        <v>#N/A</v>
      </c>
      <c r="AT2374" t="e">
        <v>#N/A</v>
      </c>
    </row>
    <row r="2375" spans="42:46">
      <c r="AP2375">
        <v>191750</v>
      </c>
      <c r="AQ2375" t="e">
        <v>#N/A</v>
      </c>
      <c r="AR2375" t="e">
        <v>#N/A</v>
      </c>
      <c r="AS2375" t="e">
        <v>#N/A</v>
      </c>
      <c r="AT2375" t="e">
        <v>#N/A</v>
      </c>
    </row>
    <row r="2376" spans="42:46">
      <c r="AP2376">
        <v>191800</v>
      </c>
      <c r="AQ2376" t="e">
        <v>#N/A</v>
      </c>
      <c r="AR2376" t="e">
        <v>#N/A</v>
      </c>
      <c r="AS2376" t="e">
        <v>#N/A</v>
      </c>
      <c r="AT2376" t="e">
        <v>#N/A</v>
      </c>
    </row>
    <row r="2377" spans="42:46">
      <c r="AP2377">
        <v>191850</v>
      </c>
      <c r="AQ2377" t="e">
        <v>#N/A</v>
      </c>
      <c r="AR2377" t="e">
        <v>#N/A</v>
      </c>
      <c r="AS2377" t="e">
        <v>#N/A</v>
      </c>
      <c r="AT2377" t="e">
        <v>#N/A</v>
      </c>
    </row>
    <row r="2378" spans="42:46">
      <c r="AP2378">
        <v>191900</v>
      </c>
      <c r="AQ2378" t="e">
        <v>#N/A</v>
      </c>
      <c r="AR2378" t="e">
        <v>#N/A</v>
      </c>
      <c r="AS2378" t="e">
        <v>#N/A</v>
      </c>
      <c r="AT2378" t="e">
        <v>#N/A</v>
      </c>
    </row>
    <row r="2379" spans="42:46">
      <c r="AP2379">
        <v>191950</v>
      </c>
      <c r="AQ2379" t="e">
        <v>#N/A</v>
      </c>
      <c r="AR2379" t="e">
        <v>#N/A</v>
      </c>
      <c r="AS2379" t="e">
        <v>#N/A</v>
      </c>
      <c r="AT2379" t="e">
        <v>#N/A</v>
      </c>
    </row>
    <row r="2380" spans="42:46">
      <c r="AP2380">
        <v>192000</v>
      </c>
      <c r="AQ2380" t="e">
        <v>#N/A</v>
      </c>
      <c r="AR2380" t="e">
        <v>#N/A</v>
      </c>
      <c r="AS2380" t="e">
        <v>#N/A</v>
      </c>
      <c r="AT2380" t="e">
        <v>#N/A</v>
      </c>
    </row>
    <row r="2381" spans="42:46">
      <c r="AP2381">
        <v>192050</v>
      </c>
      <c r="AQ2381" t="e">
        <v>#N/A</v>
      </c>
      <c r="AR2381" t="e">
        <v>#N/A</v>
      </c>
      <c r="AS2381" t="e">
        <v>#N/A</v>
      </c>
      <c r="AT2381" t="e">
        <v>#N/A</v>
      </c>
    </row>
    <row r="2382" spans="42:46">
      <c r="AP2382">
        <v>192100</v>
      </c>
      <c r="AQ2382" t="e">
        <v>#N/A</v>
      </c>
      <c r="AR2382" t="e">
        <v>#N/A</v>
      </c>
      <c r="AS2382" t="e">
        <v>#N/A</v>
      </c>
      <c r="AT2382" t="e">
        <v>#N/A</v>
      </c>
    </row>
    <row r="2383" spans="42:46">
      <c r="AP2383">
        <v>192150</v>
      </c>
      <c r="AQ2383" t="e">
        <v>#N/A</v>
      </c>
      <c r="AR2383" t="e">
        <v>#N/A</v>
      </c>
      <c r="AS2383" t="e">
        <v>#N/A</v>
      </c>
      <c r="AT2383" t="e">
        <v>#N/A</v>
      </c>
    </row>
    <row r="2384" spans="42:46">
      <c r="AP2384">
        <v>192200</v>
      </c>
      <c r="AQ2384" t="e">
        <v>#N/A</v>
      </c>
      <c r="AR2384" t="e">
        <v>#N/A</v>
      </c>
      <c r="AS2384" t="e">
        <v>#N/A</v>
      </c>
      <c r="AT2384" t="e">
        <v>#N/A</v>
      </c>
    </row>
    <row r="2385" spans="42:46">
      <c r="AP2385">
        <v>192250</v>
      </c>
      <c r="AQ2385" t="e">
        <v>#N/A</v>
      </c>
      <c r="AR2385" t="e">
        <v>#N/A</v>
      </c>
      <c r="AS2385" t="e">
        <v>#N/A</v>
      </c>
      <c r="AT2385" t="e">
        <v>#N/A</v>
      </c>
    </row>
    <row r="2386" spans="42:46">
      <c r="AP2386">
        <v>192300</v>
      </c>
      <c r="AQ2386" t="e">
        <v>#N/A</v>
      </c>
      <c r="AR2386" t="e">
        <v>#N/A</v>
      </c>
      <c r="AS2386" t="e">
        <v>#N/A</v>
      </c>
      <c r="AT2386" t="e">
        <v>#N/A</v>
      </c>
    </row>
    <row r="2387" spans="42:46">
      <c r="AP2387">
        <v>192350</v>
      </c>
      <c r="AQ2387" t="e">
        <v>#N/A</v>
      </c>
      <c r="AR2387" t="e">
        <v>#N/A</v>
      </c>
      <c r="AS2387" t="e">
        <v>#N/A</v>
      </c>
      <c r="AT2387" t="e">
        <v>#N/A</v>
      </c>
    </row>
    <row r="2388" spans="42:46">
      <c r="AP2388">
        <v>192400</v>
      </c>
      <c r="AQ2388" t="e">
        <v>#N/A</v>
      </c>
      <c r="AR2388" t="e">
        <v>#N/A</v>
      </c>
      <c r="AS2388" t="e">
        <v>#N/A</v>
      </c>
      <c r="AT2388" t="e">
        <v>#N/A</v>
      </c>
    </row>
    <row r="2389" spans="42:46">
      <c r="AP2389">
        <v>192450</v>
      </c>
      <c r="AQ2389" t="e">
        <v>#N/A</v>
      </c>
      <c r="AR2389" t="e">
        <v>#N/A</v>
      </c>
      <c r="AS2389" t="e">
        <v>#N/A</v>
      </c>
      <c r="AT2389" t="e">
        <v>#N/A</v>
      </c>
    </row>
    <row r="2390" spans="42:46">
      <c r="AP2390">
        <v>192500</v>
      </c>
      <c r="AQ2390" t="e">
        <v>#N/A</v>
      </c>
      <c r="AR2390" t="e">
        <v>#N/A</v>
      </c>
      <c r="AS2390" t="e">
        <v>#N/A</v>
      </c>
      <c r="AT2390" t="e">
        <v>#N/A</v>
      </c>
    </row>
    <row r="2391" spans="42:46">
      <c r="AP2391">
        <v>192550</v>
      </c>
      <c r="AQ2391" t="e">
        <v>#N/A</v>
      </c>
      <c r="AR2391" t="e">
        <v>#N/A</v>
      </c>
      <c r="AS2391" t="e">
        <v>#N/A</v>
      </c>
      <c r="AT2391" t="e">
        <v>#N/A</v>
      </c>
    </row>
    <row r="2392" spans="42:46">
      <c r="AP2392">
        <v>192600</v>
      </c>
      <c r="AQ2392" t="e">
        <v>#N/A</v>
      </c>
      <c r="AR2392" t="e">
        <v>#N/A</v>
      </c>
      <c r="AS2392" t="e">
        <v>#N/A</v>
      </c>
      <c r="AT2392" t="e">
        <v>#N/A</v>
      </c>
    </row>
    <row r="2393" spans="42:46">
      <c r="AP2393">
        <v>192650</v>
      </c>
      <c r="AQ2393" t="e">
        <v>#N/A</v>
      </c>
      <c r="AR2393" t="e">
        <v>#N/A</v>
      </c>
      <c r="AS2393" t="e">
        <v>#N/A</v>
      </c>
      <c r="AT2393" t="e">
        <v>#N/A</v>
      </c>
    </row>
    <row r="2394" spans="42:46">
      <c r="AP2394">
        <v>192700</v>
      </c>
      <c r="AQ2394" t="e">
        <v>#N/A</v>
      </c>
      <c r="AR2394" t="e">
        <v>#N/A</v>
      </c>
      <c r="AS2394" t="e">
        <v>#N/A</v>
      </c>
      <c r="AT2394" t="e">
        <v>#N/A</v>
      </c>
    </row>
    <row r="2395" spans="42:46">
      <c r="AP2395">
        <v>192750</v>
      </c>
      <c r="AQ2395" t="e">
        <v>#N/A</v>
      </c>
      <c r="AR2395" t="e">
        <v>#N/A</v>
      </c>
      <c r="AS2395" t="e">
        <v>#N/A</v>
      </c>
      <c r="AT2395" t="e">
        <v>#N/A</v>
      </c>
    </row>
    <row r="2396" spans="42:46">
      <c r="AP2396">
        <v>192800</v>
      </c>
      <c r="AQ2396" t="e">
        <v>#N/A</v>
      </c>
      <c r="AR2396" t="e">
        <v>#N/A</v>
      </c>
      <c r="AS2396" t="e">
        <v>#N/A</v>
      </c>
      <c r="AT2396" t="e">
        <v>#N/A</v>
      </c>
    </row>
    <row r="2397" spans="42:46">
      <c r="AP2397">
        <v>192850</v>
      </c>
      <c r="AQ2397" t="e">
        <v>#N/A</v>
      </c>
      <c r="AR2397" t="e">
        <v>#N/A</v>
      </c>
      <c r="AS2397" t="e">
        <v>#N/A</v>
      </c>
      <c r="AT2397" t="e">
        <v>#N/A</v>
      </c>
    </row>
    <row r="2398" spans="42:46">
      <c r="AP2398">
        <v>192900</v>
      </c>
      <c r="AQ2398" t="e">
        <v>#N/A</v>
      </c>
      <c r="AR2398" t="e">
        <v>#N/A</v>
      </c>
      <c r="AS2398" t="e">
        <v>#N/A</v>
      </c>
      <c r="AT2398" t="e">
        <v>#N/A</v>
      </c>
    </row>
    <row r="2399" spans="42:46">
      <c r="AP2399">
        <v>192950</v>
      </c>
      <c r="AQ2399" t="e">
        <v>#N/A</v>
      </c>
      <c r="AR2399" t="e">
        <v>#N/A</v>
      </c>
      <c r="AS2399" t="e">
        <v>#N/A</v>
      </c>
      <c r="AT2399" t="e">
        <v>#N/A</v>
      </c>
    </row>
    <row r="2400" spans="42:46">
      <c r="AP2400">
        <v>193000</v>
      </c>
      <c r="AQ2400" t="e">
        <v>#N/A</v>
      </c>
      <c r="AR2400" t="e">
        <v>#N/A</v>
      </c>
      <c r="AS2400" t="e">
        <v>#N/A</v>
      </c>
      <c r="AT2400" t="e">
        <v>#N/A</v>
      </c>
    </row>
    <row r="2401" spans="42:46">
      <c r="AP2401">
        <v>193050</v>
      </c>
      <c r="AQ2401" t="e">
        <v>#N/A</v>
      </c>
      <c r="AR2401" t="e">
        <v>#N/A</v>
      </c>
      <c r="AS2401" t="e">
        <v>#N/A</v>
      </c>
      <c r="AT2401" t="e">
        <v>#N/A</v>
      </c>
    </row>
    <row r="2402" spans="42:46">
      <c r="AP2402">
        <v>193100</v>
      </c>
      <c r="AQ2402" t="e">
        <v>#N/A</v>
      </c>
      <c r="AR2402" t="e">
        <v>#N/A</v>
      </c>
      <c r="AS2402" t="e">
        <v>#N/A</v>
      </c>
      <c r="AT2402" t="e">
        <v>#N/A</v>
      </c>
    </row>
    <row r="2403" spans="42:46">
      <c r="AP2403">
        <v>193150</v>
      </c>
      <c r="AQ2403" t="e">
        <v>#N/A</v>
      </c>
      <c r="AR2403" t="e">
        <v>#N/A</v>
      </c>
      <c r="AS2403" t="e">
        <v>#N/A</v>
      </c>
      <c r="AT2403" t="e">
        <v>#N/A</v>
      </c>
    </row>
    <row r="2404" spans="42:46">
      <c r="AP2404">
        <v>193200</v>
      </c>
      <c r="AQ2404" t="e">
        <v>#N/A</v>
      </c>
      <c r="AR2404" t="e">
        <v>#N/A</v>
      </c>
      <c r="AS2404" t="e">
        <v>#N/A</v>
      </c>
      <c r="AT2404" t="e">
        <v>#N/A</v>
      </c>
    </row>
    <row r="2405" spans="42:46">
      <c r="AP2405">
        <v>193250</v>
      </c>
      <c r="AQ2405" t="e">
        <v>#N/A</v>
      </c>
      <c r="AR2405" t="e">
        <v>#N/A</v>
      </c>
      <c r="AS2405" t="e">
        <v>#N/A</v>
      </c>
      <c r="AT2405" t="e">
        <v>#N/A</v>
      </c>
    </row>
    <row r="2406" spans="42:46">
      <c r="AP2406">
        <v>193300</v>
      </c>
      <c r="AQ2406" t="e">
        <v>#N/A</v>
      </c>
      <c r="AR2406" t="e">
        <v>#N/A</v>
      </c>
      <c r="AS2406" t="e">
        <v>#N/A</v>
      </c>
      <c r="AT2406" t="e">
        <v>#N/A</v>
      </c>
    </row>
    <row r="2407" spans="42:46">
      <c r="AP2407">
        <v>193350</v>
      </c>
      <c r="AQ2407" t="e">
        <v>#N/A</v>
      </c>
      <c r="AR2407" t="e">
        <v>#N/A</v>
      </c>
      <c r="AS2407" t="e">
        <v>#N/A</v>
      </c>
      <c r="AT2407" t="e">
        <v>#N/A</v>
      </c>
    </row>
    <row r="2408" spans="42:46">
      <c r="AP2408">
        <v>193400</v>
      </c>
      <c r="AQ2408" t="e">
        <v>#N/A</v>
      </c>
      <c r="AR2408" t="e">
        <v>#N/A</v>
      </c>
      <c r="AS2408" t="e">
        <v>#N/A</v>
      </c>
      <c r="AT2408" t="e">
        <v>#N/A</v>
      </c>
    </row>
    <row r="2409" spans="42:46">
      <c r="AP2409">
        <v>193450</v>
      </c>
      <c r="AQ2409" t="e">
        <v>#N/A</v>
      </c>
      <c r="AR2409" t="e">
        <v>#N/A</v>
      </c>
      <c r="AS2409" t="e">
        <v>#N/A</v>
      </c>
      <c r="AT2409" t="e">
        <v>#N/A</v>
      </c>
    </row>
    <row r="2410" spans="42:46">
      <c r="AP2410">
        <v>193500</v>
      </c>
      <c r="AQ2410" t="e">
        <v>#N/A</v>
      </c>
      <c r="AR2410" t="e">
        <v>#N/A</v>
      </c>
      <c r="AS2410" t="e">
        <v>#N/A</v>
      </c>
      <c r="AT2410" t="e">
        <v>#N/A</v>
      </c>
    </row>
    <row r="2411" spans="42:46">
      <c r="AP2411">
        <v>193550</v>
      </c>
      <c r="AQ2411" t="e">
        <v>#N/A</v>
      </c>
      <c r="AR2411" t="e">
        <v>#N/A</v>
      </c>
      <c r="AS2411" t="e">
        <v>#N/A</v>
      </c>
      <c r="AT2411" t="e">
        <v>#N/A</v>
      </c>
    </row>
    <row r="2412" spans="42:46">
      <c r="AP2412">
        <v>193600</v>
      </c>
      <c r="AQ2412" t="e">
        <v>#N/A</v>
      </c>
      <c r="AR2412" t="e">
        <v>#N/A</v>
      </c>
      <c r="AS2412" t="e">
        <v>#N/A</v>
      </c>
      <c r="AT2412" t="e">
        <v>#N/A</v>
      </c>
    </row>
    <row r="2413" spans="42:46">
      <c r="AP2413">
        <v>193650</v>
      </c>
      <c r="AQ2413" t="e">
        <v>#N/A</v>
      </c>
      <c r="AR2413" t="e">
        <v>#N/A</v>
      </c>
      <c r="AS2413" t="e">
        <v>#N/A</v>
      </c>
      <c r="AT2413" t="e">
        <v>#N/A</v>
      </c>
    </row>
    <row r="2414" spans="42:46">
      <c r="AP2414">
        <v>193700</v>
      </c>
      <c r="AQ2414" t="e">
        <v>#N/A</v>
      </c>
      <c r="AR2414" t="e">
        <v>#N/A</v>
      </c>
      <c r="AS2414" t="e">
        <v>#N/A</v>
      </c>
      <c r="AT2414" t="e">
        <v>#N/A</v>
      </c>
    </row>
    <row r="2415" spans="42:46">
      <c r="AP2415">
        <v>193750</v>
      </c>
      <c r="AQ2415" t="e">
        <v>#N/A</v>
      </c>
      <c r="AR2415" t="e">
        <v>#N/A</v>
      </c>
      <c r="AS2415" t="e">
        <v>#N/A</v>
      </c>
      <c r="AT2415" t="e">
        <v>#N/A</v>
      </c>
    </row>
    <row r="2416" spans="42:46">
      <c r="AP2416">
        <v>193800</v>
      </c>
      <c r="AQ2416" t="e">
        <v>#N/A</v>
      </c>
      <c r="AR2416" t="e">
        <v>#N/A</v>
      </c>
      <c r="AS2416" t="e">
        <v>#N/A</v>
      </c>
      <c r="AT2416" t="e">
        <v>#N/A</v>
      </c>
    </row>
    <row r="2417" spans="42:46">
      <c r="AP2417">
        <v>193850</v>
      </c>
      <c r="AQ2417" t="e">
        <v>#N/A</v>
      </c>
      <c r="AR2417" t="e">
        <v>#N/A</v>
      </c>
      <c r="AS2417" t="e">
        <v>#N/A</v>
      </c>
      <c r="AT2417" t="e">
        <v>#N/A</v>
      </c>
    </row>
    <row r="2418" spans="42:46">
      <c r="AP2418">
        <v>193900</v>
      </c>
      <c r="AQ2418" t="e">
        <v>#N/A</v>
      </c>
      <c r="AR2418" t="e">
        <v>#N/A</v>
      </c>
      <c r="AS2418" t="e">
        <v>#N/A</v>
      </c>
      <c r="AT2418" t="e">
        <v>#N/A</v>
      </c>
    </row>
    <row r="2419" spans="42:46">
      <c r="AP2419">
        <v>193950</v>
      </c>
      <c r="AQ2419" t="e">
        <v>#N/A</v>
      </c>
      <c r="AR2419" t="e">
        <v>#N/A</v>
      </c>
      <c r="AS2419" t="e">
        <v>#N/A</v>
      </c>
      <c r="AT2419" t="e">
        <v>#N/A</v>
      </c>
    </row>
    <row r="2420" spans="42:46">
      <c r="AP2420">
        <v>194000</v>
      </c>
      <c r="AQ2420" t="e">
        <v>#N/A</v>
      </c>
      <c r="AR2420" t="e">
        <v>#N/A</v>
      </c>
      <c r="AS2420" t="e">
        <v>#N/A</v>
      </c>
      <c r="AT2420" t="e">
        <v>#N/A</v>
      </c>
    </row>
    <row r="2421" spans="42:46">
      <c r="AP2421">
        <v>194050</v>
      </c>
      <c r="AQ2421" t="e">
        <v>#N/A</v>
      </c>
      <c r="AR2421" t="e">
        <v>#N/A</v>
      </c>
      <c r="AS2421" t="e">
        <v>#N/A</v>
      </c>
      <c r="AT2421" t="e">
        <v>#N/A</v>
      </c>
    </row>
    <row r="2422" spans="42:46">
      <c r="AP2422">
        <v>194100</v>
      </c>
      <c r="AQ2422" t="e">
        <v>#N/A</v>
      </c>
      <c r="AR2422" t="e">
        <v>#N/A</v>
      </c>
      <c r="AS2422" t="e">
        <v>#N/A</v>
      </c>
      <c r="AT2422" t="e">
        <v>#N/A</v>
      </c>
    </row>
    <row r="2423" spans="42:46">
      <c r="AP2423">
        <v>194150</v>
      </c>
      <c r="AQ2423" t="e">
        <v>#N/A</v>
      </c>
      <c r="AR2423" t="e">
        <v>#N/A</v>
      </c>
      <c r="AS2423" t="e">
        <v>#N/A</v>
      </c>
      <c r="AT2423" t="e">
        <v>#N/A</v>
      </c>
    </row>
    <row r="2424" spans="42:46">
      <c r="AP2424">
        <v>194200</v>
      </c>
      <c r="AQ2424" t="e">
        <v>#N/A</v>
      </c>
      <c r="AR2424" t="e">
        <v>#N/A</v>
      </c>
      <c r="AS2424" t="e">
        <v>#N/A</v>
      </c>
      <c r="AT2424" t="e">
        <v>#N/A</v>
      </c>
    </row>
    <row r="2425" spans="42:46">
      <c r="AP2425">
        <v>194250</v>
      </c>
      <c r="AQ2425" t="e">
        <v>#N/A</v>
      </c>
      <c r="AR2425" t="e">
        <v>#N/A</v>
      </c>
      <c r="AS2425" t="e">
        <v>#N/A</v>
      </c>
      <c r="AT2425" t="e">
        <v>#N/A</v>
      </c>
    </row>
    <row r="2426" spans="42:46">
      <c r="AP2426">
        <v>194300</v>
      </c>
      <c r="AQ2426" t="e">
        <v>#N/A</v>
      </c>
      <c r="AR2426" t="e">
        <v>#N/A</v>
      </c>
      <c r="AS2426" t="e">
        <v>#N/A</v>
      </c>
      <c r="AT2426" t="e">
        <v>#N/A</v>
      </c>
    </row>
    <row r="2427" spans="42:46">
      <c r="AP2427">
        <v>194350</v>
      </c>
      <c r="AQ2427" t="e">
        <v>#N/A</v>
      </c>
      <c r="AR2427" t="e">
        <v>#N/A</v>
      </c>
      <c r="AS2427" t="e">
        <v>#N/A</v>
      </c>
      <c r="AT2427" t="e">
        <v>#N/A</v>
      </c>
    </row>
    <row r="2428" spans="42:46">
      <c r="AP2428">
        <v>194400</v>
      </c>
      <c r="AQ2428" t="e">
        <v>#N/A</v>
      </c>
      <c r="AR2428" t="e">
        <v>#N/A</v>
      </c>
      <c r="AS2428" t="e">
        <v>#N/A</v>
      </c>
      <c r="AT2428" t="e">
        <v>#N/A</v>
      </c>
    </row>
    <row r="2429" spans="42:46">
      <c r="AP2429">
        <v>194450</v>
      </c>
      <c r="AQ2429" t="e">
        <v>#N/A</v>
      </c>
      <c r="AR2429" t="e">
        <v>#N/A</v>
      </c>
      <c r="AS2429" t="e">
        <v>#N/A</v>
      </c>
      <c r="AT2429" t="e">
        <v>#N/A</v>
      </c>
    </row>
    <row r="2430" spans="42:46">
      <c r="AP2430">
        <v>194500</v>
      </c>
      <c r="AQ2430" t="e">
        <v>#N/A</v>
      </c>
      <c r="AR2430" t="e">
        <v>#N/A</v>
      </c>
      <c r="AS2430" t="e">
        <v>#N/A</v>
      </c>
      <c r="AT2430" t="e">
        <v>#N/A</v>
      </c>
    </row>
    <row r="2431" spans="42:46">
      <c r="AP2431">
        <v>194550</v>
      </c>
      <c r="AQ2431" t="e">
        <v>#N/A</v>
      </c>
      <c r="AR2431" t="e">
        <v>#N/A</v>
      </c>
      <c r="AS2431" t="e">
        <v>#N/A</v>
      </c>
      <c r="AT2431" t="e">
        <v>#N/A</v>
      </c>
    </row>
    <row r="2432" spans="42:46">
      <c r="AP2432">
        <v>194600</v>
      </c>
      <c r="AQ2432" t="e">
        <v>#N/A</v>
      </c>
      <c r="AR2432" t="e">
        <v>#N/A</v>
      </c>
      <c r="AS2432" t="e">
        <v>#N/A</v>
      </c>
      <c r="AT2432" t="e">
        <v>#N/A</v>
      </c>
    </row>
    <row r="2433" spans="42:46">
      <c r="AP2433">
        <v>194650</v>
      </c>
      <c r="AQ2433" t="e">
        <v>#N/A</v>
      </c>
      <c r="AR2433" t="e">
        <v>#N/A</v>
      </c>
      <c r="AS2433" t="e">
        <v>#N/A</v>
      </c>
      <c r="AT2433" t="e">
        <v>#N/A</v>
      </c>
    </row>
    <row r="2434" spans="42:46">
      <c r="AP2434">
        <v>194700</v>
      </c>
      <c r="AQ2434" t="e">
        <v>#N/A</v>
      </c>
      <c r="AR2434" t="e">
        <v>#N/A</v>
      </c>
      <c r="AS2434" t="e">
        <v>#N/A</v>
      </c>
      <c r="AT2434" t="e">
        <v>#N/A</v>
      </c>
    </row>
    <row r="2435" spans="42:46">
      <c r="AP2435">
        <v>194750</v>
      </c>
      <c r="AQ2435" t="e">
        <v>#N/A</v>
      </c>
      <c r="AR2435" t="e">
        <v>#N/A</v>
      </c>
      <c r="AS2435" t="e">
        <v>#N/A</v>
      </c>
      <c r="AT2435" t="e">
        <v>#N/A</v>
      </c>
    </row>
    <row r="2436" spans="42:46">
      <c r="AP2436">
        <v>194800</v>
      </c>
      <c r="AQ2436" t="e">
        <v>#N/A</v>
      </c>
      <c r="AR2436" t="e">
        <v>#N/A</v>
      </c>
      <c r="AS2436" t="e">
        <v>#N/A</v>
      </c>
      <c r="AT2436" t="e">
        <v>#N/A</v>
      </c>
    </row>
    <row r="2437" spans="42:46">
      <c r="AP2437">
        <v>194850</v>
      </c>
      <c r="AQ2437" t="e">
        <v>#N/A</v>
      </c>
      <c r="AR2437" t="e">
        <v>#N/A</v>
      </c>
      <c r="AS2437" t="e">
        <v>#N/A</v>
      </c>
      <c r="AT2437" t="e">
        <v>#N/A</v>
      </c>
    </row>
    <row r="2438" spans="42:46">
      <c r="AP2438">
        <v>194900</v>
      </c>
      <c r="AQ2438" t="e">
        <v>#N/A</v>
      </c>
      <c r="AR2438" t="e">
        <v>#N/A</v>
      </c>
      <c r="AS2438" t="e">
        <v>#N/A</v>
      </c>
      <c r="AT2438" t="e">
        <v>#N/A</v>
      </c>
    </row>
    <row r="2439" spans="42:46">
      <c r="AP2439">
        <v>194950</v>
      </c>
      <c r="AQ2439" t="e">
        <v>#N/A</v>
      </c>
      <c r="AR2439" t="e">
        <v>#N/A</v>
      </c>
      <c r="AS2439" t="e">
        <v>#N/A</v>
      </c>
      <c r="AT2439" t="e">
        <v>#N/A</v>
      </c>
    </row>
    <row r="2440" spans="42:46">
      <c r="AP2440">
        <v>195000</v>
      </c>
      <c r="AQ2440" t="e">
        <v>#N/A</v>
      </c>
      <c r="AR2440" t="e">
        <v>#N/A</v>
      </c>
      <c r="AS2440" t="e">
        <v>#N/A</v>
      </c>
      <c r="AT2440" t="e">
        <v>#N/A</v>
      </c>
    </row>
    <row r="2441" spans="42:46">
      <c r="AP2441">
        <v>195050</v>
      </c>
      <c r="AQ2441" t="e">
        <v>#N/A</v>
      </c>
      <c r="AR2441" t="e">
        <v>#N/A</v>
      </c>
      <c r="AS2441" t="e">
        <v>#N/A</v>
      </c>
      <c r="AT2441" t="e">
        <v>#N/A</v>
      </c>
    </row>
    <row r="2442" spans="42:46">
      <c r="AP2442">
        <v>195100</v>
      </c>
      <c r="AQ2442" t="e">
        <v>#N/A</v>
      </c>
      <c r="AR2442" t="e">
        <v>#N/A</v>
      </c>
      <c r="AS2442" t="e">
        <v>#N/A</v>
      </c>
      <c r="AT2442" t="e">
        <v>#N/A</v>
      </c>
    </row>
    <row r="2443" spans="42:46">
      <c r="AP2443">
        <v>195150</v>
      </c>
      <c r="AQ2443" t="e">
        <v>#N/A</v>
      </c>
      <c r="AR2443" t="e">
        <v>#N/A</v>
      </c>
      <c r="AS2443" t="e">
        <v>#N/A</v>
      </c>
      <c r="AT2443" t="e">
        <v>#N/A</v>
      </c>
    </row>
    <row r="2444" spans="42:46">
      <c r="AP2444">
        <v>195200</v>
      </c>
      <c r="AQ2444" t="e">
        <v>#N/A</v>
      </c>
      <c r="AR2444" t="e">
        <v>#N/A</v>
      </c>
      <c r="AS2444" t="e">
        <v>#N/A</v>
      </c>
      <c r="AT2444" t="e">
        <v>#N/A</v>
      </c>
    </row>
    <row r="2445" spans="42:46">
      <c r="AP2445">
        <v>195250</v>
      </c>
      <c r="AQ2445" t="e">
        <v>#N/A</v>
      </c>
      <c r="AR2445" t="e">
        <v>#N/A</v>
      </c>
      <c r="AS2445" t="e">
        <v>#N/A</v>
      </c>
      <c r="AT2445" t="e">
        <v>#N/A</v>
      </c>
    </row>
    <row r="2446" spans="42:46">
      <c r="AP2446">
        <v>195300</v>
      </c>
      <c r="AQ2446" t="e">
        <v>#N/A</v>
      </c>
      <c r="AR2446" t="e">
        <v>#N/A</v>
      </c>
      <c r="AS2446" t="e">
        <v>#N/A</v>
      </c>
      <c r="AT2446" t="e">
        <v>#N/A</v>
      </c>
    </row>
    <row r="2447" spans="42:46">
      <c r="AP2447">
        <v>195350</v>
      </c>
      <c r="AQ2447" t="e">
        <v>#N/A</v>
      </c>
      <c r="AR2447" t="e">
        <v>#N/A</v>
      </c>
      <c r="AS2447" t="e">
        <v>#N/A</v>
      </c>
      <c r="AT2447" t="e">
        <v>#N/A</v>
      </c>
    </row>
    <row r="2448" spans="42:46">
      <c r="AP2448">
        <v>195400</v>
      </c>
      <c r="AQ2448" t="e">
        <v>#N/A</v>
      </c>
      <c r="AR2448" t="e">
        <v>#N/A</v>
      </c>
      <c r="AS2448" t="e">
        <v>#N/A</v>
      </c>
      <c r="AT2448" t="e">
        <v>#N/A</v>
      </c>
    </row>
    <row r="2449" spans="42:46">
      <c r="AP2449">
        <v>195450</v>
      </c>
      <c r="AQ2449" t="e">
        <v>#N/A</v>
      </c>
      <c r="AR2449" t="e">
        <v>#N/A</v>
      </c>
      <c r="AS2449" t="e">
        <v>#N/A</v>
      </c>
      <c r="AT2449" t="e">
        <v>#N/A</v>
      </c>
    </row>
    <row r="2450" spans="42:46">
      <c r="AP2450">
        <v>195500</v>
      </c>
      <c r="AQ2450" t="e">
        <v>#N/A</v>
      </c>
      <c r="AR2450" t="e">
        <v>#N/A</v>
      </c>
      <c r="AS2450" t="e">
        <v>#N/A</v>
      </c>
      <c r="AT2450" t="e">
        <v>#N/A</v>
      </c>
    </row>
    <row r="2451" spans="42:46">
      <c r="AP2451">
        <v>195550</v>
      </c>
      <c r="AQ2451" t="e">
        <v>#N/A</v>
      </c>
      <c r="AR2451" t="e">
        <v>#N/A</v>
      </c>
      <c r="AS2451" t="e">
        <v>#N/A</v>
      </c>
      <c r="AT2451" t="e">
        <v>#N/A</v>
      </c>
    </row>
    <row r="2452" spans="42:46">
      <c r="AP2452">
        <v>195600</v>
      </c>
      <c r="AQ2452" t="e">
        <v>#N/A</v>
      </c>
      <c r="AR2452" t="e">
        <v>#N/A</v>
      </c>
      <c r="AS2452" t="e">
        <v>#N/A</v>
      </c>
      <c r="AT2452" t="e">
        <v>#N/A</v>
      </c>
    </row>
    <row r="2453" spans="42:46">
      <c r="AP2453">
        <v>195650</v>
      </c>
      <c r="AQ2453" t="e">
        <v>#N/A</v>
      </c>
      <c r="AR2453" t="e">
        <v>#N/A</v>
      </c>
      <c r="AS2453" t="e">
        <v>#N/A</v>
      </c>
      <c r="AT2453" t="e">
        <v>#N/A</v>
      </c>
    </row>
    <row r="2454" spans="42:46">
      <c r="AP2454">
        <v>195700</v>
      </c>
      <c r="AQ2454" t="e">
        <v>#N/A</v>
      </c>
      <c r="AR2454" t="e">
        <v>#N/A</v>
      </c>
      <c r="AS2454" t="e">
        <v>#N/A</v>
      </c>
      <c r="AT2454" t="e">
        <v>#N/A</v>
      </c>
    </row>
    <row r="2455" spans="42:46">
      <c r="AP2455">
        <v>195750</v>
      </c>
      <c r="AQ2455" t="e">
        <v>#N/A</v>
      </c>
      <c r="AR2455" t="e">
        <v>#N/A</v>
      </c>
      <c r="AS2455" t="e">
        <v>#N/A</v>
      </c>
      <c r="AT2455" t="e">
        <v>#N/A</v>
      </c>
    </row>
    <row r="2456" spans="42:46">
      <c r="AP2456">
        <v>195800</v>
      </c>
      <c r="AQ2456" t="e">
        <v>#N/A</v>
      </c>
      <c r="AR2456" t="e">
        <v>#N/A</v>
      </c>
      <c r="AS2456" t="e">
        <v>#N/A</v>
      </c>
      <c r="AT2456" t="e">
        <v>#N/A</v>
      </c>
    </row>
    <row r="2457" spans="42:46">
      <c r="AP2457">
        <v>195850</v>
      </c>
      <c r="AQ2457" t="e">
        <v>#N/A</v>
      </c>
      <c r="AR2457" t="e">
        <v>#N/A</v>
      </c>
      <c r="AS2457" t="e">
        <v>#N/A</v>
      </c>
      <c r="AT2457" t="e">
        <v>#N/A</v>
      </c>
    </row>
    <row r="2458" spans="42:46">
      <c r="AP2458">
        <v>195900</v>
      </c>
      <c r="AQ2458" t="e">
        <v>#N/A</v>
      </c>
      <c r="AR2458" t="e">
        <v>#N/A</v>
      </c>
      <c r="AS2458" t="e">
        <v>#N/A</v>
      </c>
      <c r="AT2458" t="e">
        <v>#N/A</v>
      </c>
    </row>
    <row r="2459" spans="42:46">
      <c r="AP2459">
        <v>195950</v>
      </c>
      <c r="AQ2459" t="e">
        <v>#N/A</v>
      </c>
      <c r="AR2459" t="e">
        <v>#N/A</v>
      </c>
      <c r="AS2459" t="e">
        <v>#N/A</v>
      </c>
      <c r="AT2459" t="e">
        <v>#N/A</v>
      </c>
    </row>
    <row r="2460" spans="42:46">
      <c r="AP2460">
        <v>196000</v>
      </c>
      <c r="AQ2460" t="e">
        <v>#N/A</v>
      </c>
      <c r="AR2460" t="e">
        <v>#N/A</v>
      </c>
      <c r="AS2460" t="e">
        <v>#N/A</v>
      </c>
      <c r="AT2460" t="e">
        <v>#N/A</v>
      </c>
    </row>
    <row r="2461" spans="42:46">
      <c r="AP2461">
        <v>196050</v>
      </c>
      <c r="AQ2461" t="e">
        <v>#N/A</v>
      </c>
      <c r="AR2461" t="e">
        <v>#N/A</v>
      </c>
      <c r="AS2461" t="e">
        <v>#N/A</v>
      </c>
      <c r="AT2461" t="e">
        <v>#N/A</v>
      </c>
    </row>
    <row r="2462" spans="42:46">
      <c r="AP2462">
        <v>196100</v>
      </c>
      <c r="AQ2462" t="e">
        <v>#N/A</v>
      </c>
      <c r="AR2462" t="e">
        <v>#N/A</v>
      </c>
      <c r="AS2462" t="e">
        <v>#N/A</v>
      </c>
      <c r="AT2462" t="e">
        <v>#N/A</v>
      </c>
    </row>
    <row r="2463" spans="42:46">
      <c r="AP2463">
        <v>196150</v>
      </c>
      <c r="AQ2463" t="e">
        <v>#N/A</v>
      </c>
      <c r="AR2463" t="e">
        <v>#N/A</v>
      </c>
      <c r="AS2463" t="e">
        <v>#N/A</v>
      </c>
      <c r="AT2463" t="e">
        <v>#N/A</v>
      </c>
    </row>
    <row r="2464" spans="42:46">
      <c r="AP2464">
        <v>196200</v>
      </c>
      <c r="AQ2464" t="e">
        <v>#N/A</v>
      </c>
      <c r="AR2464" t="e">
        <v>#N/A</v>
      </c>
      <c r="AS2464" t="e">
        <v>#N/A</v>
      </c>
      <c r="AT2464" t="e">
        <v>#N/A</v>
      </c>
    </row>
    <row r="2465" spans="42:46">
      <c r="AP2465">
        <v>196250</v>
      </c>
      <c r="AQ2465" t="e">
        <v>#N/A</v>
      </c>
      <c r="AR2465" t="e">
        <v>#N/A</v>
      </c>
      <c r="AS2465" t="e">
        <v>#N/A</v>
      </c>
      <c r="AT2465" t="e">
        <v>#N/A</v>
      </c>
    </row>
    <row r="2466" spans="42:46">
      <c r="AP2466">
        <v>196300</v>
      </c>
      <c r="AQ2466" t="e">
        <v>#N/A</v>
      </c>
      <c r="AR2466" t="e">
        <v>#N/A</v>
      </c>
      <c r="AS2466" t="e">
        <v>#N/A</v>
      </c>
      <c r="AT2466" t="e">
        <v>#N/A</v>
      </c>
    </row>
    <row r="2467" spans="42:46">
      <c r="AP2467">
        <v>196350</v>
      </c>
      <c r="AQ2467" t="e">
        <v>#N/A</v>
      </c>
      <c r="AR2467" t="e">
        <v>#N/A</v>
      </c>
      <c r="AS2467" t="e">
        <v>#N/A</v>
      </c>
      <c r="AT2467" t="e">
        <v>#N/A</v>
      </c>
    </row>
    <row r="2468" spans="42:46">
      <c r="AP2468">
        <v>196400</v>
      </c>
      <c r="AQ2468" t="e">
        <v>#N/A</v>
      </c>
      <c r="AR2468" t="e">
        <v>#N/A</v>
      </c>
      <c r="AS2468" t="e">
        <v>#N/A</v>
      </c>
      <c r="AT2468" t="e">
        <v>#N/A</v>
      </c>
    </row>
    <row r="2469" spans="42:46">
      <c r="AP2469">
        <v>196450</v>
      </c>
      <c r="AQ2469" t="e">
        <v>#N/A</v>
      </c>
      <c r="AR2469" t="e">
        <v>#N/A</v>
      </c>
      <c r="AS2469" t="e">
        <v>#N/A</v>
      </c>
      <c r="AT2469" t="e">
        <v>#N/A</v>
      </c>
    </row>
    <row r="2470" spans="42:46">
      <c r="AP2470">
        <v>196500</v>
      </c>
      <c r="AQ2470" t="e">
        <v>#N/A</v>
      </c>
      <c r="AR2470" t="e">
        <v>#N/A</v>
      </c>
      <c r="AS2470" t="e">
        <v>#N/A</v>
      </c>
      <c r="AT2470" t="e">
        <v>#N/A</v>
      </c>
    </row>
    <row r="2471" spans="42:46">
      <c r="AP2471">
        <v>196550</v>
      </c>
      <c r="AQ2471" t="e">
        <v>#N/A</v>
      </c>
      <c r="AR2471" t="e">
        <v>#N/A</v>
      </c>
      <c r="AS2471" t="e">
        <v>#N/A</v>
      </c>
      <c r="AT2471" t="e">
        <v>#N/A</v>
      </c>
    </row>
    <row r="2472" spans="42:46">
      <c r="AP2472">
        <v>196600</v>
      </c>
      <c r="AQ2472" t="e">
        <v>#N/A</v>
      </c>
      <c r="AR2472" t="e">
        <v>#N/A</v>
      </c>
      <c r="AS2472" t="e">
        <v>#N/A</v>
      </c>
      <c r="AT2472" t="e">
        <v>#N/A</v>
      </c>
    </row>
    <row r="2473" spans="42:46">
      <c r="AP2473">
        <v>196650</v>
      </c>
      <c r="AQ2473" t="e">
        <v>#N/A</v>
      </c>
      <c r="AR2473" t="e">
        <v>#N/A</v>
      </c>
      <c r="AS2473" t="e">
        <v>#N/A</v>
      </c>
      <c r="AT2473" t="e">
        <v>#N/A</v>
      </c>
    </row>
    <row r="2474" spans="42:46">
      <c r="AP2474">
        <v>196700</v>
      </c>
      <c r="AQ2474" t="e">
        <v>#N/A</v>
      </c>
      <c r="AR2474" t="e">
        <v>#N/A</v>
      </c>
      <c r="AS2474" t="e">
        <v>#N/A</v>
      </c>
      <c r="AT2474" t="e">
        <v>#N/A</v>
      </c>
    </row>
    <row r="2475" spans="42:46">
      <c r="AP2475">
        <v>196750</v>
      </c>
      <c r="AQ2475" t="e">
        <v>#N/A</v>
      </c>
      <c r="AR2475" t="e">
        <v>#N/A</v>
      </c>
      <c r="AS2475" t="e">
        <v>#N/A</v>
      </c>
      <c r="AT2475" t="e">
        <v>#N/A</v>
      </c>
    </row>
    <row r="2476" spans="42:46">
      <c r="AP2476">
        <v>196800</v>
      </c>
      <c r="AQ2476" t="e">
        <v>#N/A</v>
      </c>
      <c r="AR2476" t="e">
        <v>#N/A</v>
      </c>
      <c r="AS2476" t="e">
        <v>#N/A</v>
      </c>
      <c r="AT2476" t="e">
        <v>#N/A</v>
      </c>
    </row>
    <row r="2477" spans="42:46">
      <c r="AP2477">
        <v>196850</v>
      </c>
      <c r="AQ2477" t="e">
        <v>#N/A</v>
      </c>
      <c r="AR2477" t="e">
        <v>#N/A</v>
      </c>
      <c r="AS2477" t="e">
        <v>#N/A</v>
      </c>
      <c r="AT2477" t="e">
        <v>#N/A</v>
      </c>
    </row>
    <row r="2478" spans="42:46">
      <c r="AP2478">
        <v>196900</v>
      </c>
      <c r="AQ2478" t="e">
        <v>#N/A</v>
      </c>
      <c r="AR2478" t="e">
        <v>#N/A</v>
      </c>
      <c r="AS2478" t="e">
        <v>#N/A</v>
      </c>
      <c r="AT2478" t="e">
        <v>#N/A</v>
      </c>
    </row>
    <row r="2479" spans="42:46">
      <c r="AP2479">
        <v>196950</v>
      </c>
      <c r="AQ2479" t="e">
        <v>#N/A</v>
      </c>
      <c r="AR2479" t="e">
        <v>#N/A</v>
      </c>
      <c r="AS2479" t="e">
        <v>#N/A</v>
      </c>
      <c r="AT2479" t="e">
        <v>#N/A</v>
      </c>
    </row>
    <row r="2480" spans="42:46">
      <c r="AP2480">
        <v>197000</v>
      </c>
      <c r="AQ2480" t="e">
        <v>#N/A</v>
      </c>
      <c r="AR2480" t="e">
        <v>#N/A</v>
      </c>
      <c r="AS2480" t="e">
        <v>#N/A</v>
      </c>
      <c r="AT2480" t="e">
        <v>#N/A</v>
      </c>
    </row>
    <row r="2481" spans="42:46">
      <c r="AP2481">
        <v>197050</v>
      </c>
      <c r="AQ2481" t="e">
        <v>#N/A</v>
      </c>
      <c r="AR2481" t="e">
        <v>#N/A</v>
      </c>
      <c r="AS2481" t="e">
        <v>#N/A</v>
      </c>
      <c r="AT2481" t="e">
        <v>#N/A</v>
      </c>
    </row>
    <row r="2482" spans="42:46">
      <c r="AP2482">
        <v>197100</v>
      </c>
      <c r="AQ2482" t="e">
        <v>#N/A</v>
      </c>
      <c r="AR2482" t="e">
        <v>#N/A</v>
      </c>
      <c r="AS2482" t="e">
        <v>#N/A</v>
      </c>
      <c r="AT2482" t="e">
        <v>#N/A</v>
      </c>
    </row>
    <row r="2483" spans="42:46">
      <c r="AP2483">
        <v>197150</v>
      </c>
      <c r="AQ2483" t="e">
        <v>#N/A</v>
      </c>
      <c r="AR2483" t="e">
        <v>#N/A</v>
      </c>
      <c r="AS2483" t="e">
        <v>#N/A</v>
      </c>
      <c r="AT2483" t="e">
        <v>#N/A</v>
      </c>
    </row>
    <row r="2484" spans="42:46">
      <c r="AP2484">
        <v>197200</v>
      </c>
      <c r="AQ2484" t="e">
        <v>#N/A</v>
      </c>
      <c r="AR2484" t="e">
        <v>#N/A</v>
      </c>
      <c r="AS2484" t="e">
        <v>#N/A</v>
      </c>
      <c r="AT2484" t="e">
        <v>#N/A</v>
      </c>
    </row>
    <row r="2485" spans="42:46">
      <c r="AP2485">
        <v>197250</v>
      </c>
      <c r="AQ2485" t="e">
        <v>#N/A</v>
      </c>
      <c r="AR2485" t="e">
        <v>#N/A</v>
      </c>
      <c r="AS2485" t="e">
        <v>#N/A</v>
      </c>
      <c r="AT2485" t="e">
        <v>#N/A</v>
      </c>
    </row>
    <row r="2486" spans="42:46">
      <c r="AP2486">
        <v>197300</v>
      </c>
      <c r="AQ2486" t="e">
        <v>#N/A</v>
      </c>
      <c r="AR2486" t="e">
        <v>#N/A</v>
      </c>
      <c r="AS2486" t="e">
        <v>#N/A</v>
      </c>
      <c r="AT2486" t="e">
        <v>#N/A</v>
      </c>
    </row>
    <row r="2487" spans="42:46">
      <c r="AP2487">
        <v>197350</v>
      </c>
      <c r="AQ2487" t="e">
        <v>#N/A</v>
      </c>
      <c r="AR2487" t="e">
        <v>#N/A</v>
      </c>
      <c r="AS2487" t="e">
        <v>#N/A</v>
      </c>
      <c r="AT2487" t="e">
        <v>#N/A</v>
      </c>
    </row>
    <row r="2488" spans="42:46">
      <c r="AP2488">
        <v>197400</v>
      </c>
      <c r="AQ2488" t="e">
        <v>#N/A</v>
      </c>
      <c r="AR2488" t="e">
        <v>#N/A</v>
      </c>
      <c r="AS2488" t="e">
        <v>#N/A</v>
      </c>
      <c r="AT2488" t="e">
        <v>#N/A</v>
      </c>
    </row>
    <row r="2489" spans="42:46">
      <c r="AP2489">
        <v>197450</v>
      </c>
      <c r="AQ2489" t="e">
        <v>#N/A</v>
      </c>
      <c r="AR2489" t="e">
        <v>#N/A</v>
      </c>
      <c r="AS2489" t="e">
        <v>#N/A</v>
      </c>
      <c r="AT2489" t="e">
        <v>#N/A</v>
      </c>
    </row>
    <row r="2490" spans="42:46">
      <c r="AP2490">
        <v>197500</v>
      </c>
      <c r="AQ2490" t="e">
        <v>#N/A</v>
      </c>
      <c r="AR2490" t="e">
        <v>#N/A</v>
      </c>
      <c r="AS2490" t="e">
        <v>#N/A</v>
      </c>
      <c r="AT2490" t="e">
        <v>#N/A</v>
      </c>
    </row>
    <row r="2491" spans="42:46">
      <c r="AP2491">
        <v>197550</v>
      </c>
      <c r="AQ2491" t="e">
        <v>#N/A</v>
      </c>
      <c r="AR2491" t="e">
        <v>#N/A</v>
      </c>
      <c r="AS2491" t="e">
        <v>#N/A</v>
      </c>
      <c r="AT2491" t="e">
        <v>#N/A</v>
      </c>
    </row>
    <row r="2492" spans="42:46">
      <c r="AP2492">
        <v>197600</v>
      </c>
      <c r="AQ2492" t="e">
        <v>#N/A</v>
      </c>
      <c r="AR2492" t="e">
        <v>#N/A</v>
      </c>
      <c r="AS2492" t="e">
        <v>#N/A</v>
      </c>
      <c r="AT2492" t="e">
        <v>#N/A</v>
      </c>
    </row>
    <row r="2493" spans="42:46">
      <c r="AP2493">
        <v>197650</v>
      </c>
      <c r="AQ2493" t="e">
        <v>#N/A</v>
      </c>
      <c r="AR2493" t="e">
        <v>#N/A</v>
      </c>
      <c r="AS2493" t="e">
        <v>#N/A</v>
      </c>
      <c r="AT2493" t="e">
        <v>#N/A</v>
      </c>
    </row>
    <row r="2494" spans="42:46">
      <c r="AP2494">
        <v>197700</v>
      </c>
      <c r="AQ2494" t="e">
        <v>#N/A</v>
      </c>
      <c r="AR2494" t="e">
        <v>#N/A</v>
      </c>
      <c r="AS2494" t="e">
        <v>#N/A</v>
      </c>
      <c r="AT2494" t="e">
        <v>#N/A</v>
      </c>
    </row>
    <row r="2495" spans="42:46">
      <c r="AP2495">
        <v>197750</v>
      </c>
      <c r="AQ2495" t="e">
        <v>#N/A</v>
      </c>
      <c r="AR2495" t="e">
        <v>#N/A</v>
      </c>
      <c r="AS2495" t="e">
        <v>#N/A</v>
      </c>
      <c r="AT2495" t="e">
        <v>#N/A</v>
      </c>
    </row>
    <row r="2496" spans="42:46">
      <c r="AP2496">
        <v>197800</v>
      </c>
      <c r="AQ2496" t="e">
        <v>#N/A</v>
      </c>
      <c r="AR2496" t="e">
        <v>#N/A</v>
      </c>
      <c r="AS2496" t="e">
        <v>#N/A</v>
      </c>
      <c r="AT2496" t="e">
        <v>#N/A</v>
      </c>
    </row>
    <row r="2497" spans="42:46">
      <c r="AP2497">
        <v>197850</v>
      </c>
      <c r="AQ2497" t="e">
        <v>#N/A</v>
      </c>
      <c r="AR2497" t="e">
        <v>#N/A</v>
      </c>
      <c r="AS2497" t="e">
        <v>#N/A</v>
      </c>
      <c r="AT2497" t="e">
        <v>#N/A</v>
      </c>
    </row>
    <row r="2498" spans="42:46">
      <c r="AP2498">
        <v>197900</v>
      </c>
      <c r="AQ2498" t="e">
        <v>#N/A</v>
      </c>
      <c r="AR2498" t="e">
        <v>#N/A</v>
      </c>
      <c r="AS2498" t="e">
        <v>#N/A</v>
      </c>
      <c r="AT2498" t="e">
        <v>#N/A</v>
      </c>
    </row>
    <row r="2499" spans="42:46">
      <c r="AP2499">
        <v>197950</v>
      </c>
      <c r="AQ2499" t="e">
        <v>#N/A</v>
      </c>
      <c r="AR2499" t="e">
        <v>#N/A</v>
      </c>
      <c r="AS2499" t="e">
        <v>#N/A</v>
      </c>
      <c r="AT2499" t="e">
        <v>#N/A</v>
      </c>
    </row>
    <row r="2500" spans="42:46">
      <c r="AP2500">
        <v>198000</v>
      </c>
      <c r="AQ2500" t="e">
        <v>#N/A</v>
      </c>
      <c r="AR2500" t="e">
        <v>#N/A</v>
      </c>
      <c r="AS2500" t="e">
        <v>#N/A</v>
      </c>
      <c r="AT2500" t="e">
        <v>#N/A</v>
      </c>
    </row>
    <row r="2501" spans="42:46">
      <c r="AP2501">
        <v>198050</v>
      </c>
      <c r="AQ2501" t="e">
        <v>#N/A</v>
      </c>
      <c r="AR2501" t="e">
        <v>#N/A</v>
      </c>
      <c r="AS2501" t="e">
        <v>#N/A</v>
      </c>
      <c r="AT2501" t="e">
        <v>#N/A</v>
      </c>
    </row>
    <row r="2502" spans="42:46">
      <c r="AP2502">
        <v>198100</v>
      </c>
      <c r="AQ2502" t="e">
        <v>#N/A</v>
      </c>
      <c r="AR2502" t="e">
        <v>#N/A</v>
      </c>
      <c r="AS2502" t="e">
        <v>#N/A</v>
      </c>
      <c r="AT2502" t="e">
        <v>#N/A</v>
      </c>
    </row>
    <row r="2503" spans="42:46">
      <c r="AP2503">
        <v>198150</v>
      </c>
      <c r="AQ2503" t="e">
        <v>#N/A</v>
      </c>
      <c r="AR2503" t="e">
        <v>#N/A</v>
      </c>
      <c r="AS2503" t="e">
        <v>#N/A</v>
      </c>
      <c r="AT2503" t="e">
        <v>#N/A</v>
      </c>
    </row>
    <row r="2504" spans="42:46">
      <c r="AP2504">
        <v>198200</v>
      </c>
      <c r="AQ2504" t="e">
        <v>#N/A</v>
      </c>
      <c r="AR2504" t="e">
        <v>#N/A</v>
      </c>
      <c r="AS2504" t="e">
        <v>#N/A</v>
      </c>
      <c r="AT2504" t="e">
        <v>#N/A</v>
      </c>
    </row>
    <row r="2505" spans="42:46">
      <c r="AP2505">
        <v>198250</v>
      </c>
      <c r="AQ2505" t="e">
        <v>#N/A</v>
      </c>
      <c r="AR2505" t="e">
        <v>#N/A</v>
      </c>
      <c r="AS2505" t="e">
        <v>#N/A</v>
      </c>
      <c r="AT2505" t="e">
        <v>#N/A</v>
      </c>
    </row>
    <row r="2506" spans="42:46">
      <c r="AP2506">
        <v>198300</v>
      </c>
      <c r="AQ2506" t="e">
        <v>#N/A</v>
      </c>
      <c r="AR2506" t="e">
        <v>#N/A</v>
      </c>
      <c r="AS2506" t="e">
        <v>#N/A</v>
      </c>
      <c r="AT2506" t="e">
        <v>#N/A</v>
      </c>
    </row>
    <row r="2507" spans="42:46">
      <c r="AP2507">
        <v>198350</v>
      </c>
      <c r="AQ2507" t="e">
        <v>#N/A</v>
      </c>
      <c r="AR2507" t="e">
        <v>#N/A</v>
      </c>
      <c r="AS2507" t="e">
        <v>#N/A</v>
      </c>
      <c r="AT2507" t="e">
        <v>#N/A</v>
      </c>
    </row>
    <row r="2508" spans="42:46">
      <c r="AP2508">
        <v>198400</v>
      </c>
      <c r="AQ2508" t="e">
        <v>#N/A</v>
      </c>
      <c r="AR2508" t="e">
        <v>#N/A</v>
      </c>
      <c r="AS2508" t="e">
        <v>#N/A</v>
      </c>
      <c r="AT2508" t="e">
        <v>#N/A</v>
      </c>
    </row>
    <row r="2509" spans="42:46">
      <c r="AP2509">
        <v>198450</v>
      </c>
      <c r="AQ2509" t="e">
        <v>#N/A</v>
      </c>
      <c r="AR2509" t="e">
        <v>#N/A</v>
      </c>
      <c r="AS2509" t="e">
        <v>#N/A</v>
      </c>
      <c r="AT2509" t="e">
        <v>#N/A</v>
      </c>
    </row>
    <row r="2510" spans="42:46">
      <c r="AP2510">
        <v>198500</v>
      </c>
      <c r="AQ2510" t="e">
        <v>#N/A</v>
      </c>
      <c r="AR2510" t="e">
        <v>#N/A</v>
      </c>
      <c r="AS2510" t="e">
        <v>#N/A</v>
      </c>
      <c r="AT2510" t="e">
        <v>#N/A</v>
      </c>
    </row>
    <row r="2511" spans="42:46">
      <c r="AP2511">
        <v>198550</v>
      </c>
      <c r="AQ2511" t="e">
        <v>#N/A</v>
      </c>
      <c r="AR2511" t="e">
        <v>#N/A</v>
      </c>
      <c r="AS2511" t="e">
        <v>#N/A</v>
      </c>
      <c r="AT2511" t="e">
        <v>#N/A</v>
      </c>
    </row>
    <row r="2512" spans="42:46">
      <c r="AP2512">
        <v>198600</v>
      </c>
      <c r="AQ2512" t="e">
        <v>#N/A</v>
      </c>
      <c r="AR2512" t="e">
        <v>#N/A</v>
      </c>
      <c r="AS2512" t="e">
        <v>#N/A</v>
      </c>
      <c r="AT2512" t="e">
        <v>#N/A</v>
      </c>
    </row>
    <row r="2513" spans="42:46">
      <c r="AP2513">
        <v>198650</v>
      </c>
      <c r="AQ2513" t="e">
        <v>#N/A</v>
      </c>
      <c r="AR2513" t="e">
        <v>#N/A</v>
      </c>
      <c r="AS2513" t="e">
        <v>#N/A</v>
      </c>
      <c r="AT2513" t="e">
        <v>#N/A</v>
      </c>
    </row>
    <row r="2514" spans="42:46">
      <c r="AP2514">
        <v>198700</v>
      </c>
      <c r="AQ2514" t="e">
        <v>#N/A</v>
      </c>
      <c r="AR2514" t="e">
        <v>#N/A</v>
      </c>
      <c r="AS2514" t="e">
        <v>#N/A</v>
      </c>
      <c r="AT2514" t="e">
        <v>#N/A</v>
      </c>
    </row>
    <row r="2515" spans="42:46">
      <c r="AP2515">
        <v>198750</v>
      </c>
      <c r="AQ2515" t="e">
        <v>#N/A</v>
      </c>
      <c r="AR2515" t="e">
        <v>#N/A</v>
      </c>
      <c r="AS2515" t="e">
        <v>#N/A</v>
      </c>
      <c r="AT2515" t="e">
        <v>#N/A</v>
      </c>
    </row>
    <row r="2516" spans="42:46">
      <c r="AP2516">
        <v>198800</v>
      </c>
      <c r="AQ2516" t="e">
        <v>#N/A</v>
      </c>
      <c r="AR2516" t="e">
        <v>#N/A</v>
      </c>
      <c r="AS2516" t="e">
        <v>#N/A</v>
      </c>
      <c r="AT2516" t="e">
        <v>#N/A</v>
      </c>
    </row>
    <row r="2517" spans="42:46">
      <c r="AP2517">
        <v>198850</v>
      </c>
      <c r="AQ2517" t="e">
        <v>#N/A</v>
      </c>
      <c r="AR2517" t="e">
        <v>#N/A</v>
      </c>
      <c r="AS2517" t="e">
        <v>#N/A</v>
      </c>
      <c r="AT2517" t="e">
        <v>#N/A</v>
      </c>
    </row>
    <row r="2518" spans="42:46">
      <c r="AP2518">
        <v>198900</v>
      </c>
      <c r="AQ2518" t="e">
        <v>#N/A</v>
      </c>
      <c r="AR2518" t="e">
        <v>#N/A</v>
      </c>
      <c r="AS2518" t="e">
        <v>#N/A</v>
      </c>
      <c r="AT2518" t="e">
        <v>#N/A</v>
      </c>
    </row>
    <row r="2519" spans="42:46">
      <c r="AP2519">
        <v>198950</v>
      </c>
      <c r="AQ2519" t="e">
        <v>#N/A</v>
      </c>
      <c r="AR2519" t="e">
        <v>#N/A</v>
      </c>
      <c r="AS2519" t="e">
        <v>#N/A</v>
      </c>
      <c r="AT2519" t="e">
        <v>#N/A</v>
      </c>
    </row>
    <row r="2520" spans="42:46">
      <c r="AP2520">
        <v>199000</v>
      </c>
      <c r="AQ2520" t="e">
        <v>#N/A</v>
      </c>
      <c r="AR2520" t="e">
        <v>#N/A</v>
      </c>
      <c r="AS2520" t="e">
        <v>#N/A</v>
      </c>
      <c r="AT2520" t="e">
        <v>#N/A</v>
      </c>
    </row>
    <row r="2521" spans="42:46">
      <c r="AP2521">
        <v>199050</v>
      </c>
      <c r="AQ2521" t="e">
        <v>#N/A</v>
      </c>
      <c r="AR2521" t="e">
        <v>#N/A</v>
      </c>
      <c r="AS2521" t="e">
        <v>#N/A</v>
      </c>
      <c r="AT2521" t="e">
        <v>#N/A</v>
      </c>
    </row>
    <row r="2522" spans="42:46">
      <c r="AP2522">
        <v>199100</v>
      </c>
      <c r="AQ2522" t="e">
        <v>#N/A</v>
      </c>
      <c r="AR2522" t="e">
        <v>#N/A</v>
      </c>
      <c r="AS2522" t="e">
        <v>#N/A</v>
      </c>
      <c r="AT2522" t="e">
        <v>#N/A</v>
      </c>
    </row>
    <row r="2523" spans="42:46">
      <c r="AP2523">
        <v>199150</v>
      </c>
      <c r="AQ2523" t="e">
        <v>#N/A</v>
      </c>
      <c r="AR2523" t="e">
        <v>#N/A</v>
      </c>
      <c r="AS2523" t="e">
        <v>#N/A</v>
      </c>
      <c r="AT2523" t="e">
        <v>#N/A</v>
      </c>
    </row>
    <row r="2524" spans="42:46">
      <c r="AP2524">
        <v>199200</v>
      </c>
      <c r="AQ2524" t="e">
        <v>#N/A</v>
      </c>
      <c r="AR2524" t="e">
        <v>#N/A</v>
      </c>
      <c r="AS2524" t="e">
        <v>#N/A</v>
      </c>
      <c r="AT2524" t="e">
        <v>#N/A</v>
      </c>
    </row>
    <row r="2525" spans="42:46">
      <c r="AP2525">
        <v>199250</v>
      </c>
      <c r="AQ2525" t="e">
        <v>#N/A</v>
      </c>
      <c r="AR2525" t="e">
        <v>#N/A</v>
      </c>
      <c r="AS2525" t="e">
        <v>#N/A</v>
      </c>
      <c r="AT2525" t="e">
        <v>#N/A</v>
      </c>
    </row>
    <row r="2526" spans="42:46">
      <c r="AP2526">
        <v>199300</v>
      </c>
      <c r="AQ2526" t="e">
        <v>#N/A</v>
      </c>
      <c r="AR2526" t="e">
        <v>#N/A</v>
      </c>
      <c r="AS2526" t="e">
        <v>#N/A</v>
      </c>
      <c r="AT2526" t="e">
        <v>#N/A</v>
      </c>
    </row>
    <row r="2527" spans="42:46">
      <c r="AP2527">
        <v>199350</v>
      </c>
      <c r="AQ2527" t="e">
        <v>#N/A</v>
      </c>
      <c r="AR2527" t="e">
        <v>#N/A</v>
      </c>
      <c r="AS2527" t="e">
        <v>#N/A</v>
      </c>
      <c r="AT2527" t="e">
        <v>#N/A</v>
      </c>
    </row>
    <row r="2528" spans="42:46">
      <c r="AP2528">
        <v>199400</v>
      </c>
      <c r="AQ2528" t="e">
        <v>#N/A</v>
      </c>
      <c r="AR2528" t="e">
        <v>#N/A</v>
      </c>
      <c r="AS2528" t="e">
        <v>#N/A</v>
      </c>
      <c r="AT2528" t="e">
        <v>#N/A</v>
      </c>
    </row>
    <row r="2529" spans="42:46">
      <c r="AP2529">
        <v>199450</v>
      </c>
      <c r="AQ2529" t="e">
        <v>#N/A</v>
      </c>
      <c r="AR2529" t="e">
        <v>#N/A</v>
      </c>
      <c r="AS2529" t="e">
        <v>#N/A</v>
      </c>
      <c r="AT2529" t="e">
        <v>#N/A</v>
      </c>
    </row>
    <row r="2530" spans="42:46">
      <c r="AP2530">
        <v>199500</v>
      </c>
      <c r="AQ2530" t="e">
        <v>#N/A</v>
      </c>
      <c r="AR2530" t="e">
        <v>#N/A</v>
      </c>
      <c r="AS2530" t="e">
        <v>#N/A</v>
      </c>
      <c r="AT2530" t="e">
        <v>#N/A</v>
      </c>
    </row>
    <row r="2531" spans="42:46">
      <c r="AP2531">
        <v>199550</v>
      </c>
      <c r="AQ2531" t="e">
        <v>#N/A</v>
      </c>
      <c r="AR2531" t="e">
        <v>#N/A</v>
      </c>
      <c r="AS2531" t="e">
        <v>#N/A</v>
      </c>
      <c r="AT2531" t="e">
        <v>#N/A</v>
      </c>
    </row>
    <row r="2532" spans="42:46">
      <c r="AP2532">
        <v>199600</v>
      </c>
      <c r="AQ2532" t="e">
        <v>#N/A</v>
      </c>
      <c r="AR2532" t="e">
        <v>#N/A</v>
      </c>
      <c r="AS2532" t="e">
        <v>#N/A</v>
      </c>
      <c r="AT2532" t="e">
        <v>#N/A</v>
      </c>
    </row>
    <row r="2533" spans="42:46">
      <c r="AP2533">
        <v>199650</v>
      </c>
      <c r="AQ2533" t="e">
        <v>#N/A</v>
      </c>
      <c r="AR2533" t="e">
        <v>#N/A</v>
      </c>
      <c r="AS2533" t="e">
        <v>#N/A</v>
      </c>
      <c r="AT2533" t="e">
        <v>#N/A</v>
      </c>
    </row>
    <row r="2534" spans="42:46">
      <c r="AP2534">
        <v>199700</v>
      </c>
      <c r="AQ2534" t="e">
        <v>#N/A</v>
      </c>
      <c r="AR2534" t="e">
        <v>#N/A</v>
      </c>
      <c r="AS2534" t="e">
        <v>#N/A</v>
      </c>
      <c r="AT2534" t="e">
        <v>#N/A</v>
      </c>
    </row>
    <row r="2535" spans="42:46">
      <c r="AP2535">
        <v>199750</v>
      </c>
      <c r="AQ2535" t="e">
        <v>#N/A</v>
      </c>
      <c r="AR2535" t="e">
        <v>#N/A</v>
      </c>
      <c r="AS2535" t="e">
        <v>#N/A</v>
      </c>
      <c r="AT2535" t="e">
        <v>#N/A</v>
      </c>
    </row>
    <row r="2536" spans="42:46">
      <c r="AP2536">
        <v>199800</v>
      </c>
      <c r="AQ2536" t="e">
        <v>#N/A</v>
      </c>
      <c r="AR2536" t="e">
        <v>#N/A</v>
      </c>
      <c r="AS2536" t="e">
        <v>#N/A</v>
      </c>
      <c r="AT2536" t="e">
        <v>#N/A</v>
      </c>
    </row>
    <row r="2537" spans="42:46">
      <c r="AP2537">
        <v>199850</v>
      </c>
      <c r="AQ2537" t="e">
        <v>#N/A</v>
      </c>
      <c r="AR2537" t="e">
        <v>#N/A</v>
      </c>
      <c r="AS2537" t="e">
        <v>#N/A</v>
      </c>
      <c r="AT2537" t="e">
        <v>#N/A</v>
      </c>
    </row>
    <row r="2538" spans="42:46">
      <c r="AP2538">
        <v>199900</v>
      </c>
      <c r="AQ2538" t="e">
        <v>#N/A</v>
      </c>
      <c r="AR2538" t="e">
        <v>#N/A</v>
      </c>
      <c r="AS2538" t="e">
        <v>#N/A</v>
      </c>
      <c r="AT2538" t="e">
        <v>#N/A</v>
      </c>
    </row>
    <row r="2539" spans="42:46">
      <c r="AP2539">
        <v>199950</v>
      </c>
      <c r="AQ2539" t="e">
        <v>#N/A</v>
      </c>
      <c r="AR2539" t="e">
        <v>#N/A</v>
      </c>
      <c r="AS2539" t="e">
        <v>#N/A</v>
      </c>
      <c r="AT2539" t="e">
        <v>#N/A</v>
      </c>
    </row>
    <row r="2540" spans="42:46">
      <c r="AP2540">
        <v>200000</v>
      </c>
      <c r="AQ2540" t="e">
        <v>#N/A</v>
      </c>
      <c r="AR2540" t="e">
        <v>#N/A</v>
      </c>
      <c r="AS2540" t="e">
        <v>#N/A</v>
      </c>
      <c r="AT2540" t="e">
        <v>#N/A</v>
      </c>
    </row>
    <row r="2541" spans="42:46">
      <c r="AP2541">
        <v>200050</v>
      </c>
      <c r="AQ2541" t="e">
        <v>#N/A</v>
      </c>
      <c r="AR2541" t="e">
        <v>#N/A</v>
      </c>
      <c r="AS2541" t="e">
        <v>#N/A</v>
      </c>
      <c r="AT2541" t="e">
        <v>#N/A</v>
      </c>
    </row>
    <row r="2542" spans="42:46">
      <c r="AP2542">
        <v>200100</v>
      </c>
      <c r="AQ2542" t="e">
        <v>#N/A</v>
      </c>
      <c r="AR2542" t="e">
        <v>#N/A</v>
      </c>
      <c r="AS2542" t="e">
        <v>#N/A</v>
      </c>
      <c r="AT2542" t="e">
        <v>#N/A</v>
      </c>
    </row>
    <row r="2543" spans="42:46">
      <c r="AP2543">
        <v>200150</v>
      </c>
      <c r="AQ2543" t="e">
        <v>#N/A</v>
      </c>
      <c r="AR2543" t="e">
        <v>#N/A</v>
      </c>
      <c r="AS2543" t="e">
        <v>#N/A</v>
      </c>
      <c r="AT2543" t="e">
        <v>#N/A</v>
      </c>
    </row>
    <row r="2544" spans="42:46">
      <c r="AP2544">
        <v>200200</v>
      </c>
      <c r="AQ2544" t="e">
        <v>#N/A</v>
      </c>
      <c r="AR2544" t="e">
        <v>#N/A</v>
      </c>
      <c r="AS2544" t="e">
        <v>#N/A</v>
      </c>
      <c r="AT2544" t="e">
        <v>#N/A</v>
      </c>
    </row>
    <row r="2545" spans="42:46">
      <c r="AP2545">
        <v>200250</v>
      </c>
      <c r="AQ2545" t="e">
        <v>#N/A</v>
      </c>
      <c r="AR2545" t="e">
        <v>#N/A</v>
      </c>
      <c r="AS2545" t="e">
        <v>#N/A</v>
      </c>
      <c r="AT2545" t="e">
        <v>#N/A</v>
      </c>
    </row>
    <row r="2546" spans="42:46">
      <c r="AP2546">
        <v>200300</v>
      </c>
      <c r="AQ2546" t="e">
        <v>#N/A</v>
      </c>
      <c r="AR2546" t="e">
        <v>#N/A</v>
      </c>
      <c r="AS2546" t="e">
        <v>#N/A</v>
      </c>
      <c r="AT2546" t="e">
        <v>#N/A</v>
      </c>
    </row>
    <row r="2547" spans="42:46">
      <c r="AP2547">
        <v>200350</v>
      </c>
      <c r="AQ2547" t="e">
        <v>#N/A</v>
      </c>
      <c r="AR2547" t="e">
        <v>#N/A</v>
      </c>
      <c r="AS2547" t="e">
        <v>#N/A</v>
      </c>
      <c r="AT2547" t="e">
        <v>#N/A</v>
      </c>
    </row>
    <row r="2548" spans="42:46">
      <c r="AP2548">
        <v>200400</v>
      </c>
      <c r="AQ2548" t="e">
        <v>#N/A</v>
      </c>
      <c r="AR2548" t="e">
        <v>#N/A</v>
      </c>
      <c r="AS2548" t="e">
        <v>#N/A</v>
      </c>
      <c r="AT2548" t="e">
        <v>#N/A</v>
      </c>
    </row>
    <row r="2549" spans="42:46">
      <c r="AP2549">
        <v>200450</v>
      </c>
      <c r="AQ2549" t="e">
        <v>#N/A</v>
      </c>
      <c r="AR2549" t="e">
        <v>#N/A</v>
      </c>
      <c r="AS2549" t="e">
        <v>#N/A</v>
      </c>
      <c r="AT2549" t="e">
        <v>#N/A</v>
      </c>
    </row>
    <row r="2550" spans="42:46">
      <c r="AP2550">
        <v>200500</v>
      </c>
      <c r="AQ2550" t="e">
        <v>#N/A</v>
      </c>
      <c r="AR2550" t="e">
        <v>#N/A</v>
      </c>
      <c r="AS2550" t="e">
        <v>#N/A</v>
      </c>
      <c r="AT2550" t="e">
        <v>#N/A</v>
      </c>
    </row>
    <row r="2551" spans="42:46">
      <c r="AP2551">
        <v>200550</v>
      </c>
      <c r="AQ2551" t="e">
        <v>#N/A</v>
      </c>
      <c r="AR2551" t="e">
        <v>#N/A</v>
      </c>
      <c r="AS2551" t="e">
        <v>#N/A</v>
      </c>
      <c r="AT2551" t="e">
        <v>#N/A</v>
      </c>
    </row>
    <row r="2552" spans="42:46">
      <c r="AP2552">
        <v>200600</v>
      </c>
      <c r="AQ2552" t="e">
        <v>#N/A</v>
      </c>
      <c r="AR2552" t="e">
        <v>#N/A</v>
      </c>
      <c r="AS2552" t="e">
        <v>#N/A</v>
      </c>
      <c r="AT2552" t="e">
        <v>#N/A</v>
      </c>
    </row>
    <row r="2553" spans="42:46">
      <c r="AP2553">
        <v>200650</v>
      </c>
      <c r="AQ2553" t="e">
        <v>#N/A</v>
      </c>
      <c r="AR2553" t="e">
        <v>#N/A</v>
      </c>
      <c r="AS2553" t="e">
        <v>#N/A</v>
      </c>
      <c r="AT2553" t="e">
        <v>#N/A</v>
      </c>
    </row>
    <row r="2554" spans="42:46">
      <c r="AP2554">
        <v>200700</v>
      </c>
      <c r="AQ2554" t="e">
        <v>#N/A</v>
      </c>
      <c r="AR2554" t="e">
        <v>#N/A</v>
      </c>
      <c r="AS2554" t="e">
        <v>#N/A</v>
      </c>
      <c r="AT2554" t="e">
        <v>#N/A</v>
      </c>
    </row>
    <row r="2555" spans="42:46">
      <c r="AP2555">
        <v>200750</v>
      </c>
      <c r="AQ2555" t="e">
        <v>#N/A</v>
      </c>
      <c r="AR2555" t="e">
        <v>#N/A</v>
      </c>
      <c r="AS2555" t="e">
        <v>#N/A</v>
      </c>
      <c r="AT2555" t="e">
        <v>#N/A</v>
      </c>
    </row>
    <row r="2556" spans="42:46">
      <c r="AP2556">
        <v>200800</v>
      </c>
      <c r="AQ2556" t="e">
        <v>#N/A</v>
      </c>
      <c r="AR2556" t="e">
        <v>#N/A</v>
      </c>
      <c r="AS2556" t="e">
        <v>#N/A</v>
      </c>
      <c r="AT2556" t="e">
        <v>#N/A</v>
      </c>
    </row>
    <row r="2557" spans="42:46">
      <c r="AP2557">
        <v>200850</v>
      </c>
      <c r="AQ2557" t="e">
        <v>#N/A</v>
      </c>
      <c r="AR2557" t="e">
        <v>#N/A</v>
      </c>
      <c r="AS2557" t="e">
        <v>#N/A</v>
      </c>
      <c r="AT2557" t="e">
        <v>#N/A</v>
      </c>
    </row>
    <row r="2558" spans="42:46">
      <c r="AP2558">
        <v>200900</v>
      </c>
      <c r="AQ2558" t="e">
        <v>#N/A</v>
      </c>
      <c r="AR2558" t="e">
        <v>#N/A</v>
      </c>
      <c r="AS2558" t="e">
        <v>#N/A</v>
      </c>
      <c r="AT2558" t="e">
        <v>#N/A</v>
      </c>
    </row>
    <row r="2559" spans="42:46">
      <c r="AP2559">
        <v>200950</v>
      </c>
      <c r="AQ2559" t="e">
        <v>#N/A</v>
      </c>
      <c r="AR2559" t="e">
        <v>#N/A</v>
      </c>
      <c r="AS2559" t="e">
        <v>#N/A</v>
      </c>
      <c r="AT2559" t="e">
        <v>#N/A</v>
      </c>
    </row>
    <row r="2560" spans="42:46">
      <c r="AP2560">
        <v>201000</v>
      </c>
      <c r="AQ2560" t="e">
        <v>#N/A</v>
      </c>
      <c r="AR2560" t="e">
        <v>#N/A</v>
      </c>
      <c r="AS2560" t="e">
        <v>#N/A</v>
      </c>
      <c r="AT2560" t="e">
        <v>#N/A</v>
      </c>
    </row>
    <row r="2561" spans="42:46">
      <c r="AP2561">
        <v>201050</v>
      </c>
      <c r="AQ2561" t="e">
        <v>#N/A</v>
      </c>
      <c r="AR2561" t="e">
        <v>#N/A</v>
      </c>
      <c r="AS2561" t="e">
        <v>#N/A</v>
      </c>
      <c r="AT2561" t="e">
        <v>#N/A</v>
      </c>
    </row>
    <row r="2562" spans="42:46">
      <c r="AP2562">
        <v>201100</v>
      </c>
      <c r="AQ2562" t="e">
        <v>#N/A</v>
      </c>
      <c r="AR2562" t="e">
        <v>#N/A</v>
      </c>
      <c r="AS2562" t="e">
        <v>#N/A</v>
      </c>
      <c r="AT2562" t="e">
        <v>#N/A</v>
      </c>
    </row>
    <row r="2563" spans="42:46">
      <c r="AP2563">
        <v>201150</v>
      </c>
      <c r="AQ2563" t="e">
        <v>#N/A</v>
      </c>
      <c r="AR2563" t="e">
        <v>#N/A</v>
      </c>
      <c r="AS2563" t="e">
        <v>#N/A</v>
      </c>
      <c r="AT2563" t="e">
        <v>#N/A</v>
      </c>
    </row>
    <row r="2564" spans="42:46">
      <c r="AP2564">
        <v>201200</v>
      </c>
      <c r="AQ2564" t="e">
        <v>#N/A</v>
      </c>
      <c r="AR2564" t="e">
        <v>#N/A</v>
      </c>
      <c r="AS2564" t="e">
        <v>#N/A</v>
      </c>
      <c r="AT2564" t="e">
        <v>#N/A</v>
      </c>
    </row>
    <row r="2565" spans="42:46">
      <c r="AP2565">
        <v>201250</v>
      </c>
      <c r="AQ2565" t="e">
        <v>#N/A</v>
      </c>
      <c r="AR2565" t="e">
        <v>#N/A</v>
      </c>
      <c r="AS2565" t="e">
        <v>#N/A</v>
      </c>
      <c r="AT2565" t="e">
        <v>#N/A</v>
      </c>
    </row>
    <row r="2566" spans="42:46">
      <c r="AP2566">
        <v>201300</v>
      </c>
      <c r="AQ2566" t="e">
        <v>#N/A</v>
      </c>
      <c r="AR2566" t="e">
        <v>#N/A</v>
      </c>
      <c r="AS2566" t="e">
        <v>#N/A</v>
      </c>
      <c r="AT2566" t="e">
        <v>#N/A</v>
      </c>
    </row>
    <row r="2567" spans="42:46">
      <c r="AP2567">
        <v>201350</v>
      </c>
      <c r="AQ2567" t="e">
        <v>#N/A</v>
      </c>
      <c r="AR2567" t="e">
        <v>#N/A</v>
      </c>
      <c r="AS2567" t="e">
        <v>#N/A</v>
      </c>
      <c r="AT2567" t="e">
        <v>#N/A</v>
      </c>
    </row>
    <row r="2568" spans="42:46">
      <c r="AP2568">
        <v>201400</v>
      </c>
      <c r="AQ2568" t="e">
        <v>#N/A</v>
      </c>
      <c r="AR2568" t="e">
        <v>#N/A</v>
      </c>
      <c r="AS2568" t="e">
        <v>#N/A</v>
      </c>
      <c r="AT2568" t="e">
        <v>#N/A</v>
      </c>
    </row>
    <row r="2569" spans="42:46">
      <c r="AP2569">
        <v>201450</v>
      </c>
      <c r="AQ2569" t="e">
        <v>#N/A</v>
      </c>
      <c r="AR2569" t="e">
        <v>#N/A</v>
      </c>
      <c r="AS2569" t="e">
        <v>#N/A</v>
      </c>
      <c r="AT2569" t="e">
        <v>#N/A</v>
      </c>
    </row>
    <row r="2570" spans="42:46">
      <c r="AP2570">
        <v>201500</v>
      </c>
      <c r="AQ2570" t="e">
        <v>#N/A</v>
      </c>
      <c r="AR2570" t="e">
        <v>#N/A</v>
      </c>
      <c r="AS2570" t="e">
        <v>#N/A</v>
      </c>
      <c r="AT2570" t="e">
        <v>#N/A</v>
      </c>
    </row>
    <row r="2571" spans="42:46">
      <c r="AP2571">
        <v>201550</v>
      </c>
      <c r="AQ2571" t="e">
        <v>#N/A</v>
      </c>
      <c r="AR2571" t="e">
        <v>#N/A</v>
      </c>
      <c r="AS2571" t="e">
        <v>#N/A</v>
      </c>
      <c r="AT2571" t="e">
        <v>#N/A</v>
      </c>
    </row>
    <row r="2572" spans="42:46">
      <c r="AP2572">
        <v>201600</v>
      </c>
      <c r="AQ2572" t="e">
        <v>#N/A</v>
      </c>
      <c r="AR2572" t="e">
        <v>#N/A</v>
      </c>
      <c r="AS2572" t="e">
        <v>#N/A</v>
      </c>
      <c r="AT2572" t="e">
        <v>#N/A</v>
      </c>
    </row>
    <row r="2573" spans="42:46">
      <c r="AP2573">
        <v>201650</v>
      </c>
      <c r="AQ2573" t="e">
        <v>#N/A</v>
      </c>
      <c r="AR2573" t="e">
        <v>#N/A</v>
      </c>
      <c r="AS2573" t="e">
        <v>#N/A</v>
      </c>
      <c r="AT2573" t="e">
        <v>#N/A</v>
      </c>
    </row>
    <row r="2574" spans="42:46">
      <c r="AP2574">
        <v>201700</v>
      </c>
      <c r="AQ2574" t="e">
        <v>#N/A</v>
      </c>
      <c r="AR2574" t="e">
        <v>#N/A</v>
      </c>
      <c r="AS2574" t="e">
        <v>#N/A</v>
      </c>
      <c r="AT2574" t="e">
        <v>#N/A</v>
      </c>
    </row>
    <row r="2575" spans="42:46">
      <c r="AP2575">
        <v>201750</v>
      </c>
      <c r="AQ2575" t="e">
        <v>#N/A</v>
      </c>
      <c r="AR2575" t="e">
        <v>#N/A</v>
      </c>
      <c r="AS2575" t="e">
        <v>#N/A</v>
      </c>
      <c r="AT2575" t="e">
        <v>#N/A</v>
      </c>
    </row>
    <row r="2576" spans="42:46">
      <c r="AP2576">
        <v>201800</v>
      </c>
      <c r="AQ2576" t="e">
        <v>#N/A</v>
      </c>
      <c r="AR2576" t="e">
        <v>#N/A</v>
      </c>
      <c r="AS2576" t="e">
        <v>#N/A</v>
      </c>
      <c r="AT2576" t="e">
        <v>#N/A</v>
      </c>
    </row>
    <row r="2577" spans="42:46">
      <c r="AP2577">
        <v>201850</v>
      </c>
      <c r="AQ2577" t="e">
        <v>#N/A</v>
      </c>
      <c r="AR2577" t="e">
        <v>#N/A</v>
      </c>
      <c r="AS2577" t="e">
        <v>#N/A</v>
      </c>
      <c r="AT2577" t="e">
        <v>#N/A</v>
      </c>
    </row>
    <row r="2578" spans="42:46">
      <c r="AP2578">
        <v>201900</v>
      </c>
      <c r="AQ2578" t="e">
        <v>#N/A</v>
      </c>
      <c r="AR2578" t="e">
        <v>#N/A</v>
      </c>
      <c r="AS2578" t="e">
        <v>#N/A</v>
      </c>
      <c r="AT2578" t="e">
        <v>#N/A</v>
      </c>
    </row>
    <row r="2579" spans="42:46">
      <c r="AP2579">
        <v>201950</v>
      </c>
      <c r="AQ2579" t="e">
        <v>#N/A</v>
      </c>
      <c r="AR2579" t="e">
        <v>#N/A</v>
      </c>
      <c r="AS2579" t="e">
        <v>#N/A</v>
      </c>
      <c r="AT2579" t="e">
        <v>#N/A</v>
      </c>
    </row>
    <row r="2580" spans="42:46">
      <c r="AP2580">
        <v>202000</v>
      </c>
      <c r="AQ2580" t="e">
        <v>#N/A</v>
      </c>
      <c r="AR2580" t="e">
        <v>#N/A</v>
      </c>
      <c r="AS2580" t="e">
        <v>#N/A</v>
      </c>
      <c r="AT2580" t="e">
        <v>#N/A</v>
      </c>
    </row>
    <row r="2581" spans="42:46">
      <c r="AP2581">
        <v>202050</v>
      </c>
      <c r="AQ2581" t="e">
        <v>#N/A</v>
      </c>
      <c r="AR2581" t="e">
        <v>#N/A</v>
      </c>
      <c r="AS2581" t="e">
        <v>#N/A</v>
      </c>
      <c r="AT2581" t="e">
        <v>#N/A</v>
      </c>
    </row>
    <row r="2582" spans="42:46">
      <c r="AP2582">
        <v>202100</v>
      </c>
      <c r="AQ2582" t="e">
        <v>#N/A</v>
      </c>
      <c r="AR2582" t="e">
        <v>#N/A</v>
      </c>
      <c r="AS2582" t="e">
        <v>#N/A</v>
      </c>
      <c r="AT2582" t="e">
        <v>#N/A</v>
      </c>
    </row>
    <row r="2583" spans="42:46">
      <c r="AP2583">
        <v>202150</v>
      </c>
      <c r="AQ2583" t="e">
        <v>#N/A</v>
      </c>
      <c r="AR2583" t="e">
        <v>#N/A</v>
      </c>
      <c r="AS2583" t="e">
        <v>#N/A</v>
      </c>
      <c r="AT2583" t="e">
        <v>#N/A</v>
      </c>
    </row>
    <row r="2584" spans="42:46">
      <c r="AP2584">
        <v>202200</v>
      </c>
      <c r="AQ2584" t="e">
        <v>#N/A</v>
      </c>
      <c r="AR2584" t="e">
        <v>#N/A</v>
      </c>
      <c r="AS2584" t="e">
        <v>#N/A</v>
      </c>
      <c r="AT2584" t="e">
        <v>#N/A</v>
      </c>
    </row>
    <row r="2585" spans="42:46">
      <c r="AP2585">
        <v>202250</v>
      </c>
      <c r="AQ2585" t="e">
        <v>#N/A</v>
      </c>
      <c r="AR2585" t="e">
        <v>#N/A</v>
      </c>
      <c r="AS2585" t="e">
        <v>#N/A</v>
      </c>
      <c r="AT2585" t="e">
        <v>#N/A</v>
      </c>
    </row>
    <row r="2586" spans="42:46">
      <c r="AP2586">
        <v>202300</v>
      </c>
      <c r="AQ2586" t="e">
        <v>#N/A</v>
      </c>
      <c r="AR2586" t="e">
        <v>#N/A</v>
      </c>
      <c r="AS2586" t="e">
        <v>#N/A</v>
      </c>
      <c r="AT2586" t="e">
        <v>#N/A</v>
      </c>
    </row>
    <row r="2587" spans="42:46">
      <c r="AP2587">
        <v>202350</v>
      </c>
      <c r="AQ2587" t="e">
        <v>#N/A</v>
      </c>
      <c r="AR2587" t="e">
        <v>#N/A</v>
      </c>
      <c r="AS2587" t="e">
        <v>#N/A</v>
      </c>
      <c r="AT2587" t="e">
        <v>#N/A</v>
      </c>
    </row>
    <row r="2588" spans="42:46">
      <c r="AP2588">
        <v>202400</v>
      </c>
      <c r="AQ2588" t="e">
        <v>#N/A</v>
      </c>
      <c r="AR2588" t="e">
        <v>#N/A</v>
      </c>
      <c r="AS2588" t="e">
        <v>#N/A</v>
      </c>
      <c r="AT2588" t="e">
        <v>#N/A</v>
      </c>
    </row>
    <row r="2589" spans="42:46">
      <c r="AP2589">
        <v>202450</v>
      </c>
      <c r="AQ2589" t="e">
        <v>#N/A</v>
      </c>
      <c r="AR2589" t="e">
        <v>#N/A</v>
      </c>
      <c r="AS2589" t="e">
        <v>#N/A</v>
      </c>
      <c r="AT2589" t="e">
        <v>#N/A</v>
      </c>
    </row>
    <row r="2590" spans="42:46">
      <c r="AP2590">
        <v>202500</v>
      </c>
      <c r="AQ2590" t="e">
        <v>#N/A</v>
      </c>
      <c r="AR2590" t="e">
        <v>#N/A</v>
      </c>
      <c r="AS2590" t="e">
        <v>#N/A</v>
      </c>
      <c r="AT2590" t="e">
        <v>#N/A</v>
      </c>
    </row>
    <row r="2591" spans="42:46">
      <c r="AP2591">
        <v>202550</v>
      </c>
      <c r="AQ2591" t="e">
        <v>#N/A</v>
      </c>
      <c r="AR2591" t="e">
        <v>#N/A</v>
      </c>
      <c r="AS2591" t="e">
        <v>#N/A</v>
      </c>
      <c r="AT2591" t="e">
        <v>#N/A</v>
      </c>
    </row>
    <row r="2592" spans="42:46">
      <c r="AP2592">
        <v>202600</v>
      </c>
      <c r="AQ2592" t="e">
        <v>#N/A</v>
      </c>
      <c r="AR2592" t="e">
        <v>#N/A</v>
      </c>
      <c r="AS2592" t="e">
        <v>#N/A</v>
      </c>
      <c r="AT2592" t="e">
        <v>#N/A</v>
      </c>
    </row>
    <row r="2593" spans="42:46">
      <c r="AP2593">
        <v>202650</v>
      </c>
      <c r="AQ2593" t="e">
        <v>#N/A</v>
      </c>
      <c r="AR2593" t="e">
        <v>#N/A</v>
      </c>
      <c r="AS2593" t="e">
        <v>#N/A</v>
      </c>
      <c r="AT2593" t="e">
        <v>#N/A</v>
      </c>
    </row>
    <row r="2594" spans="42:46">
      <c r="AP2594">
        <v>202700</v>
      </c>
      <c r="AQ2594" t="e">
        <v>#N/A</v>
      </c>
      <c r="AR2594" t="e">
        <v>#N/A</v>
      </c>
      <c r="AS2594" t="e">
        <v>#N/A</v>
      </c>
      <c r="AT2594" t="e">
        <v>#N/A</v>
      </c>
    </row>
    <row r="2595" spans="42:46">
      <c r="AP2595">
        <v>202750</v>
      </c>
      <c r="AQ2595" t="e">
        <v>#N/A</v>
      </c>
      <c r="AR2595" t="e">
        <v>#N/A</v>
      </c>
      <c r="AS2595" t="e">
        <v>#N/A</v>
      </c>
      <c r="AT2595" t="e">
        <v>#N/A</v>
      </c>
    </row>
    <row r="2596" spans="42:46">
      <c r="AP2596">
        <v>202800</v>
      </c>
      <c r="AQ2596" t="e">
        <v>#N/A</v>
      </c>
      <c r="AR2596" t="e">
        <v>#N/A</v>
      </c>
      <c r="AS2596" t="e">
        <v>#N/A</v>
      </c>
      <c r="AT2596" t="e">
        <v>#N/A</v>
      </c>
    </row>
    <row r="2597" spans="42:46">
      <c r="AP2597">
        <v>202850</v>
      </c>
      <c r="AQ2597" t="e">
        <v>#N/A</v>
      </c>
      <c r="AR2597" t="e">
        <v>#N/A</v>
      </c>
      <c r="AS2597" t="e">
        <v>#N/A</v>
      </c>
      <c r="AT2597" t="e">
        <v>#N/A</v>
      </c>
    </row>
    <row r="2598" spans="42:46">
      <c r="AP2598">
        <v>202900</v>
      </c>
      <c r="AQ2598" t="e">
        <v>#N/A</v>
      </c>
      <c r="AR2598" t="e">
        <v>#N/A</v>
      </c>
      <c r="AS2598" t="e">
        <v>#N/A</v>
      </c>
      <c r="AT2598" t="e">
        <v>#N/A</v>
      </c>
    </row>
    <row r="2599" spans="42:46">
      <c r="AP2599">
        <v>202950</v>
      </c>
      <c r="AQ2599" t="e">
        <v>#N/A</v>
      </c>
      <c r="AR2599" t="e">
        <v>#N/A</v>
      </c>
      <c r="AS2599" t="e">
        <v>#N/A</v>
      </c>
      <c r="AT2599" t="e">
        <v>#N/A</v>
      </c>
    </row>
    <row r="2600" spans="42:46">
      <c r="AP2600">
        <v>203000</v>
      </c>
      <c r="AQ2600" t="e">
        <v>#N/A</v>
      </c>
      <c r="AR2600" t="e">
        <v>#N/A</v>
      </c>
      <c r="AS2600" t="e">
        <v>#N/A</v>
      </c>
      <c r="AT2600" t="e">
        <v>#N/A</v>
      </c>
    </row>
    <row r="2601" spans="42:46">
      <c r="AP2601">
        <v>203050</v>
      </c>
      <c r="AQ2601" t="e">
        <v>#N/A</v>
      </c>
      <c r="AR2601" t="e">
        <v>#N/A</v>
      </c>
      <c r="AS2601" t="e">
        <v>#N/A</v>
      </c>
      <c r="AT2601" t="e">
        <v>#N/A</v>
      </c>
    </row>
    <row r="2602" spans="42:46">
      <c r="AP2602">
        <v>203100</v>
      </c>
      <c r="AQ2602" t="e">
        <v>#N/A</v>
      </c>
      <c r="AR2602" t="e">
        <v>#N/A</v>
      </c>
      <c r="AS2602" t="e">
        <v>#N/A</v>
      </c>
      <c r="AT2602" t="e">
        <v>#N/A</v>
      </c>
    </row>
    <row r="2603" spans="42:46">
      <c r="AP2603">
        <v>203150</v>
      </c>
      <c r="AQ2603" t="e">
        <v>#N/A</v>
      </c>
      <c r="AR2603" t="e">
        <v>#N/A</v>
      </c>
      <c r="AS2603" t="e">
        <v>#N/A</v>
      </c>
      <c r="AT2603" t="e">
        <v>#N/A</v>
      </c>
    </row>
    <row r="2604" spans="42:46">
      <c r="AP2604">
        <v>203200</v>
      </c>
      <c r="AQ2604" t="e">
        <v>#N/A</v>
      </c>
      <c r="AR2604" t="e">
        <v>#N/A</v>
      </c>
      <c r="AS2604" t="e">
        <v>#N/A</v>
      </c>
      <c r="AT2604" t="e">
        <v>#N/A</v>
      </c>
    </row>
    <row r="2605" spans="42:46">
      <c r="AP2605">
        <v>203250</v>
      </c>
      <c r="AQ2605" t="e">
        <v>#N/A</v>
      </c>
      <c r="AR2605" t="e">
        <v>#N/A</v>
      </c>
      <c r="AS2605" t="e">
        <v>#N/A</v>
      </c>
      <c r="AT2605" t="e">
        <v>#N/A</v>
      </c>
    </row>
    <row r="2606" spans="42:46">
      <c r="AP2606">
        <v>203300</v>
      </c>
      <c r="AQ2606" t="e">
        <v>#N/A</v>
      </c>
      <c r="AR2606" t="e">
        <v>#N/A</v>
      </c>
      <c r="AS2606" t="e">
        <v>#N/A</v>
      </c>
      <c r="AT2606" t="e">
        <v>#N/A</v>
      </c>
    </row>
    <row r="2607" spans="42:46">
      <c r="AP2607">
        <v>203350</v>
      </c>
      <c r="AQ2607" t="e">
        <v>#N/A</v>
      </c>
      <c r="AR2607" t="e">
        <v>#N/A</v>
      </c>
      <c r="AS2607" t="e">
        <v>#N/A</v>
      </c>
      <c r="AT2607" t="e">
        <v>#N/A</v>
      </c>
    </row>
    <row r="2608" spans="42:46">
      <c r="AP2608">
        <v>203400</v>
      </c>
      <c r="AQ2608" t="e">
        <v>#N/A</v>
      </c>
      <c r="AR2608" t="e">
        <v>#N/A</v>
      </c>
      <c r="AS2608" t="e">
        <v>#N/A</v>
      </c>
      <c r="AT2608" t="e">
        <v>#N/A</v>
      </c>
    </row>
    <row r="2609" spans="42:46">
      <c r="AP2609">
        <v>203450</v>
      </c>
      <c r="AQ2609" t="e">
        <v>#N/A</v>
      </c>
      <c r="AR2609" t="e">
        <v>#N/A</v>
      </c>
      <c r="AS2609" t="e">
        <v>#N/A</v>
      </c>
      <c r="AT2609" t="e">
        <v>#N/A</v>
      </c>
    </row>
    <row r="2610" spans="42:46">
      <c r="AP2610">
        <v>203500</v>
      </c>
      <c r="AQ2610" t="e">
        <v>#N/A</v>
      </c>
      <c r="AR2610" t="e">
        <v>#N/A</v>
      </c>
      <c r="AS2610" t="e">
        <v>#N/A</v>
      </c>
      <c r="AT2610" t="e">
        <v>#N/A</v>
      </c>
    </row>
    <row r="2611" spans="42:46">
      <c r="AP2611">
        <v>203550</v>
      </c>
      <c r="AQ2611" t="e">
        <v>#N/A</v>
      </c>
      <c r="AR2611" t="e">
        <v>#N/A</v>
      </c>
      <c r="AS2611" t="e">
        <v>#N/A</v>
      </c>
      <c r="AT2611" t="e">
        <v>#N/A</v>
      </c>
    </row>
    <row r="2612" spans="42:46">
      <c r="AP2612">
        <v>203600</v>
      </c>
      <c r="AQ2612" t="e">
        <v>#N/A</v>
      </c>
      <c r="AR2612" t="e">
        <v>#N/A</v>
      </c>
      <c r="AS2612" t="e">
        <v>#N/A</v>
      </c>
      <c r="AT2612" t="e">
        <v>#N/A</v>
      </c>
    </row>
    <row r="2613" spans="42:46">
      <c r="AP2613">
        <v>203650</v>
      </c>
      <c r="AQ2613" t="e">
        <v>#N/A</v>
      </c>
      <c r="AR2613" t="e">
        <v>#N/A</v>
      </c>
      <c r="AS2613" t="e">
        <v>#N/A</v>
      </c>
      <c r="AT2613" t="e">
        <v>#N/A</v>
      </c>
    </row>
    <row r="2614" spans="42:46">
      <c r="AP2614">
        <v>203700</v>
      </c>
      <c r="AQ2614" t="e">
        <v>#N/A</v>
      </c>
      <c r="AR2614" t="e">
        <v>#N/A</v>
      </c>
      <c r="AS2614" t="e">
        <v>#N/A</v>
      </c>
      <c r="AT2614" t="e">
        <v>#N/A</v>
      </c>
    </row>
    <row r="2615" spans="42:46">
      <c r="AP2615">
        <v>203750</v>
      </c>
      <c r="AQ2615" t="e">
        <v>#N/A</v>
      </c>
      <c r="AR2615" t="e">
        <v>#N/A</v>
      </c>
      <c r="AS2615" t="e">
        <v>#N/A</v>
      </c>
      <c r="AT2615" t="e">
        <v>#N/A</v>
      </c>
    </row>
    <row r="2616" spans="42:46">
      <c r="AP2616">
        <v>203800</v>
      </c>
      <c r="AQ2616" t="e">
        <v>#N/A</v>
      </c>
      <c r="AR2616" t="e">
        <v>#N/A</v>
      </c>
      <c r="AS2616" t="e">
        <v>#N/A</v>
      </c>
      <c r="AT2616" t="e">
        <v>#N/A</v>
      </c>
    </row>
    <row r="2617" spans="42:46">
      <c r="AP2617">
        <v>203850</v>
      </c>
      <c r="AQ2617" t="e">
        <v>#N/A</v>
      </c>
      <c r="AR2617" t="e">
        <v>#N/A</v>
      </c>
      <c r="AS2617" t="e">
        <v>#N/A</v>
      </c>
      <c r="AT2617" t="e">
        <v>#N/A</v>
      </c>
    </row>
    <row r="2618" spans="42:46">
      <c r="AP2618">
        <v>203900</v>
      </c>
      <c r="AQ2618" t="e">
        <v>#N/A</v>
      </c>
      <c r="AR2618" t="e">
        <v>#N/A</v>
      </c>
      <c r="AS2618" t="e">
        <v>#N/A</v>
      </c>
      <c r="AT2618" t="e">
        <v>#N/A</v>
      </c>
    </row>
    <row r="2619" spans="42:46">
      <c r="AP2619">
        <v>203950</v>
      </c>
      <c r="AQ2619" t="e">
        <v>#N/A</v>
      </c>
      <c r="AR2619" t="e">
        <v>#N/A</v>
      </c>
      <c r="AS2619" t="e">
        <v>#N/A</v>
      </c>
      <c r="AT2619" t="e">
        <v>#N/A</v>
      </c>
    </row>
    <row r="2620" spans="42:46">
      <c r="AP2620">
        <v>204000</v>
      </c>
      <c r="AQ2620" t="e">
        <v>#N/A</v>
      </c>
      <c r="AR2620" t="e">
        <v>#N/A</v>
      </c>
      <c r="AS2620" t="e">
        <v>#N/A</v>
      </c>
      <c r="AT2620" t="e">
        <v>#N/A</v>
      </c>
    </row>
    <row r="2621" spans="42:46">
      <c r="AP2621">
        <v>204050</v>
      </c>
      <c r="AQ2621" t="e">
        <v>#N/A</v>
      </c>
      <c r="AR2621" t="e">
        <v>#N/A</v>
      </c>
      <c r="AS2621" t="e">
        <v>#N/A</v>
      </c>
      <c r="AT2621" t="e">
        <v>#N/A</v>
      </c>
    </row>
    <row r="2622" spans="42:46">
      <c r="AP2622">
        <v>204100</v>
      </c>
      <c r="AQ2622" t="e">
        <v>#N/A</v>
      </c>
      <c r="AR2622" t="e">
        <v>#N/A</v>
      </c>
      <c r="AS2622" t="e">
        <v>#N/A</v>
      </c>
      <c r="AT2622" t="e">
        <v>#N/A</v>
      </c>
    </row>
    <row r="2623" spans="42:46">
      <c r="AP2623">
        <v>204150</v>
      </c>
      <c r="AQ2623" t="e">
        <v>#N/A</v>
      </c>
      <c r="AR2623" t="e">
        <v>#N/A</v>
      </c>
      <c r="AS2623" t="e">
        <v>#N/A</v>
      </c>
      <c r="AT2623" t="e">
        <v>#N/A</v>
      </c>
    </row>
    <row r="2624" spans="42:46">
      <c r="AP2624">
        <v>204200</v>
      </c>
      <c r="AQ2624" t="e">
        <v>#N/A</v>
      </c>
      <c r="AR2624" t="e">
        <v>#N/A</v>
      </c>
      <c r="AS2624" t="e">
        <v>#N/A</v>
      </c>
      <c r="AT2624" t="e">
        <v>#N/A</v>
      </c>
    </row>
    <row r="2625" spans="42:46">
      <c r="AP2625">
        <v>204250</v>
      </c>
      <c r="AQ2625" t="e">
        <v>#N/A</v>
      </c>
      <c r="AR2625" t="e">
        <v>#N/A</v>
      </c>
      <c r="AS2625" t="e">
        <v>#N/A</v>
      </c>
      <c r="AT2625" t="e">
        <v>#N/A</v>
      </c>
    </row>
    <row r="2626" spans="42:46">
      <c r="AP2626">
        <v>204300</v>
      </c>
      <c r="AQ2626" t="e">
        <v>#N/A</v>
      </c>
      <c r="AR2626" t="e">
        <v>#N/A</v>
      </c>
      <c r="AS2626" t="e">
        <v>#N/A</v>
      </c>
      <c r="AT2626" t="e">
        <v>#N/A</v>
      </c>
    </row>
    <row r="2627" spans="42:46">
      <c r="AP2627">
        <v>204350</v>
      </c>
      <c r="AQ2627" t="e">
        <v>#N/A</v>
      </c>
      <c r="AR2627" t="e">
        <v>#N/A</v>
      </c>
      <c r="AS2627" t="e">
        <v>#N/A</v>
      </c>
      <c r="AT2627" t="e">
        <v>#N/A</v>
      </c>
    </row>
    <row r="2628" spans="42:46">
      <c r="AP2628">
        <v>204400</v>
      </c>
      <c r="AQ2628" t="e">
        <v>#N/A</v>
      </c>
      <c r="AR2628" t="e">
        <v>#N/A</v>
      </c>
      <c r="AS2628" t="e">
        <v>#N/A</v>
      </c>
      <c r="AT2628" t="e">
        <v>#N/A</v>
      </c>
    </row>
    <row r="2629" spans="42:46">
      <c r="AP2629">
        <v>204450</v>
      </c>
      <c r="AQ2629" t="e">
        <v>#N/A</v>
      </c>
      <c r="AR2629" t="e">
        <v>#N/A</v>
      </c>
      <c r="AS2629" t="e">
        <v>#N/A</v>
      </c>
      <c r="AT2629" t="e">
        <v>#N/A</v>
      </c>
    </row>
    <row r="2630" spans="42:46">
      <c r="AP2630">
        <v>204500</v>
      </c>
      <c r="AQ2630" t="e">
        <v>#N/A</v>
      </c>
      <c r="AR2630" t="e">
        <v>#N/A</v>
      </c>
      <c r="AS2630" t="e">
        <v>#N/A</v>
      </c>
      <c r="AT2630" t="e">
        <v>#N/A</v>
      </c>
    </row>
    <row r="2631" spans="42:46">
      <c r="AP2631">
        <v>204550</v>
      </c>
      <c r="AQ2631" t="e">
        <v>#N/A</v>
      </c>
      <c r="AR2631" t="e">
        <v>#N/A</v>
      </c>
      <c r="AS2631" t="e">
        <v>#N/A</v>
      </c>
      <c r="AT2631" t="e">
        <v>#N/A</v>
      </c>
    </row>
    <row r="2632" spans="42:46">
      <c r="AP2632">
        <v>204600</v>
      </c>
      <c r="AQ2632" t="e">
        <v>#N/A</v>
      </c>
      <c r="AR2632" t="e">
        <v>#N/A</v>
      </c>
      <c r="AS2632" t="e">
        <v>#N/A</v>
      </c>
      <c r="AT2632" t="e">
        <v>#N/A</v>
      </c>
    </row>
    <row r="2633" spans="42:46">
      <c r="AP2633">
        <v>204650</v>
      </c>
      <c r="AQ2633" t="e">
        <v>#N/A</v>
      </c>
      <c r="AR2633" t="e">
        <v>#N/A</v>
      </c>
      <c r="AS2633" t="e">
        <v>#N/A</v>
      </c>
      <c r="AT2633" t="e">
        <v>#N/A</v>
      </c>
    </row>
    <row r="2634" spans="42:46">
      <c r="AP2634">
        <v>204700</v>
      </c>
      <c r="AQ2634" t="e">
        <v>#N/A</v>
      </c>
      <c r="AR2634" t="e">
        <v>#N/A</v>
      </c>
      <c r="AS2634" t="e">
        <v>#N/A</v>
      </c>
      <c r="AT2634" t="e">
        <v>#N/A</v>
      </c>
    </row>
    <row r="2635" spans="42:46">
      <c r="AP2635">
        <v>204750</v>
      </c>
      <c r="AQ2635" t="e">
        <v>#N/A</v>
      </c>
      <c r="AR2635" t="e">
        <v>#N/A</v>
      </c>
      <c r="AS2635" t="e">
        <v>#N/A</v>
      </c>
      <c r="AT2635" t="e">
        <v>#N/A</v>
      </c>
    </row>
    <row r="2636" spans="42:46">
      <c r="AP2636">
        <v>204800</v>
      </c>
      <c r="AQ2636" t="e">
        <v>#N/A</v>
      </c>
      <c r="AR2636" t="e">
        <v>#N/A</v>
      </c>
      <c r="AS2636" t="e">
        <v>#N/A</v>
      </c>
      <c r="AT2636" t="e">
        <v>#N/A</v>
      </c>
    </row>
    <row r="2637" spans="42:46">
      <c r="AP2637">
        <v>204850</v>
      </c>
      <c r="AQ2637" t="e">
        <v>#N/A</v>
      </c>
      <c r="AR2637" t="e">
        <v>#N/A</v>
      </c>
      <c r="AS2637" t="e">
        <v>#N/A</v>
      </c>
      <c r="AT2637" t="e">
        <v>#N/A</v>
      </c>
    </row>
    <row r="2638" spans="42:46">
      <c r="AP2638">
        <v>204900</v>
      </c>
      <c r="AQ2638" t="e">
        <v>#N/A</v>
      </c>
      <c r="AR2638" t="e">
        <v>#N/A</v>
      </c>
      <c r="AS2638" t="e">
        <v>#N/A</v>
      </c>
      <c r="AT2638" t="e">
        <v>#N/A</v>
      </c>
    </row>
    <row r="2639" spans="42:46">
      <c r="AP2639">
        <v>204950</v>
      </c>
      <c r="AQ2639" t="e">
        <v>#N/A</v>
      </c>
      <c r="AR2639" t="e">
        <v>#N/A</v>
      </c>
      <c r="AS2639" t="e">
        <v>#N/A</v>
      </c>
      <c r="AT2639" t="e">
        <v>#N/A</v>
      </c>
    </row>
    <row r="2640" spans="42:46">
      <c r="AP2640">
        <v>205000</v>
      </c>
      <c r="AQ2640" t="e">
        <v>#N/A</v>
      </c>
      <c r="AR2640" t="e">
        <v>#N/A</v>
      </c>
      <c r="AS2640" t="e">
        <v>#N/A</v>
      </c>
      <c r="AT2640" t="e">
        <v>#N/A</v>
      </c>
    </row>
    <row r="2641" spans="42:46">
      <c r="AP2641">
        <v>205050</v>
      </c>
      <c r="AQ2641" t="e">
        <v>#N/A</v>
      </c>
      <c r="AR2641" t="e">
        <v>#N/A</v>
      </c>
      <c r="AS2641" t="e">
        <v>#N/A</v>
      </c>
      <c r="AT2641" t="e">
        <v>#N/A</v>
      </c>
    </row>
    <row r="2642" spans="42:46">
      <c r="AP2642">
        <v>205100</v>
      </c>
      <c r="AQ2642" t="e">
        <v>#N/A</v>
      </c>
      <c r="AR2642" t="e">
        <v>#N/A</v>
      </c>
      <c r="AS2642" t="e">
        <v>#N/A</v>
      </c>
      <c r="AT2642" t="e">
        <v>#N/A</v>
      </c>
    </row>
    <row r="2643" spans="42:46">
      <c r="AP2643">
        <v>205150</v>
      </c>
      <c r="AQ2643" t="e">
        <v>#N/A</v>
      </c>
      <c r="AR2643" t="e">
        <v>#N/A</v>
      </c>
      <c r="AS2643" t="e">
        <v>#N/A</v>
      </c>
      <c r="AT2643" t="e">
        <v>#N/A</v>
      </c>
    </row>
    <row r="2644" spans="42:46">
      <c r="AP2644">
        <v>205200</v>
      </c>
      <c r="AQ2644" t="e">
        <v>#N/A</v>
      </c>
      <c r="AR2644" t="e">
        <v>#N/A</v>
      </c>
      <c r="AS2644" t="e">
        <v>#N/A</v>
      </c>
      <c r="AT2644" t="e">
        <v>#N/A</v>
      </c>
    </row>
    <row r="2645" spans="42:46">
      <c r="AP2645">
        <v>205250</v>
      </c>
      <c r="AQ2645" t="e">
        <v>#N/A</v>
      </c>
      <c r="AR2645" t="e">
        <v>#N/A</v>
      </c>
      <c r="AS2645" t="e">
        <v>#N/A</v>
      </c>
      <c r="AT2645" t="e">
        <v>#N/A</v>
      </c>
    </row>
    <row r="2646" spans="42:46">
      <c r="AP2646">
        <v>205300</v>
      </c>
      <c r="AQ2646" t="e">
        <v>#N/A</v>
      </c>
      <c r="AR2646" t="e">
        <v>#N/A</v>
      </c>
      <c r="AS2646" t="e">
        <v>#N/A</v>
      </c>
      <c r="AT2646" t="e">
        <v>#N/A</v>
      </c>
    </row>
    <row r="2647" spans="42:46">
      <c r="AP2647">
        <v>205350</v>
      </c>
      <c r="AQ2647" t="e">
        <v>#N/A</v>
      </c>
      <c r="AR2647" t="e">
        <v>#N/A</v>
      </c>
      <c r="AS2647" t="e">
        <v>#N/A</v>
      </c>
      <c r="AT2647" t="e">
        <v>#N/A</v>
      </c>
    </row>
    <row r="2648" spans="42:46">
      <c r="AP2648">
        <v>205400</v>
      </c>
      <c r="AQ2648" t="e">
        <v>#N/A</v>
      </c>
      <c r="AR2648" t="e">
        <v>#N/A</v>
      </c>
      <c r="AS2648" t="e">
        <v>#N/A</v>
      </c>
      <c r="AT2648" t="e">
        <v>#N/A</v>
      </c>
    </row>
    <row r="2649" spans="42:46">
      <c r="AP2649">
        <v>205450</v>
      </c>
      <c r="AQ2649" t="e">
        <v>#N/A</v>
      </c>
      <c r="AR2649" t="e">
        <v>#N/A</v>
      </c>
      <c r="AS2649" t="e">
        <v>#N/A</v>
      </c>
      <c r="AT2649" t="e">
        <v>#N/A</v>
      </c>
    </row>
    <row r="2650" spans="42:46">
      <c r="AP2650">
        <v>205500</v>
      </c>
      <c r="AQ2650" t="e">
        <v>#N/A</v>
      </c>
      <c r="AR2650" t="e">
        <v>#N/A</v>
      </c>
      <c r="AS2650" t="e">
        <v>#N/A</v>
      </c>
      <c r="AT2650" t="e">
        <v>#N/A</v>
      </c>
    </row>
    <row r="2651" spans="42:46">
      <c r="AP2651">
        <v>205550</v>
      </c>
      <c r="AQ2651" t="e">
        <v>#N/A</v>
      </c>
      <c r="AR2651" t="e">
        <v>#N/A</v>
      </c>
      <c r="AS2651" t="e">
        <v>#N/A</v>
      </c>
      <c r="AT2651" t="e">
        <v>#N/A</v>
      </c>
    </row>
    <row r="2652" spans="42:46">
      <c r="AP2652">
        <v>205600</v>
      </c>
      <c r="AQ2652" t="e">
        <v>#N/A</v>
      </c>
      <c r="AR2652" t="e">
        <v>#N/A</v>
      </c>
      <c r="AS2652" t="e">
        <v>#N/A</v>
      </c>
      <c r="AT2652" t="e">
        <v>#N/A</v>
      </c>
    </row>
    <row r="2653" spans="42:46">
      <c r="AP2653">
        <v>205650</v>
      </c>
      <c r="AQ2653" t="e">
        <v>#N/A</v>
      </c>
      <c r="AR2653" t="e">
        <v>#N/A</v>
      </c>
      <c r="AS2653" t="e">
        <v>#N/A</v>
      </c>
      <c r="AT2653" t="e">
        <v>#N/A</v>
      </c>
    </row>
    <row r="2654" spans="42:46">
      <c r="AP2654">
        <v>205700</v>
      </c>
      <c r="AQ2654" t="e">
        <v>#N/A</v>
      </c>
      <c r="AR2654" t="e">
        <v>#N/A</v>
      </c>
      <c r="AS2654" t="e">
        <v>#N/A</v>
      </c>
      <c r="AT2654" t="e">
        <v>#N/A</v>
      </c>
    </row>
    <row r="2655" spans="42:46">
      <c r="AP2655">
        <v>205750</v>
      </c>
      <c r="AQ2655" t="e">
        <v>#N/A</v>
      </c>
      <c r="AR2655" t="e">
        <v>#N/A</v>
      </c>
      <c r="AS2655" t="e">
        <v>#N/A</v>
      </c>
      <c r="AT2655" t="e">
        <v>#N/A</v>
      </c>
    </row>
    <row r="2656" spans="42:46">
      <c r="AP2656">
        <v>205800</v>
      </c>
      <c r="AQ2656" t="e">
        <v>#N/A</v>
      </c>
      <c r="AR2656" t="e">
        <v>#N/A</v>
      </c>
      <c r="AS2656" t="e">
        <v>#N/A</v>
      </c>
      <c r="AT2656" t="e">
        <v>#N/A</v>
      </c>
    </row>
    <row r="2657" spans="42:46">
      <c r="AP2657">
        <v>205850</v>
      </c>
      <c r="AQ2657" t="e">
        <v>#N/A</v>
      </c>
      <c r="AR2657" t="e">
        <v>#N/A</v>
      </c>
      <c r="AS2657" t="e">
        <v>#N/A</v>
      </c>
      <c r="AT2657" t="e">
        <v>#N/A</v>
      </c>
    </row>
    <row r="2658" spans="42:46">
      <c r="AP2658">
        <v>205900</v>
      </c>
      <c r="AQ2658" t="e">
        <v>#N/A</v>
      </c>
      <c r="AR2658" t="e">
        <v>#N/A</v>
      </c>
      <c r="AS2658" t="e">
        <v>#N/A</v>
      </c>
      <c r="AT2658" t="e">
        <v>#N/A</v>
      </c>
    </row>
    <row r="2659" spans="42:46">
      <c r="AP2659">
        <v>205950</v>
      </c>
      <c r="AQ2659" t="e">
        <v>#N/A</v>
      </c>
      <c r="AR2659" t="e">
        <v>#N/A</v>
      </c>
      <c r="AS2659" t="e">
        <v>#N/A</v>
      </c>
      <c r="AT2659" t="e">
        <v>#N/A</v>
      </c>
    </row>
    <row r="2660" spans="42:46">
      <c r="AP2660">
        <v>206000</v>
      </c>
      <c r="AQ2660" t="e">
        <v>#N/A</v>
      </c>
      <c r="AR2660" t="e">
        <v>#N/A</v>
      </c>
      <c r="AS2660" t="e">
        <v>#N/A</v>
      </c>
      <c r="AT2660" t="e">
        <v>#N/A</v>
      </c>
    </row>
    <row r="2661" spans="42:46">
      <c r="AP2661">
        <v>206050</v>
      </c>
      <c r="AQ2661" t="e">
        <v>#N/A</v>
      </c>
      <c r="AR2661" t="e">
        <v>#N/A</v>
      </c>
      <c r="AS2661" t="e">
        <v>#N/A</v>
      </c>
      <c r="AT2661" t="e">
        <v>#N/A</v>
      </c>
    </row>
    <row r="2662" spans="42:46">
      <c r="AP2662">
        <v>206100</v>
      </c>
      <c r="AQ2662" t="e">
        <v>#N/A</v>
      </c>
      <c r="AR2662" t="e">
        <v>#N/A</v>
      </c>
      <c r="AS2662" t="e">
        <v>#N/A</v>
      </c>
      <c r="AT2662" t="e">
        <v>#N/A</v>
      </c>
    </row>
    <row r="2663" spans="42:46">
      <c r="AP2663">
        <v>206150</v>
      </c>
      <c r="AQ2663" t="e">
        <v>#N/A</v>
      </c>
      <c r="AR2663" t="e">
        <v>#N/A</v>
      </c>
      <c r="AS2663" t="e">
        <v>#N/A</v>
      </c>
      <c r="AT2663" t="e">
        <v>#N/A</v>
      </c>
    </row>
    <row r="2664" spans="42:46">
      <c r="AP2664">
        <v>206200</v>
      </c>
      <c r="AQ2664" t="e">
        <v>#N/A</v>
      </c>
      <c r="AR2664" t="e">
        <v>#N/A</v>
      </c>
      <c r="AS2664" t="e">
        <v>#N/A</v>
      </c>
      <c r="AT2664" t="e">
        <v>#N/A</v>
      </c>
    </row>
    <row r="2665" spans="42:46">
      <c r="AP2665">
        <v>206250</v>
      </c>
      <c r="AQ2665" t="e">
        <v>#N/A</v>
      </c>
      <c r="AR2665" t="e">
        <v>#N/A</v>
      </c>
      <c r="AS2665" t="e">
        <v>#N/A</v>
      </c>
      <c r="AT2665" t="e">
        <v>#N/A</v>
      </c>
    </row>
    <row r="2666" spans="42:46">
      <c r="AP2666">
        <v>206300</v>
      </c>
      <c r="AQ2666" t="e">
        <v>#N/A</v>
      </c>
      <c r="AR2666" t="e">
        <v>#N/A</v>
      </c>
      <c r="AS2666" t="e">
        <v>#N/A</v>
      </c>
      <c r="AT2666" t="e">
        <v>#N/A</v>
      </c>
    </row>
    <row r="2667" spans="42:46">
      <c r="AP2667">
        <v>206350</v>
      </c>
      <c r="AQ2667" t="e">
        <v>#N/A</v>
      </c>
      <c r="AR2667" t="e">
        <v>#N/A</v>
      </c>
      <c r="AS2667" t="e">
        <v>#N/A</v>
      </c>
      <c r="AT2667" t="e">
        <v>#N/A</v>
      </c>
    </row>
    <row r="2668" spans="42:46">
      <c r="AP2668">
        <v>206400</v>
      </c>
      <c r="AQ2668" t="e">
        <v>#N/A</v>
      </c>
      <c r="AR2668" t="e">
        <v>#N/A</v>
      </c>
      <c r="AS2668" t="e">
        <v>#N/A</v>
      </c>
      <c r="AT2668" t="e">
        <v>#N/A</v>
      </c>
    </row>
    <row r="2669" spans="42:46">
      <c r="AP2669">
        <v>206450</v>
      </c>
      <c r="AQ2669" t="e">
        <v>#N/A</v>
      </c>
      <c r="AR2669" t="e">
        <v>#N/A</v>
      </c>
      <c r="AS2669" t="e">
        <v>#N/A</v>
      </c>
      <c r="AT2669" t="e">
        <v>#N/A</v>
      </c>
    </row>
    <row r="2670" spans="42:46">
      <c r="AP2670">
        <v>206500</v>
      </c>
      <c r="AQ2670" t="e">
        <v>#N/A</v>
      </c>
      <c r="AR2670" t="e">
        <v>#N/A</v>
      </c>
      <c r="AS2670" t="e">
        <v>#N/A</v>
      </c>
      <c r="AT2670" t="e">
        <v>#N/A</v>
      </c>
    </row>
    <row r="2671" spans="42:46">
      <c r="AP2671">
        <v>206550</v>
      </c>
      <c r="AQ2671" t="e">
        <v>#N/A</v>
      </c>
      <c r="AR2671" t="e">
        <v>#N/A</v>
      </c>
      <c r="AS2671" t="e">
        <v>#N/A</v>
      </c>
      <c r="AT2671" t="e">
        <v>#N/A</v>
      </c>
    </row>
    <row r="2672" spans="42:46">
      <c r="AP2672">
        <v>206600</v>
      </c>
      <c r="AQ2672" t="e">
        <v>#N/A</v>
      </c>
      <c r="AR2672" t="e">
        <v>#N/A</v>
      </c>
      <c r="AS2672" t="e">
        <v>#N/A</v>
      </c>
      <c r="AT2672" t="e">
        <v>#N/A</v>
      </c>
    </row>
    <row r="2673" spans="42:46">
      <c r="AP2673">
        <v>206650</v>
      </c>
      <c r="AQ2673" t="e">
        <v>#N/A</v>
      </c>
      <c r="AR2673" t="e">
        <v>#N/A</v>
      </c>
      <c r="AS2673" t="e">
        <v>#N/A</v>
      </c>
      <c r="AT2673" t="e">
        <v>#N/A</v>
      </c>
    </row>
    <row r="2674" spans="42:46">
      <c r="AP2674">
        <v>206700</v>
      </c>
      <c r="AQ2674" t="e">
        <v>#N/A</v>
      </c>
      <c r="AR2674" t="e">
        <v>#N/A</v>
      </c>
      <c r="AS2674" t="e">
        <v>#N/A</v>
      </c>
      <c r="AT2674" t="e">
        <v>#N/A</v>
      </c>
    </row>
    <row r="2675" spans="42:46">
      <c r="AP2675">
        <v>206750</v>
      </c>
      <c r="AQ2675" t="e">
        <v>#N/A</v>
      </c>
      <c r="AR2675" t="e">
        <v>#N/A</v>
      </c>
      <c r="AS2675" t="e">
        <v>#N/A</v>
      </c>
      <c r="AT2675" t="e">
        <v>#N/A</v>
      </c>
    </row>
    <row r="2676" spans="42:46">
      <c r="AP2676">
        <v>206800</v>
      </c>
      <c r="AQ2676" t="e">
        <v>#N/A</v>
      </c>
      <c r="AR2676" t="e">
        <v>#N/A</v>
      </c>
      <c r="AS2676" t="e">
        <v>#N/A</v>
      </c>
      <c r="AT2676" t="e">
        <v>#N/A</v>
      </c>
    </row>
    <row r="2677" spans="42:46">
      <c r="AP2677">
        <v>206850</v>
      </c>
      <c r="AQ2677" t="e">
        <v>#N/A</v>
      </c>
      <c r="AR2677" t="e">
        <v>#N/A</v>
      </c>
      <c r="AS2677" t="e">
        <v>#N/A</v>
      </c>
      <c r="AT2677" t="e">
        <v>#N/A</v>
      </c>
    </row>
    <row r="2678" spans="42:46">
      <c r="AP2678">
        <v>206900</v>
      </c>
      <c r="AQ2678" t="e">
        <v>#N/A</v>
      </c>
      <c r="AR2678" t="e">
        <v>#N/A</v>
      </c>
      <c r="AS2678" t="e">
        <v>#N/A</v>
      </c>
      <c r="AT2678" t="e">
        <v>#N/A</v>
      </c>
    </row>
    <row r="2679" spans="42:46">
      <c r="AP2679">
        <v>206950</v>
      </c>
      <c r="AQ2679" t="e">
        <v>#N/A</v>
      </c>
      <c r="AR2679" t="e">
        <v>#N/A</v>
      </c>
      <c r="AS2679" t="e">
        <v>#N/A</v>
      </c>
      <c r="AT2679" t="e">
        <v>#N/A</v>
      </c>
    </row>
    <row r="2680" spans="42:46">
      <c r="AP2680">
        <v>207000</v>
      </c>
      <c r="AQ2680" t="e">
        <v>#N/A</v>
      </c>
      <c r="AR2680" t="e">
        <v>#N/A</v>
      </c>
      <c r="AS2680" t="e">
        <v>#N/A</v>
      </c>
      <c r="AT2680" t="e">
        <v>#N/A</v>
      </c>
    </row>
    <row r="2681" spans="42:46">
      <c r="AP2681">
        <v>207050</v>
      </c>
      <c r="AQ2681" t="e">
        <v>#N/A</v>
      </c>
      <c r="AR2681" t="e">
        <v>#N/A</v>
      </c>
      <c r="AS2681" t="e">
        <v>#N/A</v>
      </c>
      <c r="AT2681" t="e">
        <v>#N/A</v>
      </c>
    </row>
    <row r="2682" spans="42:46">
      <c r="AP2682">
        <v>207100</v>
      </c>
      <c r="AQ2682" t="e">
        <v>#N/A</v>
      </c>
      <c r="AR2682" t="e">
        <v>#N/A</v>
      </c>
      <c r="AS2682" t="e">
        <v>#N/A</v>
      </c>
      <c r="AT2682" t="e">
        <v>#N/A</v>
      </c>
    </row>
    <row r="2683" spans="42:46">
      <c r="AP2683">
        <v>207150</v>
      </c>
      <c r="AQ2683" t="e">
        <v>#N/A</v>
      </c>
      <c r="AR2683" t="e">
        <v>#N/A</v>
      </c>
      <c r="AS2683" t="e">
        <v>#N/A</v>
      </c>
      <c r="AT2683" t="e">
        <v>#N/A</v>
      </c>
    </row>
    <row r="2684" spans="42:46">
      <c r="AP2684">
        <v>207200</v>
      </c>
      <c r="AQ2684" t="e">
        <v>#N/A</v>
      </c>
      <c r="AR2684" t="e">
        <v>#N/A</v>
      </c>
      <c r="AS2684" t="e">
        <v>#N/A</v>
      </c>
      <c r="AT2684" t="e">
        <v>#N/A</v>
      </c>
    </row>
    <row r="2685" spans="42:46">
      <c r="AP2685">
        <v>207250</v>
      </c>
      <c r="AQ2685" t="e">
        <v>#N/A</v>
      </c>
      <c r="AR2685" t="e">
        <v>#N/A</v>
      </c>
      <c r="AS2685" t="e">
        <v>#N/A</v>
      </c>
      <c r="AT2685" t="e">
        <v>#N/A</v>
      </c>
    </row>
    <row r="2686" spans="42:46">
      <c r="AP2686">
        <v>207300</v>
      </c>
      <c r="AQ2686" t="e">
        <v>#N/A</v>
      </c>
      <c r="AR2686" t="e">
        <v>#N/A</v>
      </c>
      <c r="AS2686" t="e">
        <v>#N/A</v>
      </c>
      <c r="AT2686" t="e">
        <v>#N/A</v>
      </c>
    </row>
    <row r="2687" spans="42:46">
      <c r="AP2687">
        <v>207350</v>
      </c>
      <c r="AQ2687" t="e">
        <v>#N/A</v>
      </c>
      <c r="AR2687" t="e">
        <v>#N/A</v>
      </c>
      <c r="AS2687" t="e">
        <v>#N/A</v>
      </c>
      <c r="AT2687" t="e">
        <v>#N/A</v>
      </c>
    </row>
    <row r="2688" spans="42:46">
      <c r="AP2688">
        <v>207400</v>
      </c>
      <c r="AQ2688" t="e">
        <v>#N/A</v>
      </c>
      <c r="AR2688" t="e">
        <v>#N/A</v>
      </c>
      <c r="AS2688" t="e">
        <v>#N/A</v>
      </c>
      <c r="AT2688" t="e">
        <v>#N/A</v>
      </c>
    </row>
    <row r="2689" spans="42:46">
      <c r="AP2689">
        <v>207450</v>
      </c>
      <c r="AQ2689" t="e">
        <v>#N/A</v>
      </c>
      <c r="AR2689" t="e">
        <v>#N/A</v>
      </c>
      <c r="AS2689" t="e">
        <v>#N/A</v>
      </c>
      <c r="AT2689" t="e">
        <v>#N/A</v>
      </c>
    </row>
    <row r="2690" spans="42:46">
      <c r="AP2690">
        <v>207500</v>
      </c>
      <c r="AQ2690" t="e">
        <v>#N/A</v>
      </c>
      <c r="AR2690" t="e">
        <v>#N/A</v>
      </c>
      <c r="AS2690" t="e">
        <v>#N/A</v>
      </c>
      <c r="AT2690" t="e">
        <v>#N/A</v>
      </c>
    </row>
    <row r="2691" spans="42:46">
      <c r="AP2691">
        <v>207550</v>
      </c>
      <c r="AQ2691" t="e">
        <v>#N/A</v>
      </c>
      <c r="AR2691" t="e">
        <v>#N/A</v>
      </c>
      <c r="AS2691" t="e">
        <v>#N/A</v>
      </c>
      <c r="AT2691" t="e">
        <v>#N/A</v>
      </c>
    </row>
    <row r="2692" spans="42:46">
      <c r="AP2692">
        <v>207600</v>
      </c>
      <c r="AQ2692" t="e">
        <v>#N/A</v>
      </c>
      <c r="AR2692" t="e">
        <v>#N/A</v>
      </c>
      <c r="AS2692" t="e">
        <v>#N/A</v>
      </c>
      <c r="AT2692" t="e">
        <v>#N/A</v>
      </c>
    </row>
    <row r="2693" spans="42:46">
      <c r="AP2693">
        <v>207650</v>
      </c>
      <c r="AQ2693" t="e">
        <v>#N/A</v>
      </c>
      <c r="AR2693" t="e">
        <v>#N/A</v>
      </c>
      <c r="AS2693" t="e">
        <v>#N/A</v>
      </c>
      <c r="AT2693" t="e">
        <v>#N/A</v>
      </c>
    </row>
    <row r="2694" spans="42:46">
      <c r="AP2694">
        <v>207700</v>
      </c>
      <c r="AQ2694" t="e">
        <v>#N/A</v>
      </c>
      <c r="AR2694" t="e">
        <v>#N/A</v>
      </c>
      <c r="AS2694" t="e">
        <v>#N/A</v>
      </c>
      <c r="AT2694" t="e">
        <v>#N/A</v>
      </c>
    </row>
    <row r="2695" spans="42:46">
      <c r="AP2695">
        <v>207750</v>
      </c>
      <c r="AQ2695" t="e">
        <v>#N/A</v>
      </c>
      <c r="AR2695" t="e">
        <v>#N/A</v>
      </c>
      <c r="AS2695" t="e">
        <v>#N/A</v>
      </c>
      <c r="AT2695" t="e">
        <v>#N/A</v>
      </c>
    </row>
    <row r="2696" spans="42:46">
      <c r="AP2696">
        <v>207800</v>
      </c>
      <c r="AQ2696" t="e">
        <v>#N/A</v>
      </c>
      <c r="AR2696" t="e">
        <v>#N/A</v>
      </c>
      <c r="AS2696" t="e">
        <v>#N/A</v>
      </c>
      <c r="AT2696" t="e">
        <v>#N/A</v>
      </c>
    </row>
    <row r="2697" spans="42:46">
      <c r="AP2697">
        <v>207850</v>
      </c>
      <c r="AQ2697" t="e">
        <v>#N/A</v>
      </c>
      <c r="AR2697" t="e">
        <v>#N/A</v>
      </c>
      <c r="AS2697" t="e">
        <v>#N/A</v>
      </c>
      <c r="AT2697" t="e">
        <v>#N/A</v>
      </c>
    </row>
    <row r="2698" spans="42:46">
      <c r="AP2698">
        <v>207900</v>
      </c>
      <c r="AQ2698" t="e">
        <v>#N/A</v>
      </c>
      <c r="AR2698" t="e">
        <v>#N/A</v>
      </c>
      <c r="AS2698" t="e">
        <v>#N/A</v>
      </c>
      <c r="AT2698" t="e">
        <v>#N/A</v>
      </c>
    </row>
    <row r="2699" spans="42:46">
      <c r="AP2699">
        <v>207950</v>
      </c>
      <c r="AQ2699" t="e">
        <v>#N/A</v>
      </c>
      <c r="AR2699" t="e">
        <v>#N/A</v>
      </c>
      <c r="AS2699" t="e">
        <v>#N/A</v>
      </c>
      <c r="AT2699" t="e">
        <v>#N/A</v>
      </c>
    </row>
    <row r="2700" spans="42:46">
      <c r="AP2700">
        <v>208000</v>
      </c>
      <c r="AQ2700" t="e">
        <v>#N/A</v>
      </c>
      <c r="AR2700" t="e">
        <v>#N/A</v>
      </c>
      <c r="AS2700" t="e">
        <v>#N/A</v>
      </c>
      <c r="AT2700" t="e">
        <v>#N/A</v>
      </c>
    </row>
    <row r="2701" spans="42:46">
      <c r="AP2701">
        <v>208050</v>
      </c>
      <c r="AQ2701" t="e">
        <v>#N/A</v>
      </c>
      <c r="AR2701" t="e">
        <v>#N/A</v>
      </c>
      <c r="AS2701" t="e">
        <v>#N/A</v>
      </c>
      <c r="AT2701" t="e">
        <v>#N/A</v>
      </c>
    </row>
    <row r="2702" spans="42:46">
      <c r="AP2702">
        <v>208100</v>
      </c>
      <c r="AQ2702" t="e">
        <v>#N/A</v>
      </c>
      <c r="AR2702" t="e">
        <v>#N/A</v>
      </c>
      <c r="AS2702" t="e">
        <v>#N/A</v>
      </c>
      <c r="AT2702" t="e">
        <v>#N/A</v>
      </c>
    </row>
    <row r="2703" spans="42:46">
      <c r="AP2703">
        <v>208150</v>
      </c>
      <c r="AQ2703" t="e">
        <v>#N/A</v>
      </c>
      <c r="AR2703" t="e">
        <v>#N/A</v>
      </c>
      <c r="AS2703" t="e">
        <v>#N/A</v>
      </c>
      <c r="AT2703" t="e">
        <v>#N/A</v>
      </c>
    </row>
    <row r="2704" spans="42:46">
      <c r="AP2704">
        <v>208200</v>
      </c>
      <c r="AQ2704" t="e">
        <v>#N/A</v>
      </c>
      <c r="AR2704" t="e">
        <v>#N/A</v>
      </c>
      <c r="AS2704" t="e">
        <v>#N/A</v>
      </c>
      <c r="AT2704" t="e">
        <v>#N/A</v>
      </c>
    </row>
    <row r="2705" spans="42:46">
      <c r="AP2705">
        <v>208250</v>
      </c>
      <c r="AQ2705" t="e">
        <v>#N/A</v>
      </c>
      <c r="AR2705" t="e">
        <v>#N/A</v>
      </c>
      <c r="AS2705" t="e">
        <v>#N/A</v>
      </c>
      <c r="AT2705" t="e">
        <v>#N/A</v>
      </c>
    </row>
    <row r="2706" spans="42:46">
      <c r="AP2706">
        <v>208300</v>
      </c>
      <c r="AQ2706" t="e">
        <v>#N/A</v>
      </c>
      <c r="AR2706" t="e">
        <v>#N/A</v>
      </c>
      <c r="AS2706" t="e">
        <v>#N/A</v>
      </c>
      <c r="AT2706" t="e">
        <v>#N/A</v>
      </c>
    </row>
    <row r="2707" spans="42:46">
      <c r="AP2707">
        <v>208350</v>
      </c>
      <c r="AQ2707" t="e">
        <v>#N/A</v>
      </c>
      <c r="AR2707" t="e">
        <v>#N/A</v>
      </c>
      <c r="AS2707" t="e">
        <v>#N/A</v>
      </c>
      <c r="AT2707" t="e">
        <v>#N/A</v>
      </c>
    </row>
    <row r="2708" spans="42:46">
      <c r="AP2708">
        <v>208400</v>
      </c>
      <c r="AQ2708" t="e">
        <v>#N/A</v>
      </c>
      <c r="AR2708" t="e">
        <v>#N/A</v>
      </c>
      <c r="AS2708" t="e">
        <v>#N/A</v>
      </c>
      <c r="AT2708" t="e">
        <v>#N/A</v>
      </c>
    </row>
    <row r="2709" spans="42:46">
      <c r="AP2709">
        <v>208450</v>
      </c>
      <c r="AQ2709" t="e">
        <v>#N/A</v>
      </c>
      <c r="AR2709" t="e">
        <v>#N/A</v>
      </c>
      <c r="AS2709" t="e">
        <v>#N/A</v>
      </c>
      <c r="AT2709" t="e">
        <v>#N/A</v>
      </c>
    </row>
    <row r="2710" spans="42:46">
      <c r="AP2710">
        <v>208500</v>
      </c>
      <c r="AQ2710" t="e">
        <v>#N/A</v>
      </c>
      <c r="AR2710" t="e">
        <v>#N/A</v>
      </c>
      <c r="AS2710" t="e">
        <v>#N/A</v>
      </c>
      <c r="AT2710" t="e">
        <v>#N/A</v>
      </c>
    </row>
    <row r="2711" spans="42:46">
      <c r="AP2711">
        <v>208550</v>
      </c>
      <c r="AQ2711" t="e">
        <v>#N/A</v>
      </c>
      <c r="AR2711" t="e">
        <v>#N/A</v>
      </c>
      <c r="AS2711" t="e">
        <v>#N/A</v>
      </c>
      <c r="AT2711" t="e">
        <v>#N/A</v>
      </c>
    </row>
    <row r="2712" spans="42:46">
      <c r="AP2712">
        <v>208600</v>
      </c>
      <c r="AQ2712" t="e">
        <v>#N/A</v>
      </c>
      <c r="AR2712" t="e">
        <v>#N/A</v>
      </c>
      <c r="AS2712" t="e">
        <v>#N/A</v>
      </c>
      <c r="AT2712" t="e">
        <v>#N/A</v>
      </c>
    </row>
    <row r="2713" spans="42:46">
      <c r="AP2713">
        <v>208650</v>
      </c>
      <c r="AQ2713" t="e">
        <v>#N/A</v>
      </c>
      <c r="AR2713" t="e">
        <v>#N/A</v>
      </c>
      <c r="AS2713" t="e">
        <v>#N/A</v>
      </c>
      <c r="AT2713" t="e">
        <v>#N/A</v>
      </c>
    </row>
    <row r="2714" spans="42:46">
      <c r="AP2714">
        <v>208700</v>
      </c>
      <c r="AQ2714" t="e">
        <v>#N/A</v>
      </c>
      <c r="AR2714" t="e">
        <v>#N/A</v>
      </c>
      <c r="AS2714" t="e">
        <v>#N/A</v>
      </c>
      <c r="AT2714" t="e">
        <v>#N/A</v>
      </c>
    </row>
    <row r="2715" spans="42:46">
      <c r="AP2715">
        <v>208750</v>
      </c>
      <c r="AQ2715" t="e">
        <v>#N/A</v>
      </c>
      <c r="AR2715" t="e">
        <v>#N/A</v>
      </c>
      <c r="AS2715" t="e">
        <v>#N/A</v>
      </c>
      <c r="AT2715" t="e">
        <v>#N/A</v>
      </c>
    </row>
    <row r="2716" spans="42:46">
      <c r="AP2716">
        <v>208800</v>
      </c>
      <c r="AQ2716" t="e">
        <v>#N/A</v>
      </c>
      <c r="AR2716" t="e">
        <v>#N/A</v>
      </c>
      <c r="AS2716" t="e">
        <v>#N/A</v>
      </c>
      <c r="AT2716" t="e">
        <v>#N/A</v>
      </c>
    </row>
    <row r="2717" spans="42:46">
      <c r="AP2717">
        <v>208850</v>
      </c>
      <c r="AQ2717" t="e">
        <v>#N/A</v>
      </c>
      <c r="AR2717" t="e">
        <v>#N/A</v>
      </c>
      <c r="AS2717" t="e">
        <v>#N/A</v>
      </c>
      <c r="AT2717" t="e">
        <v>#N/A</v>
      </c>
    </row>
    <row r="2718" spans="42:46">
      <c r="AP2718">
        <v>208900</v>
      </c>
      <c r="AQ2718" t="e">
        <v>#N/A</v>
      </c>
      <c r="AR2718" t="e">
        <v>#N/A</v>
      </c>
      <c r="AS2718" t="e">
        <v>#N/A</v>
      </c>
      <c r="AT2718" t="e">
        <v>#N/A</v>
      </c>
    </row>
    <row r="2719" spans="42:46">
      <c r="AP2719">
        <v>208950</v>
      </c>
      <c r="AQ2719" t="e">
        <v>#N/A</v>
      </c>
      <c r="AR2719" t="e">
        <v>#N/A</v>
      </c>
      <c r="AS2719" t="e">
        <v>#N/A</v>
      </c>
      <c r="AT2719" t="e">
        <v>#N/A</v>
      </c>
    </row>
    <row r="2720" spans="42:46">
      <c r="AP2720">
        <v>209000</v>
      </c>
      <c r="AQ2720" t="e">
        <v>#N/A</v>
      </c>
      <c r="AR2720" t="e">
        <v>#N/A</v>
      </c>
      <c r="AS2720" t="e">
        <v>#N/A</v>
      </c>
      <c r="AT2720" t="e">
        <v>#N/A</v>
      </c>
    </row>
    <row r="2721" spans="42:46">
      <c r="AP2721">
        <v>209050</v>
      </c>
      <c r="AQ2721" t="e">
        <v>#N/A</v>
      </c>
      <c r="AR2721" t="e">
        <v>#N/A</v>
      </c>
      <c r="AS2721" t="e">
        <v>#N/A</v>
      </c>
      <c r="AT2721" t="e">
        <v>#N/A</v>
      </c>
    </row>
    <row r="2722" spans="42:46">
      <c r="AP2722">
        <v>209100</v>
      </c>
      <c r="AQ2722" t="e">
        <v>#N/A</v>
      </c>
      <c r="AR2722" t="e">
        <v>#N/A</v>
      </c>
      <c r="AS2722" t="e">
        <v>#N/A</v>
      </c>
      <c r="AT2722" t="e">
        <v>#N/A</v>
      </c>
    </row>
    <row r="2723" spans="42:46">
      <c r="AP2723">
        <v>209150</v>
      </c>
      <c r="AQ2723" t="e">
        <v>#N/A</v>
      </c>
      <c r="AR2723" t="e">
        <v>#N/A</v>
      </c>
      <c r="AS2723" t="e">
        <v>#N/A</v>
      </c>
      <c r="AT2723" t="e">
        <v>#N/A</v>
      </c>
    </row>
    <row r="2724" spans="42:46">
      <c r="AP2724">
        <v>209200</v>
      </c>
      <c r="AQ2724" t="e">
        <v>#N/A</v>
      </c>
      <c r="AR2724" t="e">
        <v>#N/A</v>
      </c>
      <c r="AS2724" t="e">
        <v>#N/A</v>
      </c>
      <c r="AT2724" t="e">
        <v>#N/A</v>
      </c>
    </row>
    <row r="2725" spans="42:46">
      <c r="AP2725">
        <v>209250</v>
      </c>
      <c r="AQ2725" t="e">
        <v>#N/A</v>
      </c>
      <c r="AR2725" t="e">
        <v>#N/A</v>
      </c>
      <c r="AS2725" t="e">
        <v>#N/A</v>
      </c>
      <c r="AT2725" t="e">
        <v>#N/A</v>
      </c>
    </row>
    <row r="2726" spans="42:46">
      <c r="AP2726">
        <v>209300</v>
      </c>
      <c r="AQ2726" t="e">
        <v>#N/A</v>
      </c>
      <c r="AR2726" t="e">
        <v>#N/A</v>
      </c>
      <c r="AS2726" t="e">
        <v>#N/A</v>
      </c>
      <c r="AT2726" t="e">
        <v>#N/A</v>
      </c>
    </row>
    <row r="2727" spans="42:46">
      <c r="AP2727">
        <v>209350</v>
      </c>
      <c r="AQ2727" t="e">
        <v>#N/A</v>
      </c>
      <c r="AR2727" t="e">
        <v>#N/A</v>
      </c>
      <c r="AS2727" t="e">
        <v>#N/A</v>
      </c>
      <c r="AT2727" t="e">
        <v>#N/A</v>
      </c>
    </row>
    <row r="2728" spans="42:46">
      <c r="AP2728">
        <v>209400</v>
      </c>
      <c r="AQ2728" t="e">
        <v>#N/A</v>
      </c>
      <c r="AR2728" t="e">
        <v>#N/A</v>
      </c>
      <c r="AS2728" t="e">
        <v>#N/A</v>
      </c>
      <c r="AT2728" t="e">
        <v>#N/A</v>
      </c>
    </row>
    <row r="2729" spans="42:46">
      <c r="AP2729">
        <v>209450</v>
      </c>
      <c r="AQ2729" t="e">
        <v>#N/A</v>
      </c>
      <c r="AR2729" t="e">
        <v>#N/A</v>
      </c>
      <c r="AS2729" t="e">
        <v>#N/A</v>
      </c>
      <c r="AT2729" t="e">
        <v>#N/A</v>
      </c>
    </row>
    <row r="2730" spans="42:46">
      <c r="AP2730">
        <v>209500</v>
      </c>
      <c r="AQ2730" t="e">
        <v>#N/A</v>
      </c>
      <c r="AR2730" t="e">
        <v>#N/A</v>
      </c>
      <c r="AS2730" t="e">
        <v>#N/A</v>
      </c>
      <c r="AT2730" t="e">
        <v>#N/A</v>
      </c>
    </row>
    <row r="2731" spans="42:46">
      <c r="AP2731">
        <v>209550</v>
      </c>
      <c r="AQ2731" t="e">
        <v>#N/A</v>
      </c>
      <c r="AR2731" t="e">
        <v>#N/A</v>
      </c>
      <c r="AS2731" t="e">
        <v>#N/A</v>
      </c>
      <c r="AT2731" t="e">
        <v>#N/A</v>
      </c>
    </row>
    <row r="2732" spans="42:46">
      <c r="AP2732">
        <v>209600</v>
      </c>
      <c r="AQ2732" t="e">
        <v>#N/A</v>
      </c>
      <c r="AR2732" t="e">
        <v>#N/A</v>
      </c>
      <c r="AS2732" t="e">
        <v>#N/A</v>
      </c>
      <c r="AT2732" t="e">
        <v>#N/A</v>
      </c>
    </row>
    <row r="2733" spans="42:46">
      <c r="AP2733">
        <v>209650</v>
      </c>
      <c r="AQ2733" t="e">
        <v>#N/A</v>
      </c>
      <c r="AR2733" t="e">
        <v>#N/A</v>
      </c>
      <c r="AS2733" t="e">
        <v>#N/A</v>
      </c>
      <c r="AT2733" t="e">
        <v>#N/A</v>
      </c>
    </row>
    <row r="2734" spans="42:46">
      <c r="AP2734">
        <v>209700</v>
      </c>
      <c r="AQ2734" t="e">
        <v>#N/A</v>
      </c>
      <c r="AR2734" t="e">
        <v>#N/A</v>
      </c>
      <c r="AS2734" t="e">
        <v>#N/A</v>
      </c>
      <c r="AT2734" t="e">
        <v>#N/A</v>
      </c>
    </row>
    <row r="2735" spans="42:46">
      <c r="AP2735">
        <v>209750</v>
      </c>
      <c r="AQ2735" t="e">
        <v>#N/A</v>
      </c>
      <c r="AR2735" t="e">
        <v>#N/A</v>
      </c>
      <c r="AS2735" t="e">
        <v>#N/A</v>
      </c>
      <c r="AT2735" t="e">
        <v>#N/A</v>
      </c>
    </row>
    <row r="2736" spans="42:46">
      <c r="AP2736">
        <v>209800</v>
      </c>
      <c r="AQ2736" t="e">
        <v>#N/A</v>
      </c>
      <c r="AR2736" t="e">
        <v>#N/A</v>
      </c>
      <c r="AS2736" t="e">
        <v>#N/A</v>
      </c>
      <c r="AT2736" t="e">
        <v>#N/A</v>
      </c>
    </row>
    <row r="2737" spans="42:46">
      <c r="AP2737">
        <v>209850</v>
      </c>
      <c r="AQ2737" t="e">
        <v>#N/A</v>
      </c>
      <c r="AR2737" t="e">
        <v>#N/A</v>
      </c>
      <c r="AS2737" t="e">
        <v>#N/A</v>
      </c>
      <c r="AT2737" t="e">
        <v>#N/A</v>
      </c>
    </row>
    <row r="2738" spans="42:46">
      <c r="AP2738">
        <v>209900</v>
      </c>
      <c r="AQ2738" t="e">
        <v>#N/A</v>
      </c>
      <c r="AR2738" t="e">
        <v>#N/A</v>
      </c>
      <c r="AS2738" t="e">
        <v>#N/A</v>
      </c>
      <c r="AT2738" t="e">
        <v>#N/A</v>
      </c>
    </row>
    <row r="2739" spans="42:46">
      <c r="AP2739">
        <v>209950</v>
      </c>
      <c r="AQ2739" t="e">
        <v>#N/A</v>
      </c>
      <c r="AR2739" t="e">
        <v>#N/A</v>
      </c>
      <c r="AS2739" t="e">
        <v>#N/A</v>
      </c>
      <c r="AT2739" t="e">
        <v>#N/A</v>
      </c>
    </row>
    <row r="2740" spans="42:46">
      <c r="AP2740">
        <v>210000</v>
      </c>
      <c r="AQ2740" t="e">
        <v>#N/A</v>
      </c>
      <c r="AR2740" t="e">
        <v>#N/A</v>
      </c>
      <c r="AS2740" t="e">
        <v>#N/A</v>
      </c>
      <c r="AT2740" t="e">
        <v>#N/A</v>
      </c>
    </row>
    <row r="2741" spans="42:46">
      <c r="AP2741">
        <v>210050</v>
      </c>
      <c r="AQ2741" t="e">
        <v>#N/A</v>
      </c>
      <c r="AR2741" t="e">
        <v>#N/A</v>
      </c>
      <c r="AS2741" t="e">
        <v>#N/A</v>
      </c>
      <c r="AT2741" t="e">
        <v>#N/A</v>
      </c>
    </row>
    <row r="2742" spans="42:46">
      <c r="AP2742">
        <v>210100</v>
      </c>
      <c r="AQ2742" t="e">
        <v>#N/A</v>
      </c>
      <c r="AR2742" t="e">
        <v>#N/A</v>
      </c>
      <c r="AS2742" t="e">
        <v>#N/A</v>
      </c>
      <c r="AT2742" t="e">
        <v>#N/A</v>
      </c>
    </row>
    <row r="2743" spans="42:46">
      <c r="AP2743">
        <v>210150</v>
      </c>
      <c r="AQ2743" t="e">
        <v>#N/A</v>
      </c>
      <c r="AR2743" t="e">
        <v>#N/A</v>
      </c>
      <c r="AS2743" t="e">
        <v>#N/A</v>
      </c>
      <c r="AT2743" t="e">
        <v>#N/A</v>
      </c>
    </row>
    <row r="2744" spans="42:46">
      <c r="AP2744">
        <v>210200</v>
      </c>
      <c r="AQ2744" t="e">
        <v>#N/A</v>
      </c>
      <c r="AR2744" t="e">
        <v>#N/A</v>
      </c>
      <c r="AS2744" t="e">
        <v>#N/A</v>
      </c>
      <c r="AT2744" t="e">
        <v>#N/A</v>
      </c>
    </row>
    <row r="2745" spans="42:46">
      <c r="AP2745">
        <v>210250</v>
      </c>
      <c r="AQ2745" t="e">
        <v>#N/A</v>
      </c>
      <c r="AR2745" t="e">
        <v>#N/A</v>
      </c>
      <c r="AS2745" t="e">
        <v>#N/A</v>
      </c>
      <c r="AT2745" t="e">
        <v>#N/A</v>
      </c>
    </row>
    <row r="2746" spans="42:46">
      <c r="AP2746">
        <v>210300</v>
      </c>
      <c r="AQ2746" t="e">
        <v>#N/A</v>
      </c>
      <c r="AR2746" t="e">
        <v>#N/A</v>
      </c>
      <c r="AS2746" t="e">
        <v>#N/A</v>
      </c>
      <c r="AT2746" t="e">
        <v>#N/A</v>
      </c>
    </row>
    <row r="2747" spans="42:46">
      <c r="AP2747">
        <v>210350</v>
      </c>
      <c r="AQ2747" t="e">
        <v>#N/A</v>
      </c>
      <c r="AR2747" t="e">
        <v>#N/A</v>
      </c>
      <c r="AS2747" t="e">
        <v>#N/A</v>
      </c>
      <c r="AT2747" t="e">
        <v>#N/A</v>
      </c>
    </row>
    <row r="2748" spans="42:46">
      <c r="AP2748">
        <v>210400</v>
      </c>
      <c r="AQ2748" t="e">
        <v>#N/A</v>
      </c>
      <c r="AR2748" t="e">
        <v>#N/A</v>
      </c>
      <c r="AS2748" t="e">
        <v>#N/A</v>
      </c>
      <c r="AT2748" t="e">
        <v>#N/A</v>
      </c>
    </row>
    <row r="2749" spans="42:46">
      <c r="AP2749">
        <v>210450</v>
      </c>
      <c r="AQ2749" t="e">
        <v>#N/A</v>
      </c>
      <c r="AR2749" t="e">
        <v>#N/A</v>
      </c>
      <c r="AS2749" t="e">
        <v>#N/A</v>
      </c>
      <c r="AT2749" t="e">
        <v>#N/A</v>
      </c>
    </row>
    <row r="2750" spans="42:46">
      <c r="AP2750">
        <v>210500</v>
      </c>
      <c r="AQ2750" t="e">
        <v>#N/A</v>
      </c>
      <c r="AR2750" t="e">
        <v>#N/A</v>
      </c>
      <c r="AS2750" t="e">
        <v>#N/A</v>
      </c>
      <c r="AT2750" t="e">
        <v>#N/A</v>
      </c>
    </row>
    <row r="2751" spans="42:46">
      <c r="AP2751">
        <v>210550</v>
      </c>
      <c r="AQ2751" t="e">
        <v>#N/A</v>
      </c>
      <c r="AR2751" t="e">
        <v>#N/A</v>
      </c>
      <c r="AS2751" t="e">
        <v>#N/A</v>
      </c>
      <c r="AT2751" t="e">
        <v>#N/A</v>
      </c>
    </row>
    <row r="2752" spans="42:46">
      <c r="AP2752">
        <v>210600</v>
      </c>
      <c r="AQ2752" t="e">
        <v>#N/A</v>
      </c>
      <c r="AR2752" t="e">
        <v>#N/A</v>
      </c>
      <c r="AS2752" t="e">
        <v>#N/A</v>
      </c>
      <c r="AT2752" t="e">
        <v>#N/A</v>
      </c>
    </row>
    <row r="2753" spans="42:46">
      <c r="AP2753">
        <v>210650</v>
      </c>
      <c r="AQ2753" t="e">
        <v>#N/A</v>
      </c>
      <c r="AR2753" t="e">
        <v>#N/A</v>
      </c>
      <c r="AS2753" t="e">
        <v>#N/A</v>
      </c>
      <c r="AT2753" t="e">
        <v>#N/A</v>
      </c>
    </row>
    <row r="2754" spans="42:46">
      <c r="AP2754">
        <v>210700</v>
      </c>
      <c r="AQ2754" t="e">
        <v>#N/A</v>
      </c>
      <c r="AR2754" t="e">
        <v>#N/A</v>
      </c>
      <c r="AS2754" t="e">
        <v>#N/A</v>
      </c>
      <c r="AT2754" t="e">
        <v>#N/A</v>
      </c>
    </row>
    <row r="2755" spans="42:46">
      <c r="AP2755">
        <v>210750</v>
      </c>
      <c r="AQ2755" t="e">
        <v>#N/A</v>
      </c>
      <c r="AR2755" t="e">
        <v>#N/A</v>
      </c>
      <c r="AS2755" t="e">
        <v>#N/A</v>
      </c>
      <c r="AT2755" t="e">
        <v>#N/A</v>
      </c>
    </row>
    <row r="2756" spans="42:46">
      <c r="AP2756">
        <v>210800</v>
      </c>
      <c r="AQ2756" t="e">
        <v>#N/A</v>
      </c>
      <c r="AR2756" t="e">
        <v>#N/A</v>
      </c>
      <c r="AS2756" t="e">
        <v>#N/A</v>
      </c>
      <c r="AT2756" t="e">
        <v>#N/A</v>
      </c>
    </row>
    <row r="2757" spans="42:46">
      <c r="AP2757">
        <v>210850</v>
      </c>
      <c r="AQ2757" t="e">
        <v>#N/A</v>
      </c>
      <c r="AR2757" t="e">
        <v>#N/A</v>
      </c>
      <c r="AS2757" t="e">
        <v>#N/A</v>
      </c>
      <c r="AT2757" t="e">
        <v>#N/A</v>
      </c>
    </row>
    <row r="2758" spans="42:46">
      <c r="AP2758">
        <v>210900</v>
      </c>
      <c r="AQ2758" t="e">
        <v>#N/A</v>
      </c>
      <c r="AR2758" t="e">
        <v>#N/A</v>
      </c>
      <c r="AS2758" t="e">
        <v>#N/A</v>
      </c>
      <c r="AT2758" t="e">
        <v>#N/A</v>
      </c>
    </row>
    <row r="2759" spans="42:46">
      <c r="AP2759">
        <v>210950</v>
      </c>
      <c r="AQ2759" t="e">
        <v>#N/A</v>
      </c>
      <c r="AR2759" t="e">
        <v>#N/A</v>
      </c>
      <c r="AS2759" t="e">
        <v>#N/A</v>
      </c>
      <c r="AT2759" t="e">
        <v>#N/A</v>
      </c>
    </row>
    <row r="2760" spans="42:46">
      <c r="AP2760">
        <v>211000</v>
      </c>
      <c r="AQ2760" t="e">
        <v>#N/A</v>
      </c>
      <c r="AR2760" t="e">
        <v>#N/A</v>
      </c>
      <c r="AS2760" t="e">
        <v>#N/A</v>
      </c>
      <c r="AT2760" t="e">
        <v>#N/A</v>
      </c>
    </row>
    <row r="2761" spans="42:46">
      <c r="AP2761">
        <v>211050</v>
      </c>
      <c r="AQ2761" t="e">
        <v>#N/A</v>
      </c>
      <c r="AR2761" t="e">
        <v>#N/A</v>
      </c>
      <c r="AS2761" t="e">
        <v>#N/A</v>
      </c>
      <c r="AT2761" t="e">
        <v>#N/A</v>
      </c>
    </row>
    <row r="2762" spans="42:46">
      <c r="AP2762">
        <v>211100</v>
      </c>
      <c r="AQ2762" t="e">
        <v>#N/A</v>
      </c>
      <c r="AR2762" t="e">
        <v>#N/A</v>
      </c>
      <c r="AS2762" t="e">
        <v>#N/A</v>
      </c>
      <c r="AT2762" t="e">
        <v>#N/A</v>
      </c>
    </row>
    <row r="2763" spans="42:46">
      <c r="AP2763">
        <v>211150</v>
      </c>
      <c r="AQ2763" t="e">
        <v>#N/A</v>
      </c>
      <c r="AR2763" t="e">
        <v>#N/A</v>
      </c>
      <c r="AS2763" t="e">
        <v>#N/A</v>
      </c>
      <c r="AT2763" t="e">
        <v>#N/A</v>
      </c>
    </row>
    <row r="2764" spans="42:46">
      <c r="AP2764">
        <v>211200</v>
      </c>
      <c r="AQ2764" t="e">
        <v>#N/A</v>
      </c>
      <c r="AR2764" t="e">
        <v>#N/A</v>
      </c>
      <c r="AS2764" t="e">
        <v>#N/A</v>
      </c>
      <c r="AT2764" t="e">
        <v>#N/A</v>
      </c>
    </row>
    <row r="2765" spans="42:46">
      <c r="AP2765">
        <v>211250</v>
      </c>
      <c r="AQ2765" t="e">
        <v>#N/A</v>
      </c>
      <c r="AR2765" t="e">
        <v>#N/A</v>
      </c>
      <c r="AS2765" t="e">
        <v>#N/A</v>
      </c>
      <c r="AT2765" t="e">
        <v>#N/A</v>
      </c>
    </row>
    <row r="2766" spans="42:46">
      <c r="AP2766">
        <v>211300</v>
      </c>
      <c r="AQ2766" t="e">
        <v>#N/A</v>
      </c>
      <c r="AR2766" t="e">
        <v>#N/A</v>
      </c>
      <c r="AS2766" t="e">
        <v>#N/A</v>
      </c>
      <c r="AT2766" t="e">
        <v>#N/A</v>
      </c>
    </row>
    <row r="2767" spans="42:46">
      <c r="AP2767">
        <v>211350</v>
      </c>
      <c r="AQ2767" t="e">
        <v>#N/A</v>
      </c>
      <c r="AR2767" t="e">
        <v>#N/A</v>
      </c>
      <c r="AS2767" t="e">
        <v>#N/A</v>
      </c>
      <c r="AT2767" t="e">
        <v>#N/A</v>
      </c>
    </row>
    <row r="2768" spans="42:46">
      <c r="AP2768">
        <v>211400</v>
      </c>
      <c r="AQ2768" t="e">
        <v>#N/A</v>
      </c>
      <c r="AR2768" t="e">
        <v>#N/A</v>
      </c>
      <c r="AS2768" t="e">
        <v>#N/A</v>
      </c>
      <c r="AT2768" t="e">
        <v>#N/A</v>
      </c>
    </row>
    <row r="2769" spans="42:46">
      <c r="AP2769">
        <v>211450</v>
      </c>
      <c r="AQ2769" t="e">
        <v>#N/A</v>
      </c>
      <c r="AR2769" t="e">
        <v>#N/A</v>
      </c>
      <c r="AS2769" t="e">
        <v>#N/A</v>
      </c>
      <c r="AT2769" t="e">
        <v>#N/A</v>
      </c>
    </row>
    <row r="2770" spans="42:46">
      <c r="AP2770">
        <v>211500</v>
      </c>
      <c r="AQ2770" t="e">
        <v>#N/A</v>
      </c>
      <c r="AR2770" t="e">
        <v>#N/A</v>
      </c>
      <c r="AS2770" t="e">
        <v>#N/A</v>
      </c>
      <c r="AT2770" t="e">
        <v>#N/A</v>
      </c>
    </row>
    <row r="2771" spans="42:46">
      <c r="AP2771">
        <v>211550</v>
      </c>
      <c r="AQ2771" t="e">
        <v>#N/A</v>
      </c>
      <c r="AR2771" t="e">
        <v>#N/A</v>
      </c>
      <c r="AS2771" t="e">
        <v>#N/A</v>
      </c>
      <c r="AT2771" t="e">
        <v>#N/A</v>
      </c>
    </row>
    <row r="2772" spans="42:46">
      <c r="AP2772">
        <v>211600</v>
      </c>
      <c r="AQ2772" t="e">
        <v>#N/A</v>
      </c>
      <c r="AR2772" t="e">
        <v>#N/A</v>
      </c>
      <c r="AS2772" t="e">
        <v>#N/A</v>
      </c>
      <c r="AT2772" t="e">
        <v>#N/A</v>
      </c>
    </row>
    <row r="2773" spans="42:46">
      <c r="AP2773">
        <v>211650</v>
      </c>
      <c r="AQ2773" t="e">
        <v>#N/A</v>
      </c>
      <c r="AR2773" t="e">
        <v>#N/A</v>
      </c>
      <c r="AS2773" t="e">
        <v>#N/A</v>
      </c>
      <c r="AT2773" t="e">
        <v>#N/A</v>
      </c>
    </row>
    <row r="2774" spans="42:46">
      <c r="AP2774">
        <v>211700</v>
      </c>
      <c r="AQ2774" t="e">
        <v>#N/A</v>
      </c>
      <c r="AR2774" t="e">
        <v>#N/A</v>
      </c>
      <c r="AS2774" t="e">
        <v>#N/A</v>
      </c>
      <c r="AT2774" t="e">
        <v>#N/A</v>
      </c>
    </row>
    <row r="2775" spans="42:46">
      <c r="AP2775">
        <v>211750</v>
      </c>
      <c r="AQ2775" t="e">
        <v>#N/A</v>
      </c>
      <c r="AR2775" t="e">
        <v>#N/A</v>
      </c>
      <c r="AS2775" t="e">
        <v>#N/A</v>
      </c>
      <c r="AT2775" t="e">
        <v>#N/A</v>
      </c>
    </row>
    <row r="2776" spans="42:46">
      <c r="AP2776">
        <v>211800</v>
      </c>
      <c r="AQ2776" t="e">
        <v>#N/A</v>
      </c>
      <c r="AR2776" t="e">
        <v>#N/A</v>
      </c>
      <c r="AS2776" t="e">
        <v>#N/A</v>
      </c>
      <c r="AT2776" t="e">
        <v>#N/A</v>
      </c>
    </row>
    <row r="2777" spans="42:46">
      <c r="AP2777">
        <v>211850</v>
      </c>
      <c r="AQ2777" t="e">
        <v>#N/A</v>
      </c>
      <c r="AR2777" t="e">
        <v>#N/A</v>
      </c>
      <c r="AS2777" t="e">
        <v>#N/A</v>
      </c>
      <c r="AT2777" t="e">
        <v>#N/A</v>
      </c>
    </row>
    <row r="2778" spans="42:46">
      <c r="AP2778">
        <v>211900</v>
      </c>
      <c r="AQ2778" t="e">
        <v>#N/A</v>
      </c>
      <c r="AR2778" t="e">
        <v>#N/A</v>
      </c>
      <c r="AS2778" t="e">
        <v>#N/A</v>
      </c>
      <c r="AT2778" t="e">
        <v>#N/A</v>
      </c>
    </row>
    <row r="2779" spans="42:46">
      <c r="AP2779">
        <v>211950</v>
      </c>
      <c r="AQ2779" t="e">
        <v>#N/A</v>
      </c>
      <c r="AR2779" t="e">
        <v>#N/A</v>
      </c>
      <c r="AS2779" t="e">
        <v>#N/A</v>
      </c>
      <c r="AT2779" t="e">
        <v>#N/A</v>
      </c>
    </row>
    <row r="2780" spans="42:46">
      <c r="AP2780">
        <v>212000</v>
      </c>
      <c r="AQ2780" t="e">
        <v>#N/A</v>
      </c>
      <c r="AR2780" t="e">
        <v>#N/A</v>
      </c>
      <c r="AS2780" t="e">
        <v>#N/A</v>
      </c>
      <c r="AT2780" t="e">
        <v>#N/A</v>
      </c>
    </row>
    <row r="2781" spans="42:46">
      <c r="AP2781">
        <v>212050</v>
      </c>
      <c r="AQ2781" t="e">
        <v>#N/A</v>
      </c>
      <c r="AR2781" t="e">
        <v>#N/A</v>
      </c>
      <c r="AS2781" t="e">
        <v>#N/A</v>
      </c>
      <c r="AT2781" t="e">
        <v>#N/A</v>
      </c>
    </row>
    <row r="2782" spans="42:46">
      <c r="AP2782">
        <v>212100</v>
      </c>
      <c r="AQ2782" t="e">
        <v>#N/A</v>
      </c>
      <c r="AR2782" t="e">
        <v>#N/A</v>
      </c>
      <c r="AS2782" t="e">
        <v>#N/A</v>
      </c>
      <c r="AT2782" t="e">
        <v>#N/A</v>
      </c>
    </row>
    <row r="2783" spans="42:46">
      <c r="AP2783">
        <v>212150</v>
      </c>
      <c r="AQ2783" t="e">
        <v>#N/A</v>
      </c>
      <c r="AR2783" t="e">
        <v>#N/A</v>
      </c>
      <c r="AS2783" t="e">
        <v>#N/A</v>
      </c>
      <c r="AT2783" t="e">
        <v>#N/A</v>
      </c>
    </row>
    <row r="2784" spans="42:46">
      <c r="AP2784">
        <v>212200</v>
      </c>
      <c r="AQ2784" t="e">
        <v>#N/A</v>
      </c>
      <c r="AR2784" t="e">
        <v>#N/A</v>
      </c>
      <c r="AS2784" t="e">
        <v>#N/A</v>
      </c>
      <c r="AT2784" t="e">
        <v>#N/A</v>
      </c>
    </row>
    <row r="2785" spans="42:46">
      <c r="AP2785">
        <v>212250</v>
      </c>
      <c r="AQ2785" t="e">
        <v>#N/A</v>
      </c>
      <c r="AR2785" t="e">
        <v>#N/A</v>
      </c>
      <c r="AS2785" t="e">
        <v>#N/A</v>
      </c>
      <c r="AT2785" t="e">
        <v>#N/A</v>
      </c>
    </row>
    <row r="2786" spans="42:46">
      <c r="AP2786">
        <v>212300</v>
      </c>
      <c r="AQ2786" t="e">
        <v>#N/A</v>
      </c>
      <c r="AR2786" t="e">
        <v>#N/A</v>
      </c>
      <c r="AS2786" t="e">
        <v>#N/A</v>
      </c>
      <c r="AT2786" t="e">
        <v>#N/A</v>
      </c>
    </row>
    <row r="2787" spans="42:46">
      <c r="AP2787">
        <v>212350</v>
      </c>
      <c r="AQ2787" t="e">
        <v>#N/A</v>
      </c>
      <c r="AR2787" t="e">
        <v>#N/A</v>
      </c>
      <c r="AS2787" t="e">
        <v>#N/A</v>
      </c>
      <c r="AT2787" t="e">
        <v>#N/A</v>
      </c>
    </row>
    <row r="2788" spans="42:46">
      <c r="AP2788">
        <v>212400</v>
      </c>
      <c r="AQ2788" t="e">
        <v>#N/A</v>
      </c>
      <c r="AR2788" t="e">
        <v>#N/A</v>
      </c>
      <c r="AS2788" t="e">
        <v>#N/A</v>
      </c>
      <c r="AT2788" t="e">
        <v>#N/A</v>
      </c>
    </row>
    <row r="2789" spans="42:46">
      <c r="AP2789">
        <v>212450</v>
      </c>
      <c r="AQ2789" t="e">
        <v>#N/A</v>
      </c>
      <c r="AR2789" t="e">
        <v>#N/A</v>
      </c>
      <c r="AS2789" t="e">
        <v>#N/A</v>
      </c>
      <c r="AT2789" t="e">
        <v>#N/A</v>
      </c>
    </row>
    <row r="2790" spans="42:46">
      <c r="AP2790">
        <v>212500</v>
      </c>
      <c r="AQ2790" t="e">
        <v>#N/A</v>
      </c>
      <c r="AR2790" t="e">
        <v>#N/A</v>
      </c>
      <c r="AS2790" t="e">
        <v>#N/A</v>
      </c>
      <c r="AT2790" t="e">
        <v>#N/A</v>
      </c>
    </row>
    <row r="2791" spans="42:46">
      <c r="AP2791">
        <v>212550</v>
      </c>
      <c r="AQ2791" t="e">
        <v>#N/A</v>
      </c>
      <c r="AR2791" t="e">
        <v>#N/A</v>
      </c>
      <c r="AS2791" t="e">
        <v>#N/A</v>
      </c>
      <c r="AT2791" t="e">
        <v>#N/A</v>
      </c>
    </row>
    <row r="2792" spans="42:46">
      <c r="AP2792">
        <v>212600</v>
      </c>
      <c r="AQ2792" t="e">
        <v>#N/A</v>
      </c>
      <c r="AR2792" t="e">
        <v>#N/A</v>
      </c>
      <c r="AS2792" t="e">
        <v>#N/A</v>
      </c>
      <c r="AT2792" t="e">
        <v>#N/A</v>
      </c>
    </row>
    <row r="2793" spans="42:46">
      <c r="AP2793">
        <v>212650</v>
      </c>
      <c r="AQ2793" t="e">
        <v>#N/A</v>
      </c>
      <c r="AR2793" t="e">
        <v>#N/A</v>
      </c>
      <c r="AS2793" t="e">
        <v>#N/A</v>
      </c>
      <c r="AT2793" t="e">
        <v>#N/A</v>
      </c>
    </row>
    <row r="2794" spans="42:46">
      <c r="AP2794">
        <v>212700</v>
      </c>
      <c r="AQ2794" t="e">
        <v>#N/A</v>
      </c>
      <c r="AR2794" t="e">
        <v>#N/A</v>
      </c>
      <c r="AS2794" t="e">
        <v>#N/A</v>
      </c>
      <c r="AT2794" t="e">
        <v>#N/A</v>
      </c>
    </row>
    <row r="2795" spans="42:46">
      <c r="AP2795">
        <v>212750</v>
      </c>
      <c r="AQ2795" t="e">
        <v>#N/A</v>
      </c>
      <c r="AR2795" t="e">
        <v>#N/A</v>
      </c>
      <c r="AS2795" t="e">
        <v>#N/A</v>
      </c>
      <c r="AT2795" t="e">
        <v>#N/A</v>
      </c>
    </row>
    <row r="2796" spans="42:46">
      <c r="AP2796">
        <v>212800</v>
      </c>
      <c r="AQ2796" t="e">
        <v>#N/A</v>
      </c>
      <c r="AR2796" t="e">
        <v>#N/A</v>
      </c>
      <c r="AS2796" t="e">
        <v>#N/A</v>
      </c>
      <c r="AT2796" t="e">
        <v>#N/A</v>
      </c>
    </row>
    <row r="2797" spans="42:46">
      <c r="AP2797">
        <v>212850</v>
      </c>
      <c r="AQ2797" t="e">
        <v>#N/A</v>
      </c>
      <c r="AR2797" t="e">
        <v>#N/A</v>
      </c>
      <c r="AS2797" t="e">
        <v>#N/A</v>
      </c>
      <c r="AT2797" t="e">
        <v>#N/A</v>
      </c>
    </row>
    <row r="2798" spans="42:46">
      <c r="AP2798">
        <v>212900</v>
      </c>
      <c r="AQ2798" t="e">
        <v>#N/A</v>
      </c>
      <c r="AR2798" t="e">
        <v>#N/A</v>
      </c>
      <c r="AS2798" t="e">
        <v>#N/A</v>
      </c>
      <c r="AT2798" t="e">
        <v>#N/A</v>
      </c>
    </row>
    <row r="2799" spans="42:46">
      <c r="AP2799">
        <v>212950</v>
      </c>
      <c r="AQ2799" t="e">
        <v>#N/A</v>
      </c>
      <c r="AR2799" t="e">
        <v>#N/A</v>
      </c>
      <c r="AS2799" t="e">
        <v>#N/A</v>
      </c>
      <c r="AT2799" t="e">
        <v>#N/A</v>
      </c>
    </row>
    <row r="2800" spans="42:46">
      <c r="AP2800">
        <v>213000</v>
      </c>
      <c r="AQ2800" t="e">
        <v>#N/A</v>
      </c>
      <c r="AR2800" t="e">
        <v>#N/A</v>
      </c>
      <c r="AS2800" t="e">
        <v>#N/A</v>
      </c>
      <c r="AT2800" t="e">
        <v>#N/A</v>
      </c>
    </row>
    <row r="2801" spans="42:46">
      <c r="AP2801">
        <v>213050</v>
      </c>
      <c r="AQ2801" t="e">
        <v>#N/A</v>
      </c>
      <c r="AR2801" t="e">
        <v>#N/A</v>
      </c>
      <c r="AS2801" t="e">
        <v>#N/A</v>
      </c>
      <c r="AT2801" t="e">
        <v>#N/A</v>
      </c>
    </row>
    <row r="2802" spans="42:46">
      <c r="AP2802">
        <v>213100</v>
      </c>
      <c r="AQ2802" t="e">
        <v>#N/A</v>
      </c>
      <c r="AR2802" t="e">
        <v>#N/A</v>
      </c>
      <c r="AS2802" t="e">
        <v>#N/A</v>
      </c>
      <c r="AT2802" t="e">
        <v>#N/A</v>
      </c>
    </row>
    <row r="2803" spans="42:46">
      <c r="AP2803">
        <v>213150</v>
      </c>
      <c r="AQ2803" t="e">
        <v>#N/A</v>
      </c>
      <c r="AR2803" t="e">
        <v>#N/A</v>
      </c>
      <c r="AS2803" t="e">
        <v>#N/A</v>
      </c>
      <c r="AT2803" t="e">
        <v>#N/A</v>
      </c>
    </row>
    <row r="2804" spans="42:46">
      <c r="AP2804">
        <v>213200</v>
      </c>
      <c r="AQ2804" t="e">
        <v>#N/A</v>
      </c>
      <c r="AR2804" t="e">
        <v>#N/A</v>
      </c>
      <c r="AS2804" t="e">
        <v>#N/A</v>
      </c>
      <c r="AT2804" t="e">
        <v>#N/A</v>
      </c>
    </row>
    <row r="2805" spans="42:46">
      <c r="AP2805">
        <v>213250</v>
      </c>
      <c r="AQ2805" t="e">
        <v>#N/A</v>
      </c>
      <c r="AR2805" t="e">
        <v>#N/A</v>
      </c>
      <c r="AS2805" t="e">
        <v>#N/A</v>
      </c>
      <c r="AT2805" t="e">
        <v>#N/A</v>
      </c>
    </row>
    <row r="2806" spans="42:46">
      <c r="AP2806">
        <v>213300</v>
      </c>
      <c r="AQ2806" t="e">
        <v>#N/A</v>
      </c>
      <c r="AR2806" t="e">
        <v>#N/A</v>
      </c>
      <c r="AS2806" t="e">
        <v>#N/A</v>
      </c>
      <c r="AT2806" t="e">
        <v>#N/A</v>
      </c>
    </row>
    <row r="2807" spans="42:46">
      <c r="AP2807">
        <v>213350</v>
      </c>
      <c r="AQ2807" t="e">
        <v>#N/A</v>
      </c>
      <c r="AR2807" t="e">
        <v>#N/A</v>
      </c>
      <c r="AS2807" t="e">
        <v>#N/A</v>
      </c>
      <c r="AT2807" t="e">
        <v>#N/A</v>
      </c>
    </row>
    <row r="2808" spans="42:46">
      <c r="AP2808">
        <v>213400</v>
      </c>
      <c r="AQ2808" t="e">
        <v>#N/A</v>
      </c>
      <c r="AR2808" t="e">
        <v>#N/A</v>
      </c>
      <c r="AS2808" t="e">
        <v>#N/A</v>
      </c>
      <c r="AT2808" t="e">
        <v>#N/A</v>
      </c>
    </row>
    <row r="2809" spans="42:46">
      <c r="AP2809">
        <v>213450</v>
      </c>
      <c r="AQ2809" t="e">
        <v>#N/A</v>
      </c>
      <c r="AR2809" t="e">
        <v>#N/A</v>
      </c>
      <c r="AS2809" t="e">
        <v>#N/A</v>
      </c>
      <c r="AT2809" t="e">
        <v>#N/A</v>
      </c>
    </row>
    <row r="2810" spans="42:46">
      <c r="AP2810">
        <v>213500</v>
      </c>
      <c r="AQ2810" t="e">
        <v>#N/A</v>
      </c>
      <c r="AR2810" t="e">
        <v>#N/A</v>
      </c>
      <c r="AS2810" t="e">
        <v>#N/A</v>
      </c>
      <c r="AT2810" t="e">
        <v>#N/A</v>
      </c>
    </row>
    <row r="2811" spans="42:46">
      <c r="AP2811">
        <v>213550</v>
      </c>
      <c r="AQ2811" t="e">
        <v>#N/A</v>
      </c>
      <c r="AR2811" t="e">
        <v>#N/A</v>
      </c>
      <c r="AS2811" t="e">
        <v>#N/A</v>
      </c>
      <c r="AT2811" t="e">
        <v>#N/A</v>
      </c>
    </row>
    <row r="2812" spans="42:46">
      <c r="AP2812">
        <v>213600</v>
      </c>
      <c r="AQ2812" t="e">
        <v>#N/A</v>
      </c>
      <c r="AR2812" t="e">
        <v>#N/A</v>
      </c>
      <c r="AS2812" t="e">
        <v>#N/A</v>
      </c>
      <c r="AT2812" t="e">
        <v>#N/A</v>
      </c>
    </row>
    <row r="2813" spans="42:46">
      <c r="AP2813">
        <v>213650</v>
      </c>
      <c r="AQ2813" t="e">
        <v>#N/A</v>
      </c>
      <c r="AR2813" t="e">
        <v>#N/A</v>
      </c>
      <c r="AS2813" t="e">
        <v>#N/A</v>
      </c>
      <c r="AT2813" t="e">
        <v>#N/A</v>
      </c>
    </row>
    <row r="2814" spans="42:46">
      <c r="AP2814">
        <v>213700</v>
      </c>
      <c r="AQ2814" t="e">
        <v>#N/A</v>
      </c>
      <c r="AR2814" t="e">
        <v>#N/A</v>
      </c>
      <c r="AS2814" t="e">
        <v>#N/A</v>
      </c>
      <c r="AT2814" t="e">
        <v>#N/A</v>
      </c>
    </row>
    <row r="2815" spans="42:46">
      <c r="AP2815">
        <v>213750</v>
      </c>
      <c r="AQ2815" t="e">
        <v>#N/A</v>
      </c>
      <c r="AR2815" t="e">
        <v>#N/A</v>
      </c>
      <c r="AS2815" t="e">
        <v>#N/A</v>
      </c>
      <c r="AT2815" t="e">
        <v>#N/A</v>
      </c>
    </row>
    <row r="2816" spans="42:46">
      <c r="AP2816">
        <v>213800</v>
      </c>
      <c r="AQ2816" t="e">
        <v>#N/A</v>
      </c>
      <c r="AR2816" t="e">
        <v>#N/A</v>
      </c>
      <c r="AS2816" t="e">
        <v>#N/A</v>
      </c>
      <c r="AT2816" t="e">
        <v>#N/A</v>
      </c>
    </row>
    <row r="2817" spans="42:46">
      <c r="AP2817">
        <v>213850</v>
      </c>
      <c r="AQ2817" t="e">
        <v>#N/A</v>
      </c>
      <c r="AR2817" t="e">
        <v>#N/A</v>
      </c>
      <c r="AS2817" t="e">
        <v>#N/A</v>
      </c>
      <c r="AT2817" t="e">
        <v>#N/A</v>
      </c>
    </row>
    <row r="2818" spans="42:46">
      <c r="AP2818">
        <v>213900</v>
      </c>
      <c r="AQ2818" t="e">
        <v>#N/A</v>
      </c>
      <c r="AR2818" t="e">
        <v>#N/A</v>
      </c>
      <c r="AS2818" t="e">
        <v>#N/A</v>
      </c>
      <c r="AT2818" t="e">
        <v>#N/A</v>
      </c>
    </row>
    <row r="2819" spans="42:46">
      <c r="AP2819">
        <v>213950</v>
      </c>
      <c r="AQ2819" t="e">
        <v>#N/A</v>
      </c>
      <c r="AR2819" t="e">
        <v>#N/A</v>
      </c>
      <c r="AS2819" t="e">
        <v>#N/A</v>
      </c>
      <c r="AT2819" t="e">
        <v>#N/A</v>
      </c>
    </row>
    <row r="2820" spans="42:46">
      <c r="AP2820">
        <v>214000</v>
      </c>
      <c r="AQ2820" t="e">
        <v>#N/A</v>
      </c>
      <c r="AR2820" t="e">
        <v>#N/A</v>
      </c>
      <c r="AS2820" t="e">
        <v>#N/A</v>
      </c>
      <c r="AT2820" t="e">
        <v>#N/A</v>
      </c>
    </row>
    <row r="2821" spans="42:46">
      <c r="AP2821">
        <v>214050</v>
      </c>
      <c r="AQ2821" t="e">
        <v>#N/A</v>
      </c>
      <c r="AR2821" t="e">
        <v>#N/A</v>
      </c>
      <c r="AS2821" t="e">
        <v>#N/A</v>
      </c>
      <c r="AT2821" t="e">
        <v>#N/A</v>
      </c>
    </row>
    <row r="2822" spans="42:46">
      <c r="AP2822">
        <v>214100</v>
      </c>
      <c r="AQ2822" t="e">
        <v>#N/A</v>
      </c>
      <c r="AR2822" t="e">
        <v>#N/A</v>
      </c>
      <c r="AS2822" t="e">
        <v>#N/A</v>
      </c>
      <c r="AT2822" t="e">
        <v>#N/A</v>
      </c>
    </row>
    <row r="2823" spans="42:46">
      <c r="AP2823">
        <v>214150</v>
      </c>
      <c r="AQ2823" t="e">
        <v>#N/A</v>
      </c>
      <c r="AR2823" t="e">
        <v>#N/A</v>
      </c>
      <c r="AS2823" t="e">
        <v>#N/A</v>
      </c>
      <c r="AT2823" t="e">
        <v>#N/A</v>
      </c>
    </row>
    <row r="2824" spans="42:46">
      <c r="AP2824">
        <v>214200</v>
      </c>
      <c r="AQ2824" t="e">
        <v>#N/A</v>
      </c>
      <c r="AR2824" t="e">
        <v>#N/A</v>
      </c>
      <c r="AS2824" t="e">
        <v>#N/A</v>
      </c>
      <c r="AT2824" t="e">
        <v>#N/A</v>
      </c>
    </row>
    <row r="2825" spans="42:46">
      <c r="AP2825">
        <v>214250</v>
      </c>
      <c r="AQ2825" t="e">
        <v>#N/A</v>
      </c>
      <c r="AR2825" t="e">
        <v>#N/A</v>
      </c>
      <c r="AS2825" t="e">
        <v>#N/A</v>
      </c>
      <c r="AT2825" t="e">
        <v>#N/A</v>
      </c>
    </row>
    <row r="2826" spans="42:46">
      <c r="AP2826">
        <v>214300</v>
      </c>
      <c r="AQ2826" t="e">
        <v>#N/A</v>
      </c>
      <c r="AR2826" t="e">
        <v>#N/A</v>
      </c>
      <c r="AS2826" t="e">
        <v>#N/A</v>
      </c>
      <c r="AT2826" t="e">
        <v>#N/A</v>
      </c>
    </row>
    <row r="2827" spans="42:46">
      <c r="AP2827">
        <v>214350</v>
      </c>
      <c r="AQ2827" t="e">
        <v>#N/A</v>
      </c>
      <c r="AR2827" t="e">
        <v>#N/A</v>
      </c>
      <c r="AS2827" t="e">
        <v>#N/A</v>
      </c>
      <c r="AT2827" t="e">
        <v>#N/A</v>
      </c>
    </row>
    <row r="2828" spans="42:46">
      <c r="AP2828">
        <v>214400</v>
      </c>
      <c r="AQ2828" t="e">
        <v>#N/A</v>
      </c>
      <c r="AR2828" t="e">
        <v>#N/A</v>
      </c>
      <c r="AS2828" t="e">
        <v>#N/A</v>
      </c>
      <c r="AT2828" t="e">
        <v>#N/A</v>
      </c>
    </row>
    <row r="2829" spans="42:46">
      <c r="AP2829">
        <v>214450</v>
      </c>
      <c r="AQ2829" t="e">
        <v>#N/A</v>
      </c>
      <c r="AR2829" t="e">
        <v>#N/A</v>
      </c>
      <c r="AS2829" t="e">
        <v>#N/A</v>
      </c>
      <c r="AT2829" t="e">
        <v>#N/A</v>
      </c>
    </row>
    <row r="2830" spans="42:46">
      <c r="AP2830">
        <v>214500</v>
      </c>
      <c r="AQ2830" t="e">
        <v>#N/A</v>
      </c>
      <c r="AR2830" t="e">
        <v>#N/A</v>
      </c>
      <c r="AS2830" t="e">
        <v>#N/A</v>
      </c>
      <c r="AT2830" t="e">
        <v>#N/A</v>
      </c>
    </row>
    <row r="2831" spans="42:46">
      <c r="AP2831">
        <v>214550</v>
      </c>
      <c r="AQ2831" t="e">
        <v>#N/A</v>
      </c>
      <c r="AR2831" t="e">
        <v>#N/A</v>
      </c>
      <c r="AS2831" t="e">
        <v>#N/A</v>
      </c>
      <c r="AT2831" t="e">
        <v>#N/A</v>
      </c>
    </row>
    <row r="2832" spans="42:46">
      <c r="AP2832">
        <v>214600</v>
      </c>
      <c r="AQ2832" t="e">
        <v>#N/A</v>
      </c>
      <c r="AR2832" t="e">
        <v>#N/A</v>
      </c>
      <c r="AS2832" t="e">
        <v>#N/A</v>
      </c>
      <c r="AT2832" t="e">
        <v>#N/A</v>
      </c>
    </row>
    <row r="2833" spans="42:46">
      <c r="AP2833">
        <v>214650</v>
      </c>
      <c r="AQ2833" t="e">
        <v>#N/A</v>
      </c>
      <c r="AR2833" t="e">
        <v>#N/A</v>
      </c>
      <c r="AS2833" t="e">
        <v>#N/A</v>
      </c>
      <c r="AT2833" t="e">
        <v>#N/A</v>
      </c>
    </row>
    <row r="2834" spans="42:46">
      <c r="AP2834">
        <v>214700</v>
      </c>
      <c r="AQ2834" t="e">
        <v>#N/A</v>
      </c>
      <c r="AR2834" t="e">
        <v>#N/A</v>
      </c>
      <c r="AS2834" t="e">
        <v>#N/A</v>
      </c>
      <c r="AT2834" t="e">
        <v>#N/A</v>
      </c>
    </row>
    <row r="2835" spans="42:46">
      <c r="AP2835">
        <v>214750</v>
      </c>
      <c r="AQ2835" t="e">
        <v>#N/A</v>
      </c>
      <c r="AR2835" t="e">
        <v>#N/A</v>
      </c>
      <c r="AS2835" t="e">
        <v>#N/A</v>
      </c>
      <c r="AT2835" t="e">
        <v>#N/A</v>
      </c>
    </row>
    <row r="2836" spans="42:46">
      <c r="AP2836">
        <v>214800</v>
      </c>
      <c r="AQ2836" t="e">
        <v>#N/A</v>
      </c>
      <c r="AR2836" t="e">
        <v>#N/A</v>
      </c>
      <c r="AS2836" t="e">
        <v>#N/A</v>
      </c>
      <c r="AT2836" t="e">
        <v>#N/A</v>
      </c>
    </row>
    <row r="2837" spans="42:46">
      <c r="AP2837">
        <v>214850</v>
      </c>
      <c r="AQ2837" t="e">
        <v>#N/A</v>
      </c>
      <c r="AR2837" t="e">
        <v>#N/A</v>
      </c>
      <c r="AS2837" t="e">
        <v>#N/A</v>
      </c>
      <c r="AT2837" t="e">
        <v>#N/A</v>
      </c>
    </row>
    <row r="2838" spans="42:46">
      <c r="AP2838">
        <v>214900</v>
      </c>
      <c r="AQ2838" t="e">
        <v>#N/A</v>
      </c>
      <c r="AR2838" t="e">
        <v>#N/A</v>
      </c>
      <c r="AS2838" t="e">
        <v>#N/A</v>
      </c>
      <c r="AT2838" t="e">
        <v>#N/A</v>
      </c>
    </row>
    <row r="2839" spans="42:46">
      <c r="AP2839">
        <v>214950</v>
      </c>
      <c r="AQ2839" t="e">
        <v>#N/A</v>
      </c>
      <c r="AR2839" t="e">
        <v>#N/A</v>
      </c>
      <c r="AS2839" t="e">
        <v>#N/A</v>
      </c>
      <c r="AT2839" t="e">
        <v>#N/A</v>
      </c>
    </row>
    <row r="2840" spans="42:46">
      <c r="AP2840">
        <v>215000</v>
      </c>
      <c r="AQ2840" t="e">
        <v>#N/A</v>
      </c>
      <c r="AR2840" t="e">
        <v>#N/A</v>
      </c>
      <c r="AS2840" t="e">
        <v>#N/A</v>
      </c>
      <c r="AT2840" t="e">
        <v>#N/A</v>
      </c>
    </row>
    <row r="2841" spans="42:46">
      <c r="AP2841">
        <v>215050</v>
      </c>
      <c r="AQ2841" t="e">
        <v>#N/A</v>
      </c>
      <c r="AR2841" t="e">
        <v>#N/A</v>
      </c>
      <c r="AS2841" t="e">
        <v>#N/A</v>
      </c>
      <c r="AT2841" t="e">
        <v>#N/A</v>
      </c>
    </row>
    <row r="2842" spans="42:46">
      <c r="AP2842">
        <v>215100</v>
      </c>
      <c r="AQ2842" t="e">
        <v>#N/A</v>
      </c>
      <c r="AR2842" t="e">
        <v>#N/A</v>
      </c>
      <c r="AS2842" t="e">
        <v>#N/A</v>
      </c>
      <c r="AT2842" t="e">
        <v>#N/A</v>
      </c>
    </row>
    <row r="2843" spans="42:46">
      <c r="AP2843">
        <v>215150</v>
      </c>
      <c r="AQ2843" t="e">
        <v>#N/A</v>
      </c>
      <c r="AR2843" t="e">
        <v>#N/A</v>
      </c>
      <c r="AS2843" t="e">
        <v>#N/A</v>
      </c>
      <c r="AT2843" t="e">
        <v>#N/A</v>
      </c>
    </row>
    <row r="2844" spans="42:46">
      <c r="AP2844">
        <v>215200</v>
      </c>
      <c r="AQ2844" t="e">
        <v>#N/A</v>
      </c>
      <c r="AR2844" t="e">
        <v>#N/A</v>
      </c>
      <c r="AS2844" t="e">
        <v>#N/A</v>
      </c>
      <c r="AT2844" t="e">
        <v>#N/A</v>
      </c>
    </row>
    <row r="2845" spans="42:46">
      <c r="AP2845">
        <v>215250</v>
      </c>
      <c r="AQ2845" t="e">
        <v>#N/A</v>
      </c>
      <c r="AR2845" t="e">
        <v>#N/A</v>
      </c>
      <c r="AS2845" t="e">
        <v>#N/A</v>
      </c>
      <c r="AT2845" t="e">
        <v>#N/A</v>
      </c>
    </row>
    <row r="2846" spans="42:46">
      <c r="AP2846">
        <v>215300</v>
      </c>
      <c r="AQ2846" t="e">
        <v>#N/A</v>
      </c>
      <c r="AR2846" t="e">
        <v>#N/A</v>
      </c>
      <c r="AS2846" t="e">
        <v>#N/A</v>
      </c>
      <c r="AT2846" t="e">
        <v>#N/A</v>
      </c>
    </row>
    <row r="2847" spans="42:46">
      <c r="AP2847">
        <v>215350</v>
      </c>
      <c r="AQ2847" t="e">
        <v>#N/A</v>
      </c>
      <c r="AR2847" t="e">
        <v>#N/A</v>
      </c>
      <c r="AS2847" t="e">
        <v>#N/A</v>
      </c>
      <c r="AT2847" t="e">
        <v>#N/A</v>
      </c>
    </row>
    <row r="2848" spans="42:46">
      <c r="AP2848">
        <v>215400</v>
      </c>
      <c r="AQ2848" t="e">
        <v>#N/A</v>
      </c>
      <c r="AR2848" t="e">
        <v>#N/A</v>
      </c>
      <c r="AS2848" t="e">
        <v>#N/A</v>
      </c>
      <c r="AT2848" t="e">
        <v>#N/A</v>
      </c>
    </row>
    <row r="2849" spans="42:46">
      <c r="AP2849">
        <v>215450</v>
      </c>
      <c r="AQ2849" t="e">
        <v>#N/A</v>
      </c>
      <c r="AR2849" t="e">
        <v>#N/A</v>
      </c>
      <c r="AS2849" t="e">
        <v>#N/A</v>
      </c>
      <c r="AT2849" t="e">
        <v>#N/A</v>
      </c>
    </row>
    <row r="2850" spans="42:46">
      <c r="AP2850">
        <v>215500</v>
      </c>
      <c r="AQ2850" t="e">
        <v>#N/A</v>
      </c>
      <c r="AR2850" t="e">
        <v>#N/A</v>
      </c>
      <c r="AS2850" t="e">
        <v>#N/A</v>
      </c>
      <c r="AT2850" t="e">
        <v>#N/A</v>
      </c>
    </row>
    <row r="2851" spans="42:46">
      <c r="AP2851">
        <v>215550</v>
      </c>
      <c r="AQ2851" t="e">
        <v>#N/A</v>
      </c>
      <c r="AR2851" t="e">
        <v>#N/A</v>
      </c>
      <c r="AS2851" t="e">
        <v>#N/A</v>
      </c>
      <c r="AT2851" t="e">
        <v>#N/A</v>
      </c>
    </row>
    <row r="2852" spans="42:46">
      <c r="AP2852">
        <v>215600</v>
      </c>
      <c r="AQ2852" t="e">
        <v>#N/A</v>
      </c>
      <c r="AR2852" t="e">
        <v>#N/A</v>
      </c>
      <c r="AS2852" t="e">
        <v>#N/A</v>
      </c>
      <c r="AT2852" t="e">
        <v>#N/A</v>
      </c>
    </row>
    <row r="2853" spans="42:46">
      <c r="AP2853">
        <v>215650</v>
      </c>
      <c r="AQ2853" t="e">
        <v>#N/A</v>
      </c>
      <c r="AR2853" t="e">
        <v>#N/A</v>
      </c>
      <c r="AS2853" t="e">
        <v>#N/A</v>
      </c>
      <c r="AT2853" t="e">
        <v>#N/A</v>
      </c>
    </row>
    <row r="2854" spans="42:46">
      <c r="AP2854">
        <v>215700</v>
      </c>
      <c r="AQ2854" t="e">
        <v>#N/A</v>
      </c>
      <c r="AR2854" t="e">
        <v>#N/A</v>
      </c>
      <c r="AS2854" t="e">
        <v>#N/A</v>
      </c>
      <c r="AT2854" t="e">
        <v>#N/A</v>
      </c>
    </row>
    <row r="2855" spans="42:46">
      <c r="AP2855">
        <v>215750</v>
      </c>
      <c r="AQ2855" t="e">
        <v>#N/A</v>
      </c>
      <c r="AR2855" t="e">
        <v>#N/A</v>
      </c>
      <c r="AS2855" t="e">
        <v>#N/A</v>
      </c>
      <c r="AT2855" t="e">
        <v>#N/A</v>
      </c>
    </row>
    <row r="2856" spans="42:46">
      <c r="AP2856">
        <v>215800</v>
      </c>
      <c r="AQ2856" t="e">
        <v>#N/A</v>
      </c>
      <c r="AR2856" t="e">
        <v>#N/A</v>
      </c>
      <c r="AS2856" t="e">
        <v>#N/A</v>
      </c>
      <c r="AT2856" t="e">
        <v>#N/A</v>
      </c>
    </row>
    <row r="2857" spans="42:46">
      <c r="AP2857">
        <v>215850</v>
      </c>
      <c r="AQ2857" t="e">
        <v>#N/A</v>
      </c>
      <c r="AR2857" t="e">
        <v>#N/A</v>
      </c>
      <c r="AS2857" t="e">
        <v>#N/A</v>
      </c>
      <c r="AT2857" t="e">
        <v>#N/A</v>
      </c>
    </row>
    <row r="2858" spans="42:46">
      <c r="AP2858">
        <v>215900</v>
      </c>
      <c r="AQ2858" t="e">
        <v>#N/A</v>
      </c>
      <c r="AR2858" t="e">
        <v>#N/A</v>
      </c>
      <c r="AS2858" t="e">
        <v>#N/A</v>
      </c>
      <c r="AT2858" t="e">
        <v>#N/A</v>
      </c>
    </row>
    <row r="2859" spans="42:46">
      <c r="AP2859">
        <v>215950</v>
      </c>
      <c r="AQ2859" t="e">
        <v>#N/A</v>
      </c>
      <c r="AR2859" t="e">
        <v>#N/A</v>
      </c>
      <c r="AS2859" t="e">
        <v>#N/A</v>
      </c>
      <c r="AT2859" t="e">
        <v>#N/A</v>
      </c>
    </row>
    <row r="2860" spans="42:46">
      <c r="AP2860">
        <v>216000</v>
      </c>
      <c r="AQ2860" t="e">
        <v>#N/A</v>
      </c>
      <c r="AR2860" t="e">
        <v>#N/A</v>
      </c>
      <c r="AS2860" t="e">
        <v>#N/A</v>
      </c>
      <c r="AT2860" t="e">
        <v>#N/A</v>
      </c>
    </row>
    <row r="2861" spans="42:46">
      <c r="AP2861">
        <v>216050</v>
      </c>
      <c r="AQ2861" t="e">
        <v>#N/A</v>
      </c>
      <c r="AR2861" t="e">
        <v>#N/A</v>
      </c>
      <c r="AS2861" t="e">
        <v>#N/A</v>
      </c>
      <c r="AT2861" t="e">
        <v>#N/A</v>
      </c>
    </row>
    <row r="2862" spans="42:46">
      <c r="AP2862">
        <v>216100</v>
      </c>
      <c r="AQ2862" t="e">
        <v>#N/A</v>
      </c>
      <c r="AR2862" t="e">
        <v>#N/A</v>
      </c>
      <c r="AS2862" t="e">
        <v>#N/A</v>
      </c>
      <c r="AT2862" t="e">
        <v>#N/A</v>
      </c>
    </row>
    <row r="2863" spans="42:46">
      <c r="AP2863">
        <v>216150</v>
      </c>
      <c r="AQ2863" t="e">
        <v>#N/A</v>
      </c>
      <c r="AR2863" t="e">
        <v>#N/A</v>
      </c>
      <c r="AS2863" t="e">
        <v>#N/A</v>
      </c>
      <c r="AT2863" t="e">
        <v>#N/A</v>
      </c>
    </row>
    <row r="2864" spans="42:46">
      <c r="AP2864">
        <v>216200</v>
      </c>
      <c r="AQ2864" t="e">
        <v>#N/A</v>
      </c>
      <c r="AR2864" t="e">
        <v>#N/A</v>
      </c>
      <c r="AS2864" t="e">
        <v>#N/A</v>
      </c>
      <c r="AT2864" t="e">
        <v>#N/A</v>
      </c>
    </row>
    <row r="2865" spans="42:46">
      <c r="AP2865">
        <v>216250</v>
      </c>
      <c r="AQ2865" t="e">
        <v>#N/A</v>
      </c>
      <c r="AR2865" t="e">
        <v>#N/A</v>
      </c>
      <c r="AS2865" t="e">
        <v>#N/A</v>
      </c>
      <c r="AT2865" t="e">
        <v>#N/A</v>
      </c>
    </row>
    <row r="2866" spans="42:46">
      <c r="AP2866">
        <v>216300</v>
      </c>
      <c r="AQ2866" t="e">
        <v>#N/A</v>
      </c>
      <c r="AR2866" t="e">
        <v>#N/A</v>
      </c>
      <c r="AS2866" t="e">
        <v>#N/A</v>
      </c>
      <c r="AT2866" t="e">
        <v>#N/A</v>
      </c>
    </row>
    <row r="2867" spans="42:46">
      <c r="AP2867">
        <v>216350</v>
      </c>
      <c r="AQ2867" t="e">
        <v>#N/A</v>
      </c>
      <c r="AR2867" t="e">
        <v>#N/A</v>
      </c>
      <c r="AS2867" t="e">
        <v>#N/A</v>
      </c>
      <c r="AT2867" t="e">
        <v>#N/A</v>
      </c>
    </row>
    <row r="2868" spans="42:46">
      <c r="AP2868">
        <v>216400</v>
      </c>
      <c r="AQ2868" t="e">
        <v>#N/A</v>
      </c>
      <c r="AR2868" t="e">
        <v>#N/A</v>
      </c>
      <c r="AS2868" t="e">
        <v>#N/A</v>
      </c>
      <c r="AT2868" t="e">
        <v>#N/A</v>
      </c>
    </row>
    <row r="2869" spans="42:46">
      <c r="AP2869">
        <v>216450</v>
      </c>
      <c r="AQ2869" t="e">
        <v>#N/A</v>
      </c>
      <c r="AR2869" t="e">
        <v>#N/A</v>
      </c>
      <c r="AS2869" t="e">
        <v>#N/A</v>
      </c>
      <c r="AT2869" t="e">
        <v>#N/A</v>
      </c>
    </row>
    <row r="2870" spans="42:46">
      <c r="AP2870">
        <v>216500</v>
      </c>
      <c r="AQ2870" t="e">
        <v>#N/A</v>
      </c>
      <c r="AR2870" t="e">
        <v>#N/A</v>
      </c>
      <c r="AS2870" t="e">
        <v>#N/A</v>
      </c>
      <c r="AT2870" t="e">
        <v>#N/A</v>
      </c>
    </row>
    <row r="2871" spans="42:46">
      <c r="AP2871">
        <v>216550</v>
      </c>
      <c r="AQ2871" t="e">
        <v>#N/A</v>
      </c>
      <c r="AR2871" t="e">
        <v>#N/A</v>
      </c>
      <c r="AS2871" t="e">
        <v>#N/A</v>
      </c>
      <c r="AT2871" t="e">
        <v>#N/A</v>
      </c>
    </row>
    <row r="2872" spans="42:46">
      <c r="AP2872">
        <v>216600</v>
      </c>
      <c r="AQ2872" t="e">
        <v>#N/A</v>
      </c>
      <c r="AR2872" t="e">
        <v>#N/A</v>
      </c>
      <c r="AS2872" t="e">
        <v>#N/A</v>
      </c>
      <c r="AT2872" t="e">
        <v>#N/A</v>
      </c>
    </row>
    <row r="2873" spans="42:46">
      <c r="AP2873">
        <v>216650</v>
      </c>
      <c r="AQ2873" t="e">
        <v>#N/A</v>
      </c>
      <c r="AR2873" t="e">
        <v>#N/A</v>
      </c>
      <c r="AS2873" t="e">
        <v>#N/A</v>
      </c>
      <c r="AT2873" t="e">
        <v>#N/A</v>
      </c>
    </row>
    <row r="2874" spans="42:46">
      <c r="AP2874">
        <v>216700</v>
      </c>
      <c r="AQ2874" t="e">
        <v>#N/A</v>
      </c>
      <c r="AR2874" t="e">
        <v>#N/A</v>
      </c>
      <c r="AS2874" t="e">
        <v>#N/A</v>
      </c>
      <c r="AT2874" t="e">
        <v>#N/A</v>
      </c>
    </row>
    <row r="2875" spans="42:46">
      <c r="AP2875">
        <v>216750</v>
      </c>
      <c r="AQ2875" t="e">
        <v>#N/A</v>
      </c>
      <c r="AR2875" t="e">
        <v>#N/A</v>
      </c>
      <c r="AS2875" t="e">
        <v>#N/A</v>
      </c>
      <c r="AT2875" t="e">
        <v>#N/A</v>
      </c>
    </row>
    <row r="2876" spans="42:46">
      <c r="AP2876">
        <v>216800</v>
      </c>
      <c r="AQ2876" t="e">
        <v>#N/A</v>
      </c>
      <c r="AR2876" t="e">
        <v>#N/A</v>
      </c>
      <c r="AS2876" t="e">
        <v>#N/A</v>
      </c>
      <c r="AT2876" t="e">
        <v>#N/A</v>
      </c>
    </row>
    <row r="2877" spans="42:46">
      <c r="AP2877">
        <v>216850</v>
      </c>
      <c r="AQ2877" t="e">
        <v>#N/A</v>
      </c>
      <c r="AR2877" t="e">
        <v>#N/A</v>
      </c>
      <c r="AS2877" t="e">
        <v>#N/A</v>
      </c>
      <c r="AT2877" t="e">
        <v>#N/A</v>
      </c>
    </row>
    <row r="2878" spans="42:46">
      <c r="AP2878">
        <v>216900</v>
      </c>
      <c r="AQ2878" t="e">
        <v>#N/A</v>
      </c>
      <c r="AR2878" t="e">
        <v>#N/A</v>
      </c>
      <c r="AS2878" t="e">
        <v>#N/A</v>
      </c>
      <c r="AT2878" t="e">
        <v>#N/A</v>
      </c>
    </row>
    <row r="2879" spans="42:46">
      <c r="AP2879">
        <v>216950</v>
      </c>
      <c r="AQ2879" t="e">
        <v>#N/A</v>
      </c>
      <c r="AR2879" t="e">
        <v>#N/A</v>
      </c>
      <c r="AS2879" t="e">
        <v>#N/A</v>
      </c>
      <c r="AT2879" t="e">
        <v>#N/A</v>
      </c>
    </row>
    <row r="2880" spans="42:46">
      <c r="AP2880">
        <v>217000</v>
      </c>
      <c r="AQ2880" t="e">
        <v>#N/A</v>
      </c>
      <c r="AR2880" t="e">
        <v>#N/A</v>
      </c>
      <c r="AS2880" t="e">
        <v>#N/A</v>
      </c>
      <c r="AT2880" t="e">
        <v>#N/A</v>
      </c>
    </row>
    <row r="2881" spans="42:46">
      <c r="AP2881">
        <v>217050</v>
      </c>
      <c r="AQ2881" t="e">
        <v>#N/A</v>
      </c>
      <c r="AR2881" t="e">
        <v>#N/A</v>
      </c>
      <c r="AS2881" t="e">
        <v>#N/A</v>
      </c>
      <c r="AT2881" t="e">
        <v>#N/A</v>
      </c>
    </row>
    <row r="2882" spans="42:46">
      <c r="AP2882">
        <v>217100</v>
      </c>
      <c r="AQ2882" t="e">
        <v>#N/A</v>
      </c>
      <c r="AR2882" t="e">
        <v>#N/A</v>
      </c>
      <c r="AS2882" t="e">
        <v>#N/A</v>
      </c>
      <c r="AT2882" t="e">
        <v>#N/A</v>
      </c>
    </row>
    <row r="2883" spans="42:46">
      <c r="AP2883">
        <v>217150</v>
      </c>
      <c r="AQ2883" t="e">
        <v>#N/A</v>
      </c>
      <c r="AR2883" t="e">
        <v>#N/A</v>
      </c>
      <c r="AS2883" t="e">
        <v>#N/A</v>
      </c>
      <c r="AT2883" t="e">
        <v>#N/A</v>
      </c>
    </row>
    <row r="2884" spans="42:46">
      <c r="AP2884">
        <v>217200</v>
      </c>
      <c r="AQ2884" t="e">
        <v>#N/A</v>
      </c>
      <c r="AR2884" t="e">
        <v>#N/A</v>
      </c>
      <c r="AS2884" t="e">
        <v>#N/A</v>
      </c>
      <c r="AT2884" t="e">
        <v>#N/A</v>
      </c>
    </row>
    <row r="2885" spans="42:46">
      <c r="AP2885">
        <v>217250</v>
      </c>
      <c r="AQ2885" t="e">
        <v>#N/A</v>
      </c>
      <c r="AR2885" t="e">
        <v>#N/A</v>
      </c>
      <c r="AS2885" t="e">
        <v>#N/A</v>
      </c>
      <c r="AT2885" t="e">
        <v>#N/A</v>
      </c>
    </row>
    <row r="2886" spans="42:46">
      <c r="AP2886">
        <v>217300</v>
      </c>
      <c r="AQ2886" t="e">
        <v>#N/A</v>
      </c>
      <c r="AR2886" t="e">
        <v>#N/A</v>
      </c>
      <c r="AS2886" t="e">
        <v>#N/A</v>
      </c>
      <c r="AT2886" t="e">
        <v>#N/A</v>
      </c>
    </row>
    <row r="2887" spans="42:46">
      <c r="AP2887">
        <v>217350</v>
      </c>
      <c r="AQ2887" t="e">
        <v>#N/A</v>
      </c>
      <c r="AR2887" t="e">
        <v>#N/A</v>
      </c>
      <c r="AS2887" t="e">
        <v>#N/A</v>
      </c>
      <c r="AT2887" t="e">
        <v>#N/A</v>
      </c>
    </row>
    <row r="2888" spans="42:46">
      <c r="AP2888">
        <v>217400</v>
      </c>
      <c r="AQ2888" t="e">
        <v>#N/A</v>
      </c>
      <c r="AR2888" t="e">
        <v>#N/A</v>
      </c>
      <c r="AS2888" t="e">
        <v>#N/A</v>
      </c>
      <c r="AT2888" t="e">
        <v>#N/A</v>
      </c>
    </row>
    <row r="2889" spans="42:46">
      <c r="AP2889">
        <v>217450</v>
      </c>
      <c r="AQ2889" t="e">
        <v>#N/A</v>
      </c>
      <c r="AR2889" t="e">
        <v>#N/A</v>
      </c>
      <c r="AS2889" t="e">
        <v>#N/A</v>
      </c>
      <c r="AT2889" t="e">
        <v>#N/A</v>
      </c>
    </row>
    <row r="2890" spans="42:46">
      <c r="AP2890">
        <v>217500</v>
      </c>
      <c r="AQ2890" t="e">
        <v>#N/A</v>
      </c>
      <c r="AR2890" t="e">
        <v>#N/A</v>
      </c>
      <c r="AS2890" t="e">
        <v>#N/A</v>
      </c>
      <c r="AT2890" t="e">
        <v>#N/A</v>
      </c>
    </row>
    <row r="2891" spans="42:46">
      <c r="AP2891">
        <v>217550</v>
      </c>
      <c r="AQ2891" t="e">
        <v>#N/A</v>
      </c>
      <c r="AR2891" t="e">
        <v>#N/A</v>
      </c>
      <c r="AS2891" t="e">
        <v>#N/A</v>
      </c>
      <c r="AT2891" t="e">
        <v>#N/A</v>
      </c>
    </row>
    <row r="2892" spans="42:46">
      <c r="AP2892">
        <v>217600</v>
      </c>
      <c r="AQ2892" t="e">
        <v>#N/A</v>
      </c>
      <c r="AR2892" t="e">
        <v>#N/A</v>
      </c>
      <c r="AS2892" t="e">
        <v>#N/A</v>
      </c>
      <c r="AT2892" t="e">
        <v>#N/A</v>
      </c>
    </row>
    <row r="2893" spans="42:46">
      <c r="AP2893">
        <v>217650</v>
      </c>
      <c r="AQ2893" t="e">
        <v>#N/A</v>
      </c>
      <c r="AR2893" t="e">
        <v>#N/A</v>
      </c>
      <c r="AS2893" t="e">
        <v>#N/A</v>
      </c>
      <c r="AT2893" t="e">
        <v>#N/A</v>
      </c>
    </row>
    <row r="2894" spans="42:46">
      <c r="AP2894">
        <v>217700</v>
      </c>
      <c r="AQ2894" t="e">
        <v>#N/A</v>
      </c>
      <c r="AR2894" t="e">
        <v>#N/A</v>
      </c>
      <c r="AS2894" t="e">
        <v>#N/A</v>
      </c>
      <c r="AT2894" t="e">
        <v>#N/A</v>
      </c>
    </row>
    <row r="2895" spans="42:46">
      <c r="AP2895">
        <v>217750</v>
      </c>
      <c r="AQ2895" t="e">
        <v>#N/A</v>
      </c>
      <c r="AR2895" t="e">
        <v>#N/A</v>
      </c>
      <c r="AS2895" t="e">
        <v>#N/A</v>
      </c>
      <c r="AT2895" t="e">
        <v>#N/A</v>
      </c>
    </row>
    <row r="2896" spans="42:46">
      <c r="AP2896">
        <v>217800</v>
      </c>
      <c r="AQ2896" t="e">
        <v>#N/A</v>
      </c>
      <c r="AR2896" t="e">
        <v>#N/A</v>
      </c>
      <c r="AS2896" t="e">
        <v>#N/A</v>
      </c>
      <c r="AT2896" t="e">
        <v>#N/A</v>
      </c>
    </row>
    <row r="2897" spans="42:46">
      <c r="AP2897">
        <v>217850</v>
      </c>
      <c r="AQ2897" t="e">
        <v>#N/A</v>
      </c>
      <c r="AR2897" t="e">
        <v>#N/A</v>
      </c>
      <c r="AS2897" t="e">
        <v>#N/A</v>
      </c>
      <c r="AT2897" t="e">
        <v>#N/A</v>
      </c>
    </row>
    <row r="2898" spans="42:46">
      <c r="AP2898">
        <v>217900</v>
      </c>
      <c r="AQ2898" t="e">
        <v>#N/A</v>
      </c>
      <c r="AR2898" t="e">
        <v>#N/A</v>
      </c>
      <c r="AS2898" t="e">
        <v>#N/A</v>
      </c>
      <c r="AT2898" t="e">
        <v>#N/A</v>
      </c>
    </row>
    <row r="2899" spans="42:46">
      <c r="AP2899">
        <v>217950</v>
      </c>
      <c r="AQ2899" t="e">
        <v>#N/A</v>
      </c>
      <c r="AR2899" t="e">
        <v>#N/A</v>
      </c>
      <c r="AS2899" t="e">
        <v>#N/A</v>
      </c>
      <c r="AT2899" t="e">
        <v>#N/A</v>
      </c>
    </row>
    <row r="2900" spans="42:46">
      <c r="AP2900">
        <v>218000</v>
      </c>
      <c r="AQ2900" t="e">
        <v>#N/A</v>
      </c>
      <c r="AR2900" t="e">
        <v>#N/A</v>
      </c>
      <c r="AS2900" t="e">
        <v>#N/A</v>
      </c>
      <c r="AT2900" t="e">
        <v>#N/A</v>
      </c>
    </row>
    <row r="2901" spans="42:46">
      <c r="AP2901">
        <v>218050</v>
      </c>
      <c r="AQ2901" t="e">
        <v>#N/A</v>
      </c>
      <c r="AR2901" t="e">
        <v>#N/A</v>
      </c>
      <c r="AS2901" t="e">
        <v>#N/A</v>
      </c>
      <c r="AT2901" t="e">
        <v>#N/A</v>
      </c>
    </row>
    <row r="2902" spans="42:46">
      <c r="AP2902">
        <v>218100</v>
      </c>
      <c r="AQ2902" t="e">
        <v>#N/A</v>
      </c>
      <c r="AR2902" t="e">
        <v>#N/A</v>
      </c>
      <c r="AS2902" t="e">
        <v>#N/A</v>
      </c>
      <c r="AT2902" t="e">
        <v>#N/A</v>
      </c>
    </row>
    <row r="2903" spans="42:46">
      <c r="AP2903">
        <v>218150</v>
      </c>
      <c r="AQ2903" t="e">
        <v>#N/A</v>
      </c>
      <c r="AR2903" t="e">
        <v>#N/A</v>
      </c>
      <c r="AS2903" t="e">
        <v>#N/A</v>
      </c>
      <c r="AT2903" t="e">
        <v>#N/A</v>
      </c>
    </row>
    <row r="2904" spans="42:46">
      <c r="AP2904">
        <v>218200</v>
      </c>
      <c r="AQ2904" t="e">
        <v>#N/A</v>
      </c>
      <c r="AR2904" t="e">
        <v>#N/A</v>
      </c>
      <c r="AS2904" t="e">
        <v>#N/A</v>
      </c>
      <c r="AT2904" t="e">
        <v>#N/A</v>
      </c>
    </row>
    <row r="2905" spans="42:46">
      <c r="AP2905">
        <v>218250</v>
      </c>
      <c r="AQ2905" t="e">
        <v>#N/A</v>
      </c>
      <c r="AR2905" t="e">
        <v>#N/A</v>
      </c>
      <c r="AS2905" t="e">
        <v>#N/A</v>
      </c>
      <c r="AT2905" t="e">
        <v>#N/A</v>
      </c>
    </row>
    <row r="2906" spans="42:46">
      <c r="AP2906">
        <v>218300</v>
      </c>
      <c r="AQ2906" t="e">
        <v>#N/A</v>
      </c>
      <c r="AR2906" t="e">
        <v>#N/A</v>
      </c>
      <c r="AS2906" t="e">
        <v>#N/A</v>
      </c>
      <c r="AT2906" t="e">
        <v>#N/A</v>
      </c>
    </row>
    <row r="2907" spans="42:46">
      <c r="AP2907">
        <v>218350</v>
      </c>
      <c r="AQ2907" t="e">
        <v>#N/A</v>
      </c>
      <c r="AR2907" t="e">
        <v>#N/A</v>
      </c>
      <c r="AS2907" t="e">
        <v>#N/A</v>
      </c>
      <c r="AT2907" t="e">
        <v>#N/A</v>
      </c>
    </row>
    <row r="2908" spans="42:46">
      <c r="AP2908">
        <v>218400</v>
      </c>
      <c r="AQ2908" t="e">
        <v>#N/A</v>
      </c>
      <c r="AR2908" t="e">
        <v>#N/A</v>
      </c>
      <c r="AS2908" t="e">
        <v>#N/A</v>
      </c>
      <c r="AT2908" t="e">
        <v>#N/A</v>
      </c>
    </row>
    <row r="2909" spans="42:46">
      <c r="AP2909">
        <v>218450</v>
      </c>
      <c r="AQ2909" t="e">
        <v>#N/A</v>
      </c>
      <c r="AR2909" t="e">
        <v>#N/A</v>
      </c>
      <c r="AS2909" t="e">
        <v>#N/A</v>
      </c>
      <c r="AT2909" t="e">
        <v>#N/A</v>
      </c>
    </row>
    <row r="2910" spans="42:46">
      <c r="AP2910">
        <v>218500</v>
      </c>
      <c r="AQ2910" t="e">
        <v>#N/A</v>
      </c>
      <c r="AR2910" t="e">
        <v>#N/A</v>
      </c>
      <c r="AS2910" t="e">
        <v>#N/A</v>
      </c>
      <c r="AT2910" t="e">
        <v>#N/A</v>
      </c>
    </row>
    <row r="2911" spans="42:46">
      <c r="AP2911">
        <v>218550</v>
      </c>
      <c r="AQ2911" t="e">
        <v>#N/A</v>
      </c>
      <c r="AR2911" t="e">
        <v>#N/A</v>
      </c>
      <c r="AS2911" t="e">
        <v>#N/A</v>
      </c>
      <c r="AT2911" t="e">
        <v>#N/A</v>
      </c>
    </row>
    <row r="2912" spans="42:46">
      <c r="AP2912">
        <v>218600</v>
      </c>
      <c r="AQ2912" t="e">
        <v>#N/A</v>
      </c>
      <c r="AR2912" t="e">
        <v>#N/A</v>
      </c>
      <c r="AS2912" t="e">
        <v>#N/A</v>
      </c>
      <c r="AT2912" t="e">
        <v>#N/A</v>
      </c>
    </row>
    <row r="2913" spans="42:46">
      <c r="AP2913">
        <v>218650</v>
      </c>
      <c r="AQ2913" t="e">
        <v>#N/A</v>
      </c>
      <c r="AR2913" t="e">
        <v>#N/A</v>
      </c>
      <c r="AS2913" t="e">
        <v>#N/A</v>
      </c>
      <c r="AT2913" t="e">
        <v>#N/A</v>
      </c>
    </row>
    <row r="2914" spans="42:46">
      <c r="AP2914">
        <v>218700</v>
      </c>
      <c r="AQ2914" t="e">
        <v>#N/A</v>
      </c>
      <c r="AR2914" t="e">
        <v>#N/A</v>
      </c>
      <c r="AS2914" t="e">
        <v>#N/A</v>
      </c>
      <c r="AT2914" t="e">
        <v>#N/A</v>
      </c>
    </row>
    <row r="2915" spans="42:46">
      <c r="AP2915">
        <v>218750</v>
      </c>
      <c r="AQ2915" t="e">
        <v>#N/A</v>
      </c>
      <c r="AR2915" t="e">
        <v>#N/A</v>
      </c>
      <c r="AS2915" t="e">
        <v>#N/A</v>
      </c>
      <c r="AT2915" t="e">
        <v>#N/A</v>
      </c>
    </row>
    <row r="2916" spans="42:46">
      <c r="AP2916">
        <v>218800</v>
      </c>
      <c r="AQ2916" t="e">
        <v>#N/A</v>
      </c>
      <c r="AR2916" t="e">
        <v>#N/A</v>
      </c>
      <c r="AS2916" t="e">
        <v>#N/A</v>
      </c>
      <c r="AT2916" t="e">
        <v>#N/A</v>
      </c>
    </row>
    <row r="2917" spans="42:46">
      <c r="AP2917">
        <v>218850</v>
      </c>
      <c r="AQ2917" t="e">
        <v>#N/A</v>
      </c>
      <c r="AR2917" t="e">
        <v>#N/A</v>
      </c>
      <c r="AS2917" t="e">
        <v>#N/A</v>
      </c>
      <c r="AT2917" t="e">
        <v>#N/A</v>
      </c>
    </row>
    <row r="2918" spans="42:46">
      <c r="AP2918">
        <v>218900</v>
      </c>
      <c r="AQ2918" t="e">
        <v>#N/A</v>
      </c>
      <c r="AR2918" t="e">
        <v>#N/A</v>
      </c>
      <c r="AS2918" t="e">
        <v>#N/A</v>
      </c>
      <c r="AT2918" t="e">
        <v>#N/A</v>
      </c>
    </row>
    <row r="2919" spans="42:46">
      <c r="AP2919">
        <v>218950</v>
      </c>
      <c r="AQ2919" t="e">
        <v>#N/A</v>
      </c>
      <c r="AR2919" t="e">
        <v>#N/A</v>
      </c>
      <c r="AS2919" t="e">
        <v>#N/A</v>
      </c>
      <c r="AT2919" t="e">
        <v>#N/A</v>
      </c>
    </row>
    <row r="2920" spans="42:46">
      <c r="AP2920">
        <v>219000</v>
      </c>
      <c r="AQ2920" t="e">
        <v>#N/A</v>
      </c>
      <c r="AR2920" t="e">
        <v>#N/A</v>
      </c>
      <c r="AS2920" t="e">
        <v>#N/A</v>
      </c>
      <c r="AT2920" t="e">
        <v>#N/A</v>
      </c>
    </row>
    <row r="2921" spans="42:46">
      <c r="AP2921">
        <v>219050</v>
      </c>
      <c r="AQ2921" t="e">
        <v>#N/A</v>
      </c>
      <c r="AR2921" t="e">
        <v>#N/A</v>
      </c>
      <c r="AS2921" t="e">
        <v>#N/A</v>
      </c>
      <c r="AT2921" t="e">
        <v>#N/A</v>
      </c>
    </row>
    <row r="2922" spans="42:46">
      <c r="AP2922">
        <v>219100</v>
      </c>
      <c r="AQ2922" t="e">
        <v>#N/A</v>
      </c>
      <c r="AR2922" t="e">
        <v>#N/A</v>
      </c>
      <c r="AS2922" t="e">
        <v>#N/A</v>
      </c>
      <c r="AT2922" t="e">
        <v>#N/A</v>
      </c>
    </row>
    <row r="2923" spans="42:46">
      <c r="AP2923">
        <v>219150</v>
      </c>
      <c r="AQ2923" t="e">
        <v>#N/A</v>
      </c>
      <c r="AR2923" t="e">
        <v>#N/A</v>
      </c>
      <c r="AS2923" t="e">
        <v>#N/A</v>
      </c>
      <c r="AT2923" t="e">
        <v>#N/A</v>
      </c>
    </row>
    <row r="2924" spans="42:46">
      <c r="AP2924">
        <v>219200</v>
      </c>
      <c r="AQ2924" t="e">
        <v>#N/A</v>
      </c>
      <c r="AR2924" t="e">
        <v>#N/A</v>
      </c>
      <c r="AS2924" t="e">
        <v>#N/A</v>
      </c>
      <c r="AT2924" t="e">
        <v>#N/A</v>
      </c>
    </row>
    <row r="2925" spans="42:46">
      <c r="AP2925">
        <v>219250</v>
      </c>
      <c r="AQ2925" t="e">
        <v>#N/A</v>
      </c>
      <c r="AR2925" t="e">
        <v>#N/A</v>
      </c>
      <c r="AS2925" t="e">
        <v>#N/A</v>
      </c>
      <c r="AT2925" t="e">
        <v>#N/A</v>
      </c>
    </row>
    <row r="2926" spans="42:46">
      <c r="AP2926">
        <v>219300</v>
      </c>
      <c r="AQ2926" t="e">
        <v>#N/A</v>
      </c>
      <c r="AR2926" t="e">
        <v>#N/A</v>
      </c>
      <c r="AS2926" t="e">
        <v>#N/A</v>
      </c>
      <c r="AT2926" t="e">
        <v>#N/A</v>
      </c>
    </row>
    <row r="2927" spans="42:46">
      <c r="AP2927">
        <v>219350</v>
      </c>
      <c r="AQ2927" t="e">
        <v>#N/A</v>
      </c>
      <c r="AR2927" t="e">
        <v>#N/A</v>
      </c>
      <c r="AS2927" t="e">
        <v>#N/A</v>
      </c>
      <c r="AT2927" t="e">
        <v>#N/A</v>
      </c>
    </row>
    <row r="2928" spans="42:46">
      <c r="AP2928">
        <v>219400</v>
      </c>
      <c r="AQ2928" t="e">
        <v>#N/A</v>
      </c>
      <c r="AR2928" t="e">
        <v>#N/A</v>
      </c>
      <c r="AS2928" t="e">
        <v>#N/A</v>
      </c>
      <c r="AT2928" t="e">
        <v>#N/A</v>
      </c>
    </row>
    <row r="2929" spans="42:46">
      <c r="AP2929">
        <v>219450</v>
      </c>
      <c r="AQ2929" t="e">
        <v>#N/A</v>
      </c>
      <c r="AR2929" t="e">
        <v>#N/A</v>
      </c>
      <c r="AS2929" t="e">
        <v>#N/A</v>
      </c>
      <c r="AT2929" t="e">
        <v>#N/A</v>
      </c>
    </row>
    <row r="2930" spans="42:46">
      <c r="AP2930">
        <v>219500</v>
      </c>
      <c r="AQ2930" t="e">
        <v>#N/A</v>
      </c>
      <c r="AR2930" t="e">
        <v>#N/A</v>
      </c>
      <c r="AS2930" t="e">
        <v>#N/A</v>
      </c>
      <c r="AT2930" t="e">
        <v>#N/A</v>
      </c>
    </row>
    <row r="2931" spans="42:46">
      <c r="AP2931">
        <v>219550</v>
      </c>
      <c r="AQ2931" t="e">
        <v>#N/A</v>
      </c>
      <c r="AR2931" t="e">
        <v>#N/A</v>
      </c>
      <c r="AS2931" t="e">
        <v>#N/A</v>
      </c>
      <c r="AT2931" t="e">
        <v>#N/A</v>
      </c>
    </row>
    <row r="2932" spans="42:46">
      <c r="AP2932">
        <v>219600</v>
      </c>
      <c r="AQ2932" t="e">
        <v>#N/A</v>
      </c>
      <c r="AR2932" t="e">
        <v>#N/A</v>
      </c>
      <c r="AS2932" t="e">
        <v>#N/A</v>
      </c>
      <c r="AT2932" t="e">
        <v>#N/A</v>
      </c>
    </row>
    <row r="2933" spans="42:46">
      <c r="AP2933">
        <v>219650</v>
      </c>
      <c r="AQ2933" t="e">
        <v>#N/A</v>
      </c>
      <c r="AR2933" t="e">
        <v>#N/A</v>
      </c>
      <c r="AS2933" t="e">
        <v>#N/A</v>
      </c>
      <c r="AT2933" t="e">
        <v>#N/A</v>
      </c>
    </row>
    <row r="2934" spans="42:46">
      <c r="AP2934">
        <v>219700</v>
      </c>
      <c r="AQ2934" t="e">
        <v>#N/A</v>
      </c>
      <c r="AR2934" t="e">
        <v>#N/A</v>
      </c>
      <c r="AS2934" t="e">
        <v>#N/A</v>
      </c>
      <c r="AT2934" t="e">
        <v>#N/A</v>
      </c>
    </row>
    <row r="2935" spans="42:46">
      <c r="AP2935">
        <v>219750</v>
      </c>
      <c r="AQ2935" t="e">
        <v>#N/A</v>
      </c>
      <c r="AR2935" t="e">
        <v>#N/A</v>
      </c>
      <c r="AS2935" t="e">
        <v>#N/A</v>
      </c>
      <c r="AT2935" t="e">
        <v>#N/A</v>
      </c>
    </row>
    <row r="2936" spans="42:46">
      <c r="AP2936">
        <v>219800</v>
      </c>
      <c r="AQ2936" t="e">
        <v>#N/A</v>
      </c>
      <c r="AR2936" t="e">
        <v>#N/A</v>
      </c>
      <c r="AS2936" t="e">
        <v>#N/A</v>
      </c>
      <c r="AT2936" t="e">
        <v>#N/A</v>
      </c>
    </row>
    <row r="2937" spans="42:46">
      <c r="AP2937">
        <v>219850</v>
      </c>
      <c r="AQ2937" t="e">
        <v>#N/A</v>
      </c>
      <c r="AR2937" t="e">
        <v>#N/A</v>
      </c>
      <c r="AS2937" t="e">
        <v>#N/A</v>
      </c>
      <c r="AT2937" t="e">
        <v>#N/A</v>
      </c>
    </row>
    <row r="2938" spans="42:46">
      <c r="AP2938">
        <v>219900</v>
      </c>
      <c r="AQ2938" t="e">
        <v>#N/A</v>
      </c>
      <c r="AR2938" t="e">
        <v>#N/A</v>
      </c>
      <c r="AS2938" t="e">
        <v>#N/A</v>
      </c>
      <c r="AT2938" t="e">
        <v>#N/A</v>
      </c>
    </row>
    <row r="2939" spans="42:46">
      <c r="AP2939">
        <v>219950</v>
      </c>
      <c r="AQ2939" t="e">
        <v>#N/A</v>
      </c>
      <c r="AR2939" t="e">
        <v>#N/A</v>
      </c>
      <c r="AS2939" t="e">
        <v>#N/A</v>
      </c>
      <c r="AT2939" t="e">
        <v>#N/A</v>
      </c>
    </row>
    <row r="2940" spans="42:46">
      <c r="AP2940">
        <v>220000</v>
      </c>
      <c r="AQ2940" t="e">
        <v>#N/A</v>
      </c>
      <c r="AR2940" t="e">
        <v>#N/A</v>
      </c>
      <c r="AS2940" t="e">
        <v>#N/A</v>
      </c>
      <c r="AT2940" t="e">
        <v>#N/A</v>
      </c>
    </row>
    <row r="2941" spans="42:46">
      <c r="AP2941">
        <v>220050</v>
      </c>
      <c r="AQ2941" t="e">
        <v>#N/A</v>
      </c>
      <c r="AR2941" t="e">
        <v>#N/A</v>
      </c>
      <c r="AS2941" t="e">
        <v>#N/A</v>
      </c>
      <c r="AT2941" t="e">
        <v>#N/A</v>
      </c>
    </row>
    <row r="2942" spans="42:46">
      <c r="AP2942">
        <v>220100</v>
      </c>
      <c r="AQ2942" t="e">
        <v>#N/A</v>
      </c>
      <c r="AR2942" t="e">
        <v>#N/A</v>
      </c>
      <c r="AS2942" t="e">
        <v>#N/A</v>
      </c>
      <c r="AT2942" t="e">
        <v>#N/A</v>
      </c>
    </row>
    <row r="2943" spans="42:46">
      <c r="AP2943">
        <v>220150</v>
      </c>
      <c r="AQ2943" t="e">
        <v>#N/A</v>
      </c>
      <c r="AR2943" t="e">
        <v>#N/A</v>
      </c>
      <c r="AS2943" t="e">
        <v>#N/A</v>
      </c>
      <c r="AT2943" t="e">
        <v>#N/A</v>
      </c>
    </row>
    <row r="2944" spans="42:46">
      <c r="AP2944">
        <v>220200</v>
      </c>
      <c r="AQ2944" t="e">
        <v>#N/A</v>
      </c>
      <c r="AR2944" t="e">
        <v>#N/A</v>
      </c>
      <c r="AS2944" t="e">
        <v>#N/A</v>
      </c>
      <c r="AT2944" t="e">
        <v>#N/A</v>
      </c>
    </row>
    <row r="2945" spans="42:46">
      <c r="AP2945">
        <v>220250</v>
      </c>
      <c r="AQ2945" t="e">
        <v>#N/A</v>
      </c>
      <c r="AR2945" t="e">
        <v>#N/A</v>
      </c>
      <c r="AS2945" t="e">
        <v>#N/A</v>
      </c>
      <c r="AT2945" t="e">
        <v>#N/A</v>
      </c>
    </row>
    <row r="2946" spans="42:46">
      <c r="AP2946">
        <v>220300</v>
      </c>
      <c r="AQ2946" t="e">
        <v>#N/A</v>
      </c>
      <c r="AR2946" t="e">
        <v>#N/A</v>
      </c>
      <c r="AS2946" t="e">
        <v>#N/A</v>
      </c>
      <c r="AT2946" t="e">
        <v>#N/A</v>
      </c>
    </row>
    <row r="2947" spans="42:46">
      <c r="AP2947">
        <v>220350</v>
      </c>
      <c r="AQ2947" t="e">
        <v>#N/A</v>
      </c>
      <c r="AR2947" t="e">
        <v>#N/A</v>
      </c>
      <c r="AS2947" t="e">
        <v>#N/A</v>
      </c>
      <c r="AT2947" t="e">
        <v>#N/A</v>
      </c>
    </row>
    <row r="2948" spans="42:46">
      <c r="AP2948">
        <v>220400</v>
      </c>
      <c r="AQ2948" t="e">
        <v>#N/A</v>
      </c>
      <c r="AR2948" t="e">
        <v>#N/A</v>
      </c>
      <c r="AS2948" t="e">
        <v>#N/A</v>
      </c>
      <c r="AT2948" t="e">
        <v>#N/A</v>
      </c>
    </row>
    <row r="2949" spans="42:46">
      <c r="AP2949">
        <v>220450</v>
      </c>
      <c r="AQ2949" t="e">
        <v>#N/A</v>
      </c>
      <c r="AR2949" t="e">
        <v>#N/A</v>
      </c>
      <c r="AS2949" t="e">
        <v>#N/A</v>
      </c>
      <c r="AT2949" t="e">
        <v>#N/A</v>
      </c>
    </row>
    <row r="2950" spans="42:46">
      <c r="AP2950">
        <v>220500</v>
      </c>
      <c r="AQ2950" t="e">
        <v>#N/A</v>
      </c>
      <c r="AR2950" t="e">
        <v>#N/A</v>
      </c>
      <c r="AS2950" t="e">
        <v>#N/A</v>
      </c>
      <c r="AT2950" t="e">
        <v>#N/A</v>
      </c>
    </row>
    <row r="2951" spans="42:46">
      <c r="AP2951">
        <v>220550</v>
      </c>
      <c r="AQ2951" t="e">
        <v>#N/A</v>
      </c>
      <c r="AR2951" t="e">
        <v>#N/A</v>
      </c>
      <c r="AS2951" t="e">
        <v>#N/A</v>
      </c>
      <c r="AT2951" t="e">
        <v>#N/A</v>
      </c>
    </row>
    <row r="2952" spans="42:46">
      <c r="AP2952">
        <v>220600</v>
      </c>
      <c r="AQ2952" t="e">
        <v>#N/A</v>
      </c>
      <c r="AR2952" t="e">
        <v>#N/A</v>
      </c>
      <c r="AS2952" t="e">
        <v>#N/A</v>
      </c>
      <c r="AT2952" t="e">
        <v>#N/A</v>
      </c>
    </row>
    <row r="2953" spans="42:46">
      <c r="AP2953">
        <v>220650</v>
      </c>
      <c r="AQ2953" t="e">
        <v>#N/A</v>
      </c>
      <c r="AR2953" t="e">
        <v>#N/A</v>
      </c>
      <c r="AS2953" t="e">
        <v>#N/A</v>
      </c>
      <c r="AT2953" t="e">
        <v>#N/A</v>
      </c>
    </row>
    <row r="2954" spans="42:46">
      <c r="AP2954">
        <v>220700</v>
      </c>
      <c r="AQ2954" t="e">
        <v>#N/A</v>
      </c>
      <c r="AR2954" t="e">
        <v>#N/A</v>
      </c>
      <c r="AS2954" t="e">
        <v>#N/A</v>
      </c>
      <c r="AT2954" t="e">
        <v>#N/A</v>
      </c>
    </row>
    <row r="2955" spans="42:46">
      <c r="AP2955">
        <v>220750</v>
      </c>
      <c r="AQ2955" t="e">
        <v>#N/A</v>
      </c>
      <c r="AR2955" t="e">
        <v>#N/A</v>
      </c>
      <c r="AS2955" t="e">
        <v>#N/A</v>
      </c>
      <c r="AT2955" t="e">
        <v>#N/A</v>
      </c>
    </row>
    <row r="2956" spans="42:46">
      <c r="AP2956">
        <v>220800</v>
      </c>
      <c r="AQ2956" t="e">
        <v>#N/A</v>
      </c>
      <c r="AR2956" t="e">
        <v>#N/A</v>
      </c>
      <c r="AS2956" t="e">
        <v>#N/A</v>
      </c>
      <c r="AT2956" t="e">
        <v>#N/A</v>
      </c>
    </row>
    <row r="2957" spans="42:46">
      <c r="AP2957">
        <v>220850</v>
      </c>
      <c r="AQ2957" t="e">
        <v>#N/A</v>
      </c>
      <c r="AR2957" t="e">
        <v>#N/A</v>
      </c>
      <c r="AS2957" t="e">
        <v>#N/A</v>
      </c>
      <c r="AT2957" t="e">
        <v>#N/A</v>
      </c>
    </row>
    <row r="2958" spans="42:46">
      <c r="AP2958">
        <v>220900</v>
      </c>
      <c r="AQ2958" t="e">
        <v>#N/A</v>
      </c>
      <c r="AR2958" t="e">
        <v>#N/A</v>
      </c>
      <c r="AS2958" t="e">
        <v>#N/A</v>
      </c>
      <c r="AT2958" t="e">
        <v>#N/A</v>
      </c>
    </row>
    <row r="2959" spans="42:46">
      <c r="AP2959">
        <v>220950</v>
      </c>
      <c r="AQ2959" t="e">
        <v>#N/A</v>
      </c>
      <c r="AR2959" t="e">
        <v>#N/A</v>
      </c>
      <c r="AS2959" t="e">
        <v>#N/A</v>
      </c>
      <c r="AT2959" t="e">
        <v>#N/A</v>
      </c>
    </row>
    <row r="2960" spans="42:46">
      <c r="AP2960">
        <v>221000</v>
      </c>
      <c r="AQ2960" t="e">
        <v>#N/A</v>
      </c>
      <c r="AR2960" t="e">
        <v>#N/A</v>
      </c>
      <c r="AS2960" t="e">
        <v>#N/A</v>
      </c>
      <c r="AT2960" t="e">
        <v>#N/A</v>
      </c>
    </row>
    <row r="2961" spans="42:46">
      <c r="AP2961">
        <v>221050</v>
      </c>
      <c r="AQ2961" t="e">
        <v>#N/A</v>
      </c>
      <c r="AR2961" t="e">
        <v>#N/A</v>
      </c>
      <c r="AS2961" t="e">
        <v>#N/A</v>
      </c>
      <c r="AT2961" t="e">
        <v>#N/A</v>
      </c>
    </row>
    <row r="2962" spans="42:46">
      <c r="AP2962">
        <v>221100</v>
      </c>
      <c r="AQ2962" t="e">
        <v>#N/A</v>
      </c>
      <c r="AR2962" t="e">
        <v>#N/A</v>
      </c>
      <c r="AS2962" t="e">
        <v>#N/A</v>
      </c>
      <c r="AT2962" t="e">
        <v>#N/A</v>
      </c>
    </row>
    <row r="2963" spans="42:46">
      <c r="AP2963">
        <v>221150</v>
      </c>
      <c r="AQ2963" t="e">
        <v>#N/A</v>
      </c>
      <c r="AR2963" t="e">
        <v>#N/A</v>
      </c>
      <c r="AS2963" t="e">
        <v>#N/A</v>
      </c>
      <c r="AT2963" t="e">
        <v>#N/A</v>
      </c>
    </row>
    <row r="2964" spans="42:46">
      <c r="AP2964">
        <v>221200</v>
      </c>
      <c r="AQ2964" t="e">
        <v>#N/A</v>
      </c>
      <c r="AR2964" t="e">
        <v>#N/A</v>
      </c>
      <c r="AS2964" t="e">
        <v>#N/A</v>
      </c>
      <c r="AT2964" t="e">
        <v>#N/A</v>
      </c>
    </row>
    <row r="2965" spans="42:46">
      <c r="AP2965">
        <v>221250</v>
      </c>
      <c r="AQ2965" t="e">
        <v>#N/A</v>
      </c>
      <c r="AR2965" t="e">
        <v>#N/A</v>
      </c>
      <c r="AS2965" t="e">
        <v>#N/A</v>
      </c>
      <c r="AT2965" t="e">
        <v>#N/A</v>
      </c>
    </row>
    <row r="2966" spans="42:46">
      <c r="AP2966">
        <v>221300</v>
      </c>
      <c r="AQ2966" t="e">
        <v>#N/A</v>
      </c>
      <c r="AR2966" t="e">
        <v>#N/A</v>
      </c>
      <c r="AS2966" t="e">
        <v>#N/A</v>
      </c>
      <c r="AT2966" t="e">
        <v>#N/A</v>
      </c>
    </row>
    <row r="2967" spans="42:46">
      <c r="AP2967">
        <v>221350</v>
      </c>
      <c r="AQ2967" t="e">
        <v>#N/A</v>
      </c>
      <c r="AR2967" t="e">
        <v>#N/A</v>
      </c>
      <c r="AS2967" t="e">
        <v>#N/A</v>
      </c>
      <c r="AT2967" t="e">
        <v>#N/A</v>
      </c>
    </row>
    <row r="2968" spans="42:46">
      <c r="AP2968">
        <v>221400</v>
      </c>
      <c r="AQ2968" t="e">
        <v>#N/A</v>
      </c>
      <c r="AR2968" t="e">
        <v>#N/A</v>
      </c>
      <c r="AS2968" t="e">
        <v>#N/A</v>
      </c>
      <c r="AT2968" t="e">
        <v>#N/A</v>
      </c>
    </row>
    <row r="2969" spans="42:46">
      <c r="AP2969">
        <v>221450</v>
      </c>
      <c r="AQ2969" t="e">
        <v>#N/A</v>
      </c>
      <c r="AR2969" t="e">
        <v>#N/A</v>
      </c>
      <c r="AS2969" t="e">
        <v>#N/A</v>
      </c>
      <c r="AT2969" t="e">
        <v>#N/A</v>
      </c>
    </row>
    <row r="2970" spans="42:46">
      <c r="AP2970">
        <v>221500</v>
      </c>
      <c r="AQ2970" t="e">
        <v>#N/A</v>
      </c>
      <c r="AR2970" t="e">
        <v>#N/A</v>
      </c>
      <c r="AS2970" t="e">
        <v>#N/A</v>
      </c>
      <c r="AT2970" t="e">
        <v>#N/A</v>
      </c>
    </row>
    <row r="2971" spans="42:46">
      <c r="AP2971">
        <v>221550</v>
      </c>
      <c r="AQ2971" t="e">
        <v>#N/A</v>
      </c>
      <c r="AR2971" t="e">
        <v>#N/A</v>
      </c>
      <c r="AS2971" t="e">
        <v>#N/A</v>
      </c>
      <c r="AT2971" t="e">
        <v>#N/A</v>
      </c>
    </row>
    <row r="2972" spans="42:46">
      <c r="AP2972">
        <v>221600</v>
      </c>
      <c r="AQ2972" t="e">
        <v>#N/A</v>
      </c>
      <c r="AR2972" t="e">
        <v>#N/A</v>
      </c>
      <c r="AS2972" t="e">
        <v>#N/A</v>
      </c>
      <c r="AT2972" t="e">
        <v>#N/A</v>
      </c>
    </row>
    <row r="2973" spans="42:46">
      <c r="AP2973">
        <v>221650</v>
      </c>
      <c r="AQ2973" t="e">
        <v>#N/A</v>
      </c>
      <c r="AR2973" t="e">
        <v>#N/A</v>
      </c>
      <c r="AS2973" t="e">
        <v>#N/A</v>
      </c>
      <c r="AT2973" t="e">
        <v>#N/A</v>
      </c>
    </row>
    <row r="2974" spans="42:46">
      <c r="AP2974">
        <v>221700</v>
      </c>
      <c r="AQ2974" t="e">
        <v>#N/A</v>
      </c>
      <c r="AR2974" t="e">
        <v>#N/A</v>
      </c>
      <c r="AS2974" t="e">
        <v>#N/A</v>
      </c>
      <c r="AT2974" t="e">
        <v>#N/A</v>
      </c>
    </row>
    <row r="2975" spans="42:46">
      <c r="AP2975">
        <v>221750</v>
      </c>
      <c r="AQ2975" t="e">
        <v>#N/A</v>
      </c>
      <c r="AR2975" t="e">
        <v>#N/A</v>
      </c>
      <c r="AS2975" t="e">
        <v>#N/A</v>
      </c>
      <c r="AT2975" t="e">
        <v>#N/A</v>
      </c>
    </row>
    <row r="2976" spans="42:46">
      <c r="AP2976">
        <v>221800</v>
      </c>
      <c r="AQ2976" t="e">
        <v>#N/A</v>
      </c>
      <c r="AR2976" t="e">
        <v>#N/A</v>
      </c>
      <c r="AS2976" t="e">
        <v>#N/A</v>
      </c>
      <c r="AT2976" t="e">
        <v>#N/A</v>
      </c>
    </row>
    <row r="2977" spans="42:46">
      <c r="AP2977">
        <v>221850</v>
      </c>
      <c r="AQ2977" t="e">
        <v>#N/A</v>
      </c>
      <c r="AR2977" t="e">
        <v>#N/A</v>
      </c>
      <c r="AS2977" t="e">
        <v>#N/A</v>
      </c>
      <c r="AT2977" t="e">
        <v>#N/A</v>
      </c>
    </row>
    <row r="2978" spans="42:46">
      <c r="AP2978">
        <v>221900</v>
      </c>
      <c r="AQ2978" t="e">
        <v>#N/A</v>
      </c>
      <c r="AR2978" t="e">
        <v>#N/A</v>
      </c>
      <c r="AS2978" t="e">
        <v>#N/A</v>
      </c>
      <c r="AT2978" t="e">
        <v>#N/A</v>
      </c>
    </row>
    <row r="2979" spans="42:46">
      <c r="AP2979">
        <v>221950</v>
      </c>
      <c r="AQ2979" t="e">
        <v>#N/A</v>
      </c>
      <c r="AR2979" t="e">
        <v>#N/A</v>
      </c>
      <c r="AS2979" t="e">
        <v>#N/A</v>
      </c>
      <c r="AT2979" t="e">
        <v>#N/A</v>
      </c>
    </row>
    <row r="2980" spans="42:46">
      <c r="AP2980">
        <v>222000</v>
      </c>
      <c r="AQ2980" t="e">
        <v>#N/A</v>
      </c>
      <c r="AR2980" t="e">
        <v>#N/A</v>
      </c>
      <c r="AS2980" t="e">
        <v>#N/A</v>
      </c>
      <c r="AT2980" t="e">
        <v>#N/A</v>
      </c>
    </row>
    <row r="2981" spans="42:46">
      <c r="AP2981">
        <v>222050</v>
      </c>
      <c r="AQ2981" t="e">
        <v>#N/A</v>
      </c>
      <c r="AR2981" t="e">
        <v>#N/A</v>
      </c>
      <c r="AS2981" t="e">
        <v>#N/A</v>
      </c>
      <c r="AT2981" t="e">
        <v>#N/A</v>
      </c>
    </row>
    <row r="2982" spans="42:46">
      <c r="AP2982">
        <v>222100</v>
      </c>
      <c r="AQ2982" t="e">
        <v>#N/A</v>
      </c>
      <c r="AR2982" t="e">
        <v>#N/A</v>
      </c>
      <c r="AS2982" t="e">
        <v>#N/A</v>
      </c>
      <c r="AT2982" t="e">
        <v>#N/A</v>
      </c>
    </row>
    <row r="2983" spans="42:46">
      <c r="AP2983">
        <v>222150</v>
      </c>
      <c r="AQ2983" t="e">
        <v>#N/A</v>
      </c>
      <c r="AR2983" t="e">
        <v>#N/A</v>
      </c>
      <c r="AS2983" t="e">
        <v>#N/A</v>
      </c>
      <c r="AT2983" t="e">
        <v>#N/A</v>
      </c>
    </row>
    <row r="2984" spans="42:46">
      <c r="AP2984">
        <v>222200</v>
      </c>
      <c r="AQ2984" t="e">
        <v>#N/A</v>
      </c>
      <c r="AR2984" t="e">
        <v>#N/A</v>
      </c>
      <c r="AS2984" t="e">
        <v>#N/A</v>
      </c>
      <c r="AT2984" t="e">
        <v>#N/A</v>
      </c>
    </row>
    <row r="2985" spans="42:46">
      <c r="AP2985">
        <v>222250</v>
      </c>
      <c r="AQ2985" t="e">
        <v>#N/A</v>
      </c>
      <c r="AR2985" t="e">
        <v>#N/A</v>
      </c>
      <c r="AS2985" t="e">
        <v>#N/A</v>
      </c>
      <c r="AT2985" t="e">
        <v>#N/A</v>
      </c>
    </row>
    <row r="2986" spans="42:46">
      <c r="AP2986">
        <v>222300</v>
      </c>
      <c r="AQ2986" t="e">
        <v>#N/A</v>
      </c>
      <c r="AR2986" t="e">
        <v>#N/A</v>
      </c>
      <c r="AS2986" t="e">
        <v>#N/A</v>
      </c>
      <c r="AT2986" t="e">
        <v>#N/A</v>
      </c>
    </row>
    <row r="2987" spans="42:46">
      <c r="AP2987">
        <v>222350</v>
      </c>
      <c r="AQ2987" t="e">
        <v>#N/A</v>
      </c>
      <c r="AR2987" t="e">
        <v>#N/A</v>
      </c>
      <c r="AS2987" t="e">
        <v>#N/A</v>
      </c>
      <c r="AT2987" t="e">
        <v>#N/A</v>
      </c>
    </row>
    <row r="2988" spans="42:46">
      <c r="AP2988">
        <v>222400</v>
      </c>
      <c r="AQ2988" t="e">
        <v>#N/A</v>
      </c>
      <c r="AR2988" t="e">
        <v>#N/A</v>
      </c>
      <c r="AS2988" t="e">
        <v>#N/A</v>
      </c>
      <c r="AT2988" t="e">
        <v>#N/A</v>
      </c>
    </row>
    <row r="2989" spans="42:46">
      <c r="AP2989">
        <v>222450</v>
      </c>
      <c r="AQ2989" t="e">
        <v>#N/A</v>
      </c>
      <c r="AR2989" t="e">
        <v>#N/A</v>
      </c>
      <c r="AS2989" t="e">
        <v>#N/A</v>
      </c>
      <c r="AT2989" t="e">
        <v>#N/A</v>
      </c>
    </row>
    <row r="2990" spans="42:46">
      <c r="AP2990">
        <v>222500</v>
      </c>
      <c r="AQ2990" t="e">
        <v>#N/A</v>
      </c>
      <c r="AR2990" t="e">
        <v>#N/A</v>
      </c>
      <c r="AS2990" t="e">
        <v>#N/A</v>
      </c>
      <c r="AT2990" t="e">
        <v>#N/A</v>
      </c>
    </row>
    <row r="2991" spans="42:46">
      <c r="AP2991">
        <v>222550</v>
      </c>
      <c r="AQ2991" t="e">
        <v>#N/A</v>
      </c>
      <c r="AR2991" t="e">
        <v>#N/A</v>
      </c>
      <c r="AS2991" t="e">
        <v>#N/A</v>
      </c>
      <c r="AT2991" t="e">
        <v>#N/A</v>
      </c>
    </row>
    <row r="2992" spans="42:46">
      <c r="AP2992">
        <v>222600</v>
      </c>
      <c r="AQ2992" t="e">
        <v>#N/A</v>
      </c>
      <c r="AR2992" t="e">
        <v>#N/A</v>
      </c>
      <c r="AS2992" t="e">
        <v>#N/A</v>
      </c>
      <c r="AT2992" t="e">
        <v>#N/A</v>
      </c>
    </row>
    <row r="2993" spans="42:46">
      <c r="AP2993">
        <v>222650</v>
      </c>
      <c r="AQ2993" t="e">
        <v>#N/A</v>
      </c>
      <c r="AR2993" t="e">
        <v>#N/A</v>
      </c>
      <c r="AS2993" t="e">
        <v>#N/A</v>
      </c>
      <c r="AT2993" t="e">
        <v>#N/A</v>
      </c>
    </row>
    <row r="2994" spans="42:46">
      <c r="AP2994">
        <v>222700</v>
      </c>
      <c r="AQ2994" t="e">
        <v>#N/A</v>
      </c>
      <c r="AR2994" t="e">
        <v>#N/A</v>
      </c>
      <c r="AS2994" t="e">
        <v>#N/A</v>
      </c>
      <c r="AT2994" t="e">
        <v>#N/A</v>
      </c>
    </row>
    <row r="2995" spans="42:46">
      <c r="AP2995">
        <v>222750</v>
      </c>
      <c r="AQ2995" t="e">
        <v>#N/A</v>
      </c>
      <c r="AR2995" t="e">
        <v>#N/A</v>
      </c>
      <c r="AS2995" t="e">
        <v>#N/A</v>
      </c>
      <c r="AT2995" t="e">
        <v>#N/A</v>
      </c>
    </row>
    <row r="2996" spans="42:46">
      <c r="AP2996">
        <v>222800</v>
      </c>
      <c r="AQ2996" t="e">
        <v>#N/A</v>
      </c>
      <c r="AR2996" t="e">
        <v>#N/A</v>
      </c>
      <c r="AS2996" t="e">
        <v>#N/A</v>
      </c>
      <c r="AT2996" t="e">
        <v>#N/A</v>
      </c>
    </row>
    <row r="2997" spans="42:46">
      <c r="AP2997">
        <v>222850</v>
      </c>
      <c r="AQ2997" t="e">
        <v>#N/A</v>
      </c>
      <c r="AR2997" t="e">
        <v>#N/A</v>
      </c>
      <c r="AS2997" t="e">
        <v>#N/A</v>
      </c>
      <c r="AT2997" t="e">
        <v>#N/A</v>
      </c>
    </row>
    <row r="2998" spans="42:46">
      <c r="AP2998">
        <v>222900</v>
      </c>
      <c r="AQ2998" t="e">
        <v>#N/A</v>
      </c>
      <c r="AR2998" t="e">
        <v>#N/A</v>
      </c>
      <c r="AS2998" t="e">
        <v>#N/A</v>
      </c>
      <c r="AT2998" t="e">
        <v>#N/A</v>
      </c>
    </row>
    <row r="2999" spans="42:46">
      <c r="AP2999">
        <v>222950</v>
      </c>
      <c r="AQ2999" t="e">
        <v>#N/A</v>
      </c>
      <c r="AR2999" t="e">
        <v>#N/A</v>
      </c>
      <c r="AS2999" t="e">
        <v>#N/A</v>
      </c>
      <c r="AT2999" t="e">
        <v>#N/A</v>
      </c>
    </row>
    <row r="3000" spans="42:46">
      <c r="AP3000">
        <v>223000</v>
      </c>
      <c r="AQ3000" t="e">
        <v>#N/A</v>
      </c>
      <c r="AR3000" t="e">
        <v>#N/A</v>
      </c>
      <c r="AS3000" t="e">
        <v>#N/A</v>
      </c>
      <c r="AT3000" t="e">
        <v>#N/A</v>
      </c>
    </row>
    <row r="3001" spans="42:46">
      <c r="AP3001">
        <v>223050</v>
      </c>
      <c r="AQ3001" t="e">
        <v>#N/A</v>
      </c>
      <c r="AR3001" t="e">
        <v>#N/A</v>
      </c>
      <c r="AS3001" t="e">
        <v>#N/A</v>
      </c>
      <c r="AT3001" t="e">
        <v>#N/A</v>
      </c>
    </row>
    <row r="3002" spans="42:46">
      <c r="AP3002">
        <v>223100</v>
      </c>
      <c r="AQ3002" t="e">
        <v>#N/A</v>
      </c>
      <c r="AR3002" t="e">
        <v>#N/A</v>
      </c>
      <c r="AS3002" t="e">
        <v>#N/A</v>
      </c>
      <c r="AT3002" t="e">
        <v>#N/A</v>
      </c>
    </row>
    <row r="3003" spans="42:46">
      <c r="AP3003">
        <v>223150</v>
      </c>
      <c r="AQ3003" t="e">
        <v>#N/A</v>
      </c>
      <c r="AR3003" t="e">
        <v>#N/A</v>
      </c>
      <c r="AS3003" t="e">
        <v>#N/A</v>
      </c>
      <c r="AT3003" t="e">
        <v>#N/A</v>
      </c>
    </row>
    <row r="3004" spans="42:46">
      <c r="AP3004">
        <v>223200</v>
      </c>
      <c r="AQ3004" t="e">
        <v>#N/A</v>
      </c>
      <c r="AR3004" t="e">
        <v>#N/A</v>
      </c>
      <c r="AS3004" t="e">
        <v>#N/A</v>
      </c>
      <c r="AT3004" t="e">
        <v>#N/A</v>
      </c>
    </row>
    <row r="3005" spans="42:46">
      <c r="AP3005">
        <v>223250</v>
      </c>
      <c r="AQ3005" t="e">
        <v>#N/A</v>
      </c>
      <c r="AR3005" t="e">
        <v>#N/A</v>
      </c>
      <c r="AS3005" t="e">
        <v>#N/A</v>
      </c>
      <c r="AT3005" t="e">
        <v>#N/A</v>
      </c>
    </row>
    <row r="3006" spans="42:46">
      <c r="AP3006">
        <v>223300</v>
      </c>
      <c r="AQ3006" t="e">
        <v>#N/A</v>
      </c>
      <c r="AR3006" t="e">
        <v>#N/A</v>
      </c>
      <c r="AS3006" t="e">
        <v>#N/A</v>
      </c>
      <c r="AT3006" t="e">
        <v>#N/A</v>
      </c>
    </row>
    <row r="3007" spans="42:46">
      <c r="AP3007">
        <v>223350</v>
      </c>
      <c r="AQ3007" t="e">
        <v>#N/A</v>
      </c>
      <c r="AR3007" t="e">
        <v>#N/A</v>
      </c>
      <c r="AS3007" t="e">
        <v>#N/A</v>
      </c>
      <c r="AT3007" t="e">
        <v>#N/A</v>
      </c>
    </row>
    <row r="3008" spans="42:46">
      <c r="AP3008">
        <v>223400</v>
      </c>
      <c r="AQ3008" t="e">
        <v>#N/A</v>
      </c>
      <c r="AR3008" t="e">
        <v>#N/A</v>
      </c>
      <c r="AS3008" t="e">
        <v>#N/A</v>
      </c>
      <c r="AT3008" t="e">
        <v>#N/A</v>
      </c>
    </row>
    <row r="3009" spans="42:46">
      <c r="AP3009">
        <v>223450</v>
      </c>
      <c r="AQ3009" t="e">
        <v>#N/A</v>
      </c>
      <c r="AR3009" t="e">
        <v>#N/A</v>
      </c>
      <c r="AS3009" t="e">
        <v>#N/A</v>
      </c>
      <c r="AT3009" t="e">
        <v>#N/A</v>
      </c>
    </row>
    <row r="3010" spans="42:46">
      <c r="AP3010">
        <v>223500</v>
      </c>
      <c r="AQ3010" t="e">
        <v>#N/A</v>
      </c>
      <c r="AR3010" t="e">
        <v>#N/A</v>
      </c>
      <c r="AS3010" t="e">
        <v>#N/A</v>
      </c>
      <c r="AT3010" t="e">
        <v>#N/A</v>
      </c>
    </row>
    <row r="3011" spans="42:46">
      <c r="AP3011">
        <v>223550</v>
      </c>
      <c r="AQ3011" t="e">
        <v>#N/A</v>
      </c>
      <c r="AR3011" t="e">
        <v>#N/A</v>
      </c>
      <c r="AS3011" t="e">
        <v>#N/A</v>
      </c>
      <c r="AT3011" t="e">
        <v>#N/A</v>
      </c>
    </row>
    <row r="3012" spans="42:46">
      <c r="AP3012">
        <v>223600</v>
      </c>
      <c r="AQ3012" t="e">
        <v>#N/A</v>
      </c>
      <c r="AR3012" t="e">
        <v>#N/A</v>
      </c>
      <c r="AS3012" t="e">
        <v>#N/A</v>
      </c>
      <c r="AT3012" t="e">
        <v>#N/A</v>
      </c>
    </row>
    <row r="3013" spans="42:46">
      <c r="AP3013">
        <v>223650</v>
      </c>
      <c r="AQ3013" t="e">
        <v>#N/A</v>
      </c>
      <c r="AR3013" t="e">
        <v>#N/A</v>
      </c>
      <c r="AS3013" t="e">
        <v>#N/A</v>
      </c>
      <c r="AT3013" t="e">
        <v>#N/A</v>
      </c>
    </row>
    <row r="3014" spans="42:46">
      <c r="AP3014">
        <v>223700</v>
      </c>
      <c r="AQ3014" t="e">
        <v>#N/A</v>
      </c>
      <c r="AR3014" t="e">
        <v>#N/A</v>
      </c>
      <c r="AS3014" t="e">
        <v>#N/A</v>
      </c>
      <c r="AT3014" t="e">
        <v>#N/A</v>
      </c>
    </row>
    <row r="3015" spans="42:46">
      <c r="AP3015">
        <v>223750</v>
      </c>
      <c r="AQ3015" t="e">
        <v>#N/A</v>
      </c>
      <c r="AR3015" t="e">
        <v>#N/A</v>
      </c>
      <c r="AS3015" t="e">
        <v>#N/A</v>
      </c>
      <c r="AT3015" t="e">
        <v>#N/A</v>
      </c>
    </row>
    <row r="3016" spans="42:46">
      <c r="AP3016">
        <v>223800</v>
      </c>
      <c r="AQ3016" t="e">
        <v>#N/A</v>
      </c>
      <c r="AR3016" t="e">
        <v>#N/A</v>
      </c>
      <c r="AS3016" t="e">
        <v>#N/A</v>
      </c>
      <c r="AT3016" t="e">
        <v>#N/A</v>
      </c>
    </row>
    <row r="3017" spans="42:46">
      <c r="AP3017">
        <v>223850</v>
      </c>
      <c r="AQ3017" t="e">
        <v>#N/A</v>
      </c>
      <c r="AR3017" t="e">
        <v>#N/A</v>
      </c>
      <c r="AS3017" t="e">
        <v>#N/A</v>
      </c>
      <c r="AT3017" t="e">
        <v>#N/A</v>
      </c>
    </row>
    <row r="3018" spans="42:46">
      <c r="AP3018">
        <v>223900</v>
      </c>
      <c r="AQ3018" t="e">
        <v>#N/A</v>
      </c>
      <c r="AR3018" t="e">
        <v>#N/A</v>
      </c>
      <c r="AS3018" t="e">
        <v>#N/A</v>
      </c>
      <c r="AT3018" t="e">
        <v>#N/A</v>
      </c>
    </row>
    <row r="3019" spans="42:46">
      <c r="AP3019">
        <v>223950</v>
      </c>
      <c r="AQ3019" t="e">
        <v>#N/A</v>
      </c>
      <c r="AR3019" t="e">
        <v>#N/A</v>
      </c>
      <c r="AS3019" t="e">
        <v>#N/A</v>
      </c>
      <c r="AT3019" t="e">
        <v>#N/A</v>
      </c>
    </row>
    <row r="3020" spans="42:46">
      <c r="AP3020">
        <v>224000</v>
      </c>
      <c r="AQ3020" t="e">
        <v>#N/A</v>
      </c>
      <c r="AR3020" t="e">
        <v>#N/A</v>
      </c>
      <c r="AS3020" t="e">
        <v>#N/A</v>
      </c>
      <c r="AT3020" t="e">
        <v>#N/A</v>
      </c>
    </row>
    <row r="3021" spans="42:46">
      <c r="AP3021">
        <v>224050</v>
      </c>
      <c r="AQ3021" t="e">
        <v>#N/A</v>
      </c>
      <c r="AR3021" t="e">
        <v>#N/A</v>
      </c>
      <c r="AS3021" t="e">
        <v>#N/A</v>
      </c>
      <c r="AT3021" t="e">
        <v>#N/A</v>
      </c>
    </row>
    <row r="3022" spans="42:46">
      <c r="AP3022">
        <v>224100</v>
      </c>
      <c r="AQ3022" t="e">
        <v>#N/A</v>
      </c>
      <c r="AR3022" t="e">
        <v>#N/A</v>
      </c>
      <c r="AS3022" t="e">
        <v>#N/A</v>
      </c>
      <c r="AT3022" t="e">
        <v>#N/A</v>
      </c>
    </row>
    <row r="3023" spans="42:46">
      <c r="AP3023">
        <v>224150</v>
      </c>
      <c r="AQ3023" t="e">
        <v>#N/A</v>
      </c>
      <c r="AR3023" t="e">
        <v>#N/A</v>
      </c>
      <c r="AS3023" t="e">
        <v>#N/A</v>
      </c>
      <c r="AT3023" t="e">
        <v>#N/A</v>
      </c>
    </row>
    <row r="3024" spans="42:46">
      <c r="AP3024">
        <v>224200</v>
      </c>
      <c r="AQ3024" t="e">
        <v>#N/A</v>
      </c>
      <c r="AR3024" t="e">
        <v>#N/A</v>
      </c>
      <c r="AS3024" t="e">
        <v>#N/A</v>
      </c>
      <c r="AT3024" t="e">
        <v>#N/A</v>
      </c>
    </row>
    <row r="3025" spans="42:46">
      <c r="AP3025">
        <v>224250</v>
      </c>
      <c r="AQ3025" t="e">
        <v>#N/A</v>
      </c>
      <c r="AR3025" t="e">
        <v>#N/A</v>
      </c>
      <c r="AS3025" t="e">
        <v>#N/A</v>
      </c>
      <c r="AT3025" t="e">
        <v>#N/A</v>
      </c>
    </row>
    <row r="3026" spans="42:46">
      <c r="AP3026">
        <v>224300</v>
      </c>
      <c r="AQ3026" t="e">
        <v>#N/A</v>
      </c>
      <c r="AR3026" t="e">
        <v>#N/A</v>
      </c>
      <c r="AS3026" t="e">
        <v>#N/A</v>
      </c>
      <c r="AT3026" t="e">
        <v>#N/A</v>
      </c>
    </row>
    <row r="3027" spans="42:46">
      <c r="AP3027">
        <v>224350</v>
      </c>
      <c r="AQ3027" t="e">
        <v>#N/A</v>
      </c>
      <c r="AR3027" t="e">
        <v>#N/A</v>
      </c>
      <c r="AS3027" t="e">
        <v>#N/A</v>
      </c>
      <c r="AT3027" t="e">
        <v>#N/A</v>
      </c>
    </row>
    <row r="3028" spans="42:46">
      <c r="AP3028">
        <v>224400</v>
      </c>
      <c r="AQ3028" t="e">
        <v>#N/A</v>
      </c>
      <c r="AR3028" t="e">
        <v>#N/A</v>
      </c>
      <c r="AS3028" t="e">
        <v>#N/A</v>
      </c>
      <c r="AT3028" t="e">
        <v>#N/A</v>
      </c>
    </row>
    <row r="3029" spans="42:46">
      <c r="AP3029">
        <v>224450</v>
      </c>
      <c r="AQ3029" t="e">
        <v>#N/A</v>
      </c>
      <c r="AR3029" t="e">
        <v>#N/A</v>
      </c>
      <c r="AS3029" t="e">
        <v>#N/A</v>
      </c>
      <c r="AT3029" t="e">
        <v>#N/A</v>
      </c>
    </row>
    <row r="3030" spans="42:46">
      <c r="AP3030">
        <v>224500</v>
      </c>
      <c r="AQ3030" t="e">
        <v>#N/A</v>
      </c>
      <c r="AR3030" t="e">
        <v>#N/A</v>
      </c>
      <c r="AS3030" t="e">
        <v>#N/A</v>
      </c>
      <c r="AT3030" t="e">
        <v>#N/A</v>
      </c>
    </row>
    <row r="3031" spans="42:46">
      <c r="AP3031">
        <v>224550</v>
      </c>
      <c r="AQ3031" t="e">
        <v>#N/A</v>
      </c>
      <c r="AR3031" t="e">
        <v>#N/A</v>
      </c>
      <c r="AS3031" t="e">
        <v>#N/A</v>
      </c>
      <c r="AT3031" t="e">
        <v>#N/A</v>
      </c>
    </row>
    <row r="3032" spans="42:46">
      <c r="AP3032">
        <v>224600</v>
      </c>
      <c r="AQ3032" t="e">
        <v>#N/A</v>
      </c>
      <c r="AR3032" t="e">
        <v>#N/A</v>
      </c>
      <c r="AS3032" t="e">
        <v>#N/A</v>
      </c>
      <c r="AT3032" t="e">
        <v>#N/A</v>
      </c>
    </row>
    <row r="3033" spans="42:46">
      <c r="AP3033">
        <v>224650</v>
      </c>
      <c r="AQ3033" t="e">
        <v>#N/A</v>
      </c>
      <c r="AR3033" t="e">
        <v>#N/A</v>
      </c>
      <c r="AS3033" t="e">
        <v>#N/A</v>
      </c>
      <c r="AT3033" t="e">
        <v>#N/A</v>
      </c>
    </row>
    <row r="3034" spans="42:46">
      <c r="AP3034">
        <v>224700</v>
      </c>
      <c r="AQ3034" t="e">
        <v>#N/A</v>
      </c>
      <c r="AR3034" t="e">
        <v>#N/A</v>
      </c>
      <c r="AS3034" t="e">
        <v>#N/A</v>
      </c>
      <c r="AT3034" t="e">
        <v>#N/A</v>
      </c>
    </row>
    <row r="3035" spans="42:46">
      <c r="AP3035">
        <v>224750</v>
      </c>
      <c r="AQ3035" t="e">
        <v>#N/A</v>
      </c>
      <c r="AR3035" t="e">
        <v>#N/A</v>
      </c>
      <c r="AS3035" t="e">
        <v>#N/A</v>
      </c>
      <c r="AT3035" t="e">
        <v>#N/A</v>
      </c>
    </row>
    <row r="3036" spans="42:46">
      <c r="AP3036">
        <v>224800</v>
      </c>
      <c r="AQ3036" t="e">
        <v>#N/A</v>
      </c>
      <c r="AR3036" t="e">
        <v>#N/A</v>
      </c>
      <c r="AS3036" t="e">
        <v>#N/A</v>
      </c>
      <c r="AT3036" t="e">
        <v>#N/A</v>
      </c>
    </row>
    <row r="3037" spans="42:46">
      <c r="AP3037">
        <v>224850</v>
      </c>
      <c r="AQ3037" t="e">
        <v>#N/A</v>
      </c>
      <c r="AR3037" t="e">
        <v>#N/A</v>
      </c>
      <c r="AS3037" t="e">
        <v>#N/A</v>
      </c>
      <c r="AT3037" t="e">
        <v>#N/A</v>
      </c>
    </row>
    <row r="3038" spans="42:46">
      <c r="AP3038">
        <v>224900</v>
      </c>
      <c r="AQ3038" t="e">
        <v>#N/A</v>
      </c>
      <c r="AR3038" t="e">
        <v>#N/A</v>
      </c>
      <c r="AS3038" t="e">
        <v>#N/A</v>
      </c>
      <c r="AT3038" t="e">
        <v>#N/A</v>
      </c>
    </row>
    <row r="3039" spans="42:46">
      <c r="AP3039">
        <v>224950</v>
      </c>
      <c r="AQ3039" t="e">
        <v>#N/A</v>
      </c>
      <c r="AR3039" t="e">
        <v>#N/A</v>
      </c>
      <c r="AS3039" t="e">
        <v>#N/A</v>
      </c>
      <c r="AT3039" t="e">
        <v>#N/A</v>
      </c>
    </row>
    <row r="3040" spans="42:46">
      <c r="AP3040">
        <v>225000</v>
      </c>
      <c r="AQ3040" t="e">
        <v>#N/A</v>
      </c>
      <c r="AR3040" t="e">
        <v>#N/A</v>
      </c>
      <c r="AS3040" t="e">
        <v>#N/A</v>
      </c>
      <c r="AT3040" t="e">
        <v>#N/A</v>
      </c>
    </row>
    <row r="3041" spans="42:46">
      <c r="AP3041">
        <v>225050</v>
      </c>
      <c r="AQ3041" t="e">
        <v>#N/A</v>
      </c>
      <c r="AR3041" t="e">
        <v>#N/A</v>
      </c>
      <c r="AS3041" t="e">
        <v>#N/A</v>
      </c>
      <c r="AT3041" t="e">
        <v>#N/A</v>
      </c>
    </row>
    <row r="3042" spans="42:46">
      <c r="AP3042">
        <v>225100</v>
      </c>
      <c r="AQ3042" t="e">
        <v>#N/A</v>
      </c>
      <c r="AR3042" t="e">
        <v>#N/A</v>
      </c>
      <c r="AS3042" t="e">
        <v>#N/A</v>
      </c>
      <c r="AT3042" t="e">
        <v>#N/A</v>
      </c>
    </row>
    <row r="3043" spans="42:46">
      <c r="AP3043">
        <v>225150</v>
      </c>
      <c r="AQ3043" t="e">
        <v>#N/A</v>
      </c>
      <c r="AR3043" t="e">
        <v>#N/A</v>
      </c>
      <c r="AS3043" t="e">
        <v>#N/A</v>
      </c>
      <c r="AT3043" t="e">
        <v>#N/A</v>
      </c>
    </row>
    <row r="3044" spans="42:46">
      <c r="AP3044">
        <v>225200</v>
      </c>
      <c r="AQ3044" t="e">
        <v>#N/A</v>
      </c>
      <c r="AR3044" t="e">
        <v>#N/A</v>
      </c>
      <c r="AS3044" t="e">
        <v>#N/A</v>
      </c>
      <c r="AT3044" t="e">
        <v>#N/A</v>
      </c>
    </row>
    <row r="3045" spans="42:46">
      <c r="AP3045">
        <v>225250</v>
      </c>
      <c r="AQ3045" t="e">
        <v>#N/A</v>
      </c>
      <c r="AR3045" t="e">
        <v>#N/A</v>
      </c>
      <c r="AS3045" t="e">
        <v>#N/A</v>
      </c>
      <c r="AT3045" t="e">
        <v>#N/A</v>
      </c>
    </row>
    <row r="3046" spans="42:46">
      <c r="AP3046">
        <v>225300</v>
      </c>
      <c r="AQ3046" t="e">
        <v>#N/A</v>
      </c>
      <c r="AR3046" t="e">
        <v>#N/A</v>
      </c>
      <c r="AS3046" t="e">
        <v>#N/A</v>
      </c>
      <c r="AT3046" t="e">
        <v>#N/A</v>
      </c>
    </row>
    <row r="3047" spans="42:46">
      <c r="AP3047">
        <v>225350</v>
      </c>
      <c r="AQ3047" t="e">
        <v>#N/A</v>
      </c>
      <c r="AR3047" t="e">
        <v>#N/A</v>
      </c>
      <c r="AS3047" t="e">
        <v>#N/A</v>
      </c>
      <c r="AT3047" t="e">
        <v>#N/A</v>
      </c>
    </row>
    <row r="3048" spans="42:46">
      <c r="AP3048">
        <v>225400</v>
      </c>
      <c r="AQ3048" t="e">
        <v>#N/A</v>
      </c>
      <c r="AR3048" t="e">
        <v>#N/A</v>
      </c>
      <c r="AS3048" t="e">
        <v>#N/A</v>
      </c>
      <c r="AT3048" t="e">
        <v>#N/A</v>
      </c>
    </row>
    <row r="3049" spans="42:46">
      <c r="AP3049">
        <v>225450</v>
      </c>
      <c r="AQ3049" t="e">
        <v>#N/A</v>
      </c>
      <c r="AR3049" t="e">
        <v>#N/A</v>
      </c>
      <c r="AS3049" t="e">
        <v>#N/A</v>
      </c>
      <c r="AT3049" t="e">
        <v>#N/A</v>
      </c>
    </row>
    <row r="3050" spans="42:46">
      <c r="AP3050">
        <v>225500</v>
      </c>
      <c r="AQ3050" t="e">
        <v>#N/A</v>
      </c>
      <c r="AR3050" t="e">
        <v>#N/A</v>
      </c>
      <c r="AS3050" t="e">
        <v>#N/A</v>
      </c>
      <c r="AT3050" t="e">
        <v>#N/A</v>
      </c>
    </row>
    <row r="3051" spans="42:46">
      <c r="AP3051">
        <v>225550</v>
      </c>
      <c r="AQ3051" t="e">
        <v>#N/A</v>
      </c>
      <c r="AR3051" t="e">
        <v>#N/A</v>
      </c>
      <c r="AS3051" t="e">
        <v>#N/A</v>
      </c>
      <c r="AT3051" t="e">
        <v>#N/A</v>
      </c>
    </row>
    <row r="3052" spans="42:46">
      <c r="AP3052">
        <v>225600</v>
      </c>
      <c r="AQ3052" t="e">
        <v>#N/A</v>
      </c>
      <c r="AR3052" t="e">
        <v>#N/A</v>
      </c>
      <c r="AS3052" t="e">
        <v>#N/A</v>
      </c>
      <c r="AT3052" t="e">
        <v>#N/A</v>
      </c>
    </row>
    <row r="3053" spans="42:46">
      <c r="AP3053">
        <v>225650</v>
      </c>
      <c r="AQ3053" t="e">
        <v>#N/A</v>
      </c>
      <c r="AR3053" t="e">
        <v>#N/A</v>
      </c>
      <c r="AS3053" t="e">
        <v>#N/A</v>
      </c>
      <c r="AT3053" t="e">
        <v>#N/A</v>
      </c>
    </row>
    <row r="3054" spans="42:46">
      <c r="AP3054">
        <v>225700</v>
      </c>
      <c r="AQ3054" t="e">
        <v>#N/A</v>
      </c>
      <c r="AR3054" t="e">
        <v>#N/A</v>
      </c>
      <c r="AS3054" t="e">
        <v>#N/A</v>
      </c>
      <c r="AT3054" t="e">
        <v>#N/A</v>
      </c>
    </row>
    <row r="3055" spans="42:46">
      <c r="AP3055">
        <v>225750</v>
      </c>
      <c r="AQ3055" t="e">
        <v>#N/A</v>
      </c>
      <c r="AR3055" t="e">
        <v>#N/A</v>
      </c>
      <c r="AS3055" t="e">
        <v>#N/A</v>
      </c>
      <c r="AT3055" t="e">
        <v>#N/A</v>
      </c>
    </row>
    <row r="3056" spans="42:46">
      <c r="AP3056">
        <v>225800</v>
      </c>
      <c r="AQ3056" t="e">
        <v>#N/A</v>
      </c>
      <c r="AR3056" t="e">
        <v>#N/A</v>
      </c>
      <c r="AS3056" t="e">
        <v>#N/A</v>
      </c>
      <c r="AT3056" t="e">
        <v>#N/A</v>
      </c>
    </row>
    <row r="3057" spans="42:46">
      <c r="AP3057">
        <v>225850</v>
      </c>
      <c r="AQ3057" t="e">
        <v>#N/A</v>
      </c>
      <c r="AR3057" t="e">
        <v>#N/A</v>
      </c>
      <c r="AS3057" t="e">
        <v>#N/A</v>
      </c>
      <c r="AT3057" t="e">
        <v>#N/A</v>
      </c>
    </row>
    <row r="3058" spans="42:46">
      <c r="AP3058">
        <v>225900</v>
      </c>
      <c r="AQ3058" t="e">
        <v>#N/A</v>
      </c>
      <c r="AR3058" t="e">
        <v>#N/A</v>
      </c>
      <c r="AS3058" t="e">
        <v>#N/A</v>
      </c>
      <c r="AT3058" t="e">
        <v>#N/A</v>
      </c>
    </row>
    <row r="3059" spans="42:46">
      <c r="AP3059">
        <v>225950</v>
      </c>
      <c r="AQ3059" t="e">
        <v>#N/A</v>
      </c>
      <c r="AR3059" t="e">
        <v>#N/A</v>
      </c>
      <c r="AS3059" t="e">
        <v>#N/A</v>
      </c>
      <c r="AT3059" t="e">
        <v>#N/A</v>
      </c>
    </row>
    <row r="3060" spans="42:46">
      <c r="AP3060">
        <v>226000</v>
      </c>
      <c r="AQ3060" t="e">
        <v>#N/A</v>
      </c>
      <c r="AR3060" t="e">
        <v>#N/A</v>
      </c>
      <c r="AS3060" t="e">
        <v>#N/A</v>
      </c>
      <c r="AT3060" t="e">
        <v>#N/A</v>
      </c>
    </row>
    <row r="3061" spans="42:46">
      <c r="AP3061">
        <v>226050</v>
      </c>
      <c r="AQ3061" t="e">
        <v>#N/A</v>
      </c>
      <c r="AR3061" t="e">
        <v>#N/A</v>
      </c>
      <c r="AS3061" t="e">
        <v>#N/A</v>
      </c>
      <c r="AT3061" t="e">
        <v>#N/A</v>
      </c>
    </row>
    <row r="3062" spans="42:46">
      <c r="AP3062">
        <v>226100</v>
      </c>
      <c r="AQ3062" t="e">
        <v>#N/A</v>
      </c>
      <c r="AR3062" t="e">
        <v>#N/A</v>
      </c>
      <c r="AS3062" t="e">
        <v>#N/A</v>
      </c>
      <c r="AT3062" t="e">
        <v>#N/A</v>
      </c>
    </row>
    <row r="3063" spans="42:46">
      <c r="AP3063">
        <v>226150</v>
      </c>
      <c r="AQ3063" t="e">
        <v>#N/A</v>
      </c>
      <c r="AR3063" t="e">
        <v>#N/A</v>
      </c>
      <c r="AS3063" t="e">
        <v>#N/A</v>
      </c>
      <c r="AT3063" t="e">
        <v>#N/A</v>
      </c>
    </row>
    <row r="3064" spans="42:46">
      <c r="AP3064">
        <v>226200</v>
      </c>
      <c r="AQ3064" t="e">
        <v>#N/A</v>
      </c>
      <c r="AR3064" t="e">
        <v>#N/A</v>
      </c>
      <c r="AS3064" t="e">
        <v>#N/A</v>
      </c>
      <c r="AT3064" t="e">
        <v>#N/A</v>
      </c>
    </row>
    <row r="3065" spans="42:46">
      <c r="AP3065">
        <v>226250</v>
      </c>
      <c r="AQ3065" t="e">
        <v>#N/A</v>
      </c>
      <c r="AR3065" t="e">
        <v>#N/A</v>
      </c>
      <c r="AS3065" t="e">
        <v>#N/A</v>
      </c>
      <c r="AT3065" t="e">
        <v>#N/A</v>
      </c>
    </row>
    <row r="3066" spans="42:46">
      <c r="AP3066">
        <v>226300</v>
      </c>
      <c r="AQ3066" t="e">
        <v>#N/A</v>
      </c>
      <c r="AR3066" t="e">
        <v>#N/A</v>
      </c>
      <c r="AS3066" t="e">
        <v>#N/A</v>
      </c>
      <c r="AT3066" t="e">
        <v>#N/A</v>
      </c>
    </row>
    <row r="3067" spans="42:46">
      <c r="AP3067">
        <v>226350</v>
      </c>
      <c r="AQ3067" t="e">
        <v>#N/A</v>
      </c>
      <c r="AR3067" t="e">
        <v>#N/A</v>
      </c>
      <c r="AS3067" t="e">
        <v>#N/A</v>
      </c>
      <c r="AT3067" t="e">
        <v>#N/A</v>
      </c>
    </row>
    <row r="3068" spans="42:46">
      <c r="AP3068">
        <v>226400</v>
      </c>
      <c r="AQ3068" t="e">
        <v>#N/A</v>
      </c>
      <c r="AR3068" t="e">
        <v>#N/A</v>
      </c>
      <c r="AS3068" t="e">
        <v>#N/A</v>
      </c>
      <c r="AT3068" t="e">
        <v>#N/A</v>
      </c>
    </row>
    <row r="3069" spans="42:46">
      <c r="AP3069">
        <v>226450</v>
      </c>
      <c r="AQ3069" t="e">
        <v>#N/A</v>
      </c>
      <c r="AR3069" t="e">
        <v>#N/A</v>
      </c>
      <c r="AS3069" t="e">
        <v>#N/A</v>
      </c>
      <c r="AT3069" t="e">
        <v>#N/A</v>
      </c>
    </row>
    <row r="3070" spans="42:46">
      <c r="AP3070">
        <v>226500</v>
      </c>
      <c r="AQ3070" t="e">
        <v>#N/A</v>
      </c>
      <c r="AR3070" t="e">
        <v>#N/A</v>
      </c>
      <c r="AS3070" t="e">
        <v>#N/A</v>
      </c>
      <c r="AT3070" t="e">
        <v>#N/A</v>
      </c>
    </row>
    <row r="3071" spans="42:46">
      <c r="AP3071">
        <v>226550</v>
      </c>
      <c r="AQ3071" t="e">
        <v>#N/A</v>
      </c>
      <c r="AR3071" t="e">
        <v>#N/A</v>
      </c>
      <c r="AS3071" t="e">
        <v>#N/A</v>
      </c>
      <c r="AT3071" t="e">
        <v>#N/A</v>
      </c>
    </row>
    <row r="3072" spans="42:46">
      <c r="AP3072">
        <v>226600</v>
      </c>
      <c r="AQ3072" t="e">
        <v>#N/A</v>
      </c>
      <c r="AR3072" t="e">
        <v>#N/A</v>
      </c>
      <c r="AS3072" t="e">
        <v>#N/A</v>
      </c>
      <c r="AT3072" t="e">
        <v>#N/A</v>
      </c>
    </row>
    <row r="3073" spans="42:46">
      <c r="AP3073">
        <v>226650</v>
      </c>
      <c r="AQ3073" t="e">
        <v>#N/A</v>
      </c>
      <c r="AR3073" t="e">
        <v>#N/A</v>
      </c>
      <c r="AS3073" t="e">
        <v>#N/A</v>
      </c>
      <c r="AT3073" t="e">
        <v>#N/A</v>
      </c>
    </row>
    <row r="3074" spans="42:46">
      <c r="AP3074">
        <v>226700</v>
      </c>
      <c r="AQ3074" t="e">
        <v>#N/A</v>
      </c>
      <c r="AR3074" t="e">
        <v>#N/A</v>
      </c>
      <c r="AS3074" t="e">
        <v>#N/A</v>
      </c>
      <c r="AT3074" t="e">
        <v>#N/A</v>
      </c>
    </row>
    <row r="3075" spans="42:46">
      <c r="AP3075">
        <v>226750</v>
      </c>
      <c r="AQ3075" t="e">
        <v>#N/A</v>
      </c>
      <c r="AR3075" t="e">
        <v>#N/A</v>
      </c>
      <c r="AS3075" t="e">
        <v>#N/A</v>
      </c>
      <c r="AT3075" t="e">
        <v>#N/A</v>
      </c>
    </row>
    <row r="3076" spans="42:46">
      <c r="AP3076">
        <v>226800</v>
      </c>
      <c r="AQ3076" t="e">
        <v>#N/A</v>
      </c>
      <c r="AR3076" t="e">
        <v>#N/A</v>
      </c>
      <c r="AS3076" t="e">
        <v>#N/A</v>
      </c>
      <c r="AT3076" t="e">
        <v>#N/A</v>
      </c>
    </row>
    <row r="3077" spans="42:46">
      <c r="AP3077">
        <v>226850</v>
      </c>
      <c r="AQ3077" t="e">
        <v>#N/A</v>
      </c>
      <c r="AR3077" t="e">
        <v>#N/A</v>
      </c>
      <c r="AS3077" t="e">
        <v>#N/A</v>
      </c>
      <c r="AT3077" t="e">
        <v>#N/A</v>
      </c>
    </row>
    <row r="3078" spans="42:46">
      <c r="AP3078">
        <v>226900</v>
      </c>
      <c r="AQ3078" t="e">
        <v>#N/A</v>
      </c>
      <c r="AR3078" t="e">
        <v>#N/A</v>
      </c>
      <c r="AS3078" t="e">
        <v>#N/A</v>
      </c>
      <c r="AT3078" t="e">
        <v>#N/A</v>
      </c>
    </row>
    <row r="3079" spans="42:46">
      <c r="AP3079">
        <v>226950</v>
      </c>
      <c r="AQ3079" t="e">
        <v>#N/A</v>
      </c>
      <c r="AR3079" t="e">
        <v>#N/A</v>
      </c>
      <c r="AS3079" t="e">
        <v>#N/A</v>
      </c>
      <c r="AT3079" t="e">
        <v>#N/A</v>
      </c>
    </row>
    <row r="3080" spans="42:46">
      <c r="AP3080">
        <v>227000</v>
      </c>
      <c r="AQ3080" t="e">
        <v>#N/A</v>
      </c>
      <c r="AR3080" t="e">
        <v>#N/A</v>
      </c>
      <c r="AS3080" t="e">
        <v>#N/A</v>
      </c>
      <c r="AT3080" t="e">
        <v>#N/A</v>
      </c>
    </row>
    <row r="3081" spans="42:46">
      <c r="AP3081">
        <v>227050</v>
      </c>
      <c r="AQ3081" t="e">
        <v>#N/A</v>
      </c>
      <c r="AR3081" t="e">
        <v>#N/A</v>
      </c>
      <c r="AS3081" t="e">
        <v>#N/A</v>
      </c>
      <c r="AT3081" t="e">
        <v>#N/A</v>
      </c>
    </row>
    <row r="3082" spans="42:46">
      <c r="AP3082">
        <v>227100</v>
      </c>
      <c r="AQ3082" t="e">
        <v>#N/A</v>
      </c>
      <c r="AR3082" t="e">
        <v>#N/A</v>
      </c>
      <c r="AS3082" t="e">
        <v>#N/A</v>
      </c>
      <c r="AT3082" t="e">
        <v>#N/A</v>
      </c>
    </row>
    <row r="3083" spans="42:46">
      <c r="AP3083">
        <v>227150</v>
      </c>
      <c r="AQ3083" t="e">
        <v>#N/A</v>
      </c>
      <c r="AR3083" t="e">
        <v>#N/A</v>
      </c>
      <c r="AS3083" t="e">
        <v>#N/A</v>
      </c>
      <c r="AT3083" t="e">
        <v>#N/A</v>
      </c>
    </row>
    <row r="3084" spans="42:46">
      <c r="AP3084">
        <v>227200</v>
      </c>
      <c r="AQ3084" t="e">
        <v>#N/A</v>
      </c>
      <c r="AR3084" t="e">
        <v>#N/A</v>
      </c>
      <c r="AS3084" t="e">
        <v>#N/A</v>
      </c>
      <c r="AT3084" t="e">
        <v>#N/A</v>
      </c>
    </row>
    <row r="3085" spans="42:46">
      <c r="AP3085">
        <v>227250</v>
      </c>
      <c r="AQ3085" t="e">
        <v>#N/A</v>
      </c>
      <c r="AR3085" t="e">
        <v>#N/A</v>
      </c>
      <c r="AS3085" t="e">
        <v>#N/A</v>
      </c>
      <c r="AT3085" t="e">
        <v>#N/A</v>
      </c>
    </row>
    <row r="3086" spans="42:46">
      <c r="AP3086">
        <v>227300</v>
      </c>
      <c r="AQ3086" t="e">
        <v>#N/A</v>
      </c>
      <c r="AR3086" t="e">
        <v>#N/A</v>
      </c>
      <c r="AS3086" t="e">
        <v>#N/A</v>
      </c>
      <c r="AT3086" t="e">
        <v>#N/A</v>
      </c>
    </row>
    <row r="3087" spans="42:46">
      <c r="AP3087">
        <v>227350</v>
      </c>
      <c r="AQ3087" t="e">
        <v>#N/A</v>
      </c>
      <c r="AR3087" t="e">
        <v>#N/A</v>
      </c>
      <c r="AS3087" t="e">
        <v>#N/A</v>
      </c>
      <c r="AT3087" t="e">
        <v>#N/A</v>
      </c>
    </row>
    <row r="3088" spans="42:46">
      <c r="AP3088">
        <v>227400</v>
      </c>
      <c r="AQ3088" t="e">
        <v>#N/A</v>
      </c>
      <c r="AR3088" t="e">
        <v>#N/A</v>
      </c>
      <c r="AS3088" t="e">
        <v>#N/A</v>
      </c>
      <c r="AT3088" t="e">
        <v>#N/A</v>
      </c>
    </row>
    <row r="3089" spans="42:46">
      <c r="AP3089">
        <v>227450</v>
      </c>
      <c r="AQ3089" t="e">
        <v>#N/A</v>
      </c>
      <c r="AR3089" t="e">
        <v>#N/A</v>
      </c>
      <c r="AS3089" t="e">
        <v>#N/A</v>
      </c>
      <c r="AT3089" t="e">
        <v>#N/A</v>
      </c>
    </row>
    <row r="3090" spans="42:46">
      <c r="AP3090">
        <v>227500</v>
      </c>
      <c r="AQ3090" t="e">
        <v>#N/A</v>
      </c>
      <c r="AR3090" t="e">
        <v>#N/A</v>
      </c>
      <c r="AS3090" t="e">
        <v>#N/A</v>
      </c>
      <c r="AT3090" t="e">
        <v>#N/A</v>
      </c>
    </row>
    <row r="3091" spans="42:46">
      <c r="AP3091">
        <v>227550</v>
      </c>
      <c r="AQ3091" t="e">
        <v>#N/A</v>
      </c>
      <c r="AR3091" t="e">
        <v>#N/A</v>
      </c>
      <c r="AS3091" t="e">
        <v>#N/A</v>
      </c>
      <c r="AT3091" t="e">
        <v>#N/A</v>
      </c>
    </row>
    <row r="3092" spans="42:46">
      <c r="AP3092">
        <v>227600</v>
      </c>
      <c r="AQ3092" t="e">
        <v>#N/A</v>
      </c>
      <c r="AR3092" t="e">
        <v>#N/A</v>
      </c>
      <c r="AS3092" t="e">
        <v>#N/A</v>
      </c>
      <c r="AT3092" t="e">
        <v>#N/A</v>
      </c>
    </row>
    <row r="3093" spans="42:46">
      <c r="AP3093">
        <v>227650</v>
      </c>
      <c r="AQ3093" t="e">
        <v>#N/A</v>
      </c>
      <c r="AR3093" t="e">
        <v>#N/A</v>
      </c>
      <c r="AS3093" t="e">
        <v>#N/A</v>
      </c>
      <c r="AT3093" t="e">
        <v>#N/A</v>
      </c>
    </row>
    <row r="3094" spans="42:46">
      <c r="AP3094">
        <v>227700</v>
      </c>
      <c r="AQ3094" t="e">
        <v>#N/A</v>
      </c>
      <c r="AR3094" t="e">
        <v>#N/A</v>
      </c>
      <c r="AS3094" t="e">
        <v>#N/A</v>
      </c>
      <c r="AT3094" t="e">
        <v>#N/A</v>
      </c>
    </row>
    <row r="3095" spans="42:46">
      <c r="AP3095">
        <v>227750</v>
      </c>
      <c r="AQ3095" t="e">
        <v>#N/A</v>
      </c>
      <c r="AR3095" t="e">
        <v>#N/A</v>
      </c>
      <c r="AS3095" t="e">
        <v>#N/A</v>
      </c>
      <c r="AT3095" t="e">
        <v>#N/A</v>
      </c>
    </row>
    <row r="3096" spans="42:46">
      <c r="AP3096">
        <v>227800</v>
      </c>
      <c r="AQ3096" t="e">
        <v>#N/A</v>
      </c>
      <c r="AR3096" t="e">
        <v>#N/A</v>
      </c>
      <c r="AS3096" t="e">
        <v>#N/A</v>
      </c>
      <c r="AT3096" t="e">
        <v>#N/A</v>
      </c>
    </row>
    <row r="3097" spans="42:46">
      <c r="AP3097">
        <v>227850</v>
      </c>
      <c r="AQ3097" t="e">
        <v>#N/A</v>
      </c>
      <c r="AR3097" t="e">
        <v>#N/A</v>
      </c>
      <c r="AS3097" t="e">
        <v>#N/A</v>
      </c>
      <c r="AT3097" t="e">
        <v>#N/A</v>
      </c>
    </row>
    <row r="3098" spans="42:46">
      <c r="AP3098">
        <v>227900</v>
      </c>
      <c r="AQ3098" t="e">
        <v>#N/A</v>
      </c>
      <c r="AR3098" t="e">
        <v>#N/A</v>
      </c>
      <c r="AS3098" t="e">
        <v>#N/A</v>
      </c>
      <c r="AT3098" t="e">
        <v>#N/A</v>
      </c>
    </row>
    <row r="3099" spans="42:46">
      <c r="AP3099">
        <v>227950</v>
      </c>
      <c r="AQ3099" t="e">
        <v>#N/A</v>
      </c>
      <c r="AR3099" t="e">
        <v>#N/A</v>
      </c>
      <c r="AS3099" t="e">
        <v>#N/A</v>
      </c>
      <c r="AT3099" t="e">
        <v>#N/A</v>
      </c>
    </row>
    <row r="3100" spans="42:46">
      <c r="AP3100">
        <v>228000</v>
      </c>
      <c r="AQ3100" t="e">
        <v>#N/A</v>
      </c>
      <c r="AR3100" t="e">
        <v>#N/A</v>
      </c>
      <c r="AS3100" t="e">
        <v>#N/A</v>
      </c>
      <c r="AT3100" t="e">
        <v>#N/A</v>
      </c>
    </row>
    <row r="3101" spans="42:46">
      <c r="AP3101">
        <v>228050</v>
      </c>
      <c r="AQ3101" t="e">
        <v>#N/A</v>
      </c>
      <c r="AR3101" t="e">
        <v>#N/A</v>
      </c>
      <c r="AS3101" t="e">
        <v>#N/A</v>
      </c>
      <c r="AT3101" t="e">
        <v>#N/A</v>
      </c>
    </row>
    <row r="3102" spans="42:46">
      <c r="AP3102">
        <v>228100</v>
      </c>
      <c r="AQ3102" t="e">
        <v>#N/A</v>
      </c>
      <c r="AR3102" t="e">
        <v>#N/A</v>
      </c>
      <c r="AS3102" t="e">
        <v>#N/A</v>
      </c>
      <c r="AT3102" t="e">
        <v>#N/A</v>
      </c>
    </row>
    <row r="3103" spans="42:46">
      <c r="AP3103">
        <v>228150</v>
      </c>
      <c r="AQ3103" t="e">
        <v>#N/A</v>
      </c>
      <c r="AR3103" t="e">
        <v>#N/A</v>
      </c>
      <c r="AS3103" t="e">
        <v>#N/A</v>
      </c>
      <c r="AT3103" t="e">
        <v>#N/A</v>
      </c>
    </row>
    <row r="3104" spans="42:46">
      <c r="AP3104">
        <v>228200</v>
      </c>
      <c r="AQ3104" t="e">
        <v>#N/A</v>
      </c>
      <c r="AR3104" t="e">
        <v>#N/A</v>
      </c>
      <c r="AS3104" t="e">
        <v>#N/A</v>
      </c>
      <c r="AT3104" t="e">
        <v>#N/A</v>
      </c>
    </row>
    <row r="3105" spans="42:46">
      <c r="AP3105">
        <v>228250</v>
      </c>
      <c r="AQ3105" t="e">
        <v>#N/A</v>
      </c>
      <c r="AR3105" t="e">
        <v>#N/A</v>
      </c>
      <c r="AS3105" t="e">
        <v>#N/A</v>
      </c>
      <c r="AT3105" t="e">
        <v>#N/A</v>
      </c>
    </row>
    <row r="3106" spans="42:46">
      <c r="AP3106">
        <v>228300</v>
      </c>
      <c r="AQ3106" t="e">
        <v>#N/A</v>
      </c>
      <c r="AR3106" t="e">
        <v>#N/A</v>
      </c>
      <c r="AS3106" t="e">
        <v>#N/A</v>
      </c>
      <c r="AT3106" t="e">
        <v>#N/A</v>
      </c>
    </row>
    <row r="3107" spans="42:46">
      <c r="AP3107">
        <v>228350</v>
      </c>
      <c r="AQ3107" t="e">
        <v>#N/A</v>
      </c>
      <c r="AR3107" t="e">
        <v>#N/A</v>
      </c>
      <c r="AS3107" t="e">
        <v>#N/A</v>
      </c>
      <c r="AT3107" t="e">
        <v>#N/A</v>
      </c>
    </row>
    <row r="3108" spans="42:46">
      <c r="AP3108">
        <v>228400</v>
      </c>
      <c r="AQ3108" t="e">
        <v>#N/A</v>
      </c>
      <c r="AR3108" t="e">
        <v>#N/A</v>
      </c>
      <c r="AS3108" t="e">
        <v>#N/A</v>
      </c>
      <c r="AT3108" t="e">
        <v>#N/A</v>
      </c>
    </row>
    <row r="3109" spans="42:46">
      <c r="AP3109">
        <v>228450</v>
      </c>
      <c r="AQ3109" t="e">
        <v>#N/A</v>
      </c>
      <c r="AR3109" t="e">
        <v>#N/A</v>
      </c>
      <c r="AS3109" t="e">
        <v>#N/A</v>
      </c>
      <c r="AT3109" t="e">
        <v>#N/A</v>
      </c>
    </row>
    <row r="3110" spans="42:46">
      <c r="AP3110">
        <v>228500</v>
      </c>
      <c r="AQ3110" t="e">
        <v>#N/A</v>
      </c>
      <c r="AR3110" t="e">
        <v>#N/A</v>
      </c>
      <c r="AS3110" t="e">
        <v>#N/A</v>
      </c>
      <c r="AT3110" t="e">
        <v>#N/A</v>
      </c>
    </row>
    <row r="3111" spans="42:46">
      <c r="AP3111">
        <v>228550</v>
      </c>
      <c r="AQ3111" t="e">
        <v>#N/A</v>
      </c>
      <c r="AR3111" t="e">
        <v>#N/A</v>
      </c>
      <c r="AS3111" t="e">
        <v>#N/A</v>
      </c>
      <c r="AT3111" t="e">
        <v>#N/A</v>
      </c>
    </row>
    <row r="3112" spans="42:46">
      <c r="AP3112">
        <v>228600</v>
      </c>
      <c r="AQ3112" t="e">
        <v>#N/A</v>
      </c>
      <c r="AR3112" t="e">
        <v>#N/A</v>
      </c>
      <c r="AS3112" t="e">
        <v>#N/A</v>
      </c>
      <c r="AT3112" t="e">
        <v>#N/A</v>
      </c>
    </row>
    <row r="3113" spans="42:46">
      <c r="AP3113">
        <v>228650</v>
      </c>
      <c r="AQ3113" t="e">
        <v>#N/A</v>
      </c>
      <c r="AR3113" t="e">
        <v>#N/A</v>
      </c>
      <c r="AS3113" t="e">
        <v>#N/A</v>
      </c>
      <c r="AT3113" t="e">
        <v>#N/A</v>
      </c>
    </row>
    <row r="3114" spans="42:46">
      <c r="AP3114">
        <v>228700</v>
      </c>
      <c r="AQ3114" t="e">
        <v>#N/A</v>
      </c>
      <c r="AR3114" t="e">
        <v>#N/A</v>
      </c>
      <c r="AS3114" t="e">
        <v>#N/A</v>
      </c>
      <c r="AT3114" t="e">
        <v>#N/A</v>
      </c>
    </row>
    <row r="3115" spans="42:46">
      <c r="AP3115">
        <v>228750</v>
      </c>
      <c r="AQ3115" t="e">
        <v>#N/A</v>
      </c>
      <c r="AR3115" t="e">
        <v>#N/A</v>
      </c>
      <c r="AS3115" t="e">
        <v>#N/A</v>
      </c>
      <c r="AT3115" t="e">
        <v>#N/A</v>
      </c>
    </row>
    <row r="3116" spans="42:46">
      <c r="AP3116">
        <v>228800</v>
      </c>
      <c r="AQ3116" t="e">
        <v>#N/A</v>
      </c>
      <c r="AR3116" t="e">
        <v>#N/A</v>
      </c>
      <c r="AS3116" t="e">
        <v>#N/A</v>
      </c>
      <c r="AT3116" t="e">
        <v>#N/A</v>
      </c>
    </row>
    <row r="3117" spans="42:46">
      <c r="AP3117">
        <v>228850</v>
      </c>
      <c r="AQ3117" t="e">
        <v>#N/A</v>
      </c>
      <c r="AR3117" t="e">
        <v>#N/A</v>
      </c>
      <c r="AS3117" t="e">
        <v>#N/A</v>
      </c>
      <c r="AT3117" t="e">
        <v>#N/A</v>
      </c>
    </row>
    <row r="3118" spans="42:46">
      <c r="AP3118">
        <v>228900</v>
      </c>
      <c r="AQ3118" t="e">
        <v>#N/A</v>
      </c>
      <c r="AR3118" t="e">
        <v>#N/A</v>
      </c>
      <c r="AS3118" t="e">
        <v>#N/A</v>
      </c>
      <c r="AT3118" t="e">
        <v>#N/A</v>
      </c>
    </row>
    <row r="3119" spans="42:46">
      <c r="AP3119">
        <v>228950</v>
      </c>
      <c r="AQ3119" t="e">
        <v>#N/A</v>
      </c>
      <c r="AR3119" t="e">
        <v>#N/A</v>
      </c>
      <c r="AS3119" t="e">
        <v>#N/A</v>
      </c>
      <c r="AT3119" t="e">
        <v>#N/A</v>
      </c>
    </row>
    <row r="3120" spans="42:46">
      <c r="AP3120">
        <v>229000</v>
      </c>
      <c r="AQ3120" t="e">
        <v>#N/A</v>
      </c>
      <c r="AR3120" t="e">
        <v>#N/A</v>
      </c>
      <c r="AS3120" t="e">
        <v>#N/A</v>
      </c>
      <c r="AT3120" t="e">
        <v>#N/A</v>
      </c>
    </row>
    <row r="3121" spans="42:46">
      <c r="AP3121">
        <v>229050</v>
      </c>
      <c r="AQ3121" t="e">
        <v>#N/A</v>
      </c>
      <c r="AR3121" t="e">
        <v>#N/A</v>
      </c>
      <c r="AS3121" t="e">
        <v>#N/A</v>
      </c>
      <c r="AT3121" t="e">
        <v>#N/A</v>
      </c>
    </row>
    <row r="3122" spans="42:46">
      <c r="AP3122">
        <v>229100</v>
      </c>
      <c r="AQ3122" t="e">
        <v>#N/A</v>
      </c>
      <c r="AR3122" t="e">
        <v>#N/A</v>
      </c>
      <c r="AS3122" t="e">
        <v>#N/A</v>
      </c>
      <c r="AT3122" t="e">
        <v>#N/A</v>
      </c>
    </row>
    <row r="3123" spans="42:46">
      <c r="AP3123">
        <v>229150</v>
      </c>
      <c r="AQ3123" t="e">
        <v>#N/A</v>
      </c>
      <c r="AR3123" t="e">
        <v>#N/A</v>
      </c>
      <c r="AS3123" t="e">
        <v>#N/A</v>
      </c>
      <c r="AT3123" t="e">
        <v>#N/A</v>
      </c>
    </row>
    <row r="3124" spans="42:46">
      <c r="AP3124">
        <v>229200</v>
      </c>
      <c r="AQ3124" t="e">
        <v>#N/A</v>
      </c>
      <c r="AR3124" t="e">
        <v>#N/A</v>
      </c>
      <c r="AS3124" t="e">
        <v>#N/A</v>
      </c>
      <c r="AT3124" t="e">
        <v>#N/A</v>
      </c>
    </row>
    <row r="3125" spans="42:46">
      <c r="AP3125">
        <v>229250</v>
      </c>
      <c r="AQ3125" t="e">
        <v>#N/A</v>
      </c>
      <c r="AR3125" t="e">
        <v>#N/A</v>
      </c>
      <c r="AS3125" t="e">
        <v>#N/A</v>
      </c>
      <c r="AT3125" t="e">
        <v>#N/A</v>
      </c>
    </row>
    <row r="3126" spans="42:46">
      <c r="AP3126">
        <v>229300</v>
      </c>
      <c r="AQ3126" t="e">
        <v>#N/A</v>
      </c>
      <c r="AR3126" t="e">
        <v>#N/A</v>
      </c>
      <c r="AS3126" t="e">
        <v>#N/A</v>
      </c>
      <c r="AT3126" t="e">
        <v>#N/A</v>
      </c>
    </row>
    <row r="3127" spans="42:46">
      <c r="AP3127">
        <v>229350</v>
      </c>
      <c r="AQ3127" t="e">
        <v>#N/A</v>
      </c>
      <c r="AR3127" t="e">
        <v>#N/A</v>
      </c>
      <c r="AS3127" t="e">
        <v>#N/A</v>
      </c>
      <c r="AT3127" t="e">
        <v>#N/A</v>
      </c>
    </row>
    <row r="3128" spans="42:46">
      <c r="AP3128">
        <v>229400</v>
      </c>
      <c r="AQ3128" t="e">
        <v>#N/A</v>
      </c>
      <c r="AR3128" t="e">
        <v>#N/A</v>
      </c>
      <c r="AS3128" t="e">
        <v>#N/A</v>
      </c>
      <c r="AT3128" t="e">
        <v>#N/A</v>
      </c>
    </row>
    <row r="3129" spans="42:46">
      <c r="AP3129">
        <v>229450</v>
      </c>
      <c r="AQ3129" t="e">
        <v>#N/A</v>
      </c>
      <c r="AR3129" t="e">
        <v>#N/A</v>
      </c>
      <c r="AS3129" t="e">
        <v>#N/A</v>
      </c>
      <c r="AT3129" t="e">
        <v>#N/A</v>
      </c>
    </row>
    <row r="3130" spans="42:46">
      <c r="AP3130">
        <v>229500</v>
      </c>
      <c r="AQ3130" t="e">
        <v>#N/A</v>
      </c>
      <c r="AR3130" t="e">
        <v>#N/A</v>
      </c>
      <c r="AS3130" t="e">
        <v>#N/A</v>
      </c>
      <c r="AT3130" t="e">
        <v>#N/A</v>
      </c>
    </row>
    <row r="3131" spans="42:46">
      <c r="AP3131">
        <v>229550</v>
      </c>
      <c r="AQ3131" t="e">
        <v>#N/A</v>
      </c>
      <c r="AR3131" t="e">
        <v>#N/A</v>
      </c>
      <c r="AS3131" t="e">
        <v>#N/A</v>
      </c>
      <c r="AT3131" t="e">
        <v>#N/A</v>
      </c>
    </row>
    <row r="3132" spans="42:46">
      <c r="AP3132">
        <v>229600</v>
      </c>
      <c r="AQ3132" t="e">
        <v>#N/A</v>
      </c>
      <c r="AR3132" t="e">
        <v>#N/A</v>
      </c>
      <c r="AS3132" t="e">
        <v>#N/A</v>
      </c>
      <c r="AT3132" t="e">
        <v>#N/A</v>
      </c>
    </row>
    <row r="3133" spans="42:46">
      <c r="AP3133">
        <v>229650</v>
      </c>
      <c r="AQ3133" t="e">
        <v>#N/A</v>
      </c>
      <c r="AR3133" t="e">
        <v>#N/A</v>
      </c>
      <c r="AS3133" t="e">
        <v>#N/A</v>
      </c>
      <c r="AT3133" t="e">
        <v>#N/A</v>
      </c>
    </row>
    <row r="3134" spans="42:46">
      <c r="AP3134">
        <v>229700</v>
      </c>
      <c r="AQ3134" t="e">
        <v>#N/A</v>
      </c>
      <c r="AR3134" t="e">
        <v>#N/A</v>
      </c>
      <c r="AS3134" t="e">
        <v>#N/A</v>
      </c>
      <c r="AT3134" t="e">
        <v>#N/A</v>
      </c>
    </row>
    <row r="3135" spans="42:46">
      <c r="AP3135">
        <v>229750</v>
      </c>
      <c r="AQ3135" t="e">
        <v>#N/A</v>
      </c>
      <c r="AR3135" t="e">
        <v>#N/A</v>
      </c>
      <c r="AS3135" t="e">
        <v>#N/A</v>
      </c>
      <c r="AT3135" t="e">
        <v>#N/A</v>
      </c>
    </row>
    <row r="3136" spans="42:46">
      <c r="AP3136">
        <v>229800</v>
      </c>
      <c r="AQ3136" t="e">
        <v>#N/A</v>
      </c>
      <c r="AR3136" t="e">
        <v>#N/A</v>
      </c>
      <c r="AS3136" t="e">
        <v>#N/A</v>
      </c>
      <c r="AT3136" t="e">
        <v>#N/A</v>
      </c>
    </row>
    <row r="3137" spans="42:46">
      <c r="AP3137">
        <v>229850</v>
      </c>
      <c r="AQ3137" t="e">
        <v>#N/A</v>
      </c>
      <c r="AR3137" t="e">
        <v>#N/A</v>
      </c>
      <c r="AS3137" t="e">
        <v>#N/A</v>
      </c>
      <c r="AT3137" t="e">
        <v>#N/A</v>
      </c>
    </row>
    <row r="3138" spans="42:46">
      <c r="AP3138">
        <v>229900</v>
      </c>
      <c r="AQ3138" t="e">
        <v>#N/A</v>
      </c>
      <c r="AR3138" t="e">
        <v>#N/A</v>
      </c>
      <c r="AS3138" t="e">
        <v>#N/A</v>
      </c>
      <c r="AT3138" t="e">
        <v>#N/A</v>
      </c>
    </row>
    <row r="3139" spans="42:46">
      <c r="AP3139">
        <v>229950</v>
      </c>
      <c r="AQ3139" t="e">
        <v>#N/A</v>
      </c>
      <c r="AR3139" t="e">
        <v>#N/A</v>
      </c>
      <c r="AS3139" t="e">
        <v>#N/A</v>
      </c>
      <c r="AT3139" t="e">
        <v>#N/A</v>
      </c>
    </row>
    <row r="3140" spans="42:46">
      <c r="AP3140">
        <v>230000</v>
      </c>
      <c r="AQ3140" t="e">
        <v>#N/A</v>
      </c>
      <c r="AR3140" t="e">
        <v>#N/A</v>
      </c>
      <c r="AS3140" t="e">
        <v>#N/A</v>
      </c>
      <c r="AT3140" t="e">
        <v>#N/A</v>
      </c>
    </row>
    <row r="3141" spans="42:46">
      <c r="AP3141">
        <v>230050</v>
      </c>
      <c r="AQ3141" t="e">
        <v>#N/A</v>
      </c>
      <c r="AR3141" t="e">
        <v>#N/A</v>
      </c>
      <c r="AS3141" t="e">
        <v>#N/A</v>
      </c>
      <c r="AT3141" t="e">
        <v>#N/A</v>
      </c>
    </row>
    <row r="3142" spans="42:46">
      <c r="AP3142">
        <v>230100</v>
      </c>
      <c r="AQ3142" t="e">
        <v>#N/A</v>
      </c>
      <c r="AR3142" t="e">
        <v>#N/A</v>
      </c>
      <c r="AS3142" t="e">
        <v>#N/A</v>
      </c>
      <c r="AT3142" t="e">
        <v>#N/A</v>
      </c>
    </row>
    <row r="3143" spans="42:46">
      <c r="AP3143">
        <v>230150</v>
      </c>
      <c r="AQ3143" t="e">
        <v>#N/A</v>
      </c>
      <c r="AR3143" t="e">
        <v>#N/A</v>
      </c>
      <c r="AS3143" t="e">
        <v>#N/A</v>
      </c>
      <c r="AT3143" t="e">
        <v>#N/A</v>
      </c>
    </row>
    <row r="3144" spans="42:46">
      <c r="AP3144">
        <v>230200</v>
      </c>
      <c r="AQ3144" t="e">
        <v>#N/A</v>
      </c>
      <c r="AR3144" t="e">
        <v>#N/A</v>
      </c>
      <c r="AS3144" t="e">
        <v>#N/A</v>
      </c>
      <c r="AT3144" t="e">
        <v>#N/A</v>
      </c>
    </row>
    <row r="3145" spans="42:46">
      <c r="AP3145">
        <v>230250</v>
      </c>
      <c r="AQ3145" t="e">
        <v>#N/A</v>
      </c>
      <c r="AR3145" t="e">
        <v>#N/A</v>
      </c>
      <c r="AS3145" t="e">
        <v>#N/A</v>
      </c>
      <c r="AT3145" t="e">
        <v>#N/A</v>
      </c>
    </row>
    <row r="3146" spans="42:46">
      <c r="AP3146">
        <v>230300</v>
      </c>
      <c r="AQ3146" t="e">
        <v>#N/A</v>
      </c>
      <c r="AR3146" t="e">
        <v>#N/A</v>
      </c>
      <c r="AS3146" t="e">
        <v>#N/A</v>
      </c>
      <c r="AT3146" t="e">
        <v>#N/A</v>
      </c>
    </row>
    <row r="3147" spans="42:46">
      <c r="AP3147">
        <v>230350</v>
      </c>
      <c r="AQ3147" t="e">
        <v>#N/A</v>
      </c>
      <c r="AR3147" t="e">
        <v>#N/A</v>
      </c>
      <c r="AS3147" t="e">
        <v>#N/A</v>
      </c>
      <c r="AT3147" t="e">
        <v>#N/A</v>
      </c>
    </row>
    <row r="3148" spans="42:46">
      <c r="AP3148">
        <v>230400</v>
      </c>
      <c r="AQ3148" t="e">
        <v>#N/A</v>
      </c>
      <c r="AR3148" t="e">
        <v>#N/A</v>
      </c>
      <c r="AS3148" t="e">
        <v>#N/A</v>
      </c>
      <c r="AT3148" t="e">
        <v>#N/A</v>
      </c>
    </row>
    <row r="3149" spans="42:46">
      <c r="AP3149">
        <v>230450</v>
      </c>
      <c r="AQ3149" t="e">
        <v>#N/A</v>
      </c>
      <c r="AR3149" t="e">
        <v>#N/A</v>
      </c>
      <c r="AS3149" t="e">
        <v>#N/A</v>
      </c>
      <c r="AT3149" t="e">
        <v>#N/A</v>
      </c>
    </row>
    <row r="3150" spans="42:46">
      <c r="AP3150">
        <v>230500</v>
      </c>
      <c r="AQ3150" t="e">
        <v>#N/A</v>
      </c>
      <c r="AR3150" t="e">
        <v>#N/A</v>
      </c>
      <c r="AS3150" t="e">
        <v>#N/A</v>
      </c>
      <c r="AT3150" t="e">
        <v>#N/A</v>
      </c>
    </row>
    <row r="3151" spans="42:46">
      <c r="AP3151">
        <v>230550</v>
      </c>
      <c r="AQ3151" t="e">
        <v>#N/A</v>
      </c>
      <c r="AR3151" t="e">
        <v>#N/A</v>
      </c>
      <c r="AS3151" t="e">
        <v>#N/A</v>
      </c>
      <c r="AT3151" t="e">
        <v>#N/A</v>
      </c>
    </row>
    <row r="3152" spans="42:46">
      <c r="AP3152">
        <v>230600</v>
      </c>
      <c r="AQ3152" t="e">
        <v>#N/A</v>
      </c>
      <c r="AR3152" t="e">
        <v>#N/A</v>
      </c>
      <c r="AS3152" t="e">
        <v>#N/A</v>
      </c>
      <c r="AT3152" t="e">
        <v>#N/A</v>
      </c>
    </row>
    <row r="3153" spans="42:46">
      <c r="AP3153">
        <v>230650</v>
      </c>
      <c r="AQ3153" t="e">
        <v>#N/A</v>
      </c>
      <c r="AR3153" t="e">
        <v>#N/A</v>
      </c>
      <c r="AS3153" t="e">
        <v>#N/A</v>
      </c>
      <c r="AT3153" t="e">
        <v>#N/A</v>
      </c>
    </row>
    <row r="3154" spans="42:46">
      <c r="AP3154">
        <v>230700</v>
      </c>
      <c r="AQ3154" t="e">
        <v>#N/A</v>
      </c>
      <c r="AR3154" t="e">
        <v>#N/A</v>
      </c>
      <c r="AS3154" t="e">
        <v>#N/A</v>
      </c>
      <c r="AT3154" t="e">
        <v>#N/A</v>
      </c>
    </row>
    <row r="3155" spans="42:46">
      <c r="AP3155">
        <v>230750</v>
      </c>
      <c r="AQ3155" t="e">
        <v>#N/A</v>
      </c>
      <c r="AR3155" t="e">
        <v>#N/A</v>
      </c>
      <c r="AS3155" t="e">
        <v>#N/A</v>
      </c>
      <c r="AT3155" t="e">
        <v>#N/A</v>
      </c>
    </row>
    <row r="3156" spans="42:46">
      <c r="AP3156">
        <v>230800</v>
      </c>
      <c r="AQ3156" t="e">
        <v>#N/A</v>
      </c>
      <c r="AR3156" t="e">
        <v>#N/A</v>
      </c>
      <c r="AS3156" t="e">
        <v>#N/A</v>
      </c>
      <c r="AT3156" t="e">
        <v>#N/A</v>
      </c>
    </row>
    <row r="3157" spans="42:46">
      <c r="AP3157">
        <v>230850</v>
      </c>
      <c r="AQ3157" t="e">
        <v>#N/A</v>
      </c>
      <c r="AR3157" t="e">
        <v>#N/A</v>
      </c>
      <c r="AS3157" t="e">
        <v>#N/A</v>
      </c>
      <c r="AT3157" t="e">
        <v>#N/A</v>
      </c>
    </row>
    <row r="3158" spans="42:46">
      <c r="AP3158">
        <v>230900</v>
      </c>
      <c r="AQ3158" t="e">
        <v>#N/A</v>
      </c>
      <c r="AR3158" t="e">
        <v>#N/A</v>
      </c>
      <c r="AS3158" t="e">
        <v>#N/A</v>
      </c>
      <c r="AT3158" t="e">
        <v>#N/A</v>
      </c>
    </row>
    <row r="3159" spans="42:46">
      <c r="AP3159">
        <v>230950</v>
      </c>
      <c r="AQ3159" t="e">
        <v>#N/A</v>
      </c>
      <c r="AR3159" t="e">
        <v>#N/A</v>
      </c>
      <c r="AS3159" t="e">
        <v>#N/A</v>
      </c>
      <c r="AT3159" t="e">
        <v>#N/A</v>
      </c>
    </row>
    <row r="3160" spans="42:46">
      <c r="AP3160">
        <v>231000</v>
      </c>
      <c r="AQ3160" t="e">
        <v>#N/A</v>
      </c>
      <c r="AR3160" t="e">
        <v>#N/A</v>
      </c>
      <c r="AS3160" t="e">
        <v>#N/A</v>
      </c>
      <c r="AT3160" t="e">
        <v>#N/A</v>
      </c>
    </row>
    <row r="3161" spans="42:46">
      <c r="AP3161">
        <v>231050</v>
      </c>
      <c r="AQ3161" t="e">
        <v>#N/A</v>
      </c>
      <c r="AR3161" t="e">
        <v>#N/A</v>
      </c>
      <c r="AS3161" t="e">
        <v>#N/A</v>
      </c>
      <c r="AT3161" t="e">
        <v>#N/A</v>
      </c>
    </row>
    <row r="3162" spans="42:46">
      <c r="AP3162">
        <v>231100</v>
      </c>
      <c r="AQ3162" t="e">
        <v>#N/A</v>
      </c>
      <c r="AR3162" t="e">
        <v>#N/A</v>
      </c>
      <c r="AS3162" t="e">
        <v>#N/A</v>
      </c>
      <c r="AT3162" t="e">
        <v>#N/A</v>
      </c>
    </row>
    <row r="3163" spans="42:46">
      <c r="AP3163">
        <v>231150</v>
      </c>
      <c r="AQ3163" t="e">
        <v>#N/A</v>
      </c>
      <c r="AR3163" t="e">
        <v>#N/A</v>
      </c>
      <c r="AS3163" t="e">
        <v>#N/A</v>
      </c>
      <c r="AT3163" t="e">
        <v>#N/A</v>
      </c>
    </row>
    <row r="3164" spans="42:46">
      <c r="AP3164">
        <v>231200</v>
      </c>
      <c r="AQ3164" t="e">
        <v>#N/A</v>
      </c>
      <c r="AR3164" t="e">
        <v>#N/A</v>
      </c>
      <c r="AS3164" t="e">
        <v>#N/A</v>
      </c>
      <c r="AT3164" t="e">
        <v>#N/A</v>
      </c>
    </row>
    <row r="3165" spans="42:46">
      <c r="AP3165">
        <v>231250</v>
      </c>
      <c r="AQ3165" t="e">
        <v>#N/A</v>
      </c>
      <c r="AR3165" t="e">
        <v>#N/A</v>
      </c>
      <c r="AS3165" t="e">
        <v>#N/A</v>
      </c>
      <c r="AT3165" t="e">
        <v>#N/A</v>
      </c>
    </row>
    <row r="3166" spans="42:46">
      <c r="AP3166">
        <v>231300</v>
      </c>
      <c r="AQ3166" t="e">
        <v>#N/A</v>
      </c>
      <c r="AR3166" t="e">
        <v>#N/A</v>
      </c>
      <c r="AS3166" t="e">
        <v>#N/A</v>
      </c>
      <c r="AT3166" t="e">
        <v>#N/A</v>
      </c>
    </row>
    <row r="3167" spans="42:46">
      <c r="AP3167">
        <v>231350</v>
      </c>
      <c r="AQ3167" t="e">
        <v>#N/A</v>
      </c>
      <c r="AR3167" t="e">
        <v>#N/A</v>
      </c>
      <c r="AS3167" t="e">
        <v>#N/A</v>
      </c>
      <c r="AT3167" t="e">
        <v>#N/A</v>
      </c>
    </row>
    <row r="3168" spans="42:46">
      <c r="AP3168">
        <v>231400</v>
      </c>
      <c r="AQ3168" t="e">
        <v>#N/A</v>
      </c>
      <c r="AR3168" t="e">
        <v>#N/A</v>
      </c>
      <c r="AS3168" t="e">
        <v>#N/A</v>
      </c>
      <c r="AT3168" t="e">
        <v>#N/A</v>
      </c>
    </row>
    <row r="3169" spans="42:46">
      <c r="AP3169">
        <v>231450</v>
      </c>
      <c r="AQ3169" t="e">
        <v>#N/A</v>
      </c>
      <c r="AR3169" t="e">
        <v>#N/A</v>
      </c>
      <c r="AS3169" t="e">
        <v>#N/A</v>
      </c>
      <c r="AT3169" t="e">
        <v>#N/A</v>
      </c>
    </row>
    <row r="3170" spans="42:46">
      <c r="AP3170">
        <v>231500</v>
      </c>
      <c r="AQ3170" t="e">
        <v>#N/A</v>
      </c>
      <c r="AR3170" t="e">
        <v>#N/A</v>
      </c>
      <c r="AS3170" t="e">
        <v>#N/A</v>
      </c>
      <c r="AT3170" t="e">
        <v>#N/A</v>
      </c>
    </row>
    <row r="3171" spans="42:46">
      <c r="AP3171">
        <v>231550</v>
      </c>
      <c r="AQ3171" t="e">
        <v>#N/A</v>
      </c>
      <c r="AR3171" t="e">
        <v>#N/A</v>
      </c>
      <c r="AS3171" t="e">
        <v>#N/A</v>
      </c>
      <c r="AT3171" t="e">
        <v>#N/A</v>
      </c>
    </row>
    <row r="3172" spans="42:46">
      <c r="AP3172">
        <v>231600</v>
      </c>
      <c r="AQ3172" t="e">
        <v>#N/A</v>
      </c>
      <c r="AR3172" t="e">
        <v>#N/A</v>
      </c>
      <c r="AS3172" t="e">
        <v>#N/A</v>
      </c>
      <c r="AT3172" t="e">
        <v>#N/A</v>
      </c>
    </row>
    <row r="3173" spans="42:46">
      <c r="AP3173">
        <v>231650</v>
      </c>
      <c r="AQ3173" t="e">
        <v>#N/A</v>
      </c>
      <c r="AR3173" t="e">
        <v>#N/A</v>
      </c>
      <c r="AS3173" t="e">
        <v>#N/A</v>
      </c>
      <c r="AT3173" t="e">
        <v>#N/A</v>
      </c>
    </row>
    <row r="3174" spans="42:46">
      <c r="AP3174">
        <v>231700</v>
      </c>
      <c r="AQ3174" t="e">
        <v>#N/A</v>
      </c>
      <c r="AR3174" t="e">
        <v>#N/A</v>
      </c>
      <c r="AS3174" t="e">
        <v>#N/A</v>
      </c>
      <c r="AT3174" t="e">
        <v>#N/A</v>
      </c>
    </row>
    <row r="3175" spans="42:46">
      <c r="AP3175">
        <v>231750</v>
      </c>
      <c r="AQ3175" t="e">
        <v>#N/A</v>
      </c>
      <c r="AR3175" t="e">
        <v>#N/A</v>
      </c>
      <c r="AS3175" t="e">
        <v>#N/A</v>
      </c>
      <c r="AT3175" t="e">
        <v>#N/A</v>
      </c>
    </row>
    <row r="3176" spans="42:46">
      <c r="AP3176">
        <v>231800</v>
      </c>
      <c r="AQ3176" t="e">
        <v>#N/A</v>
      </c>
      <c r="AR3176" t="e">
        <v>#N/A</v>
      </c>
      <c r="AS3176" t="e">
        <v>#N/A</v>
      </c>
      <c r="AT3176" t="e">
        <v>#N/A</v>
      </c>
    </row>
    <row r="3177" spans="42:46">
      <c r="AP3177">
        <v>231850</v>
      </c>
      <c r="AQ3177" t="e">
        <v>#N/A</v>
      </c>
      <c r="AR3177" t="e">
        <v>#N/A</v>
      </c>
      <c r="AS3177" t="e">
        <v>#N/A</v>
      </c>
      <c r="AT3177" t="e">
        <v>#N/A</v>
      </c>
    </row>
    <row r="3178" spans="42:46">
      <c r="AP3178">
        <v>231900</v>
      </c>
      <c r="AQ3178" t="e">
        <v>#N/A</v>
      </c>
      <c r="AR3178" t="e">
        <v>#N/A</v>
      </c>
      <c r="AS3178" t="e">
        <v>#N/A</v>
      </c>
      <c r="AT3178" t="e">
        <v>#N/A</v>
      </c>
    </row>
    <row r="3179" spans="42:46">
      <c r="AP3179">
        <v>231950</v>
      </c>
      <c r="AQ3179" t="e">
        <v>#N/A</v>
      </c>
      <c r="AR3179" t="e">
        <v>#N/A</v>
      </c>
      <c r="AS3179" t="e">
        <v>#N/A</v>
      </c>
      <c r="AT3179" t="e">
        <v>#N/A</v>
      </c>
    </row>
    <row r="3180" spans="42:46">
      <c r="AP3180">
        <v>232000</v>
      </c>
      <c r="AQ3180" t="e">
        <v>#N/A</v>
      </c>
      <c r="AR3180" t="e">
        <v>#N/A</v>
      </c>
      <c r="AS3180" t="e">
        <v>#N/A</v>
      </c>
      <c r="AT3180" t="e">
        <v>#N/A</v>
      </c>
    </row>
    <row r="3181" spans="42:46">
      <c r="AP3181">
        <v>232050</v>
      </c>
      <c r="AQ3181" t="e">
        <v>#N/A</v>
      </c>
      <c r="AR3181" t="e">
        <v>#N/A</v>
      </c>
      <c r="AS3181" t="e">
        <v>#N/A</v>
      </c>
      <c r="AT3181" t="e">
        <v>#N/A</v>
      </c>
    </row>
    <row r="3182" spans="42:46">
      <c r="AP3182">
        <v>232100</v>
      </c>
      <c r="AQ3182" t="e">
        <v>#N/A</v>
      </c>
      <c r="AR3182" t="e">
        <v>#N/A</v>
      </c>
      <c r="AS3182" t="e">
        <v>#N/A</v>
      </c>
      <c r="AT3182" t="e">
        <v>#N/A</v>
      </c>
    </row>
    <row r="3183" spans="42:46">
      <c r="AP3183">
        <v>232150</v>
      </c>
      <c r="AQ3183" t="e">
        <v>#N/A</v>
      </c>
      <c r="AR3183" t="e">
        <v>#N/A</v>
      </c>
      <c r="AS3183" t="e">
        <v>#N/A</v>
      </c>
      <c r="AT3183" t="e">
        <v>#N/A</v>
      </c>
    </row>
    <row r="3184" spans="42:46">
      <c r="AP3184">
        <v>232200</v>
      </c>
      <c r="AQ3184" t="e">
        <v>#N/A</v>
      </c>
      <c r="AR3184" t="e">
        <v>#N/A</v>
      </c>
      <c r="AS3184" t="e">
        <v>#N/A</v>
      </c>
      <c r="AT3184" t="e">
        <v>#N/A</v>
      </c>
    </row>
    <row r="3185" spans="42:46">
      <c r="AP3185">
        <v>232250</v>
      </c>
      <c r="AQ3185" t="e">
        <v>#N/A</v>
      </c>
      <c r="AR3185" t="e">
        <v>#N/A</v>
      </c>
      <c r="AS3185" t="e">
        <v>#N/A</v>
      </c>
      <c r="AT3185" t="e">
        <v>#N/A</v>
      </c>
    </row>
    <row r="3186" spans="42:46">
      <c r="AP3186">
        <v>232300</v>
      </c>
      <c r="AQ3186" t="e">
        <v>#N/A</v>
      </c>
      <c r="AR3186" t="e">
        <v>#N/A</v>
      </c>
      <c r="AS3186" t="e">
        <v>#N/A</v>
      </c>
      <c r="AT3186" t="e">
        <v>#N/A</v>
      </c>
    </row>
    <row r="3187" spans="42:46">
      <c r="AP3187">
        <v>232350</v>
      </c>
      <c r="AQ3187" t="e">
        <v>#N/A</v>
      </c>
      <c r="AR3187" t="e">
        <v>#N/A</v>
      </c>
      <c r="AS3187" t="e">
        <v>#N/A</v>
      </c>
      <c r="AT3187" t="e">
        <v>#N/A</v>
      </c>
    </row>
    <row r="3188" spans="42:46">
      <c r="AP3188">
        <v>232400</v>
      </c>
      <c r="AQ3188" t="e">
        <v>#N/A</v>
      </c>
      <c r="AR3188" t="e">
        <v>#N/A</v>
      </c>
      <c r="AS3188" t="e">
        <v>#N/A</v>
      </c>
      <c r="AT3188" t="e">
        <v>#N/A</v>
      </c>
    </row>
    <row r="3189" spans="42:46">
      <c r="AP3189">
        <v>232450</v>
      </c>
      <c r="AQ3189" t="e">
        <v>#N/A</v>
      </c>
      <c r="AR3189" t="e">
        <v>#N/A</v>
      </c>
      <c r="AS3189" t="e">
        <v>#N/A</v>
      </c>
      <c r="AT3189" t="e">
        <v>#N/A</v>
      </c>
    </row>
    <row r="3190" spans="42:46">
      <c r="AP3190">
        <v>232500</v>
      </c>
      <c r="AQ3190" t="e">
        <v>#N/A</v>
      </c>
      <c r="AR3190" t="e">
        <v>#N/A</v>
      </c>
      <c r="AS3190" t="e">
        <v>#N/A</v>
      </c>
      <c r="AT3190" t="e">
        <v>#N/A</v>
      </c>
    </row>
    <row r="3191" spans="42:46">
      <c r="AP3191">
        <v>232550</v>
      </c>
      <c r="AQ3191" t="e">
        <v>#N/A</v>
      </c>
      <c r="AR3191" t="e">
        <v>#N/A</v>
      </c>
      <c r="AS3191" t="e">
        <v>#N/A</v>
      </c>
      <c r="AT3191" t="e">
        <v>#N/A</v>
      </c>
    </row>
    <row r="3192" spans="42:46">
      <c r="AP3192">
        <v>232600</v>
      </c>
      <c r="AQ3192" t="e">
        <v>#N/A</v>
      </c>
      <c r="AR3192" t="e">
        <v>#N/A</v>
      </c>
      <c r="AS3192" t="e">
        <v>#N/A</v>
      </c>
      <c r="AT3192" t="e">
        <v>#N/A</v>
      </c>
    </row>
    <row r="3193" spans="42:46">
      <c r="AP3193">
        <v>232650</v>
      </c>
      <c r="AQ3193" t="e">
        <v>#N/A</v>
      </c>
      <c r="AR3193" t="e">
        <v>#N/A</v>
      </c>
      <c r="AS3193" t="e">
        <v>#N/A</v>
      </c>
      <c r="AT3193" t="e">
        <v>#N/A</v>
      </c>
    </row>
    <row r="3194" spans="42:46">
      <c r="AP3194">
        <v>232700</v>
      </c>
      <c r="AQ3194" t="e">
        <v>#N/A</v>
      </c>
      <c r="AR3194" t="e">
        <v>#N/A</v>
      </c>
      <c r="AS3194" t="e">
        <v>#N/A</v>
      </c>
      <c r="AT3194" t="e">
        <v>#N/A</v>
      </c>
    </row>
    <row r="3195" spans="42:46">
      <c r="AP3195">
        <v>232750</v>
      </c>
      <c r="AQ3195" t="e">
        <v>#N/A</v>
      </c>
      <c r="AR3195" t="e">
        <v>#N/A</v>
      </c>
      <c r="AS3195" t="e">
        <v>#N/A</v>
      </c>
      <c r="AT3195" t="e">
        <v>#N/A</v>
      </c>
    </row>
    <row r="3196" spans="42:46">
      <c r="AP3196">
        <v>232800</v>
      </c>
      <c r="AQ3196" t="e">
        <v>#N/A</v>
      </c>
      <c r="AR3196" t="e">
        <v>#N/A</v>
      </c>
      <c r="AS3196" t="e">
        <v>#N/A</v>
      </c>
      <c r="AT3196" t="e">
        <v>#N/A</v>
      </c>
    </row>
    <row r="3197" spans="42:46">
      <c r="AP3197">
        <v>232850</v>
      </c>
      <c r="AQ3197" t="e">
        <v>#N/A</v>
      </c>
      <c r="AR3197" t="e">
        <v>#N/A</v>
      </c>
      <c r="AS3197" t="e">
        <v>#N/A</v>
      </c>
      <c r="AT3197" t="e">
        <v>#N/A</v>
      </c>
    </row>
    <row r="3198" spans="42:46">
      <c r="AP3198">
        <v>232900</v>
      </c>
      <c r="AQ3198" t="e">
        <v>#N/A</v>
      </c>
      <c r="AR3198" t="e">
        <v>#N/A</v>
      </c>
      <c r="AS3198" t="e">
        <v>#N/A</v>
      </c>
      <c r="AT3198" t="e">
        <v>#N/A</v>
      </c>
    </row>
    <row r="3199" spans="42:46">
      <c r="AP3199">
        <v>232950</v>
      </c>
      <c r="AQ3199" t="e">
        <v>#N/A</v>
      </c>
      <c r="AR3199" t="e">
        <v>#N/A</v>
      </c>
      <c r="AS3199" t="e">
        <v>#N/A</v>
      </c>
      <c r="AT3199" t="e">
        <v>#N/A</v>
      </c>
    </row>
    <row r="3200" spans="42:46">
      <c r="AP3200">
        <v>233000</v>
      </c>
      <c r="AQ3200" t="e">
        <v>#N/A</v>
      </c>
      <c r="AR3200" t="e">
        <v>#N/A</v>
      </c>
      <c r="AS3200" t="e">
        <v>#N/A</v>
      </c>
      <c r="AT3200" t="e">
        <v>#N/A</v>
      </c>
    </row>
    <row r="3201" spans="42:46">
      <c r="AP3201">
        <v>233050</v>
      </c>
      <c r="AQ3201" t="e">
        <v>#N/A</v>
      </c>
      <c r="AR3201" t="e">
        <v>#N/A</v>
      </c>
      <c r="AS3201" t="e">
        <v>#N/A</v>
      </c>
      <c r="AT3201" t="e">
        <v>#N/A</v>
      </c>
    </row>
    <row r="3202" spans="42:46">
      <c r="AP3202">
        <v>233100</v>
      </c>
      <c r="AQ3202" t="e">
        <v>#N/A</v>
      </c>
      <c r="AR3202" t="e">
        <v>#N/A</v>
      </c>
      <c r="AS3202" t="e">
        <v>#N/A</v>
      </c>
      <c r="AT3202" t="e">
        <v>#N/A</v>
      </c>
    </row>
    <row r="3203" spans="42:46">
      <c r="AP3203">
        <v>233150</v>
      </c>
      <c r="AQ3203" t="e">
        <v>#N/A</v>
      </c>
      <c r="AR3203" t="e">
        <v>#N/A</v>
      </c>
      <c r="AS3203" t="e">
        <v>#N/A</v>
      </c>
      <c r="AT3203" t="e">
        <v>#N/A</v>
      </c>
    </row>
    <row r="3204" spans="42:46">
      <c r="AP3204">
        <v>233200</v>
      </c>
      <c r="AQ3204" t="e">
        <v>#N/A</v>
      </c>
      <c r="AR3204" t="e">
        <v>#N/A</v>
      </c>
      <c r="AS3204" t="e">
        <v>#N/A</v>
      </c>
      <c r="AT3204" t="e">
        <v>#N/A</v>
      </c>
    </row>
    <row r="3205" spans="42:46">
      <c r="AP3205">
        <v>233250</v>
      </c>
      <c r="AQ3205" t="e">
        <v>#N/A</v>
      </c>
      <c r="AR3205" t="e">
        <v>#N/A</v>
      </c>
      <c r="AS3205" t="e">
        <v>#N/A</v>
      </c>
      <c r="AT3205" t="e">
        <v>#N/A</v>
      </c>
    </row>
    <row r="3206" spans="42:46">
      <c r="AP3206">
        <v>233300</v>
      </c>
      <c r="AQ3206" t="e">
        <v>#N/A</v>
      </c>
      <c r="AR3206" t="e">
        <v>#N/A</v>
      </c>
      <c r="AS3206" t="e">
        <v>#N/A</v>
      </c>
      <c r="AT3206" t="e">
        <v>#N/A</v>
      </c>
    </row>
    <row r="3207" spans="42:46">
      <c r="AP3207">
        <v>233350</v>
      </c>
      <c r="AQ3207" t="e">
        <v>#N/A</v>
      </c>
      <c r="AR3207" t="e">
        <v>#N/A</v>
      </c>
      <c r="AS3207" t="e">
        <v>#N/A</v>
      </c>
      <c r="AT3207" t="e">
        <v>#N/A</v>
      </c>
    </row>
    <row r="3208" spans="42:46">
      <c r="AP3208">
        <v>233400</v>
      </c>
      <c r="AQ3208" t="e">
        <v>#N/A</v>
      </c>
      <c r="AR3208" t="e">
        <v>#N/A</v>
      </c>
      <c r="AS3208" t="e">
        <v>#N/A</v>
      </c>
      <c r="AT3208" t="e">
        <v>#N/A</v>
      </c>
    </row>
    <row r="3209" spans="42:46">
      <c r="AP3209">
        <v>233450</v>
      </c>
      <c r="AQ3209" t="e">
        <v>#N/A</v>
      </c>
      <c r="AR3209" t="e">
        <v>#N/A</v>
      </c>
      <c r="AS3209" t="e">
        <v>#N/A</v>
      </c>
      <c r="AT3209" t="e">
        <v>#N/A</v>
      </c>
    </row>
    <row r="3210" spans="42:46">
      <c r="AP3210">
        <v>233500</v>
      </c>
      <c r="AQ3210" t="e">
        <v>#N/A</v>
      </c>
      <c r="AR3210" t="e">
        <v>#N/A</v>
      </c>
      <c r="AS3210" t="e">
        <v>#N/A</v>
      </c>
      <c r="AT3210" t="e">
        <v>#N/A</v>
      </c>
    </row>
    <row r="3211" spans="42:46">
      <c r="AP3211">
        <v>233550</v>
      </c>
      <c r="AQ3211" t="e">
        <v>#N/A</v>
      </c>
      <c r="AR3211" t="e">
        <v>#N/A</v>
      </c>
      <c r="AS3211" t="e">
        <v>#N/A</v>
      </c>
      <c r="AT3211" t="e">
        <v>#N/A</v>
      </c>
    </row>
    <row r="3212" spans="42:46">
      <c r="AP3212">
        <v>233600</v>
      </c>
      <c r="AQ3212" t="e">
        <v>#N/A</v>
      </c>
      <c r="AR3212" t="e">
        <v>#N/A</v>
      </c>
      <c r="AS3212" t="e">
        <v>#N/A</v>
      </c>
      <c r="AT3212" t="e">
        <v>#N/A</v>
      </c>
    </row>
    <row r="3213" spans="42:46">
      <c r="AP3213">
        <v>233650</v>
      </c>
      <c r="AQ3213" t="e">
        <v>#N/A</v>
      </c>
      <c r="AR3213" t="e">
        <v>#N/A</v>
      </c>
      <c r="AS3213" t="e">
        <v>#N/A</v>
      </c>
      <c r="AT3213" t="e">
        <v>#N/A</v>
      </c>
    </row>
    <row r="3214" spans="42:46">
      <c r="AP3214">
        <v>233700</v>
      </c>
      <c r="AQ3214" t="e">
        <v>#N/A</v>
      </c>
      <c r="AR3214" t="e">
        <v>#N/A</v>
      </c>
      <c r="AS3214" t="e">
        <v>#N/A</v>
      </c>
      <c r="AT3214" t="e">
        <v>#N/A</v>
      </c>
    </row>
    <row r="3215" spans="42:46">
      <c r="AP3215">
        <v>233750</v>
      </c>
      <c r="AQ3215" t="e">
        <v>#N/A</v>
      </c>
      <c r="AR3215" t="e">
        <v>#N/A</v>
      </c>
      <c r="AS3215" t="e">
        <v>#N/A</v>
      </c>
      <c r="AT3215" t="e">
        <v>#N/A</v>
      </c>
    </row>
    <row r="3216" spans="42:46">
      <c r="AP3216">
        <v>233800</v>
      </c>
      <c r="AQ3216" t="e">
        <v>#N/A</v>
      </c>
      <c r="AR3216" t="e">
        <v>#N/A</v>
      </c>
      <c r="AS3216" t="e">
        <v>#N/A</v>
      </c>
      <c r="AT3216" t="e">
        <v>#N/A</v>
      </c>
    </row>
    <row r="3217" spans="42:46">
      <c r="AP3217">
        <v>233850</v>
      </c>
      <c r="AQ3217" t="e">
        <v>#N/A</v>
      </c>
      <c r="AR3217" t="e">
        <v>#N/A</v>
      </c>
      <c r="AS3217" t="e">
        <v>#N/A</v>
      </c>
      <c r="AT3217" t="e">
        <v>#N/A</v>
      </c>
    </row>
    <row r="3218" spans="42:46">
      <c r="AP3218">
        <v>233900</v>
      </c>
      <c r="AQ3218" t="e">
        <v>#N/A</v>
      </c>
      <c r="AR3218" t="e">
        <v>#N/A</v>
      </c>
      <c r="AS3218" t="e">
        <v>#N/A</v>
      </c>
      <c r="AT3218" t="e">
        <v>#N/A</v>
      </c>
    </row>
    <row r="3219" spans="42:46">
      <c r="AP3219">
        <v>233950</v>
      </c>
      <c r="AQ3219" t="e">
        <v>#N/A</v>
      </c>
      <c r="AR3219" t="e">
        <v>#N/A</v>
      </c>
      <c r="AS3219" t="e">
        <v>#N/A</v>
      </c>
      <c r="AT3219" t="e">
        <v>#N/A</v>
      </c>
    </row>
    <row r="3220" spans="42:46">
      <c r="AP3220">
        <v>234000</v>
      </c>
      <c r="AQ3220" t="e">
        <v>#N/A</v>
      </c>
      <c r="AR3220" t="e">
        <v>#N/A</v>
      </c>
      <c r="AS3220" t="e">
        <v>#N/A</v>
      </c>
      <c r="AT3220" t="e">
        <v>#N/A</v>
      </c>
    </row>
    <row r="3221" spans="42:46">
      <c r="AP3221">
        <v>234050</v>
      </c>
      <c r="AQ3221" t="e">
        <v>#N/A</v>
      </c>
      <c r="AR3221" t="e">
        <v>#N/A</v>
      </c>
      <c r="AS3221" t="e">
        <v>#N/A</v>
      </c>
      <c r="AT3221" t="e">
        <v>#N/A</v>
      </c>
    </row>
    <row r="3222" spans="42:46">
      <c r="AP3222">
        <v>234100</v>
      </c>
      <c r="AQ3222" t="e">
        <v>#N/A</v>
      </c>
      <c r="AR3222" t="e">
        <v>#N/A</v>
      </c>
      <c r="AS3222" t="e">
        <v>#N/A</v>
      </c>
      <c r="AT3222" t="e">
        <v>#N/A</v>
      </c>
    </row>
    <row r="3223" spans="42:46">
      <c r="AP3223">
        <v>234150</v>
      </c>
      <c r="AQ3223" t="e">
        <v>#N/A</v>
      </c>
      <c r="AR3223" t="e">
        <v>#N/A</v>
      </c>
      <c r="AS3223" t="e">
        <v>#N/A</v>
      </c>
      <c r="AT3223" t="e">
        <v>#N/A</v>
      </c>
    </row>
    <row r="3224" spans="42:46">
      <c r="AP3224">
        <v>234200</v>
      </c>
      <c r="AQ3224" t="e">
        <v>#N/A</v>
      </c>
      <c r="AR3224" t="e">
        <v>#N/A</v>
      </c>
      <c r="AS3224" t="e">
        <v>#N/A</v>
      </c>
      <c r="AT3224" t="e">
        <v>#N/A</v>
      </c>
    </row>
    <row r="3225" spans="42:46">
      <c r="AP3225">
        <v>234250</v>
      </c>
      <c r="AQ3225" t="e">
        <v>#N/A</v>
      </c>
      <c r="AR3225" t="e">
        <v>#N/A</v>
      </c>
      <c r="AS3225" t="e">
        <v>#N/A</v>
      </c>
      <c r="AT3225" t="e">
        <v>#N/A</v>
      </c>
    </row>
    <row r="3226" spans="42:46">
      <c r="AP3226">
        <v>234300</v>
      </c>
      <c r="AQ3226" t="e">
        <v>#N/A</v>
      </c>
      <c r="AR3226" t="e">
        <v>#N/A</v>
      </c>
      <c r="AS3226" t="e">
        <v>#N/A</v>
      </c>
      <c r="AT3226" t="e">
        <v>#N/A</v>
      </c>
    </row>
    <row r="3227" spans="42:46">
      <c r="AP3227">
        <v>234350</v>
      </c>
      <c r="AQ3227" t="e">
        <v>#N/A</v>
      </c>
      <c r="AR3227" t="e">
        <v>#N/A</v>
      </c>
      <c r="AS3227" t="e">
        <v>#N/A</v>
      </c>
      <c r="AT3227" t="e">
        <v>#N/A</v>
      </c>
    </row>
    <row r="3228" spans="42:46">
      <c r="AP3228">
        <v>234400</v>
      </c>
      <c r="AQ3228" t="e">
        <v>#N/A</v>
      </c>
      <c r="AR3228" t="e">
        <v>#N/A</v>
      </c>
      <c r="AS3228" t="e">
        <v>#N/A</v>
      </c>
      <c r="AT3228" t="e">
        <v>#N/A</v>
      </c>
    </row>
    <row r="3229" spans="42:46">
      <c r="AP3229">
        <v>234450</v>
      </c>
      <c r="AQ3229" t="e">
        <v>#N/A</v>
      </c>
      <c r="AR3229" t="e">
        <v>#N/A</v>
      </c>
      <c r="AS3229" t="e">
        <v>#N/A</v>
      </c>
      <c r="AT3229" t="e">
        <v>#N/A</v>
      </c>
    </row>
    <row r="3230" spans="42:46">
      <c r="AP3230">
        <v>234500</v>
      </c>
      <c r="AQ3230" t="e">
        <v>#N/A</v>
      </c>
      <c r="AR3230" t="e">
        <v>#N/A</v>
      </c>
      <c r="AS3230" t="e">
        <v>#N/A</v>
      </c>
      <c r="AT3230" t="e">
        <v>#N/A</v>
      </c>
    </row>
    <row r="3231" spans="42:46">
      <c r="AP3231">
        <v>234550</v>
      </c>
      <c r="AQ3231" t="e">
        <v>#N/A</v>
      </c>
      <c r="AR3231" t="e">
        <v>#N/A</v>
      </c>
      <c r="AS3231" t="e">
        <v>#N/A</v>
      </c>
      <c r="AT3231" t="e">
        <v>#N/A</v>
      </c>
    </row>
    <row r="3232" spans="42:46">
      <c r="AP3232">
        <v>234600</v>
      </c>
      <c r="AQ3232" t="e">
        <v>#N/A</v>
      </c>
      <c r="AR3232" t="e">
        <v>#N/A</v>
      </c>
      <c r="AS3232" t="e">
        <v>#N/A</v>
      </c>
      <c r="AT3232" t="e">
        <v>#N/A</v>
      </c>
    </row>
    <row r="3233" spans="42:46">
      <c r="AP3233">
        <v>234650</v>
      </c>
      <c r="AQ3233" t="e">
        <v>#N/A</v>
      </c>
      <c r="AR3233" t="e">
        <v>#N/A</v>
      </c>
      <c r="AS3233" t="e">
        <v>#N/A</v>
      </c>
      <c r="AT3233" t="e">
        <v>#N/A</v>
      </c>
    </row>
    <row r="3234" spans="42:46">
      <c r="AP3234">
        <v>234700</v>
      </c>
      <c r="AQ3234" t="e">
        <v>#N/A</v>
      </c>
      <c r="AR3234" t="e">
        <v>#N/A</v>
      </c>
      <c r="AS3234" t="e">
        <v>#N/A</v>
      </c>
      <c r="AT3234" t="e">
        <v>#N/A</v>
      </c>
    </row>
    <row r="3235" spans="42:46">
      <c r="AP3235">
        <v>234750</v>
      </c>
      <c r="AQ3235" t="e">
        <v>#N/A</v>
      </c>
      <c r="AR3235" t="e">
        <v>#N/A</v>
      </c>
      <c r="AS3235" t="e">
        <v>#N/A</v>
      </c>
      <c r="AT3235" t="e">
        <v>#N/A</v>
      </c>
    </row>
    <row r="3236" spans="42:46">
      <c r="AP3236">
        <v>234800</v>
      </c>
      <c r="AQ3236" t="e">
        <v>#N/A</v>
      </c>
      <c r="AR3236" t="e">
        <v>#N/A</v>
      </c>
      <c r="AS3236" t="e">
        <v>#N/A</v>
      </c>
      <c r="AT3236" t="e">
        <v>#N/A</v>
      </c>
    </row>
    <row r="3237" spans="42:46">
      <c r="AP3237">
        <v>234850</v>
      </c>
      <c r="AQ3237" t="e">
        <v>#N/A</v>
      </c>
      <c r="AR3237" t="e">
        <v>#N/A</v>
      </c>
      <c r="AS3237" t="e">
        <v>#N/A</v>
      </c>
      <c r="AT3237" t="e">
        <v>#N/A</v>
      </c>
    </row>
    <row r="3238" spans="42:46">
      <c r="AP3238">
        <v>234900</v>
      </c>
      <c r="AQ3238" t="e">
        <v>#N/A</v>
      </c>
      <c r="AR3238" t="e">
        <v>#N/A</v>
      </c>
      <c r="AS3238" t="e">
        <v>#N/A</v>
      </c>
      <c r="AT3238" t="e">
        <v>#N/A</v>
      </c>
    </row>
    <row r="3239" spans="42:46">
      <c r="AP3239">
        <v>234950</v>
      </c>
      <c r="AQ3239" t="e">
        <v>#N/A</v>
      </c>
      <c r="AR3239" t="e">
        <v>#N/A</v>
      </c>
      <c r="AS3239" t="e">
        <v>#N/A</v>
      </c>
      <c r="AT3239" t="e">
        <v>#N/A</v>
      </c>
    </row>
    <row r="3240" spans="42:46">
      <c r="AP3240">
        <v>235000</v>
      </c>
      <c r="AQ3240" t="e">
        <v>#N/A</v>
      </c>
      <c r="AR3240" t="e">
        <v>#N/A</v>
      </c>
      <c r="AS3240" t="e">
        <v>#N/A</v>
      </c>
      <c r="AT3240" t="e">
        <v>#N/A</v>
      </c>
    </row>
    <row r="3241" spans="42:46">
      <c r="AP3241">
        <v>235050</v>
      </c>
      <c r="AQ3241" t="e">
        <v>#N/A</v>
      </c>
      <c r="AR3241" t="e">
        <v>#N/A</v>
      </c>
      <c r="AS3241" t="e">
        <v>#N/A</v>
      </c>
      <c r="AT3241" t="e">
        <v>#N/A</v>
      </c>
    </row>
    <row r="3242" spans="42:46">
      <c r="AP3242">
        <v>235100</v>
      </c>
      <c r="AQ3242" t="e">
        <v>#N/A</v>
      </c>
      <c r="AR3242" t="e">
        <v>#N/A</v>
      </c>
      <c r="AS3242" t="e">
        <v>#N/A</v>
      </c>
      <c r="AT3242" t="e">
        <v>#N/A</v>
      </c>
    </row>
    <row r="3243" spans="42:46">
      <c r="AP3243">
        <v>235150</v>
      </c>
      <c r="AQ3243" t="e">
        <v>#N/A</v>
      </c>
      <c r="AR3243" t="e">
        <v>#N/A</v>
      </c>
      <c r="AS3243" t="e">
        <v>#N/A</v>
      </c>
      <c r="AT3243" t="e">
        <v>#N/A</v>
      </c>
    </row>
    <row r="3244" spans="42:46">
      <c r="AP3244">
        <v>235200</v>
      </c>
      <c r="AQ3244" t="e">
        <v>#N/A</v>
      </c>
      <c r="AR3244" t="e">
        <v>#N/A</v>
      </c>
      <c r="AS3244" t="e">
        <v>#N/A</v>
      </c>
      <c r="AT3244" t="e">
        <v>#N/A</v>
      </c>
    </row>
    <row r="3245" spans="42:46">
      <c r="AP3245">
        <v>235250</v>
      </c>
      <c r="AQ3245" t="e">
        <v>#N/A</v>
      </c>
      <c r="AR3245" t="e">
        <v>#N/A</v>
      </c>
      <c r="AS3245" t="e">
        <v>#N/A</v>
      </c>
      <c r="AT3245" t="e">
        <v>#N/A</v>
      </c>
    </row>
    <row r="3246" spans="42:46">
      <c r="AP3246">
        <v>235300</v>
      </c>
      <c r="AQ3246" t="e">
        <v>#N/A</v>
      </c>
      <c r="AR3246" t="e">
        <v>#N/A</v>
      </c>
      <c r="AS3246" t="e">
        <v>#N/A</v>
      </c>
      <c r="AT3246" t="e">
        <v>#N/A</v>
      </c>
    </row>
    <row r="3247" spans="42:46">
      <c r="AP3247">
        <v>235350</v>
      </c>
      <c r="AQ3247" t="e">
        <v>#N/A</v>
      </c>
      <c r="AR3247" t="e">
        <v>#N/A</v>
      </c>
      <c r="AS3247" t="e">
        <v>#N/A</v>
      </c>
      <c r="AT3247" t="e">
        <v>#N/A</v>
      </c>
    </row>
    <row r="3248" spans="42:46">
      <c r="AP3248">
        <v>235400</v>
      </c>
      <c r="AQ3248" t="e">
        <v>#N/A</v>
      </c>
      <c r="AR3248" t="e">
        <v>#N/A</v>
      </c>
      <c r="AS3248" t="e">
        <v>#N/A</v>
      </c>
      <c r="AT3248" t="e">
        <v>#N/A</v>
      </c>
    </row>
    <row r="3249" spans="42:46">
      <c r="AP3249">
        <v>235450</v>
      </c>
      <c r="AQ3249" t="e">
        <v>#N/A</v>
      </c>
      <c r="AR3249" t="e">
        <v>#N/A</v>
      </c>
      <c r="AS3249" t="e">
        <v>#N/A</v>
      </c>
      <c r="AT3249" t="e">
        <v>#N/A</v>
      </c>
    </row>
    <row r="3250" spans="42:46">
      <c r="AP3250">
        <v>235500</v>
      </c>
      <c r="AQ3250" t="e">
        <v>#N/A</v>
      </c>
      <c r="AR3250" t="e">
        <v>#N/A</v>
      </c>
      <c r="AS3250" t="e">
        <v>#N/A</v>
      </c>
      <c r="AT3250" t="e">
        <v>#N/A</v>
      </c>
    </row>
    <row r="3251" spans="42:46">
      <c r="AP3251">
        <v>235550</v>
      </c>
      <c r="AQ3251" t="e">
        <v>#N/A</v>
      </c>
      <c r="AR3251" t="e">
        <v>#N/A</v>
      </c>
      <c r="AS3251" t="e">
        <v>#N/A</v>
      </c>
      <c r="AT3251" t="e">
        <v>#N/A</v>
      </c>
    </row>
    <row r="3252" spans="42:46">
      <c r="AP3252">
        <v>235600</v>
      </c>
      <c r="AQ3252" t="e">
        <v>#N/A</v>
      </c>
      <c r="AR3252" t="e">
        <v>#N/A</v>
      </c>
      <c r="AS3252" t="e">
        <v>#N/A</v>
      </c>
      <c r="AT3252" t="e">
        <v>#N/A</v>
      </c>
    </row>
    <row r="3253" spans="42:46">
      <c r="AP3253">
        <v>235650</v>
      </c>
      <c r="AQ3253" t="e">
        <v>#N/A</v>
      </c>
      <c r="AR3253" t="e">
        <v>#N/A</v>
      </c>
      <c r="AS3253" t="e">
        <v>#N/A</v>
      </c>
      <c r="AT3253" t="e">
        <v>#N/A</v>
      </c>
    </row>
    <row r="3254" spans="42:46">
      <c r="AP3254">
        <v>235700</v>
      </c>
      <c r="AQ3254" t="e">
        <v>#N/A</v>
      </c>
      <c r="AR3254" t="e">
        <v>#N/A</v>
      </c>
      <c r="AS3254" t="e">
        <v>#N/A</v>
      </c>
      <c r="AT3254" t="e">
        <v>#N/A</v>
      </c>
    </row>
    <row r="3255" spans="42:46">
      <c r="AP3255">
        <v>235750</v>
      </c>
      <c r="AQ3255" t="e">
        <v>#N/A</v>
      </c>
      <c r="AR3255" t="e">
        <v>#N/A</v>
      </c>
      <c r="AS3255" t="e">
        <v>#N/A</v>
      </c>
      <c r="AT3255" t="e">
        <v>#N/A</v>
      </c>
    </row>
    <row r="3256" spans="42:46">
      <c r="AP3256">
        <v>235800</v>
      </c>
      <c r="AQ3256" t="e">
        <v>#N/A</v>
      </c>
      <c r="AR3256" t="e">
        <v>#N/A</v>
      </c>
      <c r="AS3256" t="e">
        <v>#N/A</v>
      </c>
      <c r="AT3256" t="e">
        <v>#N/A</v>
      </c>
    </row>
    <row r="3257" spans="42:46">
      <c r="AP3257">
        <v>235850</v>
      </c>
      <c r="AQ3257" t="e">
        <v>#N/A</v>
      </c>
      <c r="AR3257" t="e">
        <v>#N/A</v>
      </c>
      <c r="AS3257" t="e">
        <v>#N/A</v>
      </c>
      <c r="AT3257" t="e">
        <v>#N/A</v>
      </c>
    </row>
    <row r="3258" spans="42:46">
      <c r="AP3258">
        <v>235900</v>
      </c>
      <c r="AQ3258" t="e">
        <v>#N/A</v>
      </c>
      <c r="AR3258" t="e">
        <v>#N/A</v>
      </c>
      <c r="AS3258" t="e">
        <v>#N/A</v>
      </c>
      <c r="AT3258" t="e">
        <v>#N/A</v>
      </c>
    </row>
    <row r="3259" spans="42:46">
      <c r="AP3259">
        <v>235950</v>
      </c>
      <c r="AQ3259" t="e">
        <v>#N/A</v>
      </c>
      <c r="AR3259" t="e">
        <v>#N/A</v>
      </c>
      <c r="AS3259" t="e">
        <v>#N/A</v>
      </c>
      <c r="AT3259" t="e">
        <v>#N/A</v>
      </c>
    </row>
    <row r="3260" spans="42:46">
      <c r="AP3260">
        <v>236000</v>
      </c>
      <c r="AQ3260" t="e">
        <v>#N/A</v>
      </c>
      <c r="AR3260" t="e">
        <v>#N/A</v>
      </c>
      <c r="AS3260" t="e">
        <v>#N/A</v>
      </c>
      <c r="AT3260" t="e">
        <v>#N/A</v>
      </c>
    </row>
    <row r="3261" spans="42:46">
      <c r="AP3261">
        <v>236050</v>
      </c>
      <c r="AQ3261" t="e">
        <v>#N/A</v>
      </c>
      <c r="AR3261" t="e">
        <v>#N/A</v>
      </c>
      <c r="AS3261" t="e">
        <v>#N/A</v>
      </c>
      <c r="AT3261" t="e">
        <v>#N/A</v>
      </c>
    </row>
    <row r="3262" spans="42:46">
      <c r="AP3262">
        <v>236100</v>
      </c>
      <c r="AQ3262" t="e">
        <v>#N/A</v>
      </c>
      <c r="AR3262" t="e">
        <v>#N/A</v>
      </c>
      <c r="AS3262" t="e">
        <v>#N/A</v>
      </c>
      <c r="AT3262" t="e">
        <v>#N/A</v>
      </c>
    </row>
    <row r="3263" spans="42:46">
      <c r="AP3263">
        <v>236150</v>
      </c>
      <c r="AQ3263" t="e">
        <v>#N/A</v>
      </c>
      <c r="AR3263" t="e">
        <v>#N/A</v>
      </c>
      <c r="AS3263" t="e">
        <v>#N/A</v>
      </c>
      <c r="AT3263" t="e">
        <v>#N/A</v>
      </c>
    </row>
    <row r="3264" spans="42:46">
      <c r="AP3264">
        <v>236200</v>
      </c>
      <c r="AQ3264" t="e">
        <v>#N/A</v>
      </c>
      <c r="AR3264" t="e">
        <v>#N/A</v>
      </c>
      <c r="AS3264" t="e">
        <v>#N/A</v>
      </c>
      <c r="AT3264" t="e">
        <v>#N/A</v>
      </c>
    </row>
    <row r="3265" spans="42:46">
      <c r="AP3265">
        <v>236250</v>
      </c>
      <c r="AQ3265" t="e">
        <v>#N/A</v>
      </c>
      <c r="AR3265" t="e">
        <v>#N/A</v>
      </c>
      <c r="AS3265" t="e">
        <v>#N/A</v>
      </c>
      <c r="AT3265" t="e">
        <v>#N/A</v>
      </c>
    </row>
    <row r="3266" spans="42:46">
      <c r="AP3266">
        <v>236300</v>
      </c>
      <c r="AQ3266" t="e">
        <v>#N/A</v>
      </c>
      <c r="AR3266" t="e">
        <v>#N/A</v>
      </c>
      <c r="AS3266" t="e">
        <v>#N/A</v>
      </c>
      <c r="AT3266" t="e">
        <v>#N/A</v>
      </c>
    </row>
    <row r="3267" spans="42:46">
      <c r="AP3267">
        <v>236350</v>
      </c>
      <c r="AQ3267" t="e">
        <v>#N/A</v>
      </c>
      <c r="AR3267" t="e">
        <v>#N/A</v>
      </c>
      <c r="AS3267" t="e">
        <v>#N/A</v>
      </c>
      <c r="AT3267" t="e">
        <v>#N/A</v>
      </c>
    </row>
    <row r="3268" spans="42:46">
      <c r="AP3268">
        <v>236400</v>
      </c>
      <c r="AQ3268" t="e">
        <v>#N/A</v>
      </c>
      <c r="AR3268" t="e">
        <v>#N/A</v>
      </c>
      <c r="AS3268" t="e">
        <v>#N/A</v>
      </c>
      <c r="AT3268" t="e">
        <v>#N/A</v>
      </c>
    </row>
    <row r="3269" spans="42:46">
      <c r="AP3269">
        <v>236450</v>
      </c>
      <c r="AQ3269" t="e">
        <v>#N/A</v>
      </c>
      <c r="AR3269" t="e">
        <v>#N/A</v>
      </c>
      <c r="AS3269" t="e">
        <v>#N/A</v>
      </c>
      <c r="AT3269" t="e">
        <v>#N/A</v>
      </c>
    </row>
    <row r="3270" spans="42:46">
      <c r="AP3270">
        <v>236500</v>
      </c>
      <c r="AQ3270" t="e">
        <v>#N/A</v>
      </c>
      <c r="AR3270" t="e">
        <v>#N/A</v>
      </c>
      <c r="AS3270" t="e">
        <v>#N/A</v>
      </c>
      <c r="AT3270" t="e">
        <v>#N/A</v>
      </c>
    </row>
    <row r="3271" spans="42:46">
      <c r="AP3271">
        <v>236550</v>
      </c>
      <c r="AQ3271" t="e">
        <v>#N/A</v>
      </c>
      <c r="AR3271" t="e">
        <v>#N/A</v>
      </c>
      <c r="AS3271" t="e">
        <v>#N/A</v>
      </c>
      <c r="AT3271" t="e">
        <v>#N/A</v>
      </c>
    </row>
    <row r="3272" spans="42:46">
      <c r="AP3272">
        <v>236600</v>
      </c>
      <c r="AQ3272" t="e">
        <v>#N/A</v>
      </c>
      <c r="AR3272" t="e">
        <v>#N/A</v>
      </c>
      <c r="AS3272" t="e">
        <v>#N/A</v>
      </c>
      <c r="AT3272" t="e">
        <v>#N/A</v>
      </c>
    </row>
    <row r="3273" spans="42:46">
      <c r="AP3273">
        <v>236650</v>
      </c>
      <c r="AQ3273" t="e">
        <v>#N/A</v>
      </c>
      <c r="AR3273" t="e">
        <v>#N/A</v>
      </c>
      <c r="AS3273" t="e">
        <v>#N/A</v>
      </c>
      <c r="AT3273" t="e">
        <v>#N/A</v>
      </c>
    </row>
    <row r="3274" spans="42:46">
      <c r="AP3274">
        <v>236700</v>
      </c>
      <c r="AQ3274" t="e">
        <v>#N/A</v>
      </c>
      <c r="AR3274" t="e">
        <v>#N/A</v>
      </c>
      <c r="AS3274" t="e">
        <v>#N/A</v>
      </c>
      <c r="AT3274" t="e">
        <v>#N/A</v>
      </c>
    </row>
    <row r="3275" spans="42:46">
      <c r="AP3275">
        <v>236750</v>
      </c>
      <c r="AQ3275" t="e">
        <v>#N/A</v>
      </c>
      <c r="AR3275" t="e">
        <v>#N/A</v>
      </c>
      <c r="AS3275" t="e">
        <v>#N/A</v>
      </c>
      <c r="AT3275" t="e">
        <v>#N/A</v>
      </c>
    </row>
    <row r="3276" spans="42:46">
      <c r="AP3276">
        <v>236800</v>
      </c>
      <c r="AQ3276" t="e">
        <v>#N/A</v>
      </c>
      <c r="AR3276" t="e">
        <v>#N/A</v>
      </c>
      <c r="AS3276" t="e">
        <v>#N/A</v>
      </c>
      <c r="AT3276" t="e">
        <v>#N/A</v>
      </c>
    </row>
    <row r="3277" spans="42:46">
      <c r="AP3277">
        <v>236850</v>
      </c>
      <c r="AQ3277" t="e">
        <v>#N/A</v>
      </c>
      <c r="AR3277" t="e">
        <v>#N/A</v>
      </c>
      <c r="AS3277" t="e">
        <v>#N/A</v>
      </c>
      <c r="AT3277" t="e">
        <v>#N/A</v>
      </c>
    </row>
    <row r="3278" spans="42:46">
      <c r="AP3278">
        <v>236900</v>
      </c>
      <c r="AQ3278" t="e">
        <v>#N/A</v>
      </c>
      <c r="AR3278" t="e">
        <v>#N/A</v>
      </c>
      <c r="AS3278" t="e">
        <v>#N/A</v>
      </c>
      <c r="AT3278" t="e">
        <v>#N/A</v>
      </c>
    </row>
    <row r="3279" spans="42:46">
      <c r="AP3279">
        <v>236950</v>
      </c>
      <c r="AQ3279" t="e">
        <v>#N/A</v>
      </c>
      <c r="AR3279" t="e">
        <v>#N/A</v>
      </c>
      <c r="AS3279" t="e">
        <v>#N/A</v>
      </c>
      <c r="AT3279" t="e">
        <v>#N/A</v>
      </c>
    </row>
    <row r="3280" spans="42:46">
      <c r="AP3280">
        <v>237000</v>
      </c>
      <c r="AQ3280" t="e">
        <v>#N/A</v>
      </c>
      <c r="AR3280" t="e">
        <v>#N/A</v>
      </c>
      <c r="AS3280" t="e">
        <v>#N/A</v>
      </c>
      <c r="AT3280" t="e">
        <v>#N/A</v>
      </c>
    </row>
    <row r="3281" spans="42:46">
      <c r="AP3281">
        <v>237050</v>
      </c>
      <c r="AQ3281" t="e">
        <v>#N/A</v>
      </c>
      <c r="AR3281" t="e">
        <v>#N/A</v>
      </c>
      <c r="AS3281" t="e">
        <v>#N/A</v>
      </c>
      <c r="AT3281" t="e">
        <v>#N/A</v>
      </c>
    </row>
    <row r="3282" spans="42:46">
      <c r="AP3282">
        <v>237100</v>
      </c>
      <c r="AQ3282" t="e">
        <v>#N/A</v>
      </c>
      <c r="AR3282" t="e">
        <v>#N/A</v>
      </c>
      <c r="AS3282" t="e">
        <v>#N/A</v>
      </c>
      <c r="AT3282" t="e">
        <v>#N/A</v>
      </c>
    </row>
    <row r="3283" spans="42:46">
      <c r="AP3283">
        <v>237150</v>
      </c>
      <c r="AQ3283" t="e">
        <v>#N/A</v>
      </c>
      <c r="AR3283" t="e">
        <v>#N/A</v>
      </c>
      <c r="AS3283" t="e">
        <v>#N/A</v>
      </c>
      <c r="AT3283" t="e">
        <v>#N/A</v>
      </c>
    </row>
    <row r="3284" spans="42:46">
      <c r="AP3284">
        <v>237200</v>
      </c>
      <c r="AQ3284" t="e">
        <v>#N/A</v>
      </c>
      <c r="AR3284" t="e">
        <v>#N/A</v>
      </c>
      <c r="AS3284" t="e">
        <v>#N/A</v>
      </c>
      <c r="AT3284" t="e">
        <v>#N/A</v>
      </c>
    </row>
    <row r="3285" spans="42:46">
      <c r="AP3285">
        <v>237250</v>
      </c>
      <c r="AQ3285" t="e">
        <v>#N/A</v>
      </c>
      <c r="AR3285" t="e">
        <v>#N/A</v>
      </c>
      <c r="AS3285" t="e">
        <v>#N/A</v>
      </c>
      <c r="AT3285" t="e">
        <v>#N/A</v>
      </c>
    </row>
    <row r="3286" spans="42:46">
      <c r="AP3286">
        <v>237300</v>
      </c>
      <c r="AQ3286" t="e">
        <v>#N/A</v>
      </c>
      <c r="AR3286" t="e">
        <v>#N/A</v>
      </c>
      <c r="AS3286" t="e">
        <v>#N/A</v>
      </c>
      <c r="AT3286" t="e">
        <v>#N/A</v>
      </c>
    </row>
    <row r="3287" spans="42:46">
      <c r="AP3287">
        <v>237350</v>
      </c>
      <c r="AQ3287" t="e">
        <v>#N/A</v>
      </c>
      <c r="AR3287" t="e">
        <v>#N/A</v>
      </c>
      <c r="AS3287" t="e">
        <v>#N/A</v>
      </c>
      <c r="AT3287" t="e">
        <v>#N/A</v>
      </c>
    </row>
    <row r="3288" spans="42:46">
      <c r="AP3288">
        <v>237400</v>
      </c>
      <c r="AQ3288" t="e">
        <v>#N/A</v>
      </c>
      <c r="AR3288" t="e">
        <v>#N/A</v>
      </c>
      <c r="AS3288" t="e">
        <v>#N/A</v>
      </c>
      <c r="AT3288" t="e">
        <v>#N/A</v>
      </c>
    </row>
    <row r="3289" spans="42:46">
      <c r="AP3289">
        <v>237450</v>
      </c>
      <c r="AQ3289" t="e">
        <v>#N/A</v>
      </c>
      <c r="AR3289" t="e">
        <v>#N/A</v>
      </c>
      <c r="AS3289" t="e">
        <v>#N/A</v>
      </c>
      <c r="AT3289" t="e">
        <v>#N/A</v>
      </c>
    </row>
    <row r="3290" spans="42:46">
      <c r="AP3290">
        <v>237500</v>
      </c>
      <c r="AQ3290" t="e">
        <v>#N/A</v>
      </c>
      <c r="AR3290" t="e">
        <v>#N/A</v>
      </c>
      <c r="AS3290" t="e">
        <v>#N/A</v>
      </c>
      <c r="AT3290" t="e">
        <v>#N/A</v>
      </c>
    </row>
    <row r="3291" spans="42:46">
      <c r="AP3291">
        <v>237550</v>
      </c>
      <c r="AQ3291" t="e">
        <v>#N/A</v>
      </c>
      <c r="AR3291" t="e">
        <v>#N/A</v>
      </c>
      <c r="AS3291" t="e">
        <v>#N/A</v>
      </c>
      <c r="AT3291" t="e">
        <v>#N/A</v>
      </c>
    </row>
    <row r="3292" spans="42:46">
      <c r="AP3292">
        <v>237600</v>
      </c>
      <c r="AQ3292" t="e">
        <v>#N/A</v>
      </c>
      <c r="AR3292" t="e">
        <v>#N/A</v>
      </c>
      <c r="AS3292" t="e">
        <v>#N/A</v>
      </c>
      <c r="AT3292" t="e">
        <v>#N/A</v>
      </c>
    </row>
    <row r="3293" spans="42:46">
      <c r="AP3293">
        <v>237650</v>
      </c>
      <c r="AQ3293" t="e">
        <v>#N/A</v>
      </c>
      <c r="AR3293" t="e">
        <v>#N/A</v>
      </c>
      <c r="AS3293" t="e">
        <v>#N/A</v>
      </c>
      <c r="AT3293" t="e">
        <v>#N/A</v>
      </c>
    </row>
    <row r="3294" spans="42:46">
      <c r="AP3294">
        <v>237700</v>
      </c>
      <c r="AQ3294" t="e">
        <v>#N/A</v>
      </c>
      <c r="AR3294" t="e">
        <v>#N/A</v>
      </c>
      <c r="AS3294" t="e">
        <v>#N/A</v>
      </c>
      <c r="AT3294" t="e">
        <v>#N/A</v>
      </c>
    </row>
    <row r="3295" spans="42:46">
      <c r="AP3295">
        <v>237750</v>
      </c>
      <c r="AQ3295" t="e">
        <v>#N/A</v>
      </c>
      <c r="AR3295" t="e">
        <v>#N/A</v>
      </c>
      <c r="AS3295" t="e">
        <v>#N/A</v>
      </c>
      <c r="AT3295" t="e">
        <v>#N/A</v>
      </c>
    </row>
    <row r="3296" spans="42:46">
      <c r="AP3296">
        <v>237800</v>
      </c>
      <c r="AQ3296" t="e">
        <v>#N/A</v>
      </c>
      <c r="AR3296" t="e">
        <v>#N/A</v>
      </c>
      <c r="AS3296" t="e">
        <v>#N/A</v>
      </c>
      <c r="AT3296" t="e">
        <v>#N/A</v>
      </c>
    </row>
    <row r="3297" spans="42:46">
      <c r="AP3297">
        <v>237850</v>
      </c>
      <c r="AQ3297" t="e">
        <v>#N/A</v>
      </c>
      <c r="AR3297" t="e">
        <v>#N/A</v>
      </c>
      <c r="AS3297" t="e">
        <v>#N/A</v>
      </c>
      <c r="AT3297" t="e">
        <v>#N/A</v>
      </c>
    </row>
    <row r="3298" spans="42:46">
      <c r="AP3298">
        <v>237900</v>
      </c>
      <c r="AQ3298" t="e">
        <v>#N/A</v>
      </c>
      <c r="AR3298" t="e">
        <v>#N/A</v>
      </c>
      <c r="AS3298" t="e">
        <v>#N/A</v>
      </c>
      <c r="AT3298" t="e">
        <v>#N/A</v>
      </c>
    </row>
    <row r="3299" spans="42:46">
      <c r="AP3299">
        <v>237950</v>
      </c>
      <c r="AQ3299" t="e">
        <v>#N/A</v>
      </c>
      <c r="AR3299" t="e">
        <v>#N/A</v>
      </c>
      <c r="AS3299" t="e">
        <v>#N/A</v>
      </c>
      <c r="AT3299" t="e">
        <v>#N/A</v>
      </c>
    </row>
    <row r="3300" spans="42:46">
      <c r="AP3300">
        <v>238000</v>
      </c>
      <c r="AQ3300" t="e">
        <v>#N/A</v>
      </c>
      <c r="AR3300" t="e">
        <v>#N/A</v>
      </c>
      <c r="AS3300" t="e">
        <v>#N/A</v>
      </c>
      <c r="AT3300" t="e">
        <v>#N/A</v>
      </c>
    </row>
    <row r="3301" spans="42:46">
      <c r="AP3301">
        <v>238050</v>
      </c>
      <c r="AQ3301" t="e">
        <v>#N/A</v>
      </c>
      <c r="AR3301" t="e">
        <v>#N/A</v>
      </c>
      <c r="AS3301" t="e">
        <v>#N/A</v>
      </c>
      <c r="AT3301" t="e">
        <v>#N/A</v>
      </c>
    </row>
    <row r="3302" spans="42:46">
      <c r="AP3302">
        <v>238100</v>
      </c>
      <c r="AQ3302" t="e">
        <v>#N/A</v>
      </c>
      <c r="AR3302" t="e">
        <v>#N/A</v>
      </c>
      <c r="AS3302" t="e">
        <v>#N/A</v>
      </c>
      <c r="AT3302" t="e">
        <v>#N/A</v>
      </c>
    </row>
    <row r="3303" spans="42:46">
      <c r="AP3303">
        <v>238150</v>
      </c>
      <c r="AQ3303" t="e">
        <v>#N/A</v>
      </c>
      <c r="AR3303" t="e">
        <v>#N/A</v>
      </c>
      <c r="AS3303" t="e">
        <v>#N/A</v>
      </c>
      <c r="AT3303" t="e">
        <v>#N/A</v>
      </c>
    </row>
    <row r="3304" spans="42:46">
      <c r="AP3304">
        <v>238200</v>
      </c>
      <c r="AQ3304" t="e">
        <v>#N/A</v>
      </c>
      <c r="AR3304" t="e">
        <v>#N/A</v>
      </c>
      <c r="AS3304" t="e">
        <v>#N/A</v>
      </c>
      <c r="AT3304" t="e">
        <v>#N/A</v>
      </c>
    </row>
    <row r="3305" spans="42:46">
      <c r="AP3305">
        <v>238250</v>
      </c>
      <c r="AQ3305" t="e">
        <v>#N/A</v>
      </c>
      <c r="AR3305" t="e">
        <v>#N/A</v>
      </c>
      <c r="AS3305" t="e">
        <v>#N/A</v>
      </c>
      <c r="AT3305" t="e">
        <v>#N/A</v>
      </c>
    </row>
    <row r="3306" spans="42:46">
      <c r="AP3306">
        <v>238300</v>
      </c>
      <c r="AQ3306" t="e">
        <v>#N/A</v>
      </c>
      <c r="AR3306" t="e">
        <v>#N/A</v>
      </c>
      <c r="AS3306" t="e">
        <v>#N/A</v>
      </c>
      <c r="AT3306" t="e">
        <v>#N/A</v>
      </c>
    </row>
    <row r="3307" spans="42:46">
      <c r="AP3307">
        <v>238350</v>
      </c>
      <c r="AQ3307" t="e">
        <v>#N/A</v>
      </c>
      <c r="AR3307" t="e">
        <v>#N/A</v>
      </c>
      <c r="AS3307" t="e">
        <v>#N/A</v>
      </c>
      <c r="AT3307" t="e">
        <v>#N/A</v>
      </c>
    </row>
    <row r="3308" spans="42:46">
      <c r="AP3308">
        <v>238400</v>
      </c>
      <c r="AQ3308" t="e">
        <v>#N/A</v>
      </c>
      <c r="AR3308" t="e">
        <v>#N/A</v>
      </c>
      <c r="AS3308" t="e">
        <v>#N/A</v>
      </c>
      <c r="AT3308" t="e">
        <v>#N/A</v>
      </c>
    </row>
    <row r="3309" spans="42:46">
      <c r="AP3309">
        <v>238450</v>
      </c>
      <c r="AQ3309" t="e">
        <v>#N/A</v>
      </c>
      <c r="AR3309" t="e">
        <v>#N/A</v>
      </c>
      <c r="AS3309" t="e">
        <v>#N/A</v>
      </c>
      <c r="AT3309" t="e">
        <v>#N/A</v>
      </c>
    </row>
    <row r="3310" spans="42:46">
      <c r="AP3310">
        <v>238500</v>
      </c>
      <c r="AQ3310" t="e">
        <v>#N/A</v>
      </c>
      <c r="AR3310" t="e">
        <v>#N/A</v>
      </c>
      <c r="AS3310" t="e">
        <v>#N/A</v>
      </c>
      <c r="AT3310" t="e">
        <v>#N/A</v>
      </c>
    </row>
    <row r="3311" spans="42:46">
      <c r="AP3311">
        <v>238550</v>
      </c>
      <c r="AQ3311" t="e">
        <v>#N/A</v>
      </c>
      <c r="AR3311" t="e">
        <v>#N/A</v>
      </c>
      <c r="AS3311" t="e">
        <v>#N/A</v>
      </c>
      <c r="AT3311" t="e">
        <v>#N/A</v>
      </c>
    </row>
    <row r="3312" spans="42:46">
      <c r="AP3312">
        <v>238600</v>
      </c>
      <c r="AQ3312" t="e">
        <v>#N/A</v>
      </c>
      <c r="AR3312" t="e">
        <v>#N/A</v>
      </c>
      <c r="AS3312" t="e">
        <v>#N/A</v>
      </c>
      <c r="AT3312" t="e">
        <v>#N/A</v>
      </c>
    </row>
    <row r="3313" spans="42:46">
      <c r="AP3313">
        <v>238650</v>
      </c>
      <c r="AQ3313" t="e">
        <v>#N/A</v>
      </c>
      <c r="AR3313" t="e">
        <v>#N/A</v>
      </c>
      <c r="AS3313" t="e">
        <v>#N/A</v>
      </c>
      <c r="AT3313" t="e">
        <v>#N/A</v>
      </c>
    </row>
    <row r="3314" spans="42:46">
      <c r="AP3314">
        <v>238700</v>
      </c>
      <c r="AQ3314" t="e">
        <v>#N/A</v>
      </c>
      <c r="AR3314" t="e">
        <v>#N/A</v>
      </c>
      <c r="AS3314" t="e">
        <v>#N/A</v>
      </c>
      <c r="AT3314" t="e">
        <v>#N/A</v>
      </c>
    </row>
    <row r="3315" spans="42:46">
      <c r="AP3315">
        <v>238750</v>
      </c>
      <c r="AQ3315" t="e">
        <v>#N/A</v>
      </c>
      <c r="AR3315" t="e">
        <v>#N/A</v>
      </c>
      <c r="AS3315" t="e">
        <v>#N/A</v>
      </c>
      <c r="AT3315" t="e">
        <v>#N/A</v>
      </c>
    </row>
    <row r="3316" spans="42:46">
      <c r="AP3316">
        <v>238800</v>
      </c>
      <c r="AQ3316" t="e">
        <v>#N/A</v>
      </c>
      <c r="AR3316" t="e">
        <v>#N/A</v>
      </c>
      <c r="AS3316" t="e">
        <v>#N/A</v>
      </c>
      <c r="AT3316" t="e">
        <v>#N/A</v>
      </c>
    </row>
    <row r="3317" spans="42:46">
      <c r="AP3317">
        <v>238850</v>
      </c>
      <c r="AQ3317" t="e">
        <v>#N/A</v>
      </c>
      <c r="AR3317" t="e">
        <v>#N/A</v>
      </c>
      <c r="AS3317" t="e">
        <v>#N/A</v>
      </c>
      <c r="AT3317" t="e">
        <v>#N/A</v>
      </c>
    </row>
    <row r="3318" spans="42:46">
      <c r="AP3318">
        <v>238900</v>
      </c>
      <c r="AQ3318" t="e">
        <v>#N/A</v>
      </c>
      <c r="AR3318" t="e">
        <v>#N/A</v>
      </c>
      <c r="AS3318" t="e">
        <v>#N/A</v>
      </c>
      <c r="AT3318" t="e">
        <v>#N/A</v>
      </c>
    </row>
    <row r="3319" spans="42:46">
      <c r="AP3319">
        <v>238950</v>
      </c>
      <c r="AQ3319" t="e">
        <v>#N/A</v>
      </c>
      <c r="AR3319" t="e">
        <v>#N/A</v>
      </c>
      <c r="AS3319" t="e">
        <v>#N/A</v>
      </c>
      <c r="AT3319" t="e">
        <v>#N/A</v>
      </c>
    </row>
    <row r="3320" spans="42:46">
      <c r="AP3320">
        <v>239000</v>
      </c>
      <c r="AQ3320" t="e">
        <v>#N/A</v>
      </c>
      <c r="AR3320" t="e">
        <v>#N/A</v>
      </c>
      <c r="AS3320" t="e">
        <v>#N/A</v>
      </c>
      <c r="AT3320" t="e">
        <v>#N/A</v>
      </c>
    </row>
    <row r="3321" spans="42:46">
      <c r="AP3321">
        <v>239050</v>
      </c>
      <c r="AQ3321" t="e">
        <v>#N/A</v>
      </c>
      <c r="AR3321" t="e">
        <v>#N/A</v>
      </c>
      <c r="AS3321" t="e">
        <v>#N/A</v>
      </c>
      <c r="AT3321" t="e">
        <v>#N/A</v>
      </c>
    </row>
    <row r="3322" spans="42:46">
      <c r="AP3322">
        <v>239100</v>
      </c>
      <c r="AQ3322" t="e">
        <v>#N/A</v>
      </c>
      <c r="AR3322" t="e">
        <v>#N/A</v>
      </c>
      <c r="AS3322" t="e">
        <v>#N/A</v>
      </c>
      <c r="AT3322" t="e">
        <v>#N/A</v>
      </c>
    </row>
    <row r="3323" spans="42:46">
      <c r="AP3323">
        <v>239150</v>
      </c>
      <c r="AQ3323" t="e">
        <v>#N/A</v>
      </c>
      <c r="AR3323" t="e">
        <v>#N/A</v>
      </c>
      <c r="AS3323" t="e">
        <v>#N/A</v>
      </c>
      <c r="AT3323" t="e">
        <v>#N/A</v>
      </c>
    </row>
    <row r="3324" spans="42:46">
      <c r="AP3324">
        <v>239200</v>
      </c>
      <c r="AQ3324" t="e">
        <v>#N/A</v>
      </c>
      <c r="AR3324" t="e">
        <v>#N/A</v>
      </c>
      <c r="AS3324" t="e">
        <v>#N/A</v>
      </c>
      <c r="AT3324" t="e">
        <v>#N/A</v>
      </c>
    </row>
    <row r="3325" spans="42:46">
      <c r="AP3325">
        <v>239250</v>
      </c>
      <c r="AQ3325" t="e">
        <v>#N/A</v>
      </c>
      <c r="AR3325" t="e">
        <v>#N/A</v>
      </c>
      <c r="AS3325" t="e">
        <v>#N/A</v>
      </c>
      <c r="AT3325" t="e">
        <v>#N/A</v>
      </c>
    </row>
    <row r="3326" spans="42:46">
      <c r="AP3326">
        <v>239300</v>
      </c>
      <c r="AQ3326" t="e">
        <v>#N/A</v>
      </c>
      <c r="AR3326" t="e">
        <v>#N/A</v>
      </c>
      <c r="AS3326" t="e">
        <v>#N/A</v>
      </c>
      <c r="AT3326" t="e">
        <v>#N/A</v>
      </c>
    </row>
    <row r="3327" spans="42:46">
      <c r="AP3327">
        <v>239350</v>
      </c>
      <c r="AQ3327" t="e">
        <v>#N/A</v>
      </c>
      <c r="AR3327" t="e">
        <v>#N/A</v>
      </c>
      <c r="AS3327" t="e">
        <v>#N/A</v>
      </c>
      <c r="AT3327" t="e">
        <v>#N/A</v>
      </c>
    </row>
    <row r="3328" spans="42:46">
      <c r="AP3328">
        <v>239400</v>
      </c>
      <c r="AQ3328" t="e">
        <v>#N/A</v>
      </c>
      <c r="AR3328" t="e">
        <v>#N/A</v>
      </c>
      <c r="AS3328" t="e">
        <v>#N/A</v>
      </c>
      <c r="AT3328" t="e">
        <v>#N/A</v>
      </c>
    </row>
    <row r="3329" spans="42:46">
      <c r="AP3329">
        <v>239450</v>
      </c>
      <c r="AQ3329" t="e">
        <v>#N/A</v>
      </c>
      <c r="AR3329" t="e">
        <v>#N/A</v>
      </c>
      <c r="AS3329" t="e">
        <v>#N/A</v>
      </c>
      <c r="AT3329" t="e">
        <v>#N/A</v>
      </c>
    </row>
    <row r="3330" spans="42:46">
      <c r="AP3330">
        <v>239500</v>
      </c>
      <c r="AQ3330" t="e">
        <v>#N/A</v>
      </c>
      <c r="AR3330" t="e">
        <v>#N/A</v>
      </c>
      <c r="AS3330" t="e">
        <v>#N/A</v>
      </c>
      <c r="AT3330" t="e">
        <v>#N/A</v>
      </c>
    </row>
    <row r="3331" spans="42:46">
      <c r="AP3331">
        <v>239550</v>
      </c>
      <c r="AQ3331" t="e">
        <v>#N/A</v>
      </c>
      <c r="AR3331" t="e">
        <v>#N/A</v>
      </c>
      <c r="AS3331" t="e">
        <v>#N/A</v>
      </c>
      <c r="AT3331" t="e">
        <v>#N/A</v>
      </c>
    </row>
    <row r="3332" spans="42:46">
      <c r="AP3332">
        <v>239600</v>
      </c>
      <c r="AQ3332" t="e">
        <v>#N/A</v>
      </c>
      <c r="AR3332" t="e">
        <v>#N/A</v>
      </c>
      <c r="AS3332" t="e">
        <v>#N/A</v>
      </c>
      <c r="AT3332" t="e">
        <v>#N/A</v>
      </c>
    </row>
    <row r="3333" spans="42:46">
      <c r="AP3333">
        <v>239650</v>
      </c>
      <c r="AQ3333" t="e">
        <v>#N/A</v>
      </c>
      <c r="AR3333" t="e">
        <v>#N/A</v>
      </c>
      <c r="AS3333" t="e">
        <v>#N/A</v>
      </c>
      <c r="AT3333" t="e">
        <v>#N/A</v>
      </c>
    </row>
    <row r="3334" spans="42:46">
      <c r="AP3334">
        <v>239700</v>
      </c>
      <c r="AQ3334" t="e">
        <v>#N/A</v>
      </c>
      <c r="AR3334" t="e">
        <v>#N/A</v>
      </c>
      <c r="AS3334" t="e">
        <v>#N/A</v>
      </c>
      <c r="AT3334" t="e">
        <v>#N/A</v>
      </c>
    </row>
    <row r="3335" spans="42:46">
      <c r="AP3335">
        <v>239750</v>
      </c>
      <c r="AQ3335" t="e">
        <v>#N/A</v>
      </c>
      <c r="AR3335" t="e">
        <v>#N/A</v>
      </c>
      <c r="AS3335" t="e">
        <v>#N/A</v>
      </c>
      <c r="AT3335" t="e">
        <v>#N/A</v>
      </c>
    </row>
    <row r="3336" spans="42:46">
      <c r="AP3336">
        <v>239800</v>
      </c>
      <c r="AQ3336" t="e">
        <v>#N/A</v>
      </c>
      <c r="AR3336" t="e">
        <v>#N/A</v>
      </c>
      <c r="AS3336" t="e">
        <v>#N/A</v>
      </c>
      <c r="AT3336" t="e">
        <v>#N/A</v>
      </c>
    </row>
    <row r="3337" spans="42:46">
      <c r="AP3337">
        <v>239850</v>
      </c>
      <c r="AQ3337" t="e">
        <v>#N/A</v>
      </c>
      <c r="AR3337" t="e">
        <v>#N/A</v>
      </c>
      <c r="AS3337" t="e">
        <v>#N/A</v>
      </c>
      <c r="AT3337" t="e">
        <v>#N/A</v>
      </c>
    </row>
    <row r="3338" spans="42:46">
      <c r="AP3338">
        <v>239900</v>
      </c>
      <c r="AQ3338" t="e">
        <v>#N/A</v>
      </c>
      <c r="AR3338" t="e">
        <v>#N/A</v>
      </c>
      <c r="AS3338" t="e">
        <v>#N/A</v>
      </c>
      <c r="AT3338" t="e">
        <v>#N/A</v>
      </c>
    </row>
    <row r="3339" spans="42:46">
      <c r="AP3339">
        <v>239950</v>
      </c>
      <c r="AQ3339" t="e">
        <v>#N/A</v>
      </c>
      <c r="AR3339" t="e">
        <v>#N/A</v>
      </c>
      <c r="AS3339" t="e">
        <v>#N/A</v>
      </c>
      <c r="AT3339" t="e">
        <v>#N/A</v>
      </c>
    </row>
    <row r="3340" spans="42:46">
      <c r="AP3340">
        <v>240000</v>
      </c>
      <c r="AQ3340" t="e">
        <v>#N/A</v>
      </c>
      <c r="AR3340" t="e">
        <v>#N/A</v>
      </c>
      <c r="AS3340" t="e">
        <v>#N/A</v>
      </c>
      <c r="AT3340" t="e">
        <v>#N/A</v>
      </c>
    </row>
    <row r="3341" spans="42:46">
      <c r="AP3341">
        <v>240050</v>
      </c>
      <c r="AQ3341" t="e">
        <v>#N/A</v>
      </c>
      <c r="AR3341" t="e">
        <v>#N/A</v>
      </c>
      <c r="AS3341" t="e">
        <v>#N/A</v>
      </c>
      <c r="AT3341" t="e">
        <v>#N/A</v>
      </c>
    </row>
    <row r="3342" spans="42:46">
      <c r="AP3342">
        <v>240100</v>
      </c>
      <c r="AQ3342" t="e">
        <v>#N/A</v>
      </c>
      <c r="AR3342" t="e">
        <v>#N/A</v>
      </c>
      <c r="AS3342" t="e">
        <v>#N/A</v>
      </c>
      <c r="AT3342" t="e">
        <v>#N/A</v>
      </c>
    </row>
    <row r="3343" spans="42:46">
      <c r="AP3343">
        <v>240150</v>
      </c>
      <c r="AQ3343" t="e">
        <v>#N/A</v>
      </c>
      <c r="AR3343" t="e">
        <v>#N/A</v>
      </c>
      <c r="AS3343" t="e">
        <v>#N/A</v>
      </c>
      <c r="AT3343" t="e">
        <v>#N/A</v>
      </c>
    </row>
    <row r="3344" spans="42:46">
      <c r="AP3344">
        <v>240200</v>
      </c>
      <c r="AQ3344" t="e">
        <v>#N/A</v>
      </c>
      <c r="AR3344" t="e">
        <v>#N/A</v>
      </c>
      <c r="AS3344" t="e">
        <v>#N/A</v>
      </c>
      <c r="AT3344" t="e">
        <v>#N/A</v>
      </c>
    </row>
    <row r="3345" spans="42:46">
      <c r="AP3345">
        <v>240250</v>
      </c>
      <c r="AQ3345" t="e">
        <v>#N/A</v>
      </c>
      <c r="AR3345" t="e">
        <v>#N/A</v>
      </c>
      <c r="AS3345" t="e">
        <v>#N/A</v>
      </c>
      <c r="AT3345" t="e">
        <v>#N/A</v>
      </c>
    </row>
    <row r="3346" spans="42:46">
      <c r="AP3346">
        <v>240300</v>
      </c>
      <c r="AQ3346" t="e">
        <v>#N/A</v>
      </c>
      <c r="AR3346" t="e">
        <v>#N/A</v>
      </c>
      <c r="AS3346" t="e">
        <v>#N/A</v>
      </c>
      <c r="AT3346" t="e">
        <v>#N/A</v>
      </c>
    </row>
    <row r="3347" spans="42:46">
      <c r="AP3347">
        <v>240350</v>
      </c>
      <c r="AQ3347" t="e">
        <v>#N/A</v>
      </c>
      <c r="AR3347" t="e">
        <v>#N/A</v>
      </c>
      <c r="AS3347" t="e">
        <v>#N/A</v>
      </c>
      <c r="AT3347" t="e">
        <v>#N/A</v>
      </c>
    </row>
    <row r="3348" spans="42:46">
      <c r="AP3348">
        <v>240400</v>
      </c>
      <c r="AQ3348" t="e">
        <v>#N/A</v>
      </c>
      <c r="AR3348" t="e">
        <v>#N/A</v>
      </c>
      <c r="AS3348" t="e">
        <v>#N/A</v>
      </c>
      <c r="AT3348" t="e">
        <v>#N/A</v>
      </c>
    </row>
    <row r="3349" spans="42:46">
      <c r="AP3349">
        <v>240450</v>
      </c>
      <c r="AQ3349" t="e">
        <v>#N/A</v>
      </c>
      <c r="AR3349" t="e">
        <v>#N/A</v>
      </c>
      <c r="AS3349" t="e">
        <v>#N/A</v>
      </c>
      <c r="AT3349" t="e">
        <v>#N/A</v>
      </c>
    </row>
    <row r="3350" spans="42:46">
      <c r="AP3350">
        <v>240500</v>
      </c>
      <c r="AQ3350" t="e">
        <v>#N/A</v>
      </c>
      <c r="AR3350" t="e">
        <v>#N/A</v>
      </c>
      <c r="AS3350" t="e">
        <v>#N/A</v>
      </c>
      <c r="AT3350" t="e">
        <v>#N/A</v>
      </c>
    </row>
    <row r="3351" spans="42:46">
      <c r="AP3351">
        <v>240550</v>
      </c>
      <c r="AQ3351" t="e">
        <v>#N/A</v>
      </c>
      <c r="AR3351" t="e">
        <v>#N/A</v>
      </c>
      <c r="AS3351" t="e">
        <v>#N/A</v>
      </c>
      <c r="AT3351" t="e">
        <v>#N/A</v>
      </c>
    </row>
    <row r="3352" spans="42:46">
      <c r="AP3352">
        <v>240600</v>
      </c>
      <c r="AQ3352" t="e">
        <v>#N/A</v>
      </c>
      <c r="AR3352" t="e">
        <v>#N/A</v>
      </c>
      <c r="AS3352" t="e">
        <v>#N/A</v>
      </c>
      <c r="AT3352" t="e">
        <v>#N/A</v>
      </c>
    </row>
    <row r="3353" spans="42:46">
      <c r="AP3353">
        <v>240650</v>
      </c>
      <c r="AQ3353" t="e">
        <v>#N/A</v>
      </c>
      <c r="AR3353" t="e">
        <v>#N/A</v>
      </c>
      <c r="AS3353" t="e">
        <v>#N/A</v>
      </c>
      <c r="AT3353" t="e">
        <v>#N/A</v>
      </c>
    </row>
    <row r="3354" spans="42:46">
      <c r="AP3354">
        <v>240700</v>
      </c>
      <c r="AQ3354" t="e">
        <v>#N/A</v>
      </c>
      <c r="AR3354" t="e">
        <v>#N/A</v>
      </c>
      <c r="AS3354" t="e">
        <v>#N/A</v>
      </c>
      <c r="AT3354" t="e">
        <v>#N/A</v>
      </c>
    </row>
    <row r="3355" spans="42:46">
      <c r="AP3355">
        <v>240750</v>
      </c>
      <c r="AQ3355" t="e">
        <v>#N/A</v>
      </c>
      <c r="AR3355" t="e">
        <v>#N/A</v>
      </c>
      <c r="AS3355" t="e">
        <v>#N/A</v>
      </c>
      <c r="AT3355" t="e">
        <v>#N/A</v>
      </c>
    </row>
    <row r="3356" spans="42:46">
      <c r="AP3356">
        <v>240800</v>
      </c>
      <c r="AQ3356" t="e">
        <v>#N/A</v>
      </c>
      <c r="AR3356" t="e">
        <v>#N/A</v>
      </c>
      <c r="AS3356" t="e">
        <v>#N/A</v>
      </c>
      <c r="AT3356" t="e">
        <v>#N/A</v>
      </c>
    </row>
    <row r="3357" spans="42:46">
      <c r="AP3357">
        <v>240850</v>
      </c>
      <c r="AQ3357" t="e">
        <v>#N/A</v>
      </c>
      <c r="AR3357" t="e">
        <v>#N/A</v>
      </c>
      <c r="AS3357" t="e">
        <v>#N/A</v>
      </c>
      <c r="AT3357" t="e">
        <v>#N/A</v>
      </c>
    </row>
    <row r="3358" spans="42:46">
      <c r="AP3358">
        <v>240900</v>
      </c>
      <c r="AQ3358" t="e">
        <v>#N/A</v>
      </c>
      <c r="AR3358" t="e">
        <v>#N/A</v>
      </c>
      <c r="AS3358" t="e">
        <v>#N/A</v>
      </c>
      <c r="AT3358" t="e">
        <v>#N/A</v>
      </c>
    </row>
    <row r="3359" spans="42:46">
      <c r="AP3359">
        <v>240950</v>
      </c>
      <c r="AQ3359" t="e">
        <v>#N/A</v>
      </c>
      <c r="AR3359" t="e">
        <v>#N/A</v>
      </c>
      <c r="AS3359" t="e">
        <v>#N/A</v>
      </c>
      <c r="AT3359" t="e">
        <v>#N/A</v>
      </c>
    </row>
    <row r="3360" spans="42:46">
      <c r="AP3360">
        <v>241000</v>
      </c>
      <c r="AQ3360" t="e">
        <v>#N/A</v>
      </c>
      <c r="AR3360" t="e">
        <v>#N/A</v>
      </c>
      <c r="AS3360" t="e">
        <v>#N/A</v>
      </c>
      <c r="AT3360" t="e">
        <v>#N/A</v>
      </c>
    </row>
    <row r="3361" spans="42:46">
      <c r="AP3361">
        <v>241050</v>
      </c>
      <c r="AQ3361" t="e">
        <v>#N/A</v>
      </c>
      <c r="AR3361" t="e">
        <v>#N/A</v>
      </c>
      <c r="AS3361" t="e">
        <v>#N/A</v>
      </c>
      <c r="AT3361" t="e">
        <v>#N/A</v>
      </c>
    </row>
    <row r="3362" spans="42:46">
      <c r="AP3362">
        <v>241100</v>
      </c>
      <c r="AQ3362" t="e">
        <v>#N/A</v>
      </c>
      <c r="AR3362" t="e">
        <v>#N/A</v>
      </c>
      <c r="AS3362" t="e">
        <v>#N/A</v>
      </c>
      <c r="AT3362" t="e">
        <v>#N/A</v>
      </c>
    </row>
    <row r="3363" spans="42:46">
      <c r="AP3363">
        <v>241150</v>
      </c>
      <c r="AQ3363" t="e">
        <v>#N/A</v>
      </c>
      <c r="AR3363" t="e">
        <v>#N/A</v>
      </c>
      <c r="AS3363" t="e">
        <v>#N/A</v>
      </c>
      <c r="AT3363" t="e">
        <v>#N/A</v>
      </c>
    </row>
    <row r="3364" spans="42:46">
      <c r="AP3364">
        <v>241200</v>
      </c>
      <c r="AQ3364" t="e">
        <v>#N/A</v>
      </c>
      <c r="AR3364" t="e">
        <v>#N/A</v>
      </c>
      <c r="AS3364" t="e">
        <v>#N/A</v>
      </c>
      <c r="AT3364" t="e">
        <v>#N/A</v>
      </c>
    </row>
    <row r="3365" spans="42:46">
      <c r="AP3365">
        <v>241250</v>
      </c>
      <c r="AQ3365" t="e">
        <v>#N/A</v>
      </c>
      <c r="AR3365" t="e">
        <v>#N/A</v>
      </c>
      <c r="AS3365" t="e">
        <v>#N/A</v>
      </c>
      <c r="AT3365" t="e">
        <v>#N/A</v>
      </c>
    </row>
    <row r="3366" spans="42:46">
      <c r="AP3366">
        <v>241300</v>
      </c>
      <c r="AQ3366" t="e">
        <v>#N/A</v>
      </c>
      <c r="AR3366" t="e">
        <v>#N/A</v>
      </c>
      <c r="AS3366" t="e">
        <v>#N/A</v>
      </c>
      <c r="AT3366" t="e">
        <v>#N/A</v>
      </c>
    </row>
    <row r="3367" spans="42:46">
      <c r="AP3367">
        <v>241350</v>
      </c>
      <c r="AQ3367" t="e">
        <v>#N/A</v>
      </c>
      <c r="AR3367" t="e">
        <v>#N/A</v>
      </c>
      <c r="AS3367" t="e">
        <v>#N/A</v>
      </c>
      <c r="AT3367" t="e">
        <v>#N/A</v>
      </c>
    </row>
    <row r="3368" spans="42:46">
      <c r="AP3368">
        <v>241400</v>
      </c>
      <c r="AQ3368" t="e">
        <v>#N/A</v>
      </c>
      <c r="AR3368" t="e">
        <v>#N/A</v>
      </c>
      <c r="AS3368" t="e">
        <v>#N/A</v>
      </c>
      <c r="AT3368" t="e">
        <v>#N/A</v>
      </c>
    </row>
    <row r="3369" spans="42:46">
      <c r="AP3369">
        <v>241450</v>
      </c>
      <c r="AQ3369" t="e">
        <v>#N/A</v>
      </c>
      <c r="AR3369" t="e">
        <v>#N/A</v>
      </c>
      <c r="AS3369" t="e">
        <v>#N/A</v>
      </c>
      <c r="AT3369" t="e">
        <v>#N/A</v>
      </c>
    </row>
    <row r="3370" spans="42:46">
      <c r="AP3370">
        <v>241500</v>
      </c>
      <c r="AQ3370" t="e">
        <v>#N/A</v>
      </c>
      <c r="AR3370" t="e">
        <v>#N/A</v>
      </c>
      <c r="AS3370" t="e">
        <v>#N/A</v>
      </c>
      <c r="AT3370" t="e">
        <v>#N/A</v>
      </c>
    </row>
    <row r="3371" spans="42:46">
      <c r="AP3371">
        <v>241550</v>
      </c>
      <c r="AQ3371" t="e">
        <v>#N/A</v>
      </c>
      <c r="AR3371" t="e">
        <v>#N/A</v>
      </c>
      <c r="AS3371" t="e">
        <v>#N/A</v>
      </c>
      <c r="AT3371" t="e">
        <v>#N/A</v>
      </c>
    </row>
    <row r="3372" spans="42:46">
      <c r="AP3372">
        <v>241600</v>
      </c>
      <c r="AQ3372" t="e">
        <v>#N/A</v>
      </c>
      <c r="AR3372" t="e">
        <v>#N/A</v>
      </c>
      <c r="AS3372" t="e">
        <v>#N/A</v>
      </c>
      <c r="AT3372" t="e">
        <v>#N/A</v>
      </c>
    </row>
    <row r="3373" spans="42:46">
      <c r="AP3373">
        <v>241650</v>
      </c>
      <c r="AQ3373" t="e">
        <v>#N/A</v>
      </c>
      <c r="AR3373" t="e">
        <v>#N/A</v>
      </c>
      <c r="AS3373" t="e">
        <v>#N/A</v>
      </c>
      <c r="AT3373" t="e">
        <v>#N/A</v>
      </c>
    </row>
    <row r="3374" spans="42:46">
      <c r="AP3374">
        <v>241700</v>
      </c>
      <c r="AQ3374" t="e">
        <v>#N/A</v>
      </c>
      <c r="AR3374" t="e">
        <v>#N/A</v>
      </c>
      <c r="AS3374" t="e">
        <v>#N/A</v>
      </c>
      <c r="AT3374" t="e">
        <v>#N/A</v>
      </c>
    </row>
    <row r="3375" spans="42:46">
      <c r="AP3375">
        <v>241750</v>
      </c>
      <c r="AQ3375" t="e">
        <v>#N/A</v>
      </c>
      <c r="AR3375" t="e">
        <v>#N/A</v>
      </c>
      <c r="AS3375" t="e">
        <v>#N/A</v>
      </c>
      <c r="AT3375" t="e">
        <v>#N/A</v>
      </c>
    </row>
    <row r="3376" spans="42:46">
      <c r="AP3376">
        <v>241800</v>
      </c>
      <c r="AQ3376" t="e">
        <v>#N/A</v>
      </c>
      <c r="AR3376" t="e">
        <v>#N/A</v>
      </c>
      <c r="AS3376" t="e">
        <v>#N/A</v>
      </c>
      <c r="AT3376" t="e">
        <v>#N/A</v>
      </c>
    </row>
    <row r="3377" spans="42:46">
      <c r="AP3377">
        <v>241850</v>
      </c>
      <c r="AQ3377" t="e">
        <v>#N/A</v>
      </c>
      <c r="AR3377" t="e">
        <v>#N/A</v>
      </c>
      <c r="AS3377" t="e">
        <v>#N/A</v>
      </c>
      <c r="AT3377" t="e">
        <v>#N/A</v>
      </c>
    </row>
    <row r="3378" spans="42:46">
      <c r="AP3378">
        <v>241900</v>
      </c>
      <c r="AQ3378" t="e">
        <v>#N/A</v>
      </c>
      <c r="AR3378" t="e">
        <v>#N/A</v>
      </c>
      <c r="AS3378" t="e">
        <v>#N/A</v>
      </c>
      <c r="AT3378" t="e">
        <v>#N/A</v>
      </c>
    </row>
    <row r="3379" spans="42:46">
      <c r="AP3379">
        <v>241950</v>
      </c>
      <c r="AQ3379" t="e">
        <v>#N/A</v>
      </c>
      <c r="AR3379" t="e">
        <v>#N/A</v>
      </c>
      <c r="AS3379" t="e">
        <v>#N/A</v>
      </c>
      <c r="AT3379" t="e">
        <v>#N/A</v>
      </c>
    </row>
    <row r="3380" spans="42:46">
      <c r="AP3380">
        <v>242000</v>
      </c>
      <c r="AQ3380" t="e">
        <v>#N/A</v>
      </c>
      <c r="AR3380" t="e">
        <v>#N/A</v>
      </c>
      <c r="AS3380" t="e">
        <v>#N/A</v>
      </c>
      <c r="AT3380" t="e">
        <v>#N/A</v>
      </c>
    </row>
    <row r="3381" spans="42:46">
      <c r="AP3381">
        <v>242050</v>
      </c>
      <c r="AQ3381" t="e">
        <v>#N/A</v>
      </c>
      <c r="AR3381" t="e">
        <v>#N/A</v>
      </c>
      <c r="AS3381" t="e">
        <v>#N/A</v>
      </c>
      <c r="AT3381" t="e">
        <v>#N/A</v>
      </c>
    </row>
    <row r="3382" spans="42:46">
      <c r="AP3382">
        <v>242100</v>
      </c>
      <c r="AQ3382" t="e">
        <v>#N/A</v>
      </c>
      <c r="AR3382" t="e">
        <v>#N/A</v>
      </c>
      <c r="AS3382" t="e">
        <v>#N/A</v>
      </c>
      <c r="AT3382" t="e">
        <v>#N/A</v>
      </c>
    </row>
    <row r="3383" spans="42:46">
      <c r="AP3383">
        <v>242150</v>
      </c>
      <c r="AQ3383" t="e">
        <v>#N/A</v>
      </c>
      <c r="AR3383" t="e">
        <v>#N/A</v>
      </c>
      <c r="AS3383" t="e">
        <v>#N/A</v>
      </c>
      <c r="AT3383" t="e">
        <v>#N/A</v>
      </c>
    </row>
    <row r="3384" spans="42:46">
      <c r="AP3384">
        <v>242200</v>
      </c>
      <c r="AQ3384" t="e">
        <v>#N/A</v>
      </c>
      <c r="AR3384" t="e">
        <v>#N/A</v>
      </c>
      <c r="AS3384" t="e">
        <v>#N/A</v>
      </c>
      <c r="AT3384" t="e">
        <v>#N/A</v>
      </c>
    </row>
    <row r="3385" spans="42:46">
      <c r="AP3385">
        <v>242250</v>
      </c>
      <c r="AQ3385" t="e">
        <v>#N/A</v>
      </c>
      <c r="AR3385" t="e">
        <v>#N/A</v>
      </c>
      <c r="AS3385" t="e">
        <v>#N/A</v>
      </c>
      <c r="AT3385" t="e">
        <v>#N/A</v>
      </c>
    </row>
    <row r="3386" spans="42:46">
      <c r="AP3386">
        <v>242300</v>
      </c>
      <c r="AQ3386" t="e">
        <v>#N/A</v>
      </c>
      <c r="AR3386" t="e">
        <v>#N/A</v>
      </c>
      <c r="AS3386" t="e">
        <v>#N/A</v>
      </c>
      <c r="AT3386" t="e">
        <v>#N/A</v>
      </c>
    </row>
    <row r="3387" spans="42:46">
      <c r="AP3387">
        <v>242350</v>
      </c>
      <c r="AQ3387" t="e">
        <v>#N/A</v>
      </c>
      <c r="AR3387" t="e">
        <v>#N/A</v>
      </c>
      <c r="AS3387" t="e">
        <v>#N/A</v>
      </c>
      <c r="AT3387" t="e">
        <v>#N/A</v>
      </c>
    </row>
    <row r="3388" spans="42:46">
      <c r="AP3388">
        <v>242400</v>
      </c>
      <c r="AQ3388" t="e">
        <v>#N/A</v>
      </c>
      <c r="AR3388" t="e">
        <v>#N/A</v>
      </c>
      <c r="AS3388" t="e">
        <v>#N/A</v>
      </c>
      <c r="AT3388" t="e">
        <v>#N/A</v>
      </c>
    </row>
    <row r="3389" spans="42:46">
      <c r="AP3389">
        <v>242450</v>
      </c>
      <c r="AQ3389" t="e">
        <v>#N/A</v>
      </c>
      <c r="AR3389" t="e">
        <v>#N/A</v>
      </c>
      <c r="AS3389" t="e">
        <v>#N/A</v>
      </c>
      <c r="AT3389" t="e">
        <v>#N/A</v>
      </c>
    </row>
    <row r="3390" spans="42:46">
      <c r="AP3390">
        <v>242500</v>
      </c>
      <c r="AQ3390" t="e">
        <v>#N/A</v>
      </c>
      <c r="AR3390" t="e">
        <v>#N/A</v>
      </c>
      <c r="AS3390" t="e">
        <v>#N/A</v>
      </c>
      <c r="AT3390" t="e">
        <v>#N/A</v>
      </c>
    </row>
    <row r="3391" spans="42:46">
      <c r="AP3391">
        <v>242550</v>
      </c>
      <c r="AQ3391" t="e">
        <v>#N/A</v>
      </c>
      <c r="AR3391" t="e">
        <v>#N/A</v>
      </c>
      <c r="AS3391" t="e">
        <v>#N/A</v>
      </c>
      <c r="AT3391" t="e">
        <v>#N/A</v>
      </c>
    </row>
    <row r="3392" spans="42:46">
      <c r="AP3392">
        <v>242600</v>
      </c>
      <c r="AQ3392" t="e">
        <v>#N/A</v>
      </c>
      <c r="AR3392" t="e">
        <v>#N/A</v>
      </c>
      <c r="AS3392" t="e">
        <v>#N/A</v>
      </c>
      <c r="AT3392" t="e">
        <v>#N/A</v>
      </c>
    </row>
    <row r="3393" spans="42:46">
      <c r="AP3393">
        <v>242650</v>
      </c>
      <c r="AQ3393" t="e">
        <v>#N/A</v>
      </c>
      <c r="AR3393" t="e">
        <v>#N/A</v>
      </c>
      <c r="AS3393" t="e">
        <v>#N/A</v>
      </c>
      <c r="AT3393" t="e">
        <v>#N/A</v>
      </c>
    </row>
    <row r="3394" spans="42:46">
      <c r="AP3394">
        <v>242700</v>
      </c>
      <c r="AQ3394" t="e">
        <v>#N/A</v>
      </c>
      <c r="AR3394" t="e">
        <v>#N/A</v>
      </c>
      <c r="AS3394" t="e">
        <v>#N/A</v>
      </c>
      <c r="AT3394" t="e">
        <v>#N/A</v>
      </c>
    </row>
    <row r="3395" spans="42:46">
      <c r="AP3395">
        <v>242750</v>
      </c>
      <c r="AQ3395" t="e">
        <v>#N/A</v>
      </c>
      <c r="AR3395" t="e">
        <v>#N/A</v>
      </c>
      <c r="AS3395" t="e">
        <v>#N/A</v>
      </c>
      <c r="AT3395" t="e">
        <v>#N/A</v>
      </c>
    </row>
    <row r="3396" spans="42:46">
      <c r="AP3396">
        <v>242800</v>
      </c>
      <c r="AQ3396" t="e">
        <v>#N/A</v>
      </c>
      <c r="AR3396" t="e">
        <v>#N/A</v>
      </c>
      <c r="AS3396" t="e">
        <v>#N/A</v>
      </c>
      <c r="AT3396" t="e">
        <v>#N/A</v>
      </c>
    </row>
    <row r="3397" spans="42:46">
      <c r="AP3397">
        <v>242850</v>
      </c>
      <c r="AQ3397" t="e">
        <v>#N/A</v>
      </c>
      <c r="AR3397" t="e">
        <v>#N/A</v>
      </c>
      <c r="AS3397" t="e">
        <v>#N/A</v>
      </c>
      <c r="AT3397" t="e">
        <v>#N/A</v>
      </c>
    </row>
    <row r="3398" spans="42:46">
      <c r="AP3398">
        <v>242900</v>
      </c>
      <c r="AQ3398" t="e">
        <v>#N/A</v>
      </c>
      <c r="AR3398" t="e">
        <v>#N/A</v>
      </c>
      <c r="AS3398" t="e">
        <v>#N/A</v>
      </c>
      <c r="AT3398" t="e">
        <v>#N/A</v>
      </c>
    </row>
    <row r="3399" spans="42:46">
      <c r="AP3399">
        <v>242950</v>
      </c>
      <c r="AQ3399" t="e">
        <v>#N/A</v>
      </c>
      <c r="AR3399" t="e">
        <v>#N/A</v>
      </c>
      <c r="AS3399" t="e">
        <v>#N/A</v>
      </c>
      <c r="AT3399" t="e">
        <v>#N/A</v>
      </c>
    </row>
    <row r="3400" spans="42:46">
      <c r="AP3400">
        <v>243000</v>
      </c>
      <c r="AQ3400" t="e">
        <v>#N/A</v>
      </c>
      <c r="AR3400" t="e">
        <v>#N/A</v>
      </c>
      <c r="AS3400" t="e">
        <v>#N/A</v>
      </c>
      <c r="AT3400" t="e">
        <v>#N/A</v>
      </c>
    </row>
    <row r="3401" spans="42:46">
      <c r="AP3401">
        <v>243050</v>
      </c>
      <c r="AQ3401" t="e">
        <v>#N/A</v>
      </c>
      <c r="AR3401" t="e">
        <v>#N/A</v>
      </c>
      <c r="AS3401" t="e">
        <v>#N/A</v>
      </c>
      <c r="AT3401" t="e">
        <v>#N/A</v>
      </c>
    </row>
    <row r="3402" spans="42:46">
      <c r="AP3402">
        <v>243100</v>
      </c>
      <c r="AQ3402" t="e">
        <v>#N/A</v>
      </c>
      <c r="AR3402" t="e">
        <v>#N/A</v>
      </c>
      <c r="AS3402" t="e">
        <v>#N/A</v>
      </c>
      <c r="AT3402" t="e">
        <v>#N/A</v>
      </c>
    </row>
    <row r="3403" spans="42:46">
      <c r="AP3403">
        <v>243150</v>
      </c>
      <c r="AQ3403" t="e">
        <v>#N/A</v>
      </c>
      <c r="AR3403" t="e">
        <v>#N/A</v>
      </c>
      <c r="AS3403" t="e">
        <v>#N/A</v>
      </c>
      <c r="AT3403" t="e">
        <v>#N/A</v>
      </c>
    </row>
    <row r="3404" spans="42:46">
      <c r="AP3404">
        <v>243200</v>
      </c>
      <c r="AQ3404" t="e">
        <v>#N/A</v>
      </c>
      <c r="AR3404" t="e">
        <v>#N/A</v>
      </c>
      <c r="AS3404" t="e">
        <v>#N/A</v>
      </c>
      <c r="AT3404" t="e">
        <v>#N/A</v>
      </c>
    </row>
    <row r="3405" spans="42:46">
      <c r="AP3405">
        <v>243250</v>
      </c>
      <c r="AQ3405" t="e">
        <v>#N/A</v>
      </c>
      <c r="AR3405" t="e">
        <v>#N/A</v>
      </c>
      <c r="AS3405" t="e">
        <v>#N/A</v>
      </c>
      <c r="AT3405" t="e">
        <v>#N/A</v>
      </c>
    </row>
    <row r="3406" spans="42:46">
      <c r="AP3406">
        <v>243300</v>
      </c>
      <c r="AQ3406" t="e">
        <v>#N/A</v>
      </c>
      <c r="AR3406" t="e">
        <v>#N/A</v>
      </c>
      <c r="AS3406" t="e">
        <v>#N/A</v>
      </c>
      <c r="AT3406" t="e">
        <v>#N/A</v>
      </c>
    </row>
    <row r="3407" spans="42:46">
      <c r="AP3407">
        <v>243350</v>
      </c>
      <c r="AQ3407" t="e">
        <v>#N/A</v>
      </c>
      <c r="AR3407" t="e">
        <v>#N/A</v>
      </c>
      <c r="AS3407" t="e">
        <v>#N/A</v>
      </c>
      <c r="AT3407" t="e">
        <v>#N/A</v>
      </c>
    </row>
    <row r="3408" spans="42:46">
      <c r="AP3408">
        <v>243400</v>
      </c>
      <c r="AQ3408" t="e">
        <v>#N/A</v>
      </c>
      <c r="AR3408" t="e">
        <v>#N/A</v>
      </c>
      <c r="AS3408" t="e">
        <v>#N/A</v>
      </c>
      <c r="AT3408" t="e">
        <v>#N/A</v>
      </c>
    </row>
    <row r="3409" spans="42:46">
      <c r="AP3409">
        <v>243450</v>
      </c>
      <c r="AQ3409" t="e">
        <v>#N/A</v>
      </c>
      <c r="AR3409" t="e">
        <v>#N/A</v>
      </c>
      <c r="AS3409" t="e">
        <v>#N/A</v>
      </c>
      <c r="AT3409" t="e">
        <v>#N/A</v>
      </c>
    </row>
    <row r="3410" spans="42:46">
      <c r="AP3410">
        <v>243500</v>
      </c>
      <c r="AQ3410" t="e">
        <v>#N/A</v>
      </c>
      <c r="AR3410" t="e">
        <v>#N/A</v>
      </c>
      <c r="AS3410" t="e">
        <v>#N/A</v>
      </c>
      <c r="AT3410" t="e">
        <v>#N/A</v>
      </c>
    </row>
    <row r="3411" spans="42:46">
      <c r="AP3411">
        <v>243550</v>
      </c>
      <c r="AQ3411" t="e">
        <v>#N/A</v>
      </c>
      <c r="AR3411" t="e">
        <v>#N/A</v>
      </c>
      <c r="AS3411" t="e">
        <v>#N/A</v>
      </c>
      <c r="AT3411" t="e">
        <v>#N/A</v>
      </c>
    </row>
    <row r="3412" spans="42:46">
      <c r="AP3412">
        <v>243600</v>
      </c>
      <c r="AQ3412" t="e">
        <v>#N/A</v>
      </c>
      <c r="AR3412" t="e">
        <v>#N/A</v>
      </c>
      <c r="AS3412" t="e">
        <v>#N/A</v>
      </c>
      <c r="AT3412" t="e">
        <v>#N/A</v>
      </c>
    </row>
    <row r="3413" spans="42:46">
      <c r="AP3413">
        <v>243650</v>
      </c>
      <c r="AQ3413" t="e">
        <v>#N/A</v>
      </c>
      <c r="AR3413" t="e">
        <v>#N/A</v>
      </c>
      <c r="AS3413" t="e">
        <v>#N/A</v>
      </c>
      <c r="AT3413" t="e">
        <v>#N/A</v>
      </c>
    </row>
    <row r="3414" spans="42:46">
      <c r="AP3414">
        <v>243700</v>
      </c>
      <c r="AQ3414" t="e">
        <v>#N/A</v>
      </c>
      <c r="AR3414" t="e">
        <v>#N/A</v>
      </c>
      <c r="AS3414" t="e">
        <v>#N/A</v>
      </c>
      <c r="AT3414" t="e">
        <v>#N/A</v>
      </c>
    </row>
    <row r="3415" spans="42:46">
      <c r="AP3415">
        <v>243750</v>
      </c>
      <c r="AQ3415" t="e">
        <v>#N/A</v>
      </c>
      <c r="AR3415" t="e">
        <v>#N/A</v>
      </c>
      <c r="AS3415" t="e">
        <v>#N/A</v>
      </c>
      <c r="AT3415" t="e">
        <v>#N/A</v>
      </c>
    </row>
    <row r="3416" spans="42:46">
      <c r="AP3416">
        <v>243800</v>
      </c>
      <c r="AQ3416" t="e">
        <v>#N/A</v>
      </c>
      <c r="AR3416" t="e">
        <v>#N/A</v>
      </c>
      <c r="AS3416" t="e">
        <v>#N/A</v>
      </c>
      <c r="AT3416" t="e">
        <v>#N/A</v>
      </c>
    </row>
    <row r="3417" spans="42:46">
      <c r="AP3417">
        <v>243850</v>
      </c>
      <c r="AQ3417" t="e">
        <v>#N/A</v>
      </c>
      <c r="AR3417" t="e">
        <v>#N/A</v>
      </c>
      <c r="AS3417" t="e">
        <v>#N/A</v>
      </c>
      <c r="AT3417" t="e">
        <v>#N/A</v>
      </c>
    </row>
    <row r="3418" spans="42:46">
      <c r="AP3418">
        <v>243900</v>
      </c>
      <c r="AQ3418" t="e">
        <v>#N/A</v>
      </c>
      <c r="AR3418" t="e">
        <v>#N/A</v>
      </c>
      <c r="AS3418" t="e">
        <v>#N/A</v>
      </c>
      <c r="AT3418" t="e">
        <v>#N/A</v>
      </c>
    </row>
    <row r="3419" spans="42:46">
      <c r="AP3419">
        <v>243950</v>
      </c>
      <c r="AQ3419" t="e">
        <v>#N/A</v>
      </c>
      <c r="AR3419" t="e">
        <v>#N/A</v>
      </c>
      <c r="AS3419" t="e">
        <v>#N/A</v>
      </c>
      <c r="AT3419" t="e">
        <v>#N/A</v>
      </c>
    </row>
    <row r="3420" spans="42:46">
      <c r="AP3420">
        <v>244000</v>
      </c>
      <c r="AQ3420" t="e">
        <v>#N/A</v>
      </c>
      <c r="AR3420" t="e">
        <v>#N/A</v>
      </c>
      <c r="AS3420" t="e">
        <v>#N/A</v>
      </c>
      <c r="AT3420" t="e">
        <v>#N/A</v>
      </c>
    </row>
    <row r="3421" spans="42:46">
      <c r="AP3421">
        <v>244050</v>
      </c>
      <c r="AQ3421" t="e">
        <v>#N/A</v>
      </c>
      <c r="AR3421" t="e">
        <v>#N/A</v>
      </c>
      <c r="AS3421" t="e">
        <v>#N/A</v>
      </c>
      <c r="AT3421" t="e">
        <v>#N/A</v>
      </c>
    </row>
    <row r="3422" spans="42:46">
      <c r="AP3422">
        <v>244100</v>
      </c>
      <c r="AQ3422" t="e">
        <v>#N/A</v>
      </c>
      <c r="AR3422" t="e">
        <v>#N/A</v>
      </c>
      <c r="AS3422" t="e">
        <v>#N/A</v>
      </c>
      <c r="AT3422" t="e">
        <v>#N/A</v>
      </c>
    </row>
    <row r="3423" spans="42:46">
      <c r="AP3423">
        <v>244150</v>
      </c>
      <c r="AQ3423" t="e">
        <v>#N/A</v>
      </c>
      <c r="AR3423" t="e">
        <v>#N/A</v>
      </c>
      <c r="AS3423" t="e">
        <v>#N/A</v>
      </c>
      <c r="AT3423" t="e">
        <v>#N/A</v>
      </c>
    </row>
    <row r="3424" spans="42:46">
      <c r="AP3424">
        <v>244200</v>
      </c>
      <c r="AQ3424" t="e">
        <v>#N/A</v>
      </c>
      <c r="AR3424" t="e">
        <v>#N/A</v>
      </c>
      <c r="AS3424" t="e">
        <v>#N/A</v>
      </c>
      <c r="AT3424" t="e">
        <v>#N/A</v>
      </c>
    </row>
    <row r="3425" spans="42:46">
      <c r="AP3425">
        <v>244250</v>
      </c>
      <c r="AQ3425" t="e">
        <v>#N/A</v>
      </c>
      <c r="AR3425" t="e">
        <v>#N/A</v>
      </c>
      <c r="AS3425" t="e">
        <v>#N/A</v>
      </c>
      <c r="AT3425" t="e">
        <v>#N/A</v>
      </c>
    </row>
    <row r="3426" spans="42:46">
      <c r="AP3426">
        <v>244300</v>
      </c>
      <c r="AQ3426" t="e">
        <v>#N/A</v>
      </c>
      <c r="AR3426" t="e">
        <v>#N/A</v>
      </c>
      <c r="AS3426" t="e">
        <v>#N/A</v>
      </c>
      <c r="AT3426" t="e">
        <v>#N/A</v>
      </c>
    </row>
    <row r="3427" spans="42:46">
      <c r="AP3427">
        <v>244350</v>
      </c>
      <c r="AQ3427" t="e">
        <v>#N/A</v>
      </c>
      <c r="AR3427" t="e">
        <v>#N/A</v>
      </c>
      <c r="AS3427" t="e">
        <v>#N/A</v>
      </c>
      <c r="AT3427" t="e">
        <v>#N/A</v>
      </c>
    </row>
    <row r="3428" spans="42:46">
      <c r="AP3428">
        <v>244400</v>
      </c>
      <c r="AQ3428" t="e">
        <v>#N/A</v>
      </c>
      <c r="AR3428" t="e">
        <v>#N/A</v>
      </c>
      <c r="AS3428" t="e">
        <v>#N/A</v>
      </c>
      <c r="AT3428" t="e">
        <v>#N/A</v>
      </c>
    </row>
    <row r="3429" spans="42:46">
      <c r="AP3429">
        <v>244450</v>
      </c>
      <c r="AQ3429" t="e">
        <v>#N/A</v>
      </c>
      <c r="AR3429" t="e">
        <v>#N/A</v>
      </c>
      <c r="AS3429" t="e">
        <v>#N/A</v>
      </c>
      <c r="AT3429" t="e">
        <v>#N/A</v>
      </c>
    </row>
    <row r="3430" spans="42:46">
      <c r="AP3430">
        <v>244500</v>
      </c>
      <c r="AQ3430" t="e">
        <v>#N/A</v>
      </c>
      <c r="AR3430" t="e">
        <v>#N/A</v>
      </c>
      <c r="AS3430" t="e">
        <v>#N/A</v>
      </c>
      <c r="AT3430" t="e">
        <v>#N/A</v>
      </c>
    </row>
    <row r="3431" spans="42:46">
      <c r="AP3431">
        <v>244550</v>
      </c>
      <c r="AQ3431" t="e">
        <v>#N/A</v>
      </c>
      <c r="AR3431" t="e">
        <v>#N/A</v>
      </c>
      <c r="AS3431" t="e">
        <v>#N/A</v>
      </c>
      <c r="AT3431" t="e">
        <v>#N/A</v>
      </c>
    </row>
    <row r="3432" spans="42:46">
      <c r="AP3432">
        <v>244600</v>
      </c>
      <c r="AQ3432" t="e">
        <v>#N/A</v>
      </c>
      <c r="AR3432" t="e">
        <v>#N/A</v>
      </c>
      <c r="AS3432" t="e">
        <v>#N/A</v>
      </c>
      <c r="AT3432" t="e">
        <v>#N/A</v>
      </c>
    </row>
    <row r="3433" spans="42:46">
      <c r="AP3433">
        <v>244650</v>
      </c>
      <c r="AQ3433" t="e">
        <v>#N/A</v>
      </c>
      <c r="AR3433" t="e">
        <v>#N/A</v>
      </c>
      <c r="AS3433" t="e">
        <v>#N/A</v>
      </c>
      <c r="AT3433" t="e">
        <v>#N/A</v>
      </c>
    </row>
    <row r="3434" spans="42:46">
      <c r="AP3434">
        <v>244700</v>
      </c>
      <c r="AQ3434" t="e">
        <v>#N/A</v>
      </c>
      <c r="AR3434" t="e">
        <v>#N/A</v>
      </c>
      <c r="AS3434" t="e">
        <v>#N/A</v>
      </c>
      <c r="AT3434" t="e">
        <v>#N/A</v>
      </c>
    </row>
    <row r="3435" spans="42:46">
      <c r="AP3435">
        <v>244750</v>
      </c>
      <c r="AQ3435" t="e">
        <v>#N/A</v>
      </c>
      <c r="AR3435" t="e">
        <v>#N/A</v>
      </c>
      <c r="AS3435" t="e">
        <v>#N/A</v>
      </c>
      <c r="AT3435" t="e">
        <v>#N/A</v>
      </c>
    </row>
    <row r="3436" spans="42:46">
      <c r="AP3436">
        <v>244800</v>
      </c>
      <c r="AQ3436" t="e">
        <v>#N/A</v>
      </c>
      <c r="AR3436" t="e">
        <v>#N/A</v>
      </c>
      <c r="AS3436" t="e">
        <v>#N/A</v>
      </c>
      <c r="AT3436" t="e">
        <v>#N/A</v>
      </c>
    </row>
    <row r="3437" spans="42:46">
      <c r="AP3437">
        <v>244850</v>
      </c>
      <c r="AQ3437" t="e">
        <v>#N/A</v>
      </c>
      <c r="AR3437" t="e">
        <v>#N/A</v>
      </c>
      <c r="AS3437" t="e">
        <v>#N/A</v>
      </c>
      <c r="AT3437" t="e">
        <v>#N/A</v>
      </c>
    </row>
    <row r="3438" spans="42:46">
      <c r="AP3438">
        <v>244900</v>
      </c>
      <c r="AQ3438" t="e">
        <v>#N/A</v>
      </c>
      <c r="AR3438" t="e">
        <v>#N/A</v>
      </c>
      <c r="AS3438" t="e">
        <v>#N/A</v>
      </c>
      <c r="AT3438" t="e">
        <v>#N/A</v>
      </c>
    </row>
    <row r="3439" spans="42:46">
      <c r="AP3439">
        <v>244950</v>
      </c>
      <c r="AQ3439" t="e">
        <v>#N/A</v>
      </c>
      <c r="AR3439" t="e">
        <v>#N/A</v>
      </c>
      <c r="AS3439" t="e">
        <v>#N/A</v>
      </c>
      <c r="AT3439" t="e">
        <v>#N/A</v>
      </c>
    </row>
    <row r="3440" spans="42:46">
      <c r="AP3440">
        <v>245000</v>
      </c>
      <c r="AQ3440" t="e">
        <v>#N/A</v>
      </c>
      <c r="AR3440" t="e">
        <v>#N/A</v>
      </c>
      <c r="AS3440" t="e">
        <v>#N/A</v>
      </c>
      <c r="AT3440" t="e">
        <v>#N/A</v>
      </c>
    </row>
    <row r="3441" spans="42:46">
      <c r="AP3441">
        <v>245050</v>
      </c>
      <c r="AQ3441" t="e">
        <v>#N/A</v>
      </c>
      <c r="AR3441" t="e">
        <v>#N/A</v>
      </c>
      <c r="AS3441" t="e">
        <v>#N/A</v>
      </c>
      <c r="AT3441" t="e">
        <v>#N/A</v>
      </c>
    </row>
    <row r="3442" spans="42:46">
      <c r="AP3442">
        <v>245100</v>
      </c>
      <c r="AQ3442" t="e">
        <v>#N/A</v>
      </c>
      <c r="AR3442" t="e">
        <v>#N/A</v>
      </c>
      <c r="AS3442" t="e">
        <v>#N/A</v>
      </c>
      <c r="AT3442" t="e">
        <v>#N/A</v>
      </c>
    </row>
    <row r="3443" spans="42:46">
      <c r="AP3443">
        <v>245150</v>
      </c>
      <c r="AQ3443" t="e">
        <v>#N/A</v>
      </c>
      <c r="AR3443" t="e">
        <v>#N/A</v>
      </c>
      <c r="AS3443" t="e">
        <v>#N/A</v>
      </c>
      <c r="AT3443" t="e">
        <v>#N/A</v>
      </c>
    </row>
    <row r="3444" spans="42:46">
      <c r="AP3444">
        <v>245200</v>
      </c>
      <c r="AQ3444" t="e">
        <v>#N/A</v>
      </c>
      <c r="AR3444" t="e">
        <v>#N/A</v>
      </c>
      <c r="AS3444" t="e">
        <v>#N/A</v>
      </c>
      <c r="AT3444" t="e">
        <v>#N/A</v>
      </c>
    </row>
    <row r="3445" spans="42:46">
      <c r="AP3445">
        <v>245250</v>
      </c>
      <c r="AQ3445" t="e">
        <v>#N/A</v>
      </c>
      <c r="AR3445" t="e">
        <v>#N/A</v>
      </c>
      <c r="AS3445" t="e">
        <v>#N/A</v>
      </c>
      <c r="AT3445" t="e">
        <v>#N/A</v>
      </c>
    </row>
    <row r="3446" spans="42:46">
      <c r="AP3446">
        <v>245300</v>
      </c>
      <c r="AQ3446" t="e">
        <v>#N/A</v>
      </c>
      <c r="AR3446" t="e">
        <v>#N/A</v>
      </c>
      <c r="AS3446" t="e">
        <v>#N/A</v>
      </c>
      <c r="AT3446" t="e">
        <v>#N/A</v>
      </c>
    </row>
    <row r="3447" spans="42:46">
      <c r="AP3447">
        <v>245350</v>
      </c>
      <c r="AQ3447" t="e">
        <v>#N/A</v>
      </c>
      <c r="AR3447" t="e">
        <v>#N/A</v>
      </c>
      <c r="AS3447" t="e">
        <v>#N/A</v>
      </c>
      <c r="AT3447" t="e">
        <v>#N/A</v>
      </c>
    </row>
    <row r="3448" spans="42:46">
      <c r="AP3448">
        <v>245400</v>
      </c>
      <c r="AQ3448" t="e">
        <v>#N/A</v>
      </c>
      <c r="AR3448" t="e">
        <v>#N/A</v>
      </c>
      <c r="AS3448" t="e">
        <v>#N/A</v>
      </c>
      <c r="AT3448" t="e">
        <v>#N/A</v>
      </c>
    </row>
    <row r="3449" spans="42:46">
      <c r="AP3449">
        <v>245450</v>
      </c>
      <c r="AQ3449" t="e">
        <v>#N/A</v>
      </c>
      <c r="AR3449" t="e">
        <v>#N/A</v>
      </c>
      <c r="AS3449" t="e">
        <v>#N/A</v>
      </c>
      <c r="AT3449" t="e">
        <v>#N/A</v>
      </c>
    </row>
    <row r="3450" spans="42:46">
      <c r="AP3450">
        <v>245500</v>
      </c>
      <c r="AQ3450" t="e">
        <v>#N/A</v>
      </c>
      <c r="AR3450" t="e">
        <v>#N/A</v>
      </c>
      <c r="AS3450" t="e">
        <v>#N/A</v>
      </c>
      <c r="AT3450" t="e">
        <v>#N/A</v>
      </c>
    </row>
    <row r="3451" spans="42:46">
      <c r="AP3451">
        <v>245550</v>
      </c>
      <c r="AQ3451" t="e">
        <v>#N/A</v>
      </c>
      <c r="AR3451" t="e">
        <v>#N/A</v>
      </c>
      <c r="AS3451" t="e">
        <v>#N/A</v>
      </c>
      <c r="AT3451" t="e">
        <v>#N/A</v>
      </c>
    </row>
    <row r="3452" spans="42:46">
      <c r="AP3452">
        <v>245600</v>
      </c>
      <c r="AQ3452" t="e">
        <v>#N/A</v>
      </c>
      <c r="AR3452" t="e">
        <v>#N/A</v>
      </c>
      <c r="AS3452" t="e">
        <v>#N/A</v>
      </c>
      <c r="AT3452" t="e">
        <v>#N/A</v>
      </c>
    </row>
    <row r="3453" spans="42:46">
      <c r="AP3453">
        <v>245650</v>
      </c>
      <c r="AQ3453" t="e">
        <v>#N/A</v>
      </c>
      <c r="AR3453" t="e">
        <v>#N/A</v>
      </c>
      <c r="AS3453" t="e">
        <v>#N/A</v>
      </c>
      <c r="AT3453" t="e">
        <v>#N/A</v>
      </c>
    </row>
    <row r="3454" spans="42:46">
      <c r="AP3454">
        <v>245700</v>
      </c>
      <c r="AQ3454" t="e">
        <v>#N/A</v>
      </c>
      <c r="AR3454" t="e">
        <v>#N/A</v>
      </c>
      <c r="AS3454" t="e">
        <v>#N/A</v>
      </c>
      <c r="AT3454" t="e">
        <v>#N/A</v>
      </c>
    </row>
    <row r="3455" spans="42:46">
      <c r="AP3455">
        <v>245750</v>
      </c>
      <c r="AQ3455" t="e">
        <v>#N/A</v>
      </c>
      <c r="AR3455" t="e">
        <v>#N/A</v>
      </c>
      <c r="AS3455" t="e">
        <v>#N/A</v>
      </c>
      <c r="AT3455" t="e">
        <v>#N/A</v>
      </c>
    </row>
    <row r="3456" spans="42:46">
      <c r="AP3456">
        <v>245800</v>
      </c>
      <c r="AQ3456" t="e">
        <v>#N/A</v>
      </c>
      <c r="AR3456" t="e">
        <v>#N/A</v>
      </c>
      <c r="AS3456" t="e">
        <v>#N/A</v>
      </c>
      <c r="AT3456" t="e">
        <v>#N/A</v>
      </c>
    </row>
    <row r="3457" spans="42:46">
      <c r="AP3457">
        <v>245850</v>
      </c>
      <c r="AQ3457" t="e">
        <v>#N/A</v>
      </c>
      <c r="AR3457" t="e">
        <v>#N/A</v>
      </c>
      <c r="AS3457" t="e">
        <v>#N/A</v>
      </c>
      <c r="AT3457" t="e">
        <v>#N/A</v>
      </c>
    </row>
    <row r="3458" spans="42:46">
      <c r="AP3458">
        <v>245900</v>
      </c>
      <c r="AQ3458" t="e">
        <v>#N/A</v>
      </c>
      <c r="AR3458" t="e">
        <v>#N/A</v>
      </c>
      <c r="AS3458" t="e">
        <v>#N/A</v>
      </c>
      <c r="AT3458" t="e">
        <v>#N/A</v>
      </c>
    </row>
    <row r="3459" spans="42:46">
      <c r="AP3459">
        <v>245950</v>
      </c>
      <c r="AQ3459" t="e">
        <v>#N/A</v>
      </c>
      <c r="AR3459" t="e">
        <v>#N/A</v>
      </c>
      <c r="AS3459" t="e">
        <v>#N/A</v>
      </c>
      <c r="AT3459" t="e">
        <v>#N/A</v>
      </c>
    </row>
    <row r="3460" spans="42:46">
      <c r="AP3460">
        <v>246000</v>
      </c>
      <c r="AQ3460" t="e">
        <v>#N/A</v>
      </c>
      <c r="AR3460" t="e">
        <v>#N/A</v>
      </c>
      <c r="AS3460" t="e">
        <v>#N/A</v>
      </c>
      <c r="AT3460" t="e">
        <v>#N/A</v>
      </c>
    </row>
    <row r="3461" spans="42:46">
      <c r="AP3461">
        <v>246050</v>
      </c>
      <c r="AQ3461" t="e">
        <v>#N/A</v>
      </c>
      <c r="AR3461" t="e">
        <v>#N/A</v>
      </c>
      <c r="AS3461" t="e">
        <v>#N/A</v>
      </c>
      <c r="AT3461" t="e">
        <v>#N/A</v>
      </c>
    </row>
    <row r="3462" spans="42:46">
      <c r="AP3462">
        <v>246100</v>
      </c>
      <c r="AQ3462" t="e">
        <v>#N/A</v>
      </c>
      <c r="AR3462" t="e">
        <v>#N/A</v>
      </c>
      <c r="AS3462" t="e">
        <v>#N/A</v>
      </c>
      <c r="AT3462" t="e">
        <v>#N/A</v>
      </c>
    </row>
    <row r="3463" spans="42:46">
      <c r="AP3463">
        <v>246150</v>
      </c>
      <c r="AQ3463" t="e">
        <v>#N/A</v>
      </c>
      <c r="AR3463" t="e">
        <v>#N/A</v>
      </c>
      <c r="AS3463" t="e">
        <v>#N/A</v>
      </c>
      <c r="AT3463" t="e">
        <v>#N/A</v>
      </c>
    </row>
    <row r="3464" spans="42:46">
      <c r="AP3464">
        <v>246200</v>
      </c>
      <c r="AQ3464" t="e">
        <v>#N/A</v>
      </c>
      <c r="AR3464" t="e">
        <v>#N/A</v>
      </c>
      <c r="AS3464" t="e">
        <v>#N/A</v>
      </c>
      <c r="AT3464" t="e">
        <v>#N/A</v>
      </c>
    </row>
    <row r="3465" spans="42:46">
      <c r="AP3465">
        <v>246250</v>
      </c>
      <c r="AQ3465" t="e">
        <v>#N/A</v>
      </c>
      <c r="AR3465" t="e">
        <v>#N/A</v>
      </c>
      <c r="AS3465" t="e">
        <v>#N/A</v>
      </c>
      <c r="AT3465" t="e">
        <v>#N/A</v>
      </c>
    </row>
    <row r="3466" spans="42:46">
      <c r="AP3466">
        <v>246300</v>
      </c>
      <c r="AQ3466" t="e">
        <v>#N/A</v>
      </c>
      <c r="AR3466" t="e">
        <v>#N/A</v>
      </c>
      <c r="AS3466" t="e">
        <v>#N/A</v>
      </c>
      <c r="AT3466" t="e">
        <v>#N/A</v>
      </c>
    </row>
    <row r="3467" spans="42:46">
      <c r="AP3467">
        <v>246350</v>
      </c>
      <c r="AQ3467" t="e">
        <v>#N/A</v>
      </c>
      <c r="AR3467" t="e">
        <v>#N/A</v>
      </c>
      <c r="AS3467" t="e">
        <v>#N/A</v>
      </c>
      <c r="AT3467" t="e">
        <v>#N/A</v>
      </c>
    </row>
    <row r="3468" spans="42:46">
      <c r="AP3468">
        <v>246400</v>
      </c>
      <c r="AQ3468" t="e">
        <v>#N/A</v>
      </c>
      <c r="AR3468" t="e">
        <v>#N/A</v>
      </c>
      <c r="AS3468" t="e">
        <v>#N/A</v>
      </c>
      <c r="AT3468" t="e">
        <v>#N/A</v>
      </c>
    </row>
    <row r="3469" spans="42:46">
      <c r="AP3469">
        <v>246450</v>
      </c>
      <c r="AQ3469" t="e">
        <v>#N/A</v>
      </c>
      <c r="AR3469" t="e">
        <v>#N/A</v>
      </c>
      <c r="AS3469" t="e">
        <v>#N/A</v>
      </c>
      <c r="AT3469" t="e">
        <v>#N/A</v>
      </c>
    </row>
    <row r="3470" spans="42:46">
      <c r="AP3470">
        <v>246500</v>
      </c>
      <c r="AQ3470" t="e">
        <v>#N/A</v>
      </c>
      <c r="AR3470" t="e">
        <v>#N/A</v>
      </c>
      <c r="AS3470" t="e">
        <v>#N/A</v>
      </c>
      <c r="AT3470" t="e">
        <v>#N/A</v>
      </c>
    </row>
    <row r="3471" spans="42:46">
      <c r="AP3471">
        <v>246550</v>
      </c>
      <c r="AQ3471" t="e">
        <v>#N/A</v>
      </c>
      <c r="AR3471" t="e">
        <v>#N/A</v>
      </c>
      <c r="AS3471" t="e">
        <v>#N/A</v>
      </c>
      <c r="AT3471" t="e">
        <v>#N/A</v>
      </c>
    </row>
    <row r="3472" spans="42:46">
      <c r="AP3472">
        <v>246600</v>
      </c>
      <c r="AQ3472" t="e">
        <v>#N/A</v>
      </c>
      <c r="AR3472" t="e">
        <v>#N/A</v>
      </c>
      <c r="AS3472" t="e">
        <v>#N/A</v>
      </c>
      <c r="AT3472" t="e">
        <v>#N/A</v>
      </c>
    </row>
    <row r="3473" spans="42:46">
      <c r="AP3473">
        <v>246650</v>
      </c>
      <c r="AQ3473" t="e">
        <v>#N/A</v>
      </c>
      <c r="AR3473" t="e">
        <v>#N/A</v>
      </c>
      <c r="AS3473" t="e">
        <v>#N/A</v>
      </c>
      <c r="AT3473" t="e">
        <v>#N/A</v>
      </c>
    </row>
    <row r="3474" spans="42:46">
      <c r="AP3474">
        <v>246700</v>
      </c>
      <c r="AQ3474" t="e">
        <v>#N/A</v>
      </c>
      <c r="AR3474" t="e">
        <v>#N/A</v>
      </c>
      <c r="AS3474" t="e">
        <v>#N/A</v>
      </c>
      <c r="AT3474" t="e">
        <v>#N/A</v>
      </c>
    </row>
    <row r="3475" spans="42:46">
      <c r="AP3475">
        <v>246750</v>
      </c>
      <c r="AQ3475" t="e">
        <v>#N/A</v>
      </c>
      <c r="AR3475" t="e">
        <v>#N/A</v>
      </c>
      <c r="AS3475" t="e">
        <v>#N/A</v>
      </c>
      <c r="AT3475" t="e">
        <v>#N/A</v>
      </c>
    </row>
    <row r="3476" spans="42:46">
      <c r="AP3476">
        <v>246800</v>
      </c>
      <c r="AQ3476" t="e">
        <v>#N/A</v>
      </c>
      <c r="AR3476" t="e">
        <v>#N/A</v>
      </c>
      <c r="AS3476" t="e">
        <v>#N/A</v>
      </c>
      <c r="AT3476" t="e">
        <v>#N/A</v>
      </c>
    </row>
    <row r="3477" spans="42:46">
      <c r="AP3477">
        <v>246850</v>
      </c>
      <c r="AQ3477" t="e">
        <v>#N/A</v>
      </c>
      <c r="AR3477" t="e">
        <v>#N/A</v>
      </c>
      <c r="AS3477" t="e">
        <v>#N/A</v>
      </c>
      <c r="AT3477" t="e">
        <v>#N/A</v>
      </c>
    </row>
    <row r="3478" spans="42:46">
      <c r="AP3478">
        <v>246900</v>
      </c>
      <c r="AQ3478" t="e">
        <v>#N/A</v>
      </c>
      <c r="AR3478" t="e">
        <v>#N/A</v>
      </c>
      <c r="AS3478" t="e">
        <v>#N/A</v>
      </c>
      <c r="AT3478" t="e">
        <v>#N/A</v>
      </c>
    </row>
    <row r="3479" spans="42:46">
      <c r="AP3479">
        <v>246950</v>
      </c>
      <c r="AQ3479" t="e">
        <v>#N/A</v>
      </c>
      <c r="AR3479" t="e">
        <v>#N/A</v>
      </c>
      <c r="AS3479" t="e">
        <v>#N/A</v>
      </c>
      <c r="AT3479" t="e">
        <v>#N/A</v>
      </c>
    </row>
    <row r="3480" spans="42:46">
      <c r="AP3480">
        <v>247000</v>
      </c>
      <c r="AQ3480" t="e">
        <v>#N/A</v>
      </c>
      <c r="AR3480" t="e">
        <v>#N/A</v>
      </c>
      <c r="AS3480" t="e">
        <v>#N/A</v>
      </c>
      <c r="AT3480" t="e">
        <v>#N/A</v>
      </c>
    </row>
    <row r="3481" spans="42:46">
      <c r="AP3481">
        <v>247050</v>
      </c>
      <c r="AQ3481" t="e">
        <v>#N/A</v>
      </c>
      <c r="AR3481" t="e">
        <v>#N/A</v>
      </c>
      <c r="AS3481" t="e">
        <v>#N/A</v>
      </c>
      <c r="AT3481" t="e">
        <v>#N/A</v>
      </c>
    </row>
    <row r="3482" spans="42:46">
      <c r="AP3482">
        <v>247100</v>
      </c>
      <c r="AQ3482" t="e">
        <v>#N/A</v>
      </c>
      <c r="AR3482" t="e">
        <v>#N/A</v>
      </c>
      <c r="AS3482" t="e">
        <v>#N/A</v>
      </c>
      <c r="AT3482" t="e">
        <v>#N/A</v>
      </c>
    </row>
    <row r="3483" spans="42:46">
      <c r="AP3483">
        <v>247150</v>
      </c>
      <c r="AQ3483" t="e">
        <v>#N/A</v>
      </c>
      <c r="AR3483" t="e">
        <v>#N/A</v>
      </c>
      <c r="AS3483" t="e">
        <v>#N/A</v>
      </c>
      <c r="AT3483" t="e">
        <v>#N/A</v>
      </c>
    </row>
    <row r="3484" spans="42:46">
      <c r="AP3484">
        <v>247200</v>
      </c>
      <c r="AQ3484" t="e">
        <v>#N/A</v>
      </c>
      <c r="AR3484" t="e">
        <v>#N/A</v>
      </c>
      <c r="AS3484" t="e">
        <v>#N/A</v>
      </c>
      <c r="AT3484" t="e">
        <v>#N/A</v>
      </c>
    </row>
    <row r="3485" spans="42:46">
      <c r="AP3485">
        <v>247250</v>
      </c>
      <c r="AQ3485" t="e">
        <v>#N/A</v>
      </c>
      <c r="AR3485" t="e">
        <v>#N/A</v>
      </c>
      <c r="AS3485" t="e">
        <v>#N/A</v>
      </c>
      <c r="AT3485" t="e">
        <v>#N/A</v>
      </c>
    </row>
    <row r="3486" spans="42:46">
      <c r="AP3486">
        <v>247300</v>
      </c>
      <c r="AQ3486" t="e">
        <v>#N/A</v>
      </c>
      <c r="AR3486" t="e">
        <v>#N/A</v>
      </c>
      <c r="AS3486" t="e">
        <v>#N/A</v>
      </c>
      <c r="AT3486" t="e">
        <v>#N/A</v>
      </c>
    </row>
    <row r="3487" spans="42:46">
      <c r="AP3487">
        <v>247350</v>
      </c>
      <c r="AQ3487" t="e">
        <v>#N/A</v>
      </c>
      <c r="AR3487" t="e">
        <v>#N/A</v>
      </c>
      <c r="AS3487" t="e">
        <v>#N/A</v>
      </c>
      <c r="AT3487" t="e">
        <v>#N/A</v>
      </c>
    </row>
    <row r="3488" spans="42:46">
      <c r="AP3488">
        <v>247400</v>
      </c>
      <c r="AQ3488" t="e">
        <v>#N/A</v>
      </c>
      <c r="AR3488" t="e">
        <v>#N/A</v>
      </c>
      <c r="AS3488" t="e">
        <v>#N/A</v>
      </c>
      <c r="AT3488" t="e">
        <v>#N/A</v>
      </c>
    </row>
    <row r="3489" spans="42:46">
      <c r="AP3489">
        <v>247450</v>
      </c>
      <c r="AQ3489" t="e">
        <v>#N/A</v>
      </c>
      <c r="AR3489" t="e">
        <v>#N/A</v>
      </c>
      <c r="AS3489" t="e">
        <v>#N/A</v>
      </c>
      <c r="AT3489" t="e">
        <v>#N/A</v>
      </c>
    </row>
    <row r="3490" spans="42:46">
      <c r="AP3490">
        <v>247500</v>
      </c>
      <c r="AQ3490" t="e">
        <v>#N/A</v>
      </c>
      <c r="AR3490" t="e">
        <v>#N/A</v>
      </c>
      <c r="AS3490" t="e">
        <v>#N/A</v>
      </c>
      <c r="AT3490" t="e">
        <v>#N/A</v>
      </c>
    </row>
    <row r="3491" spans="42:46">
      <c r="AP3491">
        <v>247550</v>
      </c>
      <c r="AQ3491" t="e">
        <v>#N/A</v>
      </c>
      <c r="AR3491" t="e">
        <v>#N/A</v>
      </c>
      <c r="AS3491" t="e">
        <v>#N/A</v>
      </c>
      <c r="AT3491" t="e">
        <v>#N/A</v>
      </c>
    </row>
    <row r="3492" spans="42:46">
      <c r="AP3492">
        <v>247600</v>
      </c>
      <c r="AQ3492" t="e">
        <v>#N/A</v>
      </c>
      <c r="AR3492" t="e">
        <v>#N/A</v>
      </c>
      <c r="AS3492" t="e">
        <v>#N/A</v>
      </c>
      <c r="AT3492" t="e">
        <v>#N/A</v>
      </c>
    </row>
    <row r="3493" spans="42:46">
      <c r="AP3493">
        <v>247650</v>
      </c>
      <c r="AQ3493" t="e">
        <v>#N/A</v>
      </c>
      <c r="AR3493" t="e">
        <v>#N/A</v>
      </c>
      <c r="AS3493" t="e">
        <v>#N/A</v>
      </c>
      <c r="AT3493" t="e">
        <v>#N/A</v>
      </c>
    </row>
    <row r="3494" spans="42:46">
      <c r="AP3494">
        <v>247700</v>
      </c>
      <c r="AQ3494" t="e">
        <v>#N/A</v>
      </c>
      <c r="AR3494" t="e">
        <v>#N/A</v>
      </c>
      <c r="AS3494" t="e">
        <v>#N/A</v>
      </c>
      <c r="AT3494" t="e">
        <v>#N/A</v>
      </c>
    </row>
    <row r="3495" spans="42:46">
      <c r="AP3495">
        <v>247750</v>
      </c>
      <c r="AQ3495" t="e">
        <v>#N/A</v>
      </c>
      <c r="AR3495" t="e">
        <v>#N/A</v>
      </c>
      <c r="AS3495" t="e">
        <v>#N/A</v>
      </c>
      <c r="AT3495" t="e">
        <v>#N/A</v>
      </c>
    </row>
    <row r="3496" spans="42:46">
      <c r="AP3496">
        <v>247800</v>
      </c>
      <c r="AQ3496" t="e">
        <v>#N/A</v>
      </c>
      <c r="AR3496" t="e">
        <v>#N/A</v>
      </c>
      <c r="AS3496" t="e">
        <v>#N/A</v>
      </c>
      <c r="AT3496" t="e">
        <v>#N/A</v>
      </c>
    </row>
    <row r="3497" spans="42:46">
      <c r="AP3497">
        <v>247850</v>
      </c>
      <c r="AQ3497" t="e">
        <v>#N/A</v>
      </c>
      <c r="AR3497" t="e">
        <v>#N/A</v>
      </c>
      <c r="AS3497" t="e">
        <v>#N/A</v>
      </c>
      <c r="AT3497" t="e">
        <v>#N/A</v>
      </c>
    </row>
    <row r="3498" spans="42:46">
      <c r="AP3498">
        <v>247900</v>
      </c>
      <c r="AQ3498" t="e">
        <v>#N/A</v>
      </c>
      <c r="AR3498" t="e">
        <v>#N/A</v>
      </c>
      <c r="AS3498" t="e">
        <v>#N/A</v>
      </c>
      <c r="AT3498" t="e">
        <v>#N/A</v>
      </c>
    </row>
    <row r="3499" spans="42:46">
      <c r="AP3499">
        <v>247950</v>
      </c>
      <c r="AQ3499" t="e">
        <v>#N/A</v>
      </c>
      <c r="AR3499" t="e">
        <v>#N/A</v>
      </c>
      <c r="AS3499" t="e">
        <v>#N/A</v>
      </c>
      <c r="AT3499" t="e">
        <v>#N/A</v>
      </c>
    </row>
    <row r="3500" spans="42:46">
      <c r="AP3500">
        <v>248000</v>
      </c>
      <c r="AQ3500" t="e">
        <v>#N/A</v>
      </c>
      <c r="AR3500" t="e">
        <v>#N/A</v>
      </c>
      <c r="AS3500" t="e">
        <v>#N/A</v>
      </c>
      <c r="AT3500" t="e">
        <v>#N/A</v>
      </c>
    </row>
    <row r="3501" spans="42:46">
      <c r="AP3501">
        <v>248050</v>
      </c>
      <c r="AQ3501" t="e">
        <v>#N/A</v>
      </c>
      <c r="AR3501" t="e">
        <v>#N/A</v>
      </c>
      <c r="AS3501" t="e">
        <v>#N/A</v>
      </c>
      <c r="AT3501" t="e">
        <v>#N/A</v>
      </c>
    </row>
    <row r="3502" spans="42:46">
      <c r="AP3502">
        <v>248100</v>
      </c>
      <c r="AQ3502" t="e">
        <v>#N/A</v>
      </c>
      <c r="AR3502" t="e">
        <v>#N/A</v>
      </c>
      <c r="AS3502" t="e">
        <v>#N/A</v>
      </c>
      <c r="AT3502" t="e">
        <v>#N/A</v>
      </c>
    </row>
    <row r="3503" spans="42:46">
      <c r="AP3503">
        <v>248150</v>
      </c>
      <c r="AQ3503" t="e">
        <v>#N/A</v>
      </c>
      <c r="AR3503" t="e">
        <v>#N/A</v>
      </c>
      <c r="AS3503" t="e">
        <v>#N/A</v>
      </c>
      <c r="AT3503" t="e">
        <v>#N/A</v>
      </c>
    </row>
    <row r="3504" spans="42:46">
      <c r="AP3504">
        <v>248200</v>
      </c>
      <c r="AQ3504" t="e">
        <v>#N/A</v>
      </c>
      <c r="AR3504" t="e">
        <v>#N/A</v>
      </c>
      <c r="AS3504" t="e">
        <v>#N/A</v>
      </c>
      <c r="AT3504" t="e">
        <v>#N/A</v>
      </c>
    </row>
    <row r="3505" spans="42:46">
      <c r="AP3505">
        <v>248250</v>
      </c>
      <c r="AQ3505" t="e">
        <v>#N/A</v>
      </c>
      <c r="AR3505" t="e">
        <v>#N/A</v>
      </c>
      <c r="AS3505" t="e">
        <v>#N/A</v>
      </c>
      <c r="AT3505" t="e">
        <v>#N/A</v>
      </c>
    </row>
    <row r="3506" spans="42:46">
      <c r="AP3506">
        <v>248300</v>
      </c>
      <c r="AQ3506" t="e">
        <v>#N/A</v>
      </c>
      <c r="AR3506" t="e">
        <v>#N/A</v>
      </c>
      <c r="AS3506" t="e">
        <v>#N/A</v>
      </c>
      <c r="AT3506" t="e">
        <v>#N/A</v>
      </c>
    </row>
    <row r="3507" spans="42:46">
      <c r="AP3507">
        <v>248350</v>
      </c>
      <c r="AQ3507" t="e">
        <v>#N/A</v>
      </c>
      <c r="AR3507" t="e">
        <v>#N/A</v>
      </c>
      <c r="AS3507" t="e">
        <v>#N/A</v>
      </c>
      <c r="AT3507" t="e">
        <v>#N/A</v>
      </c>
    </row>
    <row r="3508" spans="42:46">
      <c r="AP3508">
        <v>248400</v>
      </c>
      <c r="AQ3508" t="e">
        <v>#N/A</v>
      </c>
      <c r="AR3508" t="e">
        <v>#N/A</v>
      </c>
      <c r="AS3508" t="e">
        <v>#N/A</v>
      </c>
      <c r="AT3508" t="e">
        <v>#N/A</v>
      </c>
    </row>
    <row r="3509" spans="42:46">
      <c r="AP3509">
        <v>248450</v>
      </c>
      <c r="AQ3509" t="e">
        <v>#N/A</v>
      </c>
      <c r="AR3509" t="e">
        <v>#N/A</v>
      </c>
      <c r="AS3509" t="e">
        <v>#N/A</v>
      </c>
      <c r="AT3509" t="e">
        <v>#N/A</v>
      </c>
    </row>
    <row r="3510" spans="42:46">
      <c r="AP3510">
        <v>248500</v>
      </c>
      <c r="AQ3510" t="e">
        <v>#N/A</v>
      </c>
      <c r="AR3510" t="e">
        <v>#N/A</v>
      </c>
      <c r="AS3510" t="e">
        <v>#N/A</v>
      </c>
      <c r="AT3510" t="e">
        <v>#N/A</v>
      </c>
    </row>
    <row r="3511" spans="42:46">
      <c r="AP3511">
        <v>248550</v>
      </c>
      <c r="AQ3511" t="e">
        <v>#N/A</v>
      </c>
      <c r="AR3511" t="e">
        <v>#N/A</v>
      </c>
      <c r="AS3511" t="e">
        <v>#N/A</v>
      </c>
      <c r="AT3511" t="e">
        <v>#N/A</v>
      </c>
    </row>
    <row r="3512" spans="42:46">
      <c r="AP3512">
        <v>248600</v>
      </c>
      <c r="AQ3512" t="e">
        <v>#N/A</v>
      </c>
      <c r="AR3512" t="e">
        <v>#N/A</v>
      </c>
      <c r="AS3512" t="e">
        <v>#N/A</v>
      </c>
      <c r="AT3512" t="e">
        <v>#N/A</v>
      </c>
    </row>
    <row r="3513" spans="42:46">
      <c r="AP3513">
        <v>248650</v>
      </c>
      <c r="AQ3513" t="e">
        <v>#N/A</v>
      </c>
      <c r="AR3513" t="e">
        <v>#N/A</v>
      </c>
      <c r="AS3513" t="e">
        <v>#N/A</v>
      </c>
      <c r="AT3513" t="e">
        <v>#N/A</v>
      </c>
    </row>
    <row r="3514" spans="42:46">
      <c r="AP3514">
        <v>248700</v>
      </c>
      <c r="AQ3514" t="e">
        <v>#N/A</v>
      </c>
      <c r="AR3514" t="e">
        <v>#N/A</v>
      </c>
      <c r="AS3514" t="e">
        <v>#N/A</v>
      </c>
      <c r="AT3514" t="e">
        <v>#N/A</v>
      </c>
    </row>
    <row r="3515" spans="42:46">
      <c r="AP3515">
        <v>248750</v>
      </c>
      <c r="AQ3515" t="e">
        <v>#N/A</v>
      </c>
      <c r="AR3515" t="e">
        <v>#N/A</v>
      </c>
      <c r="AS3515" t="e">
        <v>#N/A</v>
      </c>
      <c r="AT3515" t="e">
        <v>#N/A</v>
      </c>
    </row>
    <row r="3516" spans="42:46">
      <c r="AP3516">
        <v>248800</v>
      </c>
      <c r="AQ3516" t="e">
        <v>#N/A</v>
      </c>
      <c r="AR3516" t="e">
        <v>#N/A</v>
      </c>
      <c r="AS3516" t="e">
        <v>#N/A</v>
      </c>
      <c r="AT3516" t="e">
        <v>#N/A</v>
      </c>
    </row>
    <row r="3517" spans="42:46">
      <c r="AP3517">
        <v>248850</v>
      </c>
      <c r="AQ3517" t="e">
        <v>#N/A</v>
      </c>
      <c r="AR3517" t="e">
        <v>#N/A</v>
      </c>
      <c r="AS3517" t="e">
        <v>#N/A</v>
      </c>
      <c r="AT3517" t="e">
        <v>#N/A</v>
      </c>
    </row>
    <row r="3518" spans="42:46">
      <c r="AP3518">
        <v>248900</v>
      </c>
      <c r="AQ3518" t="e">
        <v>#N/A</v>
      </c>
      <c r="AR3518" t="e">
        <v>#N/A</v>
      </c>
      <c r="AS3518" t="e">
        <v>#N/A</v>
      </c>
      <c r="AT3518" t="e">
        <v>#N/A</v>
      </c>
    </row>
    <row r="3519" spans="42:46">
      <c r="AP3519">
        <v>248950</v>
      </c>
      <c r="AQ3519" t="e">
        <v>#N/A</v>
      </c>
      <c r="AR3519" t="e">
        <v>#N/A</v>
      </c>
      <c r="AS3519" t="e">
        <v>#N/A</v>
      </c>
      <c r="AT3519" t="e">
        <v>#N/A</v>
      </c>
    </row>
    <row r="3520" spans="42:46">
      <c r="AP3520">
        <v>249000</v>
      </c>
      <c r="AQ3520" t="e">
        <v>#N/A</v>
      </c>
      <c r="AR3520" t="e">
        <v>#N/A</v>
      </c>
      <c r="AS3520" t="e">
        <v>#N/A</v>
      </c>
      <c r="AT3520" t="e">
        <v>#N/A</v>
      </c>
    </row>
    <row r="3521" spans="42:46">
      <c r="AP3521">
        <v>249050</v>
      </c>
      <c r="AQ3521" t="e">
        <v>#N/A</v>
      </c>
      <c r="AR3521" t="e">
        <v>#N/A</v>
      </c>
      <c r="AS3521" t="e">
        <v>#N/A</v>
      </c>
      <c r="AT3521" t="e">
        <v>#N/A</v>
      </c>
    </row>
    <row r="3522" spans="42:46">
      <c r="AP3522">
        <v>249100</v>
      </c>
      <c r="AQ3522" t="e">
        <v>#N/A</v>
      </c>
      <c r="AR3522" t="e">
        <v>#N/A</v>
      </c>
      <c r="AS3522" t="e">
        <v>#N/A</v>
      </c>
      <c r="AT3522" t="e">
        <v>#N/A</v>
      </c>
    </row>
    <row r="3523" spans="42:46">
      <c r="AP3523">
        <v>249150</v>
      </c>
      <c r="AQ3523" t="e">
        <v>#N/A</v>
      </c>
      <c r="AR3523" t="e">
        <v>#N/A</v>
      </c>
      <c r="AS3523" t="e">
        <v>#N/A</v>
      </c>
      <c r="AT3523" t="e">
        <v>#N/A</v>
      </c>
    </row>
    <row r="3524" spans="42:46">
      <c r="AP3524">
        <v>249200</v>
      </c>
      <c r="AQ3524" t="e">
        <v>#N/A</v>
      </c>
      <c r="AR3524" t="e">
        <v>#N/A</v>
      </c>
      <c r="AS3524" t="e">
        <v>#N/A</v>
      </c>
      <c r="AT3524" t="e">
        <v>#N/A</v>
      </c>
    </row>
    <row r="3525" spans="42:46">
      <c r="AP3525">
        <v>249250</v>
      </c>
      <c r="AQ3525" t="e">
        <v>#N/A</v>
      </c>
      <c r="AR3525" t="e">
        <v>#N/A</v>
      </c>
      <c r="AS3525" t="e">
        <v>#N/A</v>
      </c>
      <c r="AT3525" t="e">
        <v>#N/A</v>
      </c>
    </row>
    <row r="3526" spans="42:46">
      <c r="AP3526">
        <v>249300</v>
      </c>
      <c r="AQ3526" t="e">
        <v>#N/A</v>
      </c>
      <c r="AR3526" t="e">
        <v>#N/A</v>
      </c>
      <c r="AS3526" t="e">
        <v>#N/A</v>
      </c>
      <c r="AT3526" t="e">
        <v>#N/A</v>
      </c>
    </row>
    <row r="3527" spans="42:46">
      <c r="AP3527">
        <v>249350</v>
      </c>
      <c r="AQ3527" t="e">
        <v>#N/A</v>
      </c>
      <c r="AR3527" t="e">
        <v>#N/A</v>
      </c>
      <c r="AS3527" t="e">
        <v>#N/A</v>
      </c>
      <c r="AT3527" t="e">
        <v>#N/A</v>
      </c>
    </row>
    <row r="3528" spans="42:46">
      <c r="AP3528">
        <v>249400</v>
      </c>
      <c r="AQ3528" t="e">
        <v>#N/A</v>
      </c>
      <c r="AR3528" t="e">
        <v>#N/A</v>
      </c>
      <c r="AS3528" t="e">
        <v>#N/A</v>
      </c>
      <c r="AT3528" t="e">
        <v>#N/A</v>
      </c>
    </row>
    <row r="3529" spans="42:46">
      <c r="AP3529">
        <v>249450</v>
      </c>
      <c r="AQ3529" t="e">
        <v>#N/A</v>
      </c>
      <c r="AR3529" t="e">
        <v>#N/A</v>
      </c>
      <c r="AS3529" t="e">
        <v>#N/A</v>
      </c>
      <c r="AT3529" t="e">
        <v>#N/A</v>
      </c>
    </row>
    <row r="3530" spans="42:46">
      <c r="AP3530">
        <v>249500</v>
      </c>
      <c r="AQ3530" t="e">
        <v>#N/A</v>
      </c>
      <c r="AR3530" t="e">
        <v>#N/A</v>
      </c>
      <c r="AS3530" t="e">
        <v>#N/A</v>
      </c>
      <c r="AT3530" t="e">
        <v>#N/A</v>
      </c>
    </row>
    <row r="3531" spans="42:46">
      <c r="AP3531">
        <v>249550</v>
      </c>
      <c r="AQ3531" t="e">
        <v>#N/A</v>
      </c>
      <c r="AR3531" t="e">
        <v>#N/A</v>
      </c>
      <c r="AS3531" t="e">
        <v>#N/A</v>
      </c>
      <c r="AT3531" t="e">
        <v>#N/A</v>
      </c>
    </row>
    <row r="3532" spans="42:46">
      <c r="AP3532">
        <v>249600</v>
      </c>
      <c r="AQ3532" t="e">
        <v>#N/A</v>
      </c>
      <c r="AR3532" t="e">
        <v>#N/A</v>
      </c>
      <c r="AS3532" t="e">
        <v>#N/A</v>
      </c>
      <c r="AT3532" t="e">
        <v>#N/A</v>
      </c>
    </row>
    <row r="3533" spans="42:46">
      <c r="AP3533">
        <v>249650</v>
      </c>
      <c r="AQ3533" t="e">
        <v>#N/A</v>
      </c>
      <c r="AR3533" t="e">
        <v>#N/A</v>
      </c>
      <c r="AS3533" t="e">
        <v>#N/A</v>
      </c>
      <c r="AT3533" t="e">
        <v>#N/A</v>
      </c>
    </row>
    <row r="3534" spans="42:46">
      <c r="AP3534">
        <v>249700</v>
      </c>
      <c r="AQ3534" t="e">
        <v>#N/A</v>
      </c>
      <c r="AR3534" t="e">
        <v>#N/A</v>
      </c>
      <c r="AS3534" t="e">
        <v>#N/A</v>
      </c>
      <c r="AT3534" t="e">
        <v>#N/A</v>
      </c>
    </row>
    <row r="3535" spans="42:46">
      <c r="AP3535">
        <v>249750</v>
      </c>
      <c r="AQ3535" t="e">
        <v>#N/A</v>
      </c>
      <c r="AR3535" t="e">
        <v>#N/A</v>
      </c>
      <c r="AS3535" t="e">
        <v>#N/A</v>
      </c>
      <c r="AT3535" t="e">
        <v>#N/A</v>
      </c>
    </row>
    <row r="3536" spans="42:46">
      <c r="AP3536">
        <v>249800</v>
      </c>
      <c r="AQ3536" t="e">
        <v>#N/A</v>
      </c>
      <c r="AR3536" t="e">
        <v>#N/A</v>
      </c>
      <c r="AS3536" t="e">
        <v>#N/A</v>
      </c>
      <c r="AT3536" t="e">
        <v>#N/A</v>
      </c>
    </row>
    <row r="3537" spans="42:46">
      <c r="AP3537">
        <v>249850</v>
      </c>
      <c r="AQ3537" t="e">
        <v>#N/A</v>
      </c>
      <c r="AR3537" t="e">
        <v>#N/A</v>
      </c>
      <c r="AS3537" t="e">
        <v>#N/A</v>
      </c>
      <c r="AT3537" t="e">
        <v>#N/A</v>
      </c>
    </row>
    <row r="3538" spans="42:46">
      <c r="AP3538">
        <v>249900</v>
      </c>
      <c r="AQ3538" t="e">
        <v>#N/A</v>
      </c>
      <c r="AR3538" t="e">
        <v>#N/A</v>
      </c>
      <c r="AS3538" t="e">
        <v>#N/A</v>
      </c>
      <c r="AT3538" t="e">
        <v>#N/A</v>
      </c>
    </row>
    <row r="3539" spans="42:46">
      <c r="AP3539">
        <v>249950</v>
      </c>
      <c r="AQ3539" t="e">
        <v>#N/A</v>
      </c>
      <c r="AR3539" t="e">
        <v>#N/A</v>
      </c>
      <c r="AS3539" t="e">
        <v>#N/A</v>
      </c>
      <c r="AT3539" t="e">
        <v>#N/A</v>
      </c>
    </row>
    <row r="3540" spans="42:46">
      <c r="AP3540">
        <v>250000</v>
      </c>
      <c r="AQ3540" t="e">
        <v>#N/A</v>
      </c>
      <c r="AR3540" t="e">
        <v>#N/A</v>
      </c>
      <c r="AS3540" t="e">
        <v>#N/A</v>
      </c>
      <c r="AT3540" t="e">
        <v>#N/A</v>
      </c>
    </row>
    <row r="3541" spans="42:46">
      <c r="AP3541">
        <v>250050</v>
      </c>
      <c r="AQ3541" t="e">
        <v>#N/A</v>
      </c>
      <c r="AR3541" t="e">
        <v>#N/A</v>
      </c>
      <c r="AS3541" t="e">
        <v>#N/A</v>
      </c>
      <c r="AT3541" t="e">
        <v>#N/A</v>
      </c>
    </row>
    <row r="3542" spans="42:46">
      <c r="AP3542">
        <v>250100</v>
      </c>
      <c r="AQ3542" t="e">
        <v>#N/A</v>
      </c>
      <c r="AR3542" t="e">
        <v>#N/A</v>
      </c>
      <c r="AS3542" t="e">
        <v>#N/A</v>
      </c>
      <c r="AT3542" t="e">
        <v>#N/A</v>
      </c>
    </row>
    <row r="3543" spans="42:46">
      <c r="AP3543">
        <v>250150</v>
      </c>
      <c r="AQ3543" t="e">
        <v>#N/A</v>
      </c>
      <c r="AR3543" t="e">
        <v>#N/A</v>
      </c>
      <c r="AS3543" t="e">
        <v>#N/A</v>
      </c>
      <c r="AT3543" t="e">
        <v>#N/A</v>
      </c>
    </row>
    <row r="3544" spans="42:46">
      <c r="AP3544">
        <v>250200</v>
      </c>
      <c r="AQ3544" t="e">
        <v>#N/A</v>
      </c>
      <c r="AR3544" t="e">
        <v>#N/A</v>
      </c>
      <c r="AS3544" t="e">
        <v>#N/A</v>
      </c>
      <c r="AT3544" t="e">
        <v>#N/A</v>
      </c>
    </row>
    <row r="3545" spans="42:46">
      <c r="AP3545">
        <v>250250</v>
      </c>
      <c r="AQ3545" t="e">
        <v>#N/A</v>
      </c>
      <c r="AR3545" t="e">
        <v>#N/A</v>
      </c>
      <c r="AS3545" t="e">
        <v>#N/A</v>
      </c>
      <c r="AT3545" t="e">
        <v>#N/A</v>
      </c>
    </row>
    <row r="3546" spans="42:46">
      <c r="AP3546">
        <v>250300</v>
      </c>
      <c r="AQ3546" t="e">
        <v>#N/A</v>
      </c>
      <c r="AR3546" t="e">
        <v>#N/A</v>
      </c>
      <c r="AS3546" t="e">
        <v>#N/A</v>
      </c>
      <c r="AT3546" t="e">
        <v>#N/A</v>
      </c>
    </row>
    <row r="3547" spans="42:46">
      <c r="AP3547">
        <v>250350</v>
      </c>
      <c r="AQ3547" t="e">
        <v>#N/A</v>
      </c>
      <c r="AR3547" t="e">
        <v>#N/A</v>
      </c>
      <c r="AS3547" t="e">
        <v>#N/A</v>
      </c>
      <c r="AT3547" t="e">
        <v>#N/A</v>
      </c>
    </row>
    <row r="3548" spans="42:46">
      <c r="AP3548">
        <v>250400</v>
      </c>
      <c r="AQ3548" t="e">
        <v>#N/A</v>
      </c>
      <c r="AR3548" t="e">
        <v>#N/A</v>
      </c>
      <c r="AS3548" t="e">
        <v>#N/A</v>
      </c>
      <c r="AT3548" t="e">
        <v>#N/A</v>
      </c>
    </row>
    <row r="3549" spans="42:46">
      <c r="AP3549">
        <v>250450</v>
      </c>
      <c r="AQ3549" t="e">
        <v>#N/A</v>
      </c>
      <c r="AR3549" t="e">
        <v>#N/A</v>
      </c>
      <c r="AS3549" t="e">
        <v>#N/A</v>
      </c>
      <c r="AT3549" t="e">
        <v>#N/A</v>
      </c>
    </row>
    <row r="3550" spans="42:46">
      <c r="AP3550">
        <v>250500</v>
      </c>
      <c r="AQ3550" t="e">
        <v>#N/A</v>
      </c>
      <c r="AR3550" t="e">
        <v>#N/A</v>
      </c>
      <c r="AS3550" t="e">
        <v>#N/A</v>
      </c>
      <c r="AT3550" t="e">
        <v>#N/A</v>
      </c>
    </row>
    <row r="3551" spans="42:46">
      <c r="AP3551">
        <v>250550</v>
      </c>
      <c r="AQ3551" t="e">
        <v>#N/A</v>
      </c>
      <c r="AR3551" t="e">
        <v>#N/A</v>
      </c>
      <c r="AS3551" t="e">
        <v>#N/A</v>
      </c>
      <c r="AT3551" t="e">
        <v>#N/A</v>
      </c>
    </row>
    <row r="3552" spans="42:46">
      <c r="AP3552">
        <v>250600</v>
      </c>
      <c r="AQ3552" t="e">
        <v>#N/A</v>
      </c>
      <c r="AR3552" t="e">
        <v>#N/A</v>
      </c>
      <c r="AS3552" t="e">
        <v>#N/A</v>
      </c>
      <c r="AT3552" t="e">
        <v>#N/A</v>
      </c>
    </row>
    <row r="3553" spans="42:46">
      <c r="AP3553">
        <v>250650</v>
      </c>
      <c r="AQ3553" t="e">
        <v>#N/A</v>
      </c>
      <c r="AR3553" t="e">
        <v>#N/A</v>
      </c>
      <c r="AS3553" t="e">
        <v>#N/A</v>
      </c>
      <c r="AT3553" t="e">
        <v>#N/A</v>
      </c>
    </row>
    <row r="3554" spans="42:46">
      <c r="AP3554">
        <v>250700</v>
      </c>
      <c r="AQ3554" t="e">
        <v>#N/A</v>
      </c>
      <c r="AR3554" t="e">
        <v>#N/A</v>
      </c>
      <c r="AS3554" t="e">
        <v>#N/A</v>
      </c>
      <c r="AT3554" t="e">
        <v>#N/A</v>
      </c>
    </row>
    <row r="3555" spans="42:46">
      <c r="AP3555">
        <v>250750</v>
      </c>
      <c r="AQ3555" t="e">
        <v>#N/A</v>
      </c>
      <c r="AR3555" t="e">
        <v>#N/A</v>
      </c>
      <c r="AS3555" t="e">
        <v>#N/A</v>
      </c>
      <c r="AT3555" t="e">
        <v>#N/A</v>
      </c>
    </row>
    <row r="3556" spans="42:46">
      <c r="AP3556">
        <v>250800</v>
      </c>
      <c r="AQ3556" t="e">
        <v>#N/A</v>
      </c>
      <c r="AR3556" t="e">
        <v>#N/A</v>
      </c>
      <c r="AS3556" t="e">
        <v>#N/A</v>
      </c>
      <c r="AT3556" t="e">
        <v>#N/A</v>
      </c>
    </row>
    <row r="3557" spans="42:46">
      <c r="AP3557">
        <v>250850</v>
      </c>
      <c r="AQ3557" t="e">
        <v>#N/A</v>
      </c>
      <c r="AR3557" t="e">
        <v>#N/A</v>
      </c>
      <c r="AS3557" t="e">
        <v>#N/A</v>
      </c>
      <c r="AT3557" t="e">
        <v>#N/A</v>
      </c>
    </row>
    <row r="3558" spans="42:46">
      <c r="AP3558">
        <v>250900</v>
      </c>
      <c r="AQ3558" t="e">
        <v>#N/A</v>
      </c>
      <c r="AR3558" t="e">
        <v>#N/A</v>
      </c>
      <c r="AS3558" t="e">
        <v>#N/A</v>
      </c>
      <c r="AT3558" t="e">
        <v>#N/A</v>
      </c>
    </row>
    <row r="3559" spans="42:46">
      <c r="AP3559">
        <v>250950</v>
      </c>
      <c r="AQ3559" t="e">
        <v>#N/A</v>
      </c>
      <c r="AR3559" t="e">
        <v>#N/A</v>
      </c>
      <c r="AS3559" t="e">
        <v>#N/A</v>
      </c>
      <c r="AT3559" t="e">
        <v>#N/A</v>
      </c>
    </row>
    <row r="3560" spans="42:46">
      <c r="AP3560">
        <v>251000</v>
      </c>
      <c r="AQ3560" t="e">
        <v>#N/A</v>
      </c>
      <c r="AR3560" t="e">
        <v>#N/A</v>
      </c>
      <c r="AS3560" t="e">
        <v>#N/A</v>
      </c>
      <c r="AT3560" t="e">
        <v>#N/A</v>
      </c>
    </row>
    <row r="3561" spans="42:46">
      <c r="AP3561">
        <v>251050</v>
      </c>
      <c r="AQ3561" t="e">
        <v>#N/A</v>
      </c>
      <c r="AR3561" t="e">
        <v>#N/A</v>
      </c>
      <c r="AS3561" t="e">
        <v>#N/A</v>
      </c>
      <c r="AT3561" t="e">
        <v>#N/A</v>
      </c>
    </row>
    <row r="3562" spans="42:46">
      <c r="AP3562">
        <v>251100</v>
      </c>
      <c r="AQ3562" t="e">
        <v>#N/A</v>
      </c>
      <c r="AR3562" t="e">
        <v>#N/A</v>
      </c>
      <c r="AS3562" t="e">
        <v>#N/A</v>
      </c>
      <c r="AT3562" t="e">
        <v>#N/A</v>
      </c>
    </row>
    <row r="3563" spans="42:46">
      <c r="AP3563">
        <v>251150</v>
      </c>
      <c r="AQ3563" t="e">
        <v>#N/A</v>
      </c>
      <c r="AR3563" t="e">
        <v>#N/A</v>
      </c>
      <c r="AS3563" t="e">
        <v>#N/A</v>
      </c>
      <c r="AT3563" t="e">
        <v>#N/A</v>
      </c>
    </row>
    <row r="3564" spans="42:46">
      <c r="AP3564">
        <v>251200</v>
      </c>
      <c r="AQ3564" t="e">
        <v>#N/A</v>
      </c>
      <c r="AR3564" t="e">
        <v>#N/A</v>
      </c>
      <c r="AS3564" t="e">
        <v>#N/A</v>
      </c>
      <c r="AT3564" t="e">
        <v>#N/A</v>
      </c>
    </row>
    <row r="3565" spans="42:46">
      <c r="AP3565">
        <v>251250</v>
      </c>
      <c r="AQ3565" t="e">
        <v>#N/A</v>
      </c>
      <c r="AR3565" t="e">
        <v>#N/A</v>
      </c>
      <c r="AS3565" t="e">
        <v>#N/A</v>
      </c>
      <c r="AT3565" t="e">
        <v>#N/A</v>
      </c>
    </row>
    <row r="3566" spans="42:46">
      <c r="AP3566">
        <v>251300</v>
      </c>
      <c r="AQ3566" t="e">
        <v>#N/A</v>
      </c>
      <c r="AR3566" t="e">
        <v>#N/A</v>
      </c>
      <c r="AS3566" t="e">
        <v>#N/A</v>
      </c>
      <c r="AT3566" t="e">
        <v>#N/A</v>
      </c>
    </row>
    <row r="3567" spans="42:46">
      <c r="AP3567">
        <v>251350</v>
      </c>
      <c r="AQ3567" t="e">
        <v>#N/A</v>
      </c>
      <c r="AR3567" t="e">
        <v>#N/A</v>
      </c>
      <c r="AS3567" t="e">
        <v>#N/A</v>
      </c>
      <c r="AT3567" t="e">
        <v>#N/A</v>
      </c>
    </row>
    <row r="3568" spans="42:46">
      <c r="AP3568">
        <v>251400</v>
      </c>
      <c r="AQ3568" t="e">
        <v>#N/A</v>
      </c>
      <c r="AR3568" t="e">
        <v>#N/A</v>
      </c>
      <c r="AS3568" t="e">
        <v>#N/A</v>
      </c>
      <c r="AT3568" t="e">
        <v>#N/A</v>
      </c>
    </row>
    <row r="3569" spans="42:46">
      <c r="AP3569">
        <v>251450</v>
      </c>
      <c r="AQ3569" t="e">
        <v>#N/A</v>
      </c>
      <c r="AR3569" t="e">
        <v>#N/A</v>
      </c>
      <c r="AS3569" t="e">
        <v>#N/A</v>
      </c>
      <c r="AT3569" t="e">
        <v>#N/A</v>
      </c>
    </row>
    <row r="3570" spans="42:46">
      <c r="AP3570">
        <v>251500</v>
      </c>
      <c r="AQ3570" t="e">
        <v>#N/A</v>
      </c>
      <c r="AR3570" t="e">
        <v>#N/A</v>
      </c>
      <c r="AS3570" t="e">
        <v>#N/A</v>
      </c>
      <c r="AT3570" t="e">
        <v>#N/A</v>
      </c>
    </row>
    <row r="3571" spans="42:46">
      <c r="AP3571">
        <v>251550</v>
      </c>
      <c r="AQ3571" t="e">
        <v>#N/A</v>
      </c>
      <c r="AR3571" t="e">
        <v>#N/A</v>
      </c>
      <c r="AS3571" t="e">
        <v>#N/A</v>
      </c>
      <c r="AT3571" t="e">
        <v>#N/A</v>
      </c>
    </row>
    <row r="3572" spans="42:46">
      <c r="AP3572">
        <v>251600</v>
      </c>
      <c r="AQ3572" t="e">
        <v>#N/A</v>
      </c>
      <c r="AR3572" t="e">
        <v>#N/A</v>
      </c>
      <c r="AS3572" t="e">
        <v>#N/A</v>
      </c>
      <c r="AT3572" t="e">
        <v>#N/A</v>
      </c>
    </row>
    <row r="3573" spans="42:46">
      <c r="AP3573">
        <v>251650</v>
      </c>
      <c r="AQ3573" t="e">
        <v>#N/A</v>
      </c>
      <c r="AR3573" t="e">
        <v>#N/A</v>
      </c>
      <c r="AS3573" t="e">
        <v>#N/A</v>
      </c>
      <c r="AT3573" t="e">
        <v>#N/A</v>
      </c>
    </row>
    <row r="3574" spans="42:46">
      <c r="AP3574">
        <v>251700</v>
      </c>
      <c r="AQ3574" t="e">
        <v>#N/A</v>
      </c>
      <c r="AR3574" t="e">
        <v>#N/A</v>
      </c>
      <c r="AS3574" t="e">
        <v>#N/A</v>
      </c>
      <c r="AT3574" t="e">
        <v>#N/A</v>
      </c>
    </row>
    <row r="3575" spans="42:46">
      <c r="AP3575">
        <v>251750</v>
      </c>
      <c r="AQ3575" t="e">
        <v>#N/A</v>
      </c>
      <c r="AR3575" t="e">
        <v>#N/A</v>
      </c>
      <c r="AS3575" t="e">
        <v>#N/A</v>
      </c>
      <c r="AT3575" t="e">
        <v>#N/A</v>
      </c>
    </row>
    <row r="3576" spans="42:46">
      <c r="AP3576">
        <v>251800</v>
      </c>
      <c r="AQ3576" t="e">
        <v>#N/A</v>
      </c>
      <c r="AR3576" t="e">
        <v>#N/A</v>
      </c>
      <c r="AS3576" t="e">
        <v>#N/A</v>
      </c>
      <c r="AT3576" t="e">
        <v>#N/A</v>
      </c>
    </row>
    <row r="3577" spans="42:46">
      <c r="AP3577">
        <v>251850</v>
      </c>
      <c r="AQ3577" t="e">
        <v>#N/A</v>
      </c>
      <c r="AR3577" t="e">
        <v>#N/A</v>
      </c>
      <c r="AS3577" t="e">
        <v>#N/A</v>
      </c>
      <c r="AT3577" t="e">
        <v>#N/A</v>
      </c>
    </row>
    <row r="3578" spans="42:46">
      <c r="AP3578">
        <v>251900</v>
      </c>
      <c r="AQ3578" t="e">
        <v>#N/A</v>
      </c>
      <c r="AR3578" t="e">
        <v>#N/A</v>
      </c>
      <c r="AS3578" t="e">
        <v>#N/A</v>
      </c>
      <c r="AT3578" t="e">
        <v>#N/A</v>
      </c>
    </row>
    <row r="3579" spans="42:46">
      <c r="AP3579">
        <v>251950</v>
      </c>
      <c r="AQ3579" t="e">
        <v>#N/A</v>
      </c>
      <c r="AR3579" t="e">
        <v>#N/A</v>
      </c>
      <c r="AS3579" t="e">
        <v>#N/A</v>
      </c>
      <c r="AT3579" t="e">
        <v>#N/A</v>
      </c>
    </row>
    <row r="3580" spans="42:46">
      <c r="AP3580">
        <v>252000</v>
      </c>
      <c r="AQ3580" t="e">
        <v>#N/A</v>
      </c>
      <c r="AR3580" t="e">
        <v>#N/A</v>
      </c>
      <c r="AS3580" t="e">
        <v>#N/A</v>
      </c>
      <c r="AT3580" t="e">
        <v>#N/A</v>
      </c>
    </row>
    <row r="3581" spans="42:46">
      <c r="AP3581">
        <v>252050</v>
      </c>
      <c r="AQ3581" t="e">
        <v>#N/A</v>
      </c>
      <c r="AR3581" t="e">
        <v>#N/A</v>
      </c>
      <c r="AS3581" t="e">
        <v>#N/A</v>
      </c>
      <c r="AT3581" t="e">
        <v>#N/A</v>
      </c>
    </row>
    <row r="3582" spans="42:46">
      <c r="AP3582">
        <v>252100</v>
      </c>
      <c r="AQ3582" t="e">
        <v>#N/A</v>
      </c>
      <c r="AR3582" t="e">
        <v>#N/A</v>
      </c>
      <c r="AS3582" t="e">
        <v>#N/A</v>
      </c>
      <c r="AT3582" t="e">
        <v>#N/A</v>
      </c>
    </row>
    <row r="3583" spans="42:46">
      <c r="AP3583">
        <v>252150</v>
      </c>
      <c r="AQ3583" t="e">
        <v>#N/A</v>
      </c>
      <c r="AR3583" t="e">
        <v>#N/A</v>
      </c>
      <c r="AS3583" t="e">
        <v>#N/A</v>
      </c>
      <c r="AT3583" t="e">
        <v>#N/A</v>
      </c>
    </row>
    <row r="3584" spans="42:46">
      <c r="AP3584">
        <v>252200</v>
      </c>
      <c r="AQ3584" t="e">
        <v>#N/A</v>
      </c>
      <c r="AR3584" t="e">
        <v>#N/A</v>
      </c>
      <c r="AS3584" t="e">
        <v>#N/A</v>
      </c>
      <c r="AT3584" t="e">
        <v>#N/A</v>
      </c>
    </row>
    <row r="3585" spans="42:46">
      <c r="AP3585">
        <v>252250</v>
      </c>
      <c r="AQ3585" t="e">
        <v>#N/A</v>
      </c>
      <c r="AR3585" t="e">
        <v>#N/A</v>
      </c>
      <c r="AS3585" t="e">
        <v>#N/A</v>
      </c>
      <c r="AT3585" t="e">
        <v>#N/A</v>
      </c>
    </row>
    <row r="3586" spans="42:46">
      <c r="AP3586">
        <v>252300</v>
      </c>
      <c r="AQ3586" t="e">
        <v>#N/A</v>
      </c>
      <c r="AR3586" t="e">
        <v>#N/A</v>
      </c>
      <c r="AS3586" t="e">
        <v>#N/A</v>
      </c>
      <c r="AT3586" t="e">
        <v>#N/A</v>
      </c>
    </row>
    <row r="3587" spans="42:46">
      <c r="AP3587">
        <v>252350</v>
      </c>
      <c r="AQ3587" t="e">
        <v>#N/A</v>
      </c>
      <c r="AR3587" t="e">
        <v>#N/A</v>
      </c>
      <c r="AS3587" t="e">
        <v>#N/A</v>
      </c>
      <c r="AT3587" t="e">
        <v>#N/A</v>
      </c>
    </row>
    <row r="3588" spans="42:46">
      <c r="AP3588">
        <v>252400</v>
      </c>
      <c r="AQ3588" t="e">
        <v>#N/A</v>
      </c>
      <c r="AR3588" t="e">
        <v>#N/A</v>
      </c>
      <c r="AS3588" t="e">
        <v>#N/A</v>
      </c>
      <c r="AT3588" t="e">
        <v>#N/A</v>
      </c>
    </row>
    <row r="3589" spans="42:46">
      <c r="AP3589">
        <v>252450</v>
      </c>
      <c r="AQ3589" t="e">
        <v>#N/A</v>
      </c>
      <c r="AR3589" t="e">
        <v>#N/A</v>
      </c>
      <c r="AS3589" t="e">
        <v>#N/A</v>
      </c>
      <c r="AT3589" t="e">
        <v>#N/A</v>
      </c>
    </row>
    <row r="3590" spans="42:46">
      <c r="AP3590">
        <v>252500</v>
      </c>
      <c r="AQ3590" t="e">
        <v>#N/A</v>
      </c>
      <c r="AR3590" t="e">
        <v>#N/A</v>
      </c>
      <c r="AS3590" t="e">
        <v>#N/A</v>
      </c>
      <c r="AT3590" t="e">
        <v>#N/A</v>
      </c>
    </row>
    <row r="3591" spans="42:46">
      <c r="AP3591">
        <v>252550</v>
      </c>
      <c r="AQ3591" t="e">
        <v>#N/A</v>
      </c>
      <c r="AR3591" t="e">
        <v>#N/A</v>
      </c>
      <c r="AS3591" t="e">
        <v>#N/A</v>
      </c>
      <c r="AT3591" t="e">
        <v>#N/A</v>
      </c>
    </row>
    <row r="3592" spans="42:46">
      <c r="AP3592">
        <v>252600</v>
      </c>
      <c r="AQ3592" t="e">
        <v>#N/A</v>
      </c>
      <c r="AR3592" t="e">
        <v>#N/A</v>
      </c>
      <c r="AS3592" t="e">
        <v>#N/A</v>
      </c>
      <c r="AT3592" t="e">
        <v>#N/A</v>
      </c>
    </row>
    <row r="3593" spans="42:46">
      <c r="AP3593">
        <v>252650</v>
      </c>
      <c r="AQ3593" t="e">
        <v>#N/A</v>
      </c>
      <c r="AR3593" t="e">
        <v>#N/A</v>
      </c>
      <c r="AS3593" t="e">
        <v>#N/A</v>
      </c>
      <c r="AT3593" t="e">
        <v>#N/A</v>
      </c>
    </row>
    <row r="3594" spans="42:46">
      <c r="AP3594">
        <v>252700</v>
      </c>
      <c r="AQ3594" t="e">
        <v>#N/A</v>
      </c>
      <c r="AR3594" t="e">
        <v>#N/A</v>
      </c>
      <c r="AS3594" t="e">
        <v>#N/A</v>
      </c>
      <c r="AT3594" t="e">
        <v>#N/A</v>
      </c>
    </row>
    <row r="3595" spans="42:46">
      <c r="AP3595">
        <v>252750</v>
      </c>
      <c r="AQ3595" t="e">
        <v>#N/A</v>
      </c>
      <c r="AR3595" t="e">
        <v>#N/A</v>
      </c>
      <c r="AS3595" t="e">
        <v>#N/A</v>
      </c>
      <c r="AT3595" t="e">
        <v>#N/A</v>
      </c>
    </row>
    <row r="3596" spans="42:46">
      <c r="AP3596">
        <v>252800</v>
      </c>
      <c r="AQ3596" t="e">
        <v>#N/A</v>
      </c>
      <c r="AR3596" t="e">
        <v>#N/A</v>
      </c>
      <c r="AS3596" t="e">
        <v>#N/A</v>
      </c>
      <c r="AT3596" t="e">
        <v>#N/A</v>
      </c>
    </row>
    <row r="3597" spans="42:46">
      <c r="AP3597">
        <v>252850</v>
      </c>
      <c r="AQ3597" t="e">
        <v>#N/A</v>
      </c>
      <c r="AR3597" t="e">
        <v>#N/A</v>
      </c>
      <c r="AS3597" t="e">
        <v>#N/A</v>
      </c>
      <c r="AT3597" t="e">
        <v>#N/A</v>
      </c>
    </row>
    <row r="3598" spans="42:46">
      <c r="AP3598">
        <v>252900</v>
      </c>
      <c r="AQ3598" t="e">
        <v>#N/A</v>
      </c>
      <c r="AR3598" t="e">
        <v>#N/A</v>
      </c>
      <c r="AS3598" t="e">
        <v>#N/A</v>
      </c>
      <c r="AT3598" t="e">
        <v>#N/A</v>
      </c>
    </row>
    <row r="3599" spans="42:46">
      <c r="AP3599">
        <v>252950</v>
      </c>
      <c r="AQ3599" t="e">
        <v>#N/A</v>
      </c>
      <c r="AR3599" t="e">
        <v>#N/A</v>
      </c>
      <c r="AS3599" t="e">
        <v>#N/A</v>
      </c>
      <c r="AT3599" t="e">
        <v>#N/A</v>
      </c>
    </row>
    <row r="3600" spans="42:46">
      <c r="AP3600">
        <v>253000</v>
      </c>
      <c r="AQ3600" t="e">
        <v>#N/A</v>
      </c>
      <c r="AR3600" t="e">
        <v>#N/A</v>
      </c>
      <c r="AS3600" t="e">
        <v>#N/A</v>
      </c>
      <c r="AT3600" t="e">
        <v>#N/A</v>
      </c>
    </row>
    <row r="3601" spans="42:46">
      <c r="AP3601">
        <v>253050</v>
      </c>
      <c r="AQ3601" t="e">
        <v>#N/A</v>
      </c>
      <c r="AR3601" t="e">
        <v>#N/A</v>
      </c>
      <c r="AS3601" t="e">
        <v>#N/A</v>
      </c>
      <c r="AT3601" t="e">
        <v>#N/A</v>
      </c>
    </row>
    <row r="3602" spans="42:46">
      <c r="AP3602">
        <v>253100</v>
      </c>
      <c r="AQ3602" t="e">
        <v>#N/A</v>
      </c>
      <c r="AR3602" t="e">
        <v>#N/A</v>
      </c>
      <c r="AS3602" t="e">
        <v>#N/A</v>
      </c>
      <c r="AT3602" t="e">
        <v>#N/A</v>
      </c>
    </row>
    <row r="3603" spans="42:46">
      <c r="AP3603">
        <v>253150</v>
      </c>
      <c r="AQ3603" t="e">
        <v>#N/A</v>
      </c>
      <c r="AR3603" t="e">
        <v>#N/A</v>
      </c>
      <c r="AS3603" t="e">
        <v>#N/A</v>
      </c>
      <c r="AT3603" t="e">
        <v>#N/A</v>
      </c>
    </row>
    <row r="3604" spans="42:46">
      <c r="AP3604">
        <v>253200</v>
      </c>
      <c r="AQ3604" t="e">
        <v>#N/A</v>
      </c>
      <c r="AR3604" t="e">
        <v>#N/A</v>
      </c>
      <c r="AS3604" t="e">
        <v>#N/A</v>
      </c>
      <c r="AT3604" t="e">
        <v>#N/A</v>
      </c>
    </row>
    <row r="3605" spans="42:46">
      <c r="AP3605">
        <v>253250</v>
      </c>
      <c r="AQ3605" t="e">
        <v>#N/A</v>
      </c>
      <c r="AR3605" t="e">
        <v>#N/A</v>
      </c>
      <c r="AS3605" t="e">
        <v>#N/A</v>
      </c>
      <c r="AT3605" t="e">
        <v>#N/A</v>
      </c>
    </row>
    <row r="3606" spans="42:46">
      <c r="AP3606">
        <v>253300</v>
      </c>
      <c r="AQ3606" t="e">
        <v>#N/A</v>
      </c>
      <c r="AR3606" t="e">
        <v>#N/A</v>
      </c>
      <c r="AS3606" t="e">
        <v>#N/A</v>
      </c>
      <c r="AT3606" t="e">
        <v>#N/A</v>
      </c>
    </row>
    <row r="3607" spans="42:46">
      <c r="AP3607">
        <v>253350</v>
      </c>
      <c r="AQ3607" t="e">
        <v>#N/A</v>
      </c>
      <c r="AR3607" t="e">
        <v>#N/A</v>
      </c>
      <c r="AS3607" t="e">
        <v>#N/A</v>
      </c>
      <c r="AT3607" t="e">
        <v>#N/A</v>
      </c>
    </row>
    <row r="3608" spans="42:46">
      <c r="AP3608">
        <v>253400</v>
      </c>
      <c r="AQ3608" t="e">
        <v>#N/A</v>
      </c>
      <c r="AR3608" t="e">
        <v>#N/A</v>
      </c>
      <c r="AS3608" t="e">
        <v>#N/A</v>
      </c>
      <c r="AT3608" t="e">
        <v>#N/A</v>
      </c>
    </row>
    <row r="3609" spans="42:46">
      <c r="AP3609">
        <v>253450</v>
      </c>
      <c r="AQ3609" t="e">
        <v>#N/A</v>
      </c>
      <c r="AR3609" t="e">
        <v>#N/A</v>
      </c>
      <c r="AS3609" t="e">
        <v>#N/A</v>
      </c>
      <c r="AT3609" t="e">
        <v>#N/A</v>
      </c>
    </row>
    <row r="3610" spans="42:46">
      <c r="AP3610">
        <v>253500</v>
      </c>
      <c r="AQ3610" t="e">
        <v>#N/A</v>
      </c>
      <c r="AR3610" t="e">
        <v>#N/A</v>
      </c>
      <c r="AS3610" t="e">
        <v>#N/A</v>
      </c>
      <c r="AT3610" t="e">
        <v>#N/A</v>
      </c>
    </row>
    <row r="3611" spans="42:46">
      <c r="AP3611">
        <v>253550</v>
      </c>
      <c r="AQ3611" t="e">
        <v>#N/A</v>
      </c>
      <c r="AR3611" t="e">
        <v>#N/A</v>
      </c>
      <c r="AS3611" t="e">
        <v>#N/A</v>
      </c>
      <c r="AT3611" t="e">
        <v>#N/A</v>
      </c>
    </row>
    <row r="3612" spans="42:46">
      <c r="AP3612">
        <v>253600</v>
      </c>
      <c r="AQ3612" t="e">
        <v>#N/A</v>
      </c>
      <c r="AR3612" t="e">
        <v>#N/A</v>
      </c>
      <c r="AS3612" t="e">
        <v>#N/A</v>
      </c>
      <c r="AT3612" t="e">
        <v>#N/A</v>
      </c>
    </row>
    <row r="3613" spans="42:46">
      <c r="AP3613">
        <v>253650</v>
      </c>
      <c r="AQ3613" t="e">
        <v>#N/A</v>
      </c>
      <c r="AR3613" t="e">
        <v>#N/A</v>
      </c>
      <c r="AS3613" t="e">
        <v>#N/A</v>
      </c>
      <c r="AT3613" t="e">
        <v>#N/A</v>
      </c>
    </row>
    <row r="3614" spans="42:46">
      <c r="AP3614">
        <v>253700</v>
      </c>
      <c r="AQ3614" t="e">
        <v>#N/A</v>
      </c>
      <c r="AR3614" t="e">
        <v>#N/A</v>
      </c>
      <c r="AS3614" t="e">
        <v>#N/A</v>
      </c>
      <c r="AT3614" t="e">
        <v>#N/A</v>
      </c>
    </row>
    <row r="3615" spans="42:46">
      <c r="AP3615">
        <v>253750</v>
      </c>
      <c r="AQ3615" t="e">
        <v>#N/A</v>
      </c>
      <c r="AR3615" t="e">
        <v>#N/A</v>
      </c>
      <c r="AS3615" t="e">
        <v>#N/A</v>
      </c>
      <c r="AT3615" t="e">
        <v>#N/A</v>
      </c>
    </row>
    <row r="3616" spans="42:46">
      <c r="AP3616">
        <v>253800</v>
      </c>
      <c r="AQ3616" t="e">
        <v>#N/A</v>
      </c>
      <c r="AR3616" t="e">
        <v>#N/A</v>
      </c>
      <c r="AS3616" t="e">
        <v>#N/A</v>
      </c>
      <c r="AT3616" t="e">
        <v>#N/A</v>
      </c>
    </row>
    <row r="3617" spans="42:46">
      <c r="AP3617">
        <v>253850</v>
      </c>
      <c r="AQ3617" t="e">
        <v>#N/A</v>
      </c>
      <c r="AR3617" t="e">
        <v>#N/A</v>
      </c>
      <c r="AS3617" t="e">
        <v>#N/A</v>
      </c>
      <c r="AT3617" t="e">
        <v>#N/A</v>
      </c>
    </row>
    <row r="3618" spans="42:46">
      <c r="AP3618">
        <v>253900</v>
      </c>
      <c r="AQ3618" t="e">
        <v>#N/A</v>
      </c>
      <c r="AR3618" t="e">
        <v>#N/A</v>
      </c>
      <c r="AS3618" t="e">
        <v>#N/A</v>
      </c>
      <c r="AT3618" t="e">
        <v>#N/A</v>
      </c>
    </row>
    <row r="3619" spans="42:46">
      <c r="AP3619">
        <v>253950</v>
      </c>
      <c r="AQ3619" t="e">
        <v>#N/A</v>
      </c>
      <c r="AR3619" t="e">
        <v>#N/A</v>
      </c>
      <c r="AS3619" t="e">
        <v>#N/A</v>
      </c>
      <c r="AT3619" t="e">
        <v>#N/A</v>
      </c>
    </row>
    <row r="3620" spans="42:46">
      <c r="AP3620">
        <v>254000</v>
      </c>
      <c r="AQ3620" t="e">
        <v>#N/A</v>
      </c>
      <c r="AR3620" t="e">
        <v>#N/A</v>
      </c>
      <c r="AS3620" t="e">
        <v>#N/A</v>
      </c>
      <c r="AT3620" t="e">
        <v>#N/A</v>
      </c>
    </row>
    <row r="3621" spans="42:46">
      <c r="AP3621">
        <v>254050</v>
      </c>
      <c r="AQ3621" t="e">
        <v>#N/A</v>
      </c>
      <c r="AR3621" t="e">
        <v>#N/A</v>
      </c>
      <c r="AS3621" t="e">
        <v>#N/A</v>
      </c>
      <c r="AT3621" t="e">
        <v>#N/A</v>
      </c>
    </row>
    <row r="3622" spans="42:46">
      <c r="AP3622">
        <v>254100</v>
      </c>
      <c r="AQ3622" t="e">
        <v>#N/A</v>
      </c>
      <c r="AR3622" t="e">
        <v>#N/A</v>
      </c>
      <c r="AS3622" t="e">
        <v>#N/A</v>
      </c>
      <c r="AT3622" t="e">
        <v>#N/A</v>
      </c>
    </row>
    <row r="3623" spans="42:46">
      <c r="AP3623">
        <v>254150</v>
      </c>
      <c r="AQ3623" t="e">
        <v>#N/A</v>
      </c>
      <c r="AR3623" t="e">
        <v>#N/A</v>
      </c>
      <c r="AS3623" t="e">
        <v>#N/A</v>
      </c>
      <c r="AT3623" t="e">
        <v>#N/A</v>
      </c>
    </row>
    <row r="3624" spans="42:46">
      <c r="AP3624">
        <v>254200</v>
      </c>
      <c r="AQ3624" t="e">
        <v>#N/A</v>
      </c>
      <c r="AR3624" t="e">
        <v>#N/A</v>
      </c>
      <c r="AS3624" t="e">
        <v>#N/A</v>
      </c>
      <c r="AT3624" t="e">
        <v>#N/A</v>
      </c>
    </row>
    <row r="3625" spans="42:46">
      <c r="AP3625">
        <v>254250</v>
      </c>
      <c r="AQ3625" t="e">
        <v>#N/A</v>
      </c>
      <c r="AR3625" t="e">
        <v>#N/A</v>
      </c>
      <c r="AS3625" t="e">
        <v>#N/A</v>
      </c>
      <c r="AT3625" t="e">
        <v>#N/A</v>
      </c>
    </row>
    <row r="3626" spans="42:46">
      <c r="AP3626">
        <v>254300</v>
      </c>
      <c r="AQ3626" t="e">
        <v>#N/A</v>
      </c>
      <c r="AR3626" t="e">
        <v>#N/A</v>
      </c>
      <c r="AS3626" t="e">
        <v>#N/A</v>
      </c>
      <c r="AT3626" t="e">
        <v>#N/A</v>
      </c>
    </row>
    <row r="3627" spans="42:46">
      <c r="AP3627">
        <v>254350</v>
      </c>
      <c r="AQ3627" t="e">
        <v>#N/A</v>
      </c>
      <c r="AR3627" t="e">
        <v>#N/A</v>
      </c>
      <c r="AS3627" t="e">
        <v>#N/A</v>
      </c>
      <c r="AT3627" t="e">
        <v>#N/A</v>
      </c>
    </row>
    <row r="3628" spans="42:46">
      <c r="AP3628">
        <v>254400</v>
      </c>
      <c r="AQ3628" t="e">
        <v>#N/A</v>
      </c>
      <c r="AR3628" t="e">
        <v>#N/A</v>
      </c>
      <c r="AS3628" t="e">
        <v>#N/A</v>
      </c>
      <c r="AT3628" t="e">
        <v>#N/A</v>
      </c>
    </row>
    <row r="3629" spans="42:46">
      <c r="AP3629">
        <v>254450</v>
      </c>
      <c r="AQ3629" t="e">
        <v>#N/A</v>
      </c>
      <c r="AR3629" t="e">
        <v>#N/A</v>
      </c>
      <c r="AS3629" t="e">
        <v>#N/A</v>
      </c>
      <c r="AT3629" t="e">
        <v>#N/A</v>
      </c>
    </row>
    <row r="3630" spans="42:46">
      <c r="AP3630">
        <v>254500</v>
      </c>
      <c r="AQ3630" t="e">
        <v>#N/A</v>
      </c>
      <c r="AR3630" t="e">
        <v>#N/A</v>
      </c>
      <c r="AS3630" t="e">
        <v>#N/A</v>
      </c>
      <c r="AT3630" t="e">
        <v>#N/A</v>
      </c>
    </row>
    <row r="3631" spans="42:46">
      <c r="AP3631">
        <v>254550</v>
      </c>
      <c r="AQ3631" t="e">
        <v>#N/A</v>
      </c>
      <c r="AR3631" t="e">
        <v>#N/A</v>
      </c>
      <c r="AS3631" t="e">
        <v>#N/A</v>
      </c>
      <c r="AT3631" t="e">
        <v>#N/A</v>
      </c>
    </row>
    <row r="3632" spans="42:46">
      <c r="AP3632">
        <v>254600</v>
      </c>
      <c r="AQ3632" t="e">
        <v>#N/A</v>
      </c>
      <c r="AR3632" t="e">
        <v>#N/A</v>
      </c>
      <c r="AS3632" t="e">
        <v>#N/A</v>
      </c>
      <c r="AT3632" t="e">
        <v>#N/A</v>
      </c>
    </row>
    <row r="3633" spans="42:46">
      <c r="AP3633">
        <v>254650</v>
      </c>
      <c r="AQ3633" t="e">
        <v>#N/A</v>
      </c>
      <c r="AR3633" t="e">
        <v>#N/A</v>
      </c>
      <c r="AS3633" t="e">
        <v>#N/A</v>
      </c>
      <c r="AT3633" t="e">
        <v>#N/A</v>
      </c>
    </row>
    <row r="3634" spans="42:46">
      <c r="AP3634">
        <v>254700</v>
      </c>
      <c r="AQ3634" t="e">
        <v>#N/A</v>
      </c>
      <c r="AR3634" t="e">
        <v>#N/A</v>
      </c>
      <c r="AS3634" t="e">
        <v>#N/A</v>
      </c>
      <c r="AT3634" t="e">
        <v>#N/A</v>
      </c>
    </row>
    <row r="3635" spans="42:46">
      <c r="AP3635">
        <v>254750</v>
      </c>
      <c r="AQ3635" t="e">
        <v>#N/A</v>
      </c>
      <c r="AR3635" t="e">
        <v>#N/A</v>
      </c>
      <c r="AS3635" t="e">
        <v>#N/A</v>
      </c>
      <c r="AT3635" t="e">
        <v>#N/A</v>
      </c>
    </row>
    <row r="3636" spans="42:46">
      <c r="AP3636">
        <v>254800</v>
      </c>
      <c r="AQ3636" t="e">
        <v>#N/A</v>
      </c>
      <c r="AR3636" t="e">
        <v>#N/A</v>
      </c>
      <c r="AS3636" t="e">
        <v>#N/A</v>
      </c>
      <c r="AT3636" t="e">
        <v>#N/A</v>
      </c>
    </row>
    <row r="3637" spans="42:46">
      <c r="AP3637">
        <v>254850</v>
      </c>
      <c r="AQ3637" t="e">
        <v>#N/A</v>
      </c>
      <c r="AR3637" t="e">
        <v>#N/A</v>
      </c>
      <c r="AS3637" t="e">
        <v>#N/A</v>
      </c>
      <c r="AT3637" t="e">
        <v>#N/A</v>
      </c>
    </row>
    <row r="3638" spans="42:46">
      <c r="AP3638">
        <v>254900</v>
      </c>
      <c r="AQ3638" t="e">
        <v>#N/A</v>
      </c>
      <c r="AR3638" t="e">
        <v>#N/A</v>
      </c>
      <c r="AS3638" t="e">
        <v>#N/A</v>
      </c>
      <c r="AT3638" t="e">
        <v>#N/A</v>
      </c>
    </row>
    <row r="3639" spans="42:46">
      <c r="AP3639">
        <v>254950</v>
      </c>
      <c r="AQ3639" t="e">
        <v>#N/A</v>
      </c>
      <c r="AR3639" t="e">
        <v>#N/A</v>
      </c>
      <c r="AS3639" t="e">
        <v>#N/A</v>
      </c>
      <c r="AT3639" t="e">
        <v>#N/A</v>
      </c>
    </row>
    <row r="3640" spans="42:46">
      <c r="AP3640">
        <v>255000</v>
      </c>
      <c r="AQ3640" t="e">
        <v>#N/A</v>
      </c>
      <c r="AR3640" t="e">
        <v>#N/A</v>
      </c>
      <c r="AS3640" t="e">
        <v>#N/A</v>
      </c>
      <c r="AT3640" t="e">
        <v>#N/A</v>
      </c>
    </row>
    <row r="3641" spans="42:46">
      <c r="AP3641">
        <v>255050</v>
      </c>
      <c r="AQ3641" t="e">
        <v>#N/A</v>
      </c>
      <c r="AR3641" t="e">
        <v>#N/A</v>
      </c>
      <c r="AS3641" t="e">
        <v>#N/A</v>
      </c>
      <c r="AT3641" t="e">
        <v>#N/A</v>
      </c>
    </row>
    <row r="3642" spans="42:46">
      <c r="AP3642">
        <v>255100</v>
      </c>
      <c r="AQ3642" t="e">
        <v>#N/A</v>
      </c>
      <c r="AR3642" t="e">
        <v>#N/A</v>
      </c>
      <c r="AS3642" t="e">
        <v>#N/A</v>
      </c>
      <c r="AT3642" t="e">
        <v>#N/A</v>
      </c>
    </row>
    <row r="3643" spans="42:46">
      <c r="AP3643">
        <v>255150</v>
      </c>
      <c r="AQ3643" t="e">
        <v>#N/A</v>
      </c>
      <c r="AR3643" t="e">
        <v>#N/A</v>
      </c>
      <c r="AS3643" t="e">
        <v>#N/A</v>
      </c>
      <c r="AT3643" t="e">
        <v>#N/A</v>
      </c>
    </row>
    <row r="3644" spans="42:46">
      <c r="AP3644">
        <v>255200</v>
      </c>
      <c r="AQ3644" t="e">
        <v>#N/A</v>
      </c>
      <c r="AR3644" t="e">
        <v>#N/A</v>
      </c>
      <c r="AS3644" t="e">
        <v>#N/A</v>
      </c>
      <c r="AT3644" t="e">
        <v>#N/A</v>
      </c>
    </row>
    <row r="3645" spans="42:46">
      <c r="AP3645">
        <v>255250</v>
      </c>
      <c r="AQ3645" t="e">
        <v>#N/A</v>
      </c>
      <c r="AR3645" t="e">
        <v>#N/A</v>
      </c>
      <c r="AS3645" t="e">
        <v>#N/A</v>
      </c>
      <c r="AT3645" t="e">
        <v>#N/A</v>
      </c>
    </row>
    <row r="3646" spans="42:46">
      <c r="AP3646">
        <v>255300</v>
      </c>
      <c r="AQ3646" t="e">
        <v>#N/A</v>
      </c>
      <c r="AR3646" t="e">
        <v>#N/A</v>
      </c>
      <c r="AS3646" t="e">
        <v>#N/A</v>
      </c>
      <c r="AT3646" t="e">
        <v>#N/A</v>
      </c>
    </row>
    <row r="3647" spans="42:46">
      <c r="AP3647">
        <v>255350</v>
      </c>
      <c r="AQ3647" t="e">
        <v>#N/A</v>
      </c>
      <c r="AR3647" t="e">
        <v>#N/A</v>
      </c>
      <c r="AS3647" t="e">
        <v>#N/A</v>
      </c>
      <c r="AT3647" t="e">
        <v>#N/A</v>
      </c>
    </row>
    <row r="3648" spans="42:46">
      <c r="AP3648">
        <v>255400</v>
      </c>
      <c r="AQ3648" t="e">
        <v>#N/A</v>
      </c>
      <c r="AR3648" t="e">
        <v>#N/A</v>
      </c>
      <c r="AS3648" t="e">
        <v>#N/A</v>
      </c>
      <c r="AT3648" t="e">
        <v>#N/A</v>
      </c>
    </row>
    <row r="3649" spans="42:46">
      <c r="AP3649">
        <v>255450</v>
      </c>
      <c r="AQ3649" t="e">
        <v>#N/A</v>
      </c>
      <c r="AR3649" t="e">
        <v>#N/A</v>
      </c>
      <c r="AS3649" t="e">
        <v>#N/A</v>
      </c>
      <c r="AT3649" t="e">
        <v>#N/A</v>
      </c>
    </row>
    <row r="3650" spans="42:46">
      <c r="AP3650">
        <v>255500</v>
      </c>
      <c r="AQ3650" t="e">
        <v>#N/A</v>
      </c>
      <c r="AR3650" t="e">
        <v>#N/A</v>
      </c>
      <c r="AS3650" t="e">
        <v>#N/A</v>
      </c>
      <c r="AT3650" t="e">
        <v>#N/A</v>
      </c>
    </row>
    <row r="3651" spans="42:46">
      <c r="AP3651">
        <v>255550</v>
      </c>
      <c r="AQ3651" t="e">
        <v>#N/A</v>
      </c>
      <c r="AR3651" t="e">
        <v>#N/A</v>
      </c>
      <c r="AS3651" t="e">
        <v>#N/A</v>
      </c>
      <c r="AT3651" t="e">
        <v>#N/A</v>
      </c>
    </row>
    <row r="3652" spans="42:46">
      <c r="AP3652">
        <v>255600</v>
      </c>
      <c r="AQ3652" t="e">
        <v>#N/A</v>
      </c>
      <c r="AR3652" t="e">
        <v>#N/A</v>
      </c>
      <c r="AS3652" t="e">
        <v>#N/A</v>
      </c>
      <c r="AT3652" t="e">
        <v>#N/A</v>
      </c>
    </row>
    <row r="3653" spans="42:46">
      <c r="AP3653">
        <v>255650</v>
      </c>
      <c r="AQ3653" t="e">
        <v>#N/A</v>
      </c>
      <c r="AR3653" t="e">
        <v>#N/A</v>
      </c>
      <c r="AS3653" t="e">
        <v>#N/A</v>
      </c>
      <c r="AT3653" t="e">
        <v>#N/A</v>
      </c>
    </row>
    <row r="3654" spans="42:46">
      <c r="AP3654">
        <v>255700</v>
      </c>
      <c r="AQ3654" t="e">
        <v>#N/A</v>
      </c>
      <c r="AR3654" t="e">
        <v>#N/A</v>
      </c>
      <c r="AS3654" t="e">
        <v>#N/A</v>
      </c>
      <c r="AT3654" t="e">
        <v>#N/A</v>
      </c>
    </row>
    <row r="3655" spans="42:46">
      <c r="AP3655">
        <v>255750</v>
      </c>
      <c r="AQ3655" t="e">
        <v>#N/A</v>
      </c>
      <c r="AR3655" t="e">
        <v>#N/A</v>
      </c>
      <c r="AS3655" t="e">
        <v>#N/A</v>
      </c>
      <c r="AT3655" t="e">
        <v>#N/A</v>
      </c>
    </row>
    <row r="3656" spans="42:46">
      <c r="AP3656">
        <v>255800</v>
      </c>
      <c r="AQ3656" t="e">
        <v>#N/A</v>
      </c>
      <c r="AR3656" t="e">
        <v>#N/A</v>
      </c>
      <c r="AS3656" t="e">
        <v>#N/A</v>
      </c>
      <c r="AT3656" t="e">
        <v>#N/A</v>
      </c>
    </row>
    <row r="3657" spans="42:46">
      <c r="AP3657">
        <v>255850</v>
      </c>
      <c r="AQ3657" t="e">
        <v>#N/A</v>
      </c>
      <c r="AR3657" t="e">
        <v>#N/A</v>
      </c>
      <c r="AS3657" t="e">
        <v>#N/A</v>
      </c>
      <c r="AT3657" t="e">
        <v>#N/A</v>
      </c>
    </row>
    <row r="3658" spans="42:46">
      <c r="AP3658">
        <v>255900</v>
      </c>
      <c r="AQ3658" t="e">
        <v>#N/A</v>
      </c>
      <c r="AR3658" t="e">
        <v>#N/A</v>
      </c>
      <c r="AS3658" t="e">
        <v>#N/A</v>
      </c>
      <c r="AT3658" t="e">
        <v>#N/A</v>
      </c>
    </row>
    <row r="3659" spans="42:46">
      <c r="AP3659">
        <v>255950</v>
      </c>
      <c r="AQ3659" t="e">
        <v>#N/A</v>
      </c>
      <c r="AR3659" t="e">
        <v>#N/A</v>
      </c>
      <c r="AS3659" t="e">
        <v>#N/A</v>
      </c>
      <c r="AT3659" t="e">
        <v>#N/A</v>
      </c>
    </row>
    <row r="3660" spans="42:46">
      <c r="AP3660">
        <v>256000</v>
      </c>
      <c r="AQ3660" t="e">
        <v>#N/A</v>
      </c>
      <c r="AR3660" t="e">
        <v>#N/A</v>
      </c>
      <c r="AS3660" t="e">
        <v>#N/A</v>
      </c>
      <c r="AT3660" t="e">
        <v>#N/A</v>
      </c>
    </row>
    <row r="3661" spans="42:46">
      <c r="AP3661">
        <v>256050</v>
      </c>
      <c r="AQ3661" t="e">
        <v>#N/A</v>
      </c>
      <c r="AR3661" t="e">
        <v>#N/A</v>
      </c>
      <c r="AS3661" t="e">
        <v>#N/A</v>
      </c>
      <c r="AT3661" t="e">
        <v>#N/A</v>
      </c>
    </row>
    <row r="3662" spans="42:46">
      <c r="AP3662">
        <v>256100</v>
      </c>
      <c r="AQ3662" t="e">
        <v>#N/A</v>
      </c>
      <c r="AR3662" t="e">
        <v>#N/A</v>
      </c>
      <c r="AS3662" t="e">
        <v>#N/A</v>
      </c>
      <c r="AT3662" t="e">
        <v>#N/A</v>
      </c>
    </row>
    <row r="3663" spans="42:46">
      <c r="AP3663">
        <v>256150</v>
      </c>
      <c r="AQ3663" t="e">
        <v>#N/A</v>
      </c>
      <c r="AR3663" t="e">
        <v>#N/A</v>
      </c>
      <c r="AS3663" t="e">
        <v>#N/A</v>
      </c>
      <c r="AT3663" t="e">
        <v>#N/A</v>
      </c>
    </row>
    <row r="3664" spans="42:46">
      <c r="AP3664">
        <v>256200</v>
      </c>
      <c r="AQ3664" t="e">
        <v>#N/A</v>
      </c>
      <c r="AR3664" t="e">
        <v>#N/A</v>
      </c>
      <c r="AS3664" t="e">
        <v>#N/A</v>
      </c>
      <c r="AT3664" t="e">
        <v>#N/A</v>
      </c>
    </row>
    <row r="3665" spans="42:46">
      <c r="AP3665">
        <v>256250</v>
      </c>
      <c r="AQ3665" t="e">
        <v>#N/A</v>
      </c>
      <c r="AR3665" t="e">
        <v>#N/A</v>
      </c>
      <c r="AS3665" t="e">
        <v>#N/A</v>
      </c>
      <c r="AT3665" t="e">
        <v>#N/A</v>
      </c>
    </row>
    <row r="3666" spans="42:46">
      <c r="AP3666">
        <v>256300</v>
      </c>
      <c r="AQ3666" t="e">
        <v>#N/A</v>
      </c>
      <c r="AR3666" t="e">
        <v>#N/A</v>
      </c>
      <c r="AS3666" t="e">
        <v>#N/A</v>
      </c>
      <c r="AT3666" t="e">
        <v>#N/A</v>
      </c>
    </row>
    <row r="3667" spans="42:46">
      <c r="AP3667">
        <v>256350</v>
      </c>
      <c r="AQ3667" t="e">
        <v>#N/A</v>
      </c>
      <c r="AR3667" t="e">
        <v>#N/A</v>
      </c>
      <c r="AS3667" t="e">
        <v>#N/A</v>
      </c>
      <c r="AT3667" t="e">
        <v>#N/A</v>
      </c>
    </row>
    <row r="3668" spans="42:46">
      <c r="AP3668">
        <v>256400</v>
      </c>
      <c r="AQ3668" t="e">
        <v>#N/A</v>
      </c>
      <c r="AR3668" t="e">
        <v>#N/A</v>
      </c>
      <c r="AS3668" t="e">
        <v>#N/A</v>
      </c>
      <c r="AT3668" t="e">
        <v>#N/A</v>
      </c>
    </row>
    <row r="3669" spans="42:46">
      <c r="AP3669">
        <v>256450</v>
      </c>
      <c r="AQ3669" t="e">
        <v>#N/A</v>
      </c>
      <c r="AR3669" t="e">
        <v>#N/A</v>
      </c>
      <c r="AS3669" t="e">
        <v>#N/A</v>
      </c>
      <c r="AT3669" t="e">
        <v>#N/A</v>
      </c>
    </row>
    <row r="3670" spans="42:46">
      <c r="AP3670">
        <v>256500</v>
      </c>
      <c r="AQ3670" t="e">
        <v>#N/A</v>
      </c>
      <c r="AR3670" t="e">
        <v>#N/A</v>
      </c>
      <c r="AS3670" t="e">
        <v>#N/A</v>
      </c>
      <c r="AT3670" t="e">
        <v>#N/A</v>
      </c>
    </row>
    <row r="3671" spans="42:46">
      <c r="AP3671">
        <v>256550</v>
      </c>
      <c r="AQ3671" t="e">
        <v>#N/A</v>
      </c>
      <c r="AR3671" t="e">
        <v>#N/A</v>
      </c>
      <c r="AS3671" t="e">
        <v>#N/A</v>
      </c>
      <c r="AT3671" t="e">
        <v>#N/A</v>
      </c>
    </row>
    <row r="3672" spans="42:46">
      <c r="AP3672">
        <v>256600</v>
      </c>
      <c r="AQ3672" t="e">
        <v>#N/A</v>
      </c>
      <c r="AR3672" t="e">
        <v>#N/A</v>
      </c>
      <c r="AS3672" t="e">
        <v>#N/A</v>
      </c>
      <c r="AT3672" t="e">
        <v>#N/A</v>
      </c>
    </row>
    <row r="3673" spans="42:46">
      <c r="AP3673">
        <v>256650</v>
      </c>
      <c r="AQ3673" t="e">
        <v>#N/A</v>
      </c>
      <c r="AR3673" t="e">
        <v>#N/A</v>
      </c>
      <c r="AS3673" t="e">
        <v>#N/A</v>
      </c>
      <c r="AT3673" t="e">
        <v>#N/A</v>
      </c>
    </row>
    <row r="3674" spans="42:46">
      <c r="AP3674">
        <v>256700</v>
      </c>
      <c r="AQ3674" t="e">
        <v>#N/A</v>
      </c>
      <c r="AR3674" t="e">
        <v>#N/A</v>
      </c>
      <c r="AS3674" t="e">
        <v>#N/A</v>
      </c>
      <c r="AT3674" t="e">
        <v>#N/A</v>
      </c>
    </row>
    <row r="3675" spans="42:46">
      <c r="AP3675">
        <v>256750</v>
      </c>
      <c r="AQ3675" t="e">
        <v>#N/A</v>
      </c>
      <c r="AR3675" t="e">
        <v>#N/A</v>
      </c>
      <c r="AS3675" t="e">
        <v>#N/A</v>
      </c>
      <c r="AT3675" t="e">
        <v>#N/A</v>
      </c>
    </row>
    <row r="3676" spans="42:46">
      <c r="AP3676">
        <v>256800</v>
      </c>
      <c r="AQ3676" t="e">
        <v>#N/A</v>
      </c>
      <c r="AR3676" t="e">
        <v>#N/A</v>
      </c>
      <c r="AS3676" t="e">
        <v>#N/A</v>
      </c>
      <c r="AT3676" t="e">
        <v>#N/A</v>
      </c>
    </row>
    <row r="3677" spans="42:46">
      <c r="AP3677">
        <v>256850</v>
      </c>
      <c r="AQ3677" t="e">
        <v>#N/A</v>
      </c>
      <c r="AR3677" t="e">
        <v>#N/A</v>
      </c>
      <c r="AS3677" t="e">
        <v>#N/A</v>
      </c>
      <c r="AT3677" t="e">
        <v>#N/A</v>
      </c>
    </row>
    <row r="3678" spans="42:46">
      <c r="AP3678">
        <v>256900</v>
      </c>
      <c r="AQ3678" t="e">
        <v>#N/A</v>
      </c>
      <c r="AR3678" t="e">
        <v>#N/A</v>
      </c>
      <c r="AS3678" t="e">
        <v>#N/A</v>
      </c>
      <c r="AT3678" t="e">
        <v>#N/A</v>
      </c>
    </row>
    <row r="3679" spans="42:46">
      <c r="AP3679">
        <v>256950</v>
      </c>
      <c r="AQ3679" t="e">
        <v>#N/A</v>
      </c>
      <c r="AR3679" t="e">
        <v>#N/A</v>
      </c>
      <c r="AS3679" t="e">
        <v>#N/A</v>
      </c>
      <c r="AT3679" t="e">
        <v>#N/A</v>
      </c>
    </row>
    <row r="3680" spans="42:46">
      <c r="AP3680">
        <v>257000</v>
      </c>
      <c r="AQ3680" t="e">
        <v>#N/A</v>
      </c>
      <c r="AR3680" t="e">
        <v>#N/A</v>
      </c>
      <c r="AS3680" t="e">
        <v>#N/A</v>
      </c>
      <c r="AT3680" t="e">
        <v>#N/A</v>
      </c>
    </row>
    <row r="3681" spans="42:46">
      <c r="AP3681">
        <v>257050</v>
      </c>
      <c r="AQ3681" t="e">
        <v>#N/A</v>
      </c>
      <c r="AR3681" t="e">
        <v>#N/A</v>
      </c>
      <c r="AS3681" t="e">
        <v>#N/A</v>
      </c>
      <c r="AT3681" t="e">
        <v>#N/A</v>
      </c>
    </row>
    <row r="3682" spans="42:46">
      <c r="AP3682">
        <v>257100</v>
      </c>
      <c r="AQ3682" t="e">
        <v>#N/A</v>
      </c>
      <c r="AR3682" t="e">
        <v>#N/A</v>
      </c>
      <c r="AS3682" t="e">
        <v>#N/A</v>
      </c>
      <c r="AT3682" t="e">
        <v>#N/A</v>
      </c>
    </row>
    <row r="3683" spans="42:46">
      <c r="AP3683">
        <v>257150</v>
      </c>
      <c r="AQ3683" t="e">
        <v>#N/A</v>
      </c>
      <c r="AR3683" t="e">
        <v>#N/A</v>
      </c>
      <c r="AS3683" t="e">
        <v>#N/A</v>
      </c>
      <c r="AT3683" t="e">
        <v>#N/A</v>
      </c>
    </row>
    <row r="3684" spans="42:46">
      <c r="AP3684">
        <v>257200</v>
      </c>
      <c r="AQ3684" t="e">
        <v>#N/A</v>
      </c>
      <c r="AR3684" t="e">
        <v>#N/A</v>
      </c>
      <c r="AS3684" t="e">
        <v>#N/A</v>
      </c>
      <c r="AT3684" t="e">
        <v>#N/A</v>
      </c>
    </row>
    <row r="3685" spans="42:46">
      <c r="AP3685">
        <v>257250</v>
      </c>
      <c r="AQ3685" t="e">
        <v>#N/A</v>
      </c>
      <c r="AR3685" t="e">
        <v>#N/A</v>
      </c>
      <c r="AS3685" t="e">
        <v>#N/A</v>
      </c>
      <c r="AT3685" t="e">
        <v>#N/A</v>
      </c>
    </row>
    <row r="3686" spans="42:46">
      <c r="AP3686">
        <v>257300</v>
      </c>
      <c r="AQ3686" t="e">
        <v>#N/A</v>
      </c>
      <c r="AR3686" t="e">
        <v>#N/A</v>
      </c>
      <c r="AS3686" t="e">
        <v>#N/A</v>
      </c>
      <c r="AT3686" t="e">
        <v>#N/A</v>
      </c>
    </row>
    <row r="3687" spans="42:46">
      <c r="AP3687">
        <v>257350</v>
      </c>
      <c r="AQ3687" t="e">
        <v>#N/A</v>
      </c>
      <c r="AR3687" t="e">
        <v>#N/A</v>
      </c>
      <c r="AS3687" t="e">
        <v>#N/A</v>
      </c>
      <c r="AT3687" t="e">
        <v>#N/A</v>
      </c>
    </row>
    <row r="3688" spans="42:46">
      <c r="AP3688">
        <v>257400</v>
      </c>
      <c r="AQ3688" t="e">
        <v>#N/A</v>
      </c>
      <c r="AR3688" t="e">
        <v>#N/A</v>
      </c>
      <c r="AS3688" t="e">
        <v>#N/A</v>
      </c>
      <c r="AT3688" t="e">
        <v>#N/A</v>
      </c>
    </row>
    <row r="3689" spans="42:46">
      <c r="AP3689">
        <v>257450</v>
      </c>
      <c r="AQ3689" t="e">
        <v>#N/A</v>
      </c>
      <c r="AR3689" t="e">
        <v>#N/A</v>
      </c>
      <c r="AS3689" t="e">
        <v>#N/A</v>
      </c>
      <c r="AT3689" t="e">
        <v>#N/A</v>
      </c>
    </row>
    <row r="3690" spans="42:46">
      <c r="AP3690">
        <v>257500</v>
      </c>
      <c r="AQ3690" t="e">
        <v>#N/A</v>
      </c>
      <c r="AR3690" t="e">
        <v>#N/A</v>
      </c>
      <c r="AS3690" t="e">
        <v>#N/A</v>
      </c>
      <c r="AT3690" t="e">
        <v>#N/A</v>
      </c>
    </row>
    <row r="3691" spans="42:46">
      <c r="AP3691">
        <v>257550</v>
      </c>
      <c r="AQ3691" t="e">
        <v>#N/A</v>
      </c>
      <c r="AR3691" t="e">
        <v>#N/A</v>
      </c>
      <c r="AS3691" t="e">
        <v>#N/A</v>
      </c>
      <c r="AT3691" t="e">
        <v>#N/A</v>
      </c>
    </row>
    <row r="3692" spans="42:46">
      <c r="AP3692">
        <v>257600</v>
      </c>
      <c r="AQ3692" t="e">
        <v>#N/A</v>
      </c>
      <c r="AR3692" t="e">
        <v>#N/A</v>
      </c>
      <c r="AS3692" t="e">
        <v>#N/A</v>
      </c>
      <c r="AT3692" t="e">
        <v>#N/A</v>
      </c>
    </row>
    <row r="3693" spans="42:46">
      <c r="AP3693">
        <v>257650</v>
      </c>
      <c r="AQ3693" t="e">
        <v>#N/A</v>
      </c>
      <c r="AR3693" t="e">
        <v>#N/A</v>
      </c>
      <c r="AS3693" t="e">
        <v>#N/A</v>
      </c>
      <c r="AT3693" t="e">
        <v>#N/A</v>
      </c>
    </row>
    <row r="3694" spans="42:46">
      <c r="AP3694">
        <v>257700</v>
      </c>
      <c r="AQ3694" t="e">
        <v>#N/A</v>
      </c>
      <c r="AR3694" t="e">
        <v>#N/A</v>
      </c>
      <c r="AS3694" t="e">
        <v>#N/A</v>
      </c>
      <c r="AT3694" t="e">
        <v>#N/A</v>
      </c>
    </row>
    <row r="3695" spans="42:46">
      <c r="AP3695">
        <v>257750</v>
      </c>
      <c r="AQ3695" t="e">
        <v>#N/A</v>
      </c>
      <c r="AR3695" t="e">
        <v>#N/A</v>
      </c>
      <c r="AS3695" t="e">
        <v>#N/A</v>
      </c>
      <c r="AT3695" t="e">
        <v>#N/A</v>
      </c>
    </row>
    <row r="3696" spans="42:46">
      <c r="AP3696">
        <v>257800</v>
      </c>
      <c r="AQ3696" t="e">
        <v>#N/A</v>
      </c>
      <c r="AR3696" t="e">
        <v>#N/A</v>
      </c>
      <c r="AS3696" t="e">
        <v>#N/A</v>
      </c>
      <c r="AT3696" t="e">
        <v>#N/A</v>
      </c>
    </row>
    <row r="3697" spans="42:46">
      <c r="AP3697">
        <v>257850</v>
      </c>
      <c r="AQ3697" t="e">
        <v>#N/A</v>
      </c>
      <c r="AR3697" t="e">
        <v>#N/A</v>
      </c>
      <c r="AS3697" t="e">
        <v>#N/A</v>
      </c>
      <c r="AT3697" t="e">
        <v>#N/A</v>
      </c>
    </row>
    <row r="3698" spans="42:46">
      <c r="AP3698">
        <v>257900</v>
      </c>
      <c r="AQ3698" t="e">
        <v>#N/A</v>
      </c>
      <c r="AR3698" t="e">
        <v>#N/A</v>
      </c>
      <c r="AS3698" t="e">
        <v>#N/A</v>
      </c>
      <c r="AT3698" t="e">
        <v>#N/A</v>
      </c>
    </row>
    <row r="3699" spans="42:46">
      <c r="AP3699">
        <v>257950</v>
      </c>
      <c r="AQ3699" t="e">
        <v>#N/A</v>
      </c>
      <c r="AR3699" t="e">
        <v>#N/A</v>
      </c>
      <c r="AS3699" t="e">
        <v>#N/A</v>
      </c>
      <c r="AT3699" t="e">
        <v>#N/A</v>
      </c>
    </row>
    <row r="3700" spans="42:46">
      <c r="AP3700">
        <v>258000</v>
      </c>
      <c r="AQ3700" t="e">
        <v>#N/A</v>
      </c>
      <c r="AR3700" t="e">
        <v>#N/A</v>
      </c>
      <c r="AS3700" t="e">
        <v>#N/A</v>
      </c>
      <c r="AT3700" t="e">
        <v>#N/A</v>
      </c>
    </row>
    <row r="3701" spans="42:46">
      <c r="AP3701">
        <v>258050</v>
      </c>
      <c r="AQ3701" t="e">
        <v>#N/A</v>
      </c>
      <c r="AR3701" t="e">
        <v>#N/A</v>
      </c>
      <c r="AS3701" t="e">
        <v>#N/A</v>
      </c>
      <c r="AT3701" t="e">
        <v>#N/A</v>
      </c>
    </row>
    <row r="3702" spans="42:46">
      <c r="AP3702">
        <v>258100</v>
      </c>
      <c r="AQ3702" t="e">
        <v>#N/A</v>
      </c>
      <c r="AR3702" t="e">
        <v>#N/A</v>
      </c>
      <c r="AS3702" t="e">
        <v>#N/A</v>
      </c>
      <c r="AT3702" t="e">
        <v>#N/A</v>
      </c>
    </row>
    <row r="3703" spans="42:46">
      <c r="AP3703">
        <v>258150</v>
      </c>
      <c r="AQ3703" t="e">
        <v>#N/A</v>
      </c>
      <c r="AR3703" t="e">
        <v>#N/A</v>
      </c>
      <c r="AS3703" t="e">
        <v>#N/A</v>
      </c>
      <c r="AT3703" t="e">
        <v>#N/A</v>
      </c>
    </row>
    <row r="3704" spans="42:46">
      <c r="AP3704">
        <v>258200</v>
      </c>
      <c r="AQ3704" t="e">
        <v>#N/A</v>
      </c>
      <c r="AR3704" t="e">
        <v>#N/A</v>
      </c>
      <c r="AS3704" t="e">
        <v>#N/A</v>
      </c>
      <c r="AT3704" t="e">
        <v>#N/A</v>
      </c>
    </row>
    <row r="3705" spans="42:46">
      <c r="AP3705">
        <v>258250</v>
      </c>
      <c r="AQ3705" t="e">
        <v>#N/A</v>
      </c>
      <c r="AR3705" t="e">
        <v>#N/A</v>
      </c>
      <c r="AS3705" t="e">
        <v>#N/A</v>
      </c>
      <c r="AT3705" t="e">
        <v>#N/A</v>
      </c>
    </row>
    <row r="3706" spans="42:46">
      <c r="AP3706">
        <v>258300</v>
      </c>
      <c r="AQ3706" t="e">
        <v>#N/A</v>
      </c>
      <c r="AR3706" t="e">
        <v>#N/A</v>
      </c>
      <c r="AS3706" t="e">
        <v>#N/A</v>
      </c>
      <c r="AT3706" t="e">
        <v>#N/A</v>
      </c>
    </row>
    <row r="3707" spans="42:46">
      <c r="AP3707">
        <v>258350</v>
      </c>
      <c r="AQ3707" t="e">
        <v>#N/A</v>
      </c>
      <c r="AR3707" t="e">
        <v>#N/A</v>
      </c>
      <c r="AS3707" t="e">
        <v>#N/A</v>
      </c>
      <c r="AT3707" t="e">
        <v>#N/A</v>
      </c>
    </row>
    <row r="3708" spans="42:46">
      <c r="AP3708">
        <v>258400</v>
      </c>
      <c r="AQ3708" t="e">
        <v>#N/A</v>
      </c>
      <c r="AR3708" t="e">
        <v>#N/A</v>
      </c>
      <c r="AS3708" t="e">
        <v>#N/A</v>
      </c>
      <c r="AT3708" t="e">
        <v>#N/A</v>
      </c>
    </row>
    <row r="3709" spans="42:46">
      <c r="AP3709">
        <v>258450</v>
      </c>
      <c r="AQ3709" t="e">
        <v>#N/A</v>
      </c>
      <c r="AR3709" t="e">
        <v>#N/A</v>
      </c>
      <c r="AS3709" t="e">
        <v>#N/A</v>
      </c>
      <c r="AT3709" t="e">
        <v>#N/A</v>
      </c>
    </row>
    <row r="3710" spans="42:46">
      <c r="AP3710">
        <v>258500</v>
      </c>
      <c r="AQ3710" t="e">
        <v>#N/A</v>
      </c>
      <c r="AR3710" t="e">
        <v>#N/A</v>
      </c>
      <c r="AS3710" t="e">
        <v>#N/A</v>
      </c>
      <c r="AT3710" t="e">
        <v>#N/A</v>
      </c>
    </row>
    <row r="3711" spans="42:46">
      <c r="AP3711">
        <v>258550</v>
      </c>
      <c r="AQ3711" t="e">
        <v>#N/A</v>
      </c>
      <c r="AR3711" t="e">
        <v>#N/A</v>
      </c>
      <c r="AS3711" t="e">
        <v>#N/A</v>
      </c>
      <c r="AT3711" t="e">
        <v>#N/A</v>
      </c>
    </row>
    <row r="3712" spans="42:46">
      <c r="AP3712">
        <v>258600</v>
      </c>
      <c r="AQ3712" t="e">
        <v>#N/A</v>
      </c>
      <c r="AR3712" t="e">
        <v>#N/A</v>
      </c>
      <c r="AS3712" t="e">
        <v>#N/A</v>
      </c>
      <c r="AT3712" t="e">
        <v>#N/A</v>
      </c>
    </row>
    <row r="3713" spans="42:46">
      <c r="AP3713">
        <v>258650</v>
      </c>
      <c r="AQ3713" t="e">
        <v>#N/A</v>
      </c>
      <c r="AR3713" t="e">
        <v>#N/A</v>
      </c>
      <c r="AS3713" t="e">
        <v>#N/A</v>
      </c>
      <c r="AT3713" t="e">
        <v>#N/A</v>
      </c>
    </row>
    <row r="3714" spans="42:46">
      <c r="AP3714">
        <v>258700</v>
      </c>
      <c r="AQ3714" t="e">
        <v>#N/A</v>
      </c>
      <c r="AR3714" t="e">
        <v>#N/A</v>
      </c>
      <c r="AS3714" t="e">
        <v>#N/A</v>
      </c>
      <c r="AT3714" t="e">
        <v>#N/A</v>
      </c>
    </row>
    <row r="3715" spans="42:46">
      <c r="AP3715">
        <v>258750</v>
      </c>
      <c r="AQ3715" t="e">
        <v>#N/A</v>
      </c>
      <c r="AR3715" t="e">
        <v>#N/A</v>
      </c>
      <c r="AS3715" t="e">
        <v>#N/A</v>
      </c>
      <c r="AT3715" t="e">
        <v>#N/A</v>
      </c>
    </row>
    <row r="3716" spans="42:46">
      <c r="AP3716">
        <v>258800</v>
      </c>
      <c r="AQ3716" t="e">
        <v>#N/A</v>
      </c>
      <c r="AR3716" t="e">
        <v>#N/A</v>
      </c>
      <c r="AS3716" t="e">
        <v>#N/A</v>
      </c>
      <c r="AT3716" t="e">
        <v>#N/A</v>
      </c>
    </row>
    <row r="3717" spans="42:46">
      <c r="AP3717">
        <v>258850</v>
      </c>
      <c r="AQ3717" t="e">
        <v>#N/A</v>
      </c>
      <c r="AR3717" t="e">
        <v>#N/A</v>
      </c>
      <c r="AS3717" t="e">
        <v>#N/A</v>
      </c>
      <c r="AT3717" t="e">
        <v>#N/A</v>
      </c>
    </row>
    <row r="3718" spans="42:46">
      <c r="AP3718">
        <v>258900</v>
      </c>
      <c r="AQ3718" t="e">
        <v>#N/A</v>
      </c>
      <c r="AR3718" t="e">
        <v>#N/A</v>
      </c>
      <c r="AS3718" t="e">
        <v>#N/A</v>
      </c>
      <c r="AT3718" t="e">
        <v>#N/A</v>
      </c>
    </row>
    <row r="3719" spans="42:46">
      <c r="AP3719">
        <v>258950</v>
      </c>
      <c r="AQ3719" t="e">
        <v>#N/A</v>
      </c>
      <c r="AR3719" t="e">
        <v>#N/A</v>
      </c>
      <c r="AS3719" t="e">
        <v>#N/A</v>
      </c>
      <c r="AT3719" t="e">
        <v>#N/A</v>
      </c>
    </row>
    <row r="3720" spans="42:46">
      <c r="AP3720">
        <v>259000</v>
      </c>
      <c r="AQ3720" t="e">
        <v>#N/A</v>
      </c>
      <c r="AR3720" t="e">
        <v>#N/A</v>
      </c>
      <c r="AS3720" t="e">
        <v>#N/A</v>
      </c>
      <c r="AT3720" t="e">
        <v>#N/A</v>
      </c>
    </row>
    <row r="3721" spans="42:46">
      <c r="AP3721">
        <v>259050</v>
      </c>
      <c r="AQ3721" t="e">
        <v>#N/A</v>
      </c>
      <c r="AR3721" t="e">
        <v>#N/A</v>
      </c>
      <c r="AS3721" t="e">
        <v>#N/A</v>
      </c>
      <c r="AT3721" t="e">
        <v>#N/A</v>
      </c>
    </row>
    <row r="3722" spans="42:46">
      <c r="AP3722">
        <v>259100</v>
      </c>
      <c r="AQ3722" t="e">
        <v>#N/A</v>
      </c>
      <c r="AR3722" t="e">
        <v>#N/A</v>
      </c>
      <c r="AS3722" t="e">
        <v>#N/A</v>
      </c>
      <c r="AT3722" t="e">
        <v>#N/A</v>
      </c>
    </row>
    <row r="3723" spans="42:46">
      <c r="AP3723">
        <v>259150</v>
      </c>
      <c r="AQ3723" t="e">
        <v>#N/A</v>
      </c>
      <c r="AR3723" t="e">
        <v>#N/A</v>
      </c>
      <c r="AS3723" t="e">
        <v>#N/A</v>
      </c>
      <c r="AT3723" t="e">
        <v>#N/A</v>
      </c>
    </row>
    <row r="3724" spans="42:46">
      <c r="AP3724">
        <v>259200</v>
      </c>
      <c r="AQ3724" t="e">
        <v>#N/A</v>
      </c>
      <c r="AR3724" t="e">
        <v>#N/A</v>
      </c>
      <c r="AS3724" t="e">
        <v>#N/A</v>
      </c>
      <c r="AT3724" t="e">
        <v>#N/A</v>
      </c>
    </row>
    <row r="3725" spans="42:46">
      <c r="AP3725">
        <v>259250</v>
      </c>
      <c r="AQ3725" t="e">
        <v>#N/A</v>
      </c>
      <c r="AR3725" t="e">
        <v>#N/A</v>
      </c>
      <c r="AS3725" t="e">
        <v>#N/A</v>
      </c>
      <c r="AT3725" t="e">
        <v>#N/A</v>
      </c>
    </row>
    <row r="3726" spans="42:46">
      <c r="AP3726">
        <v>259300</v>
      </c>
      <c r="AQ3726" t="e">
        <v>#N/A</v>
      </c>
      <c r="AR3726" t="e">
        <v>#N/A</v>
      </c>
      <c r="AS3726" t="e">
        <v>#N/A</v>
      </c>
      <c r="AT3726" t="e">
        <v>#N/A</v>
      </c>
    </row>
    <row r="3727" spans="42:46">
      <c r="AP3727">
        <v>259350</v>
      </c>
      <c r="AQ3727" t="e">
        <v>#N/A</v>
      </c>
      <c r="AR3727" t="e">
        <v>#N/A</v>
      </c>
      <c r="AS3727" t="e">
        <v>#N/A</v>
      </c>
      <c r="AT3727" t="e">
        <v>#N/A</v>
      </c>
    </row>
    <row r="3728" spans="42:46">
      <c r="AP3728">
        <v>259400</v>
      </c>
      <c r="AQ3728" t="e">
        <v>#N/A</v>
      </c>
      <c r="AR3728" t="e">
        <v>#N/A</v>
      </c>
      <c r="AS3728" t="e">
        <v>#N/A</v>
      </c>
      <c r="AT3728" t="e">
        <v>#N/A</v>
      </c>
    </row>
    <row r="3729" spans="42:46">
      <c r="AP3729">
        <v>259450</v>
      </c>
      <c r="AQ3729" t="e">
        <v>#N/A</v>
      </c>
      <c r="AR3729" t="e">
        <v>#N/A</v>
      </c>
      <c r="AS3729" t="e">
        <v>#N/A</v>
      </c>
      <c r="AT3729" t="e">
        <v>#N/A</v>
      </c>
    </row>
    <row r="3730" spans="42:46">
      <c r="AP3730">
        <v>259500</v>
      </c>
      <c r="AQ3730" t="e">
        <v>#N/A</v>
      </c>
      <c r="AR3730" t="e">
        <v>#N/A</v>
      </c>
      <c r="AS3730" t="e">
        <v>#N/A</v>
      </c>
      <c r="AT3730" t="e">
        <v>#N/A</v>
      </c>
    </row>
    <row r="3731" spans="42:46">
      <c r="AP3731">
        <v>259550</v>
      </c>
      <c r="AQ3731" t="e">
        <v>#N/A</v>
      </c>
      <c r="AR3731" t="e">
        <v>#N/A</v>
      </c>
      <c r="AS3731" t="e">
        <v>#N/A</v>
      </c>
      <c r="AT3731" t="e">
        <v>#N/A</v>
      </c>
    </row>
    <row r="3732" spans="42:46">
      <c r="AP3732">
        <v>259600</v>
      </c>
      <c r="AQ3732" t="e">
        <v>#N/A</v>
      </c>
      <c r="AR3732" t="e">
        <v>#N/A</v>
      </c>
      <c r="AS3732" t="e">
        <v>#N/A</v>
      </c>
      <c r="AT3732" t="e">
        <v>#N/A</v>
      </c>
    </row>
    <row r="3733" spans="42:46">
      <c r="AP3733">
        <v>259650</v>
      </c>
      <c r="AQ3733" t="e">
        <v>#N/A</v>
      </c>
      <c r="AR3733" t="e">
        <v>#N/A</v>
      </c>
      <c r="AS3733" t="e">
        <v>#N/A</v>
      </c>
      <c r="AT3733" t="e">
        <v>#N/A</v>
      </c>
    </row>
    <row r="3734" spans="42:46">
      <c r="AP3734">
        <v>259700</v>
      </c>
      <c r="AQ3734" t="e">
        <v>#N/A</v>
      </c>
      <c r="AR3734" t="e">
        <v>#N/A</v>
      </c>
      <c r="AS3734" t="e">
        <v>#N/A</v>
      </c>
      <c r="AT3734" t="e">
        <v>#N/A</v>
      </c>
    </row>
    <row r="3735" spans="42:46">
      <c r="AP3735">
        <v>259750</v>
      </c>
      <c r="AQ3735" t="e">
        <v>#N/A</v>
      </c>
      <c r="AR3735" t="e">
        <v>#N/A</v>
      </c>
      <c r="AS3735" t="e">
        <v>#N/A</v>
      </c>
      <c r="AT3735" t="e">
        <v>#N/A</v>
      </c>
    </row>
    <row r="3736" spans="42:46">
      <c r="AP3736">
        <v>259800</v>
      </c>
      <c r="AQ3736" t="e">
        <v>#N/A</v>
      </c>
      <c r="AR3736" t="e">
        <v>#N/A</v>
      </c>
      <c r="AS3736" t="e">
        <v>#N/A</v>
      </c>
      <c r="AT3736" t="e">
        <v>#N/A</v>
      </c>
    </row>
    <row r="3737" spans="42:46">
      <c r="AP3737">
        <v>259850</v>
      </c>
      <c r="AQ3737" t="e">
        <v>#N/A</v>
      </c>
      <c r="AR3737" t="e">
        <v>#N/A</v>
      </c>
      <c r="AS3737" t="e">
        <v>#N/A</v>
      </c>
      <c r="AT3737" t="e">
        <v>#N/A</v>
      </c>
    </row>
    <row r="3738" spans="42:46">
      <c r="AP3738">
        <v>259900</v>
      </c>
      <c r="AQ3738" t="e">
        <v>#N/A</v>
      </c>
      <c r="AR3738" t="e">
        <v>#N/A</v>
      </c>
      <c r="AS3738" t="e">
        <v>#N/A</v>
      </c>
      <c r="AT3738" t="e">
        <v>#N/A</v>
      </c>
    </row>
    <row r="3739" spans="42:46">
      <c r="AP3739">
        <v>259950</v>
      </c>
      <c r="AQ3739" t="e">
        <v>#N/A</v>
      </c>
      <c r="AR3739" t="e">
        <v>#N/A</v>
      </c>
      <c r="AS3739" t="e">
        <v>#N/A</v>
      </c>
      <c r="AT3739" t="e">
        <v>#N/A</v>
      </c>
    </row>
    <row r="3740" spans="42:46">
      <c r="AP3740">
        <v>260000</v>
      </c>
      <c r="AQ3740" t="e">
        <v>#N/A</v>
      </c>
      <c r="AR3740" t="e">
        <v>#N/A</v>
      </c>
      <c r="AS3740" t="e">
        <v>#N/A</v>
      </c>
      <c r="AT3740" t="e">
        <v>#N/A</v>
      </c>
    </row>
    <row r="3741" spans="42:46">
      <c r="AP3741">
        <v>260050</v>
      </c>
      <c r="AQ3741" t="e">
        <v>#N/A</v>
      </c>
      <c r="AR3741" t="e">
        <v>#N/A</v>
      </c>
      <c r="AS3741" t="e">
        <v>#N/A</v>
      </c>
      <c r="AT3741" t="e">
        <v>#N/A</v>
      </c>
    </row>
    <row r="3742" spans="42:46">
      <c r="AP3742">
        <v>260100</v>
      </c>
      <c r="AQ3742" t="e">
        <v>#N/A</v>
      </c>
      <c r="AR3742" t="e">
        <v>#N/A</v>
      </c>
      <c r="AS3742" t="e">
        <v>#N/A</v>
      </c>
      <c r="AT3742" t="e">
        <v>#N/A</v>
      </c>
    </row>
    <row r="3743" spans="42:46">
      <c r="AP3743">
        <v>260150</v>
      </c>
      <c r="AQ3743" t="e">
        <v>#N/A</v>
      </c>
      <c r="AR3743" t="e">
        <v>#N/A</v>
      </c>
      <c r="AS3743" t="e">
        <v>#N/A</v>
      </c>
      <c r="AT3743" t="e">
        <v>#N/A</v>
      </c>
    </row>
    <row r="3744" spans="42:46">
      <c r="AP3744">
        <v>260200</v>
      </c>
      <c r="AQ3744" t="e">
        <v>#N/A</v>
      </c>
      <c r="AR3744" t="e">
        <v>#N/A</v>
      </c>
      <c r="AS3744" t="e">
        <v>#N/A</v>
      </c>
      <c r="AT3744" t="e">
        <v>#N/A</v>
      </c>
    </row>
    <row r="3745" spans="42:46">
      <c r="AP3745">
        <v>260250</v>
      </c>
      <c r="AQ3745" t="e">
        <v>#N/A</v>
      </c>
      <c r="AR3745" t="e">
        <v>#N/A</v>
      </c>
      <c r="AS3745" t="e">
        <v>#N/A</v>
      </c>
      <c r="AT3745" t="e">
        <v>#N/A</v>
      </c>
    </row>
    <row r="3746" spans="42:46">
      <c r="AP3746">
        <v>260300</v>
      </c>
      <c r="AQ3746" t="e">
        <v>#N/A</v>
      </c>
      <c r="AR3746" t="e">
        <v>#N/A</v>
      </c>
      <c r="AS3746" t="e">
        <v>#N/A</v>
      </c>
      <c r="AT3746" t="e">
        <v>#N/A</v>
      </c>
    </row>
    <row r="3747" spans="42:46">
      <c r="AP3747">
        <v>260350</v>
      </c>
      <c r="AQ3747" t="e">
        <v>#N/A</v>
      </c>
      <c r="AR3747" t="e">
        <v>#N/A</v>
      </c>
      <c r="AS3747" t="e">
        <v>#N/A</v>
      </c>
      <c r="AT3747" t="e">
        <v>#N/A</v>
      </c>
    </row>
    <row r="3748" spans="42:46">
      <c r="AP3748">
        <v>260400</v>
      </c>
      <c r="AQ3748" t="e">
        <v>#N/A</v>
      </c>
      <c r="AR3748" t="e">
        <v>#N/A</v>
      </c>
      <c r="AS3748" t="e">
        <v>#N/A</v>
      </c>
      <c r="AT3748" t="e">
        <v>#N/A</v>
      </c>
    </row>
    <row r="3749" spans="42:46">
      <c r="AP3749">
        <v>260450</v>
      </c>
      <c r="AQ3749" t="e">
        <v>#N/A</v>
      </c>
      <c r="AR3749" t="e">
        <v>#N/A</v>
      </c>
      <c r="AS3749" t="e">
        <v>#N/A</v>
      </c>
      <c r="AT3749" t="e">
        <v>#N/A</v>
      </c>
    </row>
    <row r="3750" spans="42:46">
      <c r="AP3750">
        <v>260500</v>
      </c>
      <c r="AQ3750" t="e">
        <v>#N/A</v>
      </c>
      <c r="AR3750" t="e">
        <v>#N/A</v>
      </c>
      <c r="AS3750" t="e">
        <v>#N/A</v>
      </c>
      <c r="AT3750" t="e">
        <v>#N/A</v>
      </c>
    </row>
    <row r="3751" spans="42:46">
      <c r="AP3751">
        <v>260550</v>
      </c>
      <c r="AQ3751" t="e">
        <v>#N/A</v>
      </c>
      <c r="AR3751" t="e">
        <v>#N/A</v>
      </c>
      <c r="AS3751" t="e">
        <v>#N/A</v>
      </c>
      <c r="AT3751" t="e">
        <v>#N/A</v>
      </c>
    </row>
    <row r="3752" spans="42:46">
      <c r="AP3752">
        <v>260600</v>
      </c>
      <c r="AQ3752" t="e">
        <v>#N/A</v>
      </c>
      <c r="AR3752" t="e">
        <v>#N/A</v>
      </c>
      <c r="AS3752" t="e">
        <v>#N/A</v>
      </c>
      <c r="AT3752" t="e">
        <v>#N/A</v>
      </c>
    </row>
    <row r="3753" spans="42:46">
      <c r="AP3753">
        <v>260650</v>
      </c>
      <c r="AQ3753" t="e">
        <v>#N/A</v>
      </c>
      <c r="AR3753" t="e">
        <v>#N/A</v>
      </c>
      <c r="AS3753" t="e">
        <v>#N/A</v>
      </c>
      <c r="AT3753" t="e">
        <v>#N/A</v>
      </c>
    </row>
    <row r="3754" spans="42:46">
      <c r="AP3754">
        <v>260700</v>
      </c>
      <c r="AQ3754" t="e">
        <v>#N/A</v>
      </c>
      <c r="AR3754" t="e">
        <v>#N/A</v>
      </c>
      <c r="AS3754" t="e">
        <v>#N/A</v>
      </c>
      <c r="AT3754" t="e">
        <v>#N/A</v>
      </c>
    </row>
    <row r="3755" spans="42:46">
      <c r="AP3755">
        <v>260750</v>
      </c>
      <c r="AQ3755" t="e">
        <v>#N/A</v>
      </c>
      <c r="AR3755" t="e">
        <v>#N/A</v>
      </c>
      <c r="AS3755" t="e">
        <v>#N/A</v>
      </c>
      <c r="AT3755" t="e">
        <v>#N/A</v>
      </c>
    </row>
    <row r="3756" spans="42:46">
      <c r="AP3756">
        <v>260800</v>
      </c>
      <c r="AQ3756" t="e">
        <v>#N/A</v>
      </c>
      <c r="AR3756" t="e">
        <v>#N/A</v>
      </c>
      <c r="AS3756" t="e">
        <v>#N/A</v>
      </c>
      <c r="AT3756" t="e">
        <v>#N/A</v>
      </c>
    </row>
    <row r="3757" spans="42:46">
      <c r="AP3757">
        <v>260850</v>
      </c>
      <c r="AQ3757" t="e">
        <v>#N/A</v>
      </c>
      <c r="AR3757" t="e">
        <v>#N/A</v>
      </c>
      <c r="AS3757" t="e">
        <v>#N/A</v>
      </c>
      <c r="AT3757" t="e">
        <v>#N/A</v>
      </c>
    </row>
    <row r="3758" spans="42:46">
      <c r="AP3758">
        <v>260900</v>
      </c>
      <c r="AQ3758" t="e">
        <v>#N/A</v>
      </c>
      <c r="AR3758" t="e">
        <v>#N/A</v>
      </c>
      <c r="AS3758" t="e">
        <v>#N/A</v>
      </c>
      <c r="AT3758" t="e">
        <v>#N/A</v>
      </c>
    </row>
    <row r="3759" spans="42:46">
      <c r="AP3759">
        <v>260950</v>
      </c>
      <c r="AQ3759" t="e">
        <v>#N/A</v>
      </c>
      <c r="AR3759" t="e">
        <v>#N/A</v>
      </c>
      <c r="AS3759" t="e">
        <v>#N/A</v>
      </c>
      <c r="AT3759" t="e">
        <v>#N/A</v>
      </c>
    </row>
    <row r="3760" spans="42:46">
      <c r="AP3760">
        <v>261000</v>
      </c>
      <c r="AQ3760" t="e">
        <v>#N/A</v>
      </c>
      <c r="AR3760" t="e">
        <v>#N/A</v>
      </c>
      <c r="AS3760" t="e">
        <v>#N/A</v>
      </c>
      <c r="AT3760" t="e">
        <v>#N/A</v>
      </c>
    </row>
    <row r="3761" spans="42:46">
      <c r="AP3761">
        <v>261050</v>
      </c>
      <c r="AQ3761" t="e">
        <v>#N/A</v>
      </c>
      <c r="AR3761" t="e">
        <v>#N/A</v>
      </c>
      <c r="AS3761" t="e">
        <v>#N/A</v>
      </c>
      <c r="AT3761" t="e">
        <v>#N/A</v>
      </c>
    </row>
    <row r="3762" spans="42:46">
      <c r="AP3762">
        <v>261100</v>
      </c>
      <c r="AQ3762" t="e">
        <v>#N/A</v>
      </c>
      <c r="AR3762" t="e">
        <v>#N/A</v>
      </c>
      <c r="AS3762" t="e">
        <v>#N/A</v>
      </c>
      <c r="AT3762" t="e">
        <v>#N/A</v>
      </c>
    </row>
    <row r="3763" spans="42:46">
      <c r="AP3763">
        <v>261150</v>
      </c>
      <c r="AQ3763" t="e">
        <v>#N/A</v>
      </c>
      <c r="AR3763" t="e">
        <v>#N/A</v>
      </c>
      <c r="AS3763" t="e">
        <v>#N/A</v>
      </c>
      <c r="AT3763" t="e">
        <v>#N/A</v>
      </c>
    </row>
    <row r="3764" spans="42:46">
      <c r="AP3764">
        <v>261200</v>
      </c>
      <c r="AQ3764" t="e">
        <v>#N/A</v>
      </c>
      <c r="AR3764" t="e">
        <v>#N/A</v>
      </c>
      <c r="AS3764" t="e">
        <v>#N/A</v>
      </c>
      <c r="AT3764" t="e">
        <v>#N/A</v>
      </c>
    </row>
    <row r="3765" spans="42:46">
      <c r="AP3765">
        <v>261250</v>
      </c>
      <c r="AQ3765" t="e">
        <v>#N/A</v>
      </c>
      <c r="AR3765" t="e">
        <v>#N/A</v>
      </c>
      <c r="AS3765" t="e">
        <v>#N/A</v>
      </c>
      <c r="AT3765" t="e">
        <v>#N/A</v>
      </c>
    </row>
    <row r="3766" spans="42:46">
      <c r="AP3766">
        <v>261300</v>
      </c>
      <c r="AQ3766" t="e">
        <v>#N/A</v>
      </c>
      <c r="AR3766" t="e">
        <v>#N/A</v>
      </c>
      <c r="AS3766" t="e">
        <v>#N/A</v>
      </c>
      <c r="AT3766" t="e">
        <v>#N/A</v>
      </c>
    </row>
    <row r="3767" spans="42:46">
      <c r="AP3767">
        <v>261350</v>
      </c>
      <c r="AQ3767" t="e">
        <v>#N/A</v>
      </c>
      <c r="AR3767" t="e">
        <v>#N/A</v>
      </c>
      <c r="AS3767" t="e">
        <v>#N/A</v>
      </c>
      <c r="AT3767" t="e">
        <v>#N/A</v>
      </c>
    </row>
    <row r="3768" spans="42:46">
      <c r="AP3768">
        <v>261400</v>
      </c>
      <c r="AQ3768" t="e">
        <v>#N/A</v>
      </c>
      <c r="AR3768" t="e">
        <v>#N/A</v>
      </c>
      <c r="AS3768" t="e">
        <v>#N/A</v>
      </c>
      <c r="AT3768" t="e">
        <v>#N/A</v>
      </c>
    </row>
    <row r="3769" spans="42:46">
      <c r="AP3769">
        <v>261450</v>
      </c>
      <c r="AQ3769" t="e">
        <v>#N/A</v>
      </c>
      <c r="AR3769" t="e">
        <v>#N/A</v>
      </c>
      <c r="AS3769" t="e">
        <v>#N/A</v>
      </c>
      <c r="AT3769" t="e">
        <v>#N/A</v>
      </c>
    </row>
    <row r="3770" spans="42:46">
      <c r="AP3770">
        <v>261500</v>
      </c>
      <c r="AQ3770" t="e">
        <v>#N/A</v>
      </c>
      <c r="AR3770" t="e">
        <v>#N/A</v>
      </c>
      <c r="AS3770" t="e">
        <v>#N/A</v>
      </c>
      <c r="AT3770" t="e">
        <v>#N/A</v>
      </c>
    </row>
    <row r="3771" spans="42:46">
      <c r="AP3771">
        <v>261550</v>
      </c>
      <c r="AQ3771" t="e">
        <v>#N/A</v>
      </c>
      <c r="AR3771" t="e">
        <v>#N/A</v>
      </c>
      <c r="AS3771" t="e">
        <v>#N/A</v>
      </c>
      <c r="AT3771" t="e">
        <v>#N/A</v>
      </c>
    </row>
    <row r="3772" spans="42:46">
      <c r="AP3772">
        <v>261600</v>
      </c>
      <c r="AQ3772" t="e">
        <v>#N/A</v>
      </c>
      <c r="AR3772" t="e">
        <v>#N/A</v>
      </c>
      <c r="AS3772" t="e">
        <v>#N/A</v>
      </c>
      <c r="AT3772" t="e">
        <v>#N/A</v>
      </c>
    </row>
    <row r="3773" spans="42:46">
      <c r="AP3773">
        <v>261650</v>
      </c>
      <c r="AQ3773" t="e">
        <v>#N/A</v>
      </c>
      <c r="AR3773" t="e">
        <v>#N/A</v>
      </c>
      <c r="AS3773" t="e">
        <v>#N/A</v>
      </c>
      <c r="AT3773" t="e">
        <v>#N/A</v>
      </c>
    </row>
    <row r="3774" spans="42:46">
      <c r="AP3774">
        <v>261700</v>
      </c>
      <c r="AQ3774" t="e">
        <v>#N/A</v>
      </c>
      <c r="AR3774" t="e">
        <v>#N/A</v>
      </c>
      <c r="AS3774" t="e">
        <v>#N/A</v>
      </c>
      <c r="AT3774" t="e">
        <v>#N/A</v>
      </c>
    </row>
    <row r="3775" spans="42:46">
      <c r="AP3775">
        <v>261750</v>
      </c>
      <c r="AQ3775" t="e">
        <v>#N/A</v>
      </c>
      <c r="AR3775" t="e">
        <v>#N/A</v>
      </c>
      <c r="AS3775" t="e">
        <v>#N/A</v>
      </c>
      <c r="AT3775" t="e">
        <v>#N/A</v>
      </c>
    </row>
    <row r="3776" spans="42:46">
      <c r="AP3776">
        <v>261800</v>
      </c>
      <c r="AQ3776" t="e">
        <v>#N/A</v>
      </c>
      <c r="AR3776" t="e">
        <v>#N/A</v>
      </c>
      <c r="AS3776" t="e">
        <v>#N/A</v>
      </c>
      <c r="AT3776" t="e">
        <v>#N/A</v>
      </c>
    </row>
    <row r="3777" spans="42:46">
      <c r="AP3777">
        <v>261850</v>
      </c>
      <c r="AQ3777" t="e">
        <v>#N/A</v>
      </c>
      <c r="AR3777" t="e">
        <v>#N/A</v>
      </c>
      <c r="AS3777" t="e">
        <v>#N/A</v>
      </c>
      <c r="AT3777" t="e">
        <v>#N/A</v>
      </c>
    </row>
    <row r="3778" spans="42:46">
      <c r="AP3778">
        <v>261900</v>
      </c>
      <c r="AQ3778" t="e">
        <v>#N/A</v>
      </c>
      <c r="AR3778" t="e">
        <v>#N/A</v>
      </c>
      <c r="AS3778" t="e">
        <v>#N/A</v>
      </c>
      <c r="AT3778" t="e">
        <v>#N/A</v>
      </c>
    </row>
    <row r="3779" spans="42:46">
      <c r="AP3779">
        <v>261950</v>
      </c>
      <c r="AQ3779" t="e">
        <v>#N/A</v>
      </c>
      <c r="AR3779" t="e">
        <v>#N/A</v>
      </c>
      <c r="AS3779" t="e">
        <v>#N/A</v>
      </c>
      <c r="AT3779" t="e">
        <v>#N/A</v>
      </c>
    </row>
    <row r="3780" spans="42:46">
      <c r="AP3780">
        <v>262000</v>
      </c>
      <c r="AQ3780" t="e">
        <v>#N/A</v>
      </c>
      <c r="AR3780" t="e">
        <v>#N/A</v>
      </c>
      <c r="AS3780" t="e">
        <v>#N/A</v>
      </c>
      <c r="AT3780" t="e">
        <v>#N/A</v>
      </c>
    </row>
    <row r="3781" spans="42:46">
      <c r="AP3781">
        <v>262050</v>
      </c>
      <c r="AQ3781" t="e">
        <v>#N/A</v>
      </c>
      <c r="AR3781" t="e">
        <v>#N/A</v>
      </c>
      <c r="AS3781" t="e">
        <v>#N/A</v>
      </c>
      <c r="AT3781" t="e">
        <v>#N/A</v>
      </c>
    </row>
    <row r="3782" spans="42:46">
      <c r="AP3782">
        <v>262100</v>
      </c>
      <c r="AQ3782" t="e">
        <v>#N/A</v>
      </c>
      <c r="AR3782" t="e">
        <v>#N/A</v>
      </c>
      <c r="AS3782" t="e">
        <v>#N/A</v>
      </c>
      <c r="AT3782" t="e">
        <v>#N/A</v>
      </c>
    </row>
    <row r="3783" spans="42:46">
      <c r="AP3783">
        <v>262150</v>
      </c>
      <c r="AQ3783" t="e">
        <v>#N/A</v>
      </c>
      <c r="AR3783" t="e">
        <v>#N/A</v>
      </c>
      <c r="AS3783" t="e">
        <v>#N/A</v>
      </c>
      <c r="AT3783" t="e">
        <v>#N/A</v>
      </c>
    </row>
    <row r="3784" spans="42:46">
      <c r="AP3784">
        <v>262200</v>
      </c>
      <c r="AQ3784" t="e">
        <v>#N/A</v>
      </c>
      <c r="AR3784" t="e">
        <v>#N/A</v>
      </c>
      <c r="AS3784" t="e">
        <v>#N/A</v>
      </c>
      <c r="AT3784" t="e">
        <v>#N/A</v>
      </c>
    </row>
    <row r="3785" spans="42:46">
      <c r="AP3785">
        <v>262250</v>
      </c>
      <c r="AQ3785" t="e">
        <v>#N/A</v>
      </c>
      <c r="AR3785" t="e">
        <v>#N/A</v>
      </c>
      <c r="AS3785" t="e">
        <v>#N/A</v>
      </c>
      <c r="AT3785" t="e">
        <v>#N/A</v>
      </c>
    </row>
    <row r="3786" spans="42:46">
      <c r="AP3786">
        <v>262300</v>
      </c>
      <c r="AQ3786" t="e">
        <v>#N/A</v>
      </c>
      <c r="AR3786" t="e">
        <v>#N/A</v>
      </c>
      <c r="AS3786" t="e">
        <v>#N/A</v>
      </c>
      <c r="AT3786" t="e">
        <v>#N/A</v>
      </c>
    </row>
    <row r="3787" spans="42:46">
      <c r="AP3787">
        <v>262350</v>
      </c>
      <c r="AQ3787" t="e">
        <v>#N/A</v>
      </c>
      <c r="AR3787" t="e">
        <v>#N/A</v>
      </c>
      <c r="AS3787" t="e">
        <v>#N/A</v>
      </c>
      <c r="AT3787" t="e">
        <v>#N/A</v>
      </c>
    </row>
    <row r="3788" spans="42:46">
      <c r="AP3788">
        <v>262400</v>
      </c>
      <c r="AQ3788" t="e">
        <v>#N/A</v>
      </c>
      <c r="AR3788" t="e">
        <v>#N/A</v>
      </c>
      <c r="AS3788" t="e">
        <v>#N/A</v>
      </c>
      <c r="AT3788" t="e">
        <v>#N/A</v>
      </c>
    </row>
    <row r="3789" spans="42:46">
      <c r="AP3789">
        <v>262450</v>
      </c>
      <c r="AQ3789" t="e">
        <v>#N/A</v>
      </c>
      <c r="AR3789" t="e">
        <v>#N/A</v>
      </c>
      <c r="AS3789" t="e">
        <v>#N/A</v>
      </c>
      <c r="AT3789" t="e">
        <v>#N/A</v>
      </c>
    </row>
    <row r="3790" spans="42:46">
      <c r="AP3790">
        <v>262500</v>
      </c>
      <c r="AQ3790" t="e">
        <v>#N/A</v>
      </c>
      <c r="AR3790" t="e">
        <v>#N/A</v>
      </c>
      <c r="AS3790" t="e">
        <v>#N/A</v>
      </c>
      <c r="AT3790" t="e">
        <v>#N/A</v>
      </c>
    </row>
    <row r="3791" spans="42:46">
      <c r="AP3791">
        <v>262550</v>
      </c>
      <c r="AQ3791" t="e">
        <v>#N/A</v>
      </c>
      <c r="AR3791" t="e">
        <v>#N/A</v>
      </c>
      <c r="AS3791" t="e">
        <v>#N/A</v>
      </c>
      <c r="AT3791" t="e">
        <v>#N/A</v>
      </c>
    </row>
    <row r="3792" spans="42:46">
      <c r="AP3792">
        <v>262600</v>
      </c>
      <c r="AQ3792" t="e">
        <v>#N/A</v>
      </c>
      <c r="AR3792" t="e">
        <v>#N/A</v>
      </c>
      <c r="AS3792" t="e">
        <v>#N/A</v>
      </c>
      <c r="AT3792" t="e">
        <v>#N/A</v>
      </c>
    </row>
    <row r="3793" spans="42:46">
      <c r="AP3793">
        <v>262650</v>
      </c>
      <c r="AQ3793" t="e">
        <v>#N/A</v>
      </c>
      <c r="AR3793" t="e">
        <v>#N/A</v>
      </c>
      <c r="AS3793" t="e">
        <v>#N/A</v>
      </c>
      <c r="AT3793" t="e">
        <v>#N/A</v>
      </c>
    </row>
    <row r="3794" spans="42:46">
      <c r="AP3794">
        <v>262700</v>
      </c>
      <c r="AQ3794" t="e">
        <v>#N/A</v>
      </c>
      <c r="AR3794" t="e">
        <v>#N/A</v>
      </c>
      <c r="AS3794" t="e">
        <v>#N/A</v>
      </c>
      <c r="AT3794" t="e">
        <v>#N/A</v>
      </c>
    </row>
    <row r="3795" spans="42:46">
      <c r="AP3795">
        <v>262750</v>
      </c>
      <c r="AQ3795" t="e">
        <v>#N/A</v>
      </c>
      <c r="AR3795" t="e">
        <v>#N/A</v>
      </c>
      <c r="AS3795" t="e">
        <v>#N/A</v>
      </c>
      <c r="AT3795" t="e">
        <v>#N/A</v>
      </c>
    </row>
    <row r="3796" spans="42:46">
      <c r="AP3796">
        <v>262800</v>
      </c>
      <c r="AQ3796" t="e">
        <v>#N/A</v>
      </c>
      <c r="AR3796" t="e">
        <v>#N/A</v>
      </c>
      <c r="AS3796" t="e">
        <v>#N/A</v>
      </c>
      <c r="AT3796" t="e">
        <v>#N/A</v>
      </c>
    </row>
    <row r="3797" spans="42:46">
      <c r="AP3797">
        <v>262850</v>
      </c>
      <c r="AQ3797" t="e">
        <v>#N/A</v>
      </c>
      <c r="AR3797" t="e">
        <v>#N/A</v>
      </c>
      <c r="AS3797" t="e">
        <v>#N/A</v>
      </c>
      <c r="AT3797" t="e">
        <v>#N/A</v>
      </c>
    </row>
    <row r="3798" spans="42:46">
      <c r="AP3798">
        <v>262900</v>
      </c>
      <c r="AQ3798" t="e">
        <v>#N/A</v>
      </c>
      <c r="AR3798" t="e">
        <v>#N/A</v>
      </c>
      <c r="AS3798" t="e">
        <v>#N/A</v>
      </c>
      <c r="AT3798" t="e">
        <v>#N/A</v>
      </c>
    </row>
    <row r="3799" spans="42:46">
      <c r="AP3799">
        <v>262950</v>
      </c>
      <c r="AQ3799" t="e">
        <v>#N/A</v>
      </c>
      <c r="AR3799" t="e">
        <v>#N/A</v>
      </c>
      <c r="AS3799" t="e">
        <v>#N/A</v>
      </c>
      <c r="AT3799" t="e">
        <v>#N/A</v>
      </c>
    </row>
    <row r="3800" spans="42:46">
      <c r="AP3800">
        <v>263000</v>
      </c>
      <c r="AQ3800" t="e">
        <v>#N/A</v>
      </c>
      <c r="AR3800" t="e">
        <v>#N/A</v>
      </c>
      <c r="AS3800" t="e">
        <v>#N/A</v>
      </c>
      <c r="AT3800" t="e">
        <v>#N/A</v>
      </c>
    </row>
    <row r="3801" spans="42:46">
      <c r="AP3801">
        <v>263050</v>
      </c>
      <c r="AQ3801" t="e">
        <v>#N/A</v>
      </c>
      <c r="AR3801" t="e">
        <v>#N/A</v>
      </c>
      <c r="AS3801" t="e">
        <v>#N/A</v>
      </c>
      <c r="AT3801" t="e">
        <v>#N/A</v>
      </c>
    </row>
    <row r="3802" spans="42:46">
      <c r="AP3802">
        <v>263100</v>
      </c>
      <c r="AQ3802" t="e">
        <v>#N/A</v>
      </c>
      <c r="AR3802" t="e">
        <v>#N/A</v>
      </c>
      <c r="AS3802" t="e">
        <v>#N/A</v>
      </c>
      <c r="AT3802" t="e">
        <v>#N/A</v>
      </c>
    </row>
    <row r="3803" spans="42:46">
      <c r="AP3803">
        <v>263150</v>
      </c>
      <c r="AQ3803" t="e">
        <v>#N/A</v>
      </c>
      <c r="AR3803" t="e">
        <v>#N/A</v>
      </c>
      <c r="AS3803" t="e">
        <v>#N/A</v>
      </c>
      <c r="AT3803" t="e">
        <v>#N/A</v>
      </c>
    </row>
    <row r="3804" spans="42:46">
      <c r="AP3804">
        <v>263200</v>
      </c>
      <c r="AQ3804" t="e">
        <v>#N/A</v>
      </c>
      <c r="AR3804" t="e">
        <v>#N/A</v>
      </c>
      <c r="AS3804" t="e">
        <v>#N/A</v>
      </c>
      <c r="AT3804" t="e">
        <v>#N/A</v>
      </c>
    </row>
    <row r="3805" spans="42:46">
      <c r="AP3805">
        <v>263250</v>
      </c>
      <c r="AQ3805" t="e">
        <v>#N/A</v>
      </c>
      <c r="AR3805" t="e">
        <v>#N/A</v>
      </c>
      <c r="AS3805" t="e">
        <v>#N/A</v>
      </c>
      <c r="AT3805" t="e">
        <v>#N/A</v>
      </c>
    </row>
    <row r="3806" spans="42:46">
      <c r="AP3806">
        <v>263300</v>
      </c>
      <c r="AQ3806" t="e">
        <v>#N/A</v>
      </c>
      <c r="AR3806" t="e">
        <v>#N/A</v>
      </c>
      <c r="AS3806" t="e">
        <v>#N/A</v>
      </c>
      <c r="AT3806" t="e">
        <v>#N/A</v>
      </c>
    </row>
    <row r="3807" spans="42:46">
      <c r="AP3807">
        <v>263350</v>
      </c>
      <c r="AQ3807" t="e">
        <v>#N/A</v>
      </c>
      <c r="AR3807" t="e">
        <v>#N/A</v>
      </c>
      <c r="AS3807" t="e">
        <v>#N/A</v>
      </c>
      <c r="AT3807" t="e">
        <v>#N/A</v>
      </c>
    </row>
    <row r="3808" spans="42:46">
      <c r="AP3808">
        <v>263400</v>
      </c>
      <c r="AQ3808" t="e">
        <v>#N/A</v>
      </c>
      <c r="AR3808" t="e">
        <v>#N/A</v>
      </c>
      <c r="AS3808" t="e">
        <v>#N/A</v>
      </c>
      <c r="AT3808" t="e">
        <v>#N/A</v>
      </c>
    </row>
    <row r="3809" spans="42:46">
      <c r="AP3809">
        <v>263450</v>
      </c>
      <c r="AQ3809" t="e">
        <v>#N/A</v>
      </c>
      <c r="AR3809" t="e">
        <v>#N/A</v>
      </c>
      <c r="AS3809" t="e">
        <v>#N/A</v>
      </c>
      <c r="AT3809" t="e">
        <v>#N/A</v>
      </c>
    </row>
    <row r="3810" spans="42:46">
      <c r="AP3810">
        <v>263500</v>
      </c>
      <c r="AQ3810" t="e">
        <v>#N/A</v>
      </c>
      <c r="AR3810" t="e">
        <v>#N/A</v>
      </c>
      <c r="AS3810" t="e">
        <v>#N/A</v>
      </c>
      <c r="AT3810" t="e">
        <v>#N/A</v>
      </c>
    </row>
    <row r="3811" spans="42:46">
      <c r="AP3811">
        <v>263550</v>
      </c>
      <c r="AQ3811" t="e">
        <v>#N/A</v>
      </c>
      <c r="AR3811" t="e">
        <v>#N/A</v>
      </c>
      <c r="AS3811" t="e">
        <v>#N/A</v>
      </c>
      <c r="AT3811" t="e">
        <v>#N/A</v>
      </c>
    </row>
    <row r="3812" spans="42:46">
      <c r="AP3812">
        <v>263600</v>
      </c>
      <c r="AQ3812" t="e">
        <v>#N/A</v>
      </c>
      <c r="AR3812" t="e">
        <v>#N/A</v>
      </c>
      <c r="AS3812" t="e">
        <v>#N/A</v>
      </c>
      <c r="AT3812" t="e">
        <v>#N/A</v>
      </c>
    </row>
    <row r="3813" spans="42:46">
      <c r="AP3813">
        <v>263650</v>
      </c>
      <c r="AQ3813" t="e">
        <v>#N/A</v>
      </c>
      <c r="AR3813" t="e">
        <v>#N/A</v>
      </c>
      <c r="AS3813" t="e">
        <v>#N/A</v>
      </c>
      <c r="AT3813" t="e">
        <v>#N/A</v>
      </c>
    </row>
    <row r="3814" spans="42:46">
      <c r="AP3814">
        <v>263700</v>
      </c>
      <c r="AQ3814" t="e">
        <v>#N/A</v>
      </c>
      <c r="AR3814" t="e">
        <v>#N/A</v>
      </c>
      <c r="AS3814" t="e">
        <v>#N/A</v>
      </c>
      <c r="AT3814" t="e">
        <v>#N/A</v>
      </c>
    </row>
    <row r="3815" spans="42:46">
      <c r="AP3815">
        <v>263750</v>
      </c>
      <c r="AQ3815" t="e">
        <v>#N/A</v>
      </c>
      <c r="AR3815" t="e">
        <v>#N/A</v>
      </c>
      <c r="AS3815" t="e">
        <v>#N/A</v>
      </c>
      <c r="AT3815" t="e">
        <v>#N/A</v>
      </c>
    </row>
    <row r="3816" spans="42:46">
      <c r="AP3816">
        <v>263800</v>
      </c>
      <c r="AQ3816" t="e">
        <v>#N/A</v>
      </c>
      <c r="AR3816" t="e">
        <v>#N/A</v>
      </c>
      <c r="AS3816" t="e">
        <v>#N/A</v>
      </c>
      <c r="AT3816" t="e">
        <v>#N/A</v>
      </c>
    </row>
    <row r="3817" spans="42:46">
      <c r="AP3817">
        <v>263850</v>
      </c>
      <c r="AQ3817" t="e">
        <v>#N/A</v>
      </c>
      <c r="AR3817" t="e">
        <v>#N/A</v>
      </c>
      <c r="AS3817" t="e">
        <v>#N/A</v>
      </c>
      <c r="AT3817" t="e">
        <v>#N/A</v>
      </c>
    </row>
    <row r="3818" spans="42:46">
      <c r="AP3818">
        <v>263900</v>
      </c>
      <c r="AQ3818" t="e">
        <v>#N/A</v>
      </c>
      <c r="AR3818" t="e">
        <v>#N/A</v>
      </c>
      <c r="AS3818" t="e">
        <v>#N/A</v>
      </c>
      <c r="AT3818" t="e">
        <v>#N/A</v>
      </c>
    </row>
    <row r="3819" spans="42:46">
      <c r="AP3819">
        <v>263950</v>
      </c>
      <c r="AQ3819" t="e">
        <v>#N/A</v>
      </c>
      <c r="AR3819" t="e">
        <v>#N/A</v>
      </c>
      <c r="AS3819" t="e">
        <v>#N/A</v>
      </c>
      <c r="AT3819" t="e">
        <v>#N/A</v>
      </c>
    </row>
    <row r="3820" spans="42:46">
      <c r="AP3820">
        <v>264000</v>
      </c>
      <c r="AQ3820" t="e">
        <v>#N/A</v>
      </c>
      <c r="AR3820" t="e">
        <v>#N/A</v>
      </c>
      <c r="AS3820" t="e">
        <v>#N/A</v>
      </c>
      <c r="AT3820" t="e">
        <v>#N/A</v>
      </c>
    </row>
    <row r="3821" spans="42:46">
      <c r="AP3821">
        <v>264050</v>
      </c>
      <c r="AQ3821" t="e">
        <v>#N/A</v>
      </c>
      <c r="AR3821" t="e">
        <v>#N/A</v>
      </c>
      <c r="AS3821" t="e">
        <v>#N/A</v>
      </c>
      <c r="AT3821" t="e">
        <v>#N/A</v>
      </c>
    </row>
    <row r="3822" spans="42:46">
      <c r="AP3822">
        <v>264100</v>
      </c>
      <c r="AQ3822" t="e">
        <v>#N/A</v>
      </c>
      <c r="AR3822" t="e">
        <v>#N/A</v>
      </c>
      <c r="AS3822" t="e">
        <v>#N/A</v>
      </c>
      <c r="AT3822" t="e">
        <v>#N/A</v>
      </c>
    </row>
    <row r="3823" spans="42:46">
      <c r="AP3823">
        <v>264150</v>
      </c>
      <c r="AQ3823" t="e">
        <v>#N/A</v>
      </c>
      <c r="AR3823" t="e">
        <v>#N/A</v>
      </c>
      <c r="AS3823" t="e">
        <v>#N/A</v>
      </c>
      <c r="AT3823" t="e">
        <v>#N/A</v>
      </c>
    </row>
    <row r="3824" spans="42:46">
      <c r="AP3824">
        <v>264200</v>
      </c>
      <c r="AQ3824" t="e">
        <v>#N/A</v>
      </c>
      <c r="AR3824" t="e">
        <v>#N/A</v>
      </c>
      <c r="AS3824" t="e">
        <v>#N/A</v>
      </c>
      <c r="AT3824" t="e">
        <v>#N/A</v>
      </c>
    </row>
    <row r="3825" spans="42:46">
      <c r="AP3825">
        <v>264250</v>
      </c>
      <c r="AQ3825" t="e">
        <v>#N/A</v>
      </c>
      <c r="AR3825" t="e">
        <v>#N/A</v>
      </c>
      <c r="AS3825" t="e">
        <v>#N/A</v>
      </c>
      <c r="AT3825" t="e">
        <v>#N/A</v>
      </c>
    </row>
    <row r="3826" spans="42:46">
      <c r="AP3826">
        <v>264300</v>
      </c>
      <c r="AQ3826" t="e">
        <v>#N/A</v>
      </c>
      <c r="AR3826" t="e">
        <v>#N/A</v>
      </c>
      <c r="AS3826" t="e">
        <v>#N/A</v>
      </c>
      <c r="AT3826" t="e">
        <v>#N/A</v>
      </c>
    </row>
    <row r="3827" spans="42:46">
      <c r="AP3827">
        <v>264350</v>
      </c>
      <c r="AQ3827" t="e">
        <v>#N/A</v>
      </c>
      <c r="AR3827" t="e">
        <v>#N/A</v>
      </c>
      <c r="AS3827" t="e">
        <v>#N/A</v>
      </c>
      <c r="AT3827" t="e">
        <v>#N/A</v>
      </c>
    </row>
    <row r="3828" spans="42:46">
      <c r="AP3828">
        <v>264400</v>
      </c>
      <c r="AQ3828" t="e">
        <v>#N/A</v>
      </c>
      <c r="AR3828" t="e">
        <v>#N/A</v>
      </c>
      <c r="AS3828" t="e">
        <v>#N/A</v>
      </c>
      <c r="AT3828" t="e">
        <v>#N/A</v>
      </c>
    </row>
    <row r="3829" spans="42:46">
      <c r="AP3829">
        <v>264450</v>
      </c>
      <c r="AQ3829" t="e">
        <v>#N/A</v>
      </c>
      <c r="AR3829" t="e">
        <v>#N/A</v>
      </c>
      <c r="AS3829" t="e">
        <v>#N/A</v>
      </c>
      <c r="AT3829" t="e">
        <v>#N/A</v>
      </c>
    </row>
    <row r="3830" spans="42:46">
      <c r="AP3830">
        <v>264500</v>
      </c>
      <c r="AQ3830" t="e">
        <v>#N/A</v>
      </c>
      <c r="AR3830" t="e">
        <v>#N/A</v>
      </c>
      <c r="AS3830" t="e">
        <v>#N/A</v>
      </c>
      <c r="AT3830" t="e">
        <v>#N/A</v>
      </c>
    </row>
    <row r="3831" spans="42:46">
      <c r="AP3831">
        <v>264550</v>
      </c>
      <c r="AQ3831" t="e">
        <v>#N/A</v>
      </c>
      <c r="AR3831" t="e">
        <v>#N/A</v>
      </c>
      <c r="AS3831" t="e">
        <v>#N/A</v>
      </c>
      <c r="AT3831" t="e">
        <v>#N/A</v>
      </c>
    </row>
    <row r="3832" spans="42:46">
      <c r="AP3832">
        <v>264600</v>
      </c>
      <c r="AQ3832" t="e">
        <v>#N/A</v>
      </c>
      <c r="AR3832" t="e">
        <v>#N/A</v>
      </c>
      <c r="AS3832" t="e">
        <v>#N/A</v>
      </c>
      <c r="AT3832" t="e">
        <v>#N/A</v>
      </c>
    </row>
    <row r="3833" spans="42:46">
      <c r="AP3833">
        <v>264650</v>
      </c>
      <c r="AQ3833" t="e">
        <v>#N/A</v>
      </c>
      <c r="AR3833" t="e">
        <v>#N/A</v>
      </c>
      <c r="AS3833" t="e">
        <v>#N/A</v>
      </c>
      <c r="AT3833" t="e">
        <v>#N/A</v>
      </c>
    </row>
    <row r="3834" spans="42:46">
      <c r="AP3834">
        <v>264700</v>
      </c>
      <c r="AQ3834" t="e">
        <v>#N/A</v>
      </c>
      <c r="AR3834" t="e">
        <v>#N/A</v>
      </c>
      <c r="AS3834" t="e">
        <v>#N/A</v>
      </c>
      <c r="AT3834" t="e">
        <v>#N/A</v>
      </c>
    </row>
    <row r="3835" spans="42:46">
      <c r="AP3835">
        <v>264750</v>
      </c>
      <c r="AQ3835" t="e">
        <v>#N/A</v>
      </c>
      <c r="AR3835" t="e">
        <v>#N/A</v>
      </c>
      <c r="AS3835" t="e">
        <v>#N/A</v>
      </c>
      <c r="AT3835" t="e">
        <v>#N/A</v>
      </c>
    </row>
    <row r="3836" spans="42:46">
      <c r="AP3836">
        <v>264800</v>
      </c>
      <c r="AQ3836" t="e">
        <v>#N/A</v>
      </c>
      <c r="AR3836" t="e">
        <v>#N/A</v>
      </c>
      <c r="AS3836" t="e">
        <v>#N/A</v>
      </c>
      <c r="AT3836" t="e">
        <v>#N/A</v>
      </c>
    </row>
    <row r="3837" spans="42:46">
      <c r="AP3837">
        <v>264850</v>
      </c>
      <c r="AQ3837" t="e">
        <v>#N/A</v>
      </c>
      <c r="AR3837" t="e">
        <v>#N/A</v>
      </c>
      <c r="AS3837" t="e">
        <v>#N/A</v>
      </c>
      <c r="AT3837" t="e">
        <v>#N/A</v>
      </c>
    </row>
    <row r="3838" spans="42:46">
      <c r="AP3838">
        <v>264900</v>
      </c>
      <c r="AQ3838" t="e">
        <v>#N/A</v>
      </c>
      <c r="AR3838" t="e">
        <v>#N/A</v>
      </c>
      <c r="AS3838" t="e">
        <v>#N/A</v>
      </c>
      <c r="AT3838" t="e">
        <v>#N/A</v>
      </c>
    </row>
    <row r="3839" spans="42:46">
      <c r="AP3839">
        <v>264950</v>
      </c>
      <c r="AQ3839" t="e">
        <v>#N/A</v>
      </c>
      <c r="AR3839" t="e">
        <v>#N/A</v>
      </c>
      <c r="AS3839" t="e">
        <v>#N/A</v>
      </c>
      <c r="AT3839" t="e">
        <v>#N/A</v>
      </c>
    </row>
    <row r="3840" spans="42:46">
      <c r="AP3840">
        <v>265000</v>
      </c>
      <c r="AQ3840" t="e">
        <v>#N/A</v>
      </c>
      <c r="AR3840" t="e">
        <v>#N/A</v>
      </c>
      <c r="AS3840" t="e">
        <v>#N/A</v>
      </c>
      <c r="AT3840" t="e">
        <v>#N/A</v>
      </c>
    </row>
    <row r="3841" spans="42:46">
      <c r="AP3841">
        <v>265050</v>
      </c>
      <c r="AQ3841" t="e">
        <v>#N/A</v>
      </c>
      <c r="AR3841" t="e">
        <v>#N/A</v>
      </c>
      <c r="AS3841" t="e">
        <v>#N/A</v>
      </c>
      <c r="AT3841" t="e">
        <v>#N/A</v>
      </c>
    </row>
    <row r="3842" spans="42:46">
      <c r="AP3842">
        <v>265100</v>
      </c>
      <c r="AQ3842" t="e">
        <v>#N/A</v>
      </c>
      <c r="AR3842" t="e">
        <v>#N/A</v>
      </c>
      <c r="AS3842" t="e">
        <v>#N/A</v>
      </c>
      <c r="AT3842" t="e">
        <v>#N/A</v>
      </c>
    </row>
    <row r="3843" spans="42:46">
      <c r="AP3843">
        <v>265150</v>
      </c>
      <c r="AQ3843" t="e">
        <v>#N/A</v>
      </c>
      <c r="AR3843" t="e">
        <v>#N/A</v>
      </c>
      <c r="AS3843" t="e">
        <v>#N/A</v>
      </c>
      <c r="AT3843" t="e">
        <v>#N/A</v>
      </c>
    </row>
    <row r="3844" spans="42:46">
      <c r="AP3844">
        <v>265200</v>
      </c>
      <c r="AQ3844" t="e">
        <v>#N/A</v>
      </c>
      <c r="AR3844" t="e">
        <v>#N/A</v>
      </c>
      <c r="AS3844" t="e">
        <v>#N/A</v>
      </c>
      <c r="AT3844" t="e">
        <v>#N/A</v>
      </c>
    </row>
    <row r="3845" spans="42:46">
      <c r="AP3845">
        <v>265250</v>
      </c>
      <c r="AQ3845" t="e">
        <v>#N/A</v>
      </c>
      <c r="AR3845" t="e">
        <v>#N/A</v>
      </c>
      <c r="AS3845" t="e">
        <v>#N/A</v>
      </c>
      <c r="AT3845" t="e">
        <v>#N/A</v>
      </c>
    </row>
    <row r="3846" spans="42:46">
      <c r="AP3846">
        <v>265300</v>
      </c>
      <c r="AQ3846" t="e">
        <v>#N/A</v>
      </c>
      <c r="AR3846" t="e">
        <v>#N/A</v>
      </c>
      <c r="AS3846" t="e">
        <v>#N/A</v>
      </c>
      <c r="AT3846" t="e">
        <v>#N/A</v>
      </c>
    </row>
    <row r="3847" spans="42:46">
      <c r="AP3847">
        <v>265350</v>
      </c>
      <c r="AQ3847" t="e">
        <v>#N/A</v>
      </c>
      <c r="AR3847" t="e">
        <v>#N/A</v>
      </c>
      <c r="AS3847" t="e">
        <v>#N/A</v>
      </c>
      <c r="AT3847" t="e">
        <v>#N/A</v>
      </c>
    </row>
    <row r="3848" spans="42:46">
      <c r="AP3848">
        <v>265400</v>
      </c>
      <c r="AQ3848" t="e">
        <v>#N/A</v>
      </c>
      <c r="AR3848" t="e">
        <v>#N/A</v>
      </c>
      <c r="AS3848" t="e">
        <v>#N/A</v>
      </c>
      <c r="AT3848" t="e">
        <v>#N/A</v>
      </c>
    </row>
    <row r="3849" spans="42:46">
      <c r="AP3849">
        <v>265450</v>
      </c>
      <c r="AQ3849" t="e">
        <v>#N/A</v>
      </c>
      <c r="AR3849" t="e">
        <v>#N/A</v>
      </c>
      <c r="AS3849" t="e">
        <v>#N/A</v>
      </c>
      <c r="AT3849" t="e">
        <v>#N/A</v>
      </c>
    </row>
    <row r="3850" spans="42:46">
      <c r="AP3850">
        <v>265500</v>
      </c>
      <c r="AQ3850" t="e">
        <v>#N/A</v>
      </c>
      <c r="AR3850" t="e">
        <v>#N/A</v>
      </c>
      <c r="AS3850" t="e">
        <v>#N/A</v>
      </c>
      <c r="AT3850" t="e">
        <v>#N/A</v>
      </c>
    </row>
    <row r="3851" spans="42:46">
      <c r="AP3851">
        <v>265550</v>
      </c>
      <c r="AQ3851" t="e">
        <v>#N/A</v>
      </c>
      <c r="AR3851" t="e">
        <v>#N/A</v>
      </c>
      <c r="AS3851" t="e">
        <v>#N/A</v>
      </c>
      <c r="AT3851" t="e">
        <v>#N/A</v>
      </c>
    </row>
    <row r="3852" spans="42:46">
      <c r="AP3852">
        <v>265600</v>
      </c>
      <c r="AQ3852" t="e">
        <v>#N/A</v>
      </c>
      <c r="AR3852" t="e">
        <v>#N/A</v>
      </c>
      <c r="AS3852" t="e">
        <v>#N/A</v>
      </c>
      <c r="AT3852" t="e">
        <v>#N/A</v>
      </c>
    </row>
    <row r="3853" spans="42:46">
      <c r="AP3853">
        <v>265650</v>
      </c>
      <c r="AQ3853" t="e">
        <v>#N/A</v>
      </c>
      <c r="AR3853" t="e">
        <v>#N/A</v>
      </c>
      <c r="AS3853" t="e">
        <v>#N/A</v>
      </c>
      <c r="AT3853" t="e">
        <v>#N/A</v>
      </c>
    </row>
    <row r="3854" spans="42:46">
      <c r="AP3854">
        <v>265700</v>
      </c>
      <c r="AQ3854" t="e">
        <v>#N/A</v>
      </c>
      <c r="AR3854" t="e">
        <v>#N/A</v>
      </c>
      <c r="AS3854" t="e">
        <v>#N/A</v>
      </c>
      <c r="AT3854" t="e">
        <v>#N/A</v>
      </c>
    </row>
    <row r="3855" spans="42:46">
      <c r="AP3855">
        <v>265750</v>
      </c>
      <c r="AQ3855" t="e">
        <v>#N/A</v>
      </c>
      <c r="AR3855" t="e">
        <v>#N/A</v>
      </c>
      <c r="AS3855" t="e">
        <v>#N/A</v>
      </c>
      <c r="AT3855" t="e">
        <v>#N/A</v>
      </c>
    </row>
    <row r="3856" spans="42:46">
      <c r="AP3856">
        <v>265800</v>
      </c>
      <c r="AQ3856" t="e">
        <v>#N/A</v>
      </c>
      <c r="AR3856" t="e">
        <v>#N/A</v>
      </c>
      <c r="AS3856" t="e">
        <v>#N/A</v>
      </c>
      <c r="AT3856" t="e">
        <v>#N/A</v>
      </c>
    </row>
    <row r="3857" spans="42:46">
      <c r="AP3857">
        <v>265850</v>
      </c>
      <c r="AQ3857" t="e">
        <v>#N/A</v>
      </c>
      <c r="AR3857" t="e">
        <v>#N/A</v>
      </c>
      <c r="AS3857" t="e">
        <v>#N/A</v>
      </c>
      <c r="AT3857" t="e">
        <v>#N/A</v>
      </c>
    </row>
    <row r="3858" spans="42:46">
      <c r="AP3858">
        <v>265900</v>
      </c>
      <c r="AQ3858" t="e">
        <v>#N/A</v>
      </c>
      <c r="AR3858" t="e">
        <v>#N/A</v>
      </c>
      <c r="AS3858" t="e">
        <v>#N/A</v>
      </c>
      <c r="AT3858" t="e">
        <v>#N/A</v>
      </c>
    </row>
    <row r="3859" spans="42:46">
      <c r="AP3859">
        <v>265950</v>
      </c>
      <c r="AQ3859" t="e">
        <v>#N/A</v>
      </c>
      <c r="AR3859" t="e">
        <v>#N/A</v>
      </c>
      <c r="AS3859" t="e">
        <v>#N/A</v>
      </c>
      <c r="AT3859" t="e">
        <v>#N/A</v>
      </c>
    </row>
    <row r="3860" spans="42:46">
      <c r="AP3860">
        <v>266000</v>
      </c>
      <c r="AQ3860" t="e">
        <v>#N/A</v>
      </c>
      <c r="AR3860" t="e">
        <v>#N/A</v>
      </c>
      <c r="AS3860" t="e">
        <v>#N/A</v>
      </c>
      <c r="AT3860" t="e">
        <v>#N/A</v>
      </c>
    </row>
    <row r="3861" spans="42:46">
      <c r="AP3861">
        <v>266050</v>
      </c>
      <c r="AQ3861" t="e">
        <v>#N/A</v>
      </c>
      <c r="AR3861" t="e">
        <v>#N/A</v>
      </c>
      <c r="AS3861" t="e">
        <v>#N/A</v>
      </c>
      <c r="AT3861" t="e">
        <v>#N/A</v>
      </c>
    </row>
    <row r="3862" spans="42:46">
      <c r="AP3862">
        <v>266100</v>
      </c>
      <c r="AQ3862" t="e">
        <v>#N/A</v>
      </c>
      <c r="AR3862" t="e">
        <v>#N/A</v>
      </c>
      <c r="AS3862" t="e">
        <v>#N/A</v>
      </c>
      <c r="AT3862" t="e">
        <v>#N/A</v>
      </c>
    </row>
    <row r="3863" spans="42:46">
      <c r="AP3863">
        <v>266150</v>
      </c>
      <c r="AQ3863" t="e">
        <v>#N/A</v>
      </c>
      <c r="AR3863" t="e">
        <v>#N/A</v>
      </c>
      <c r="AS3863" t="e">
        <v>#N/A</v>
      </c>
      <c r="AT3863" t="e">
        <v>#N/A</v>
      </c>
    </row>
    <row r="3864" spans="42:46">
      <c r="AP3864">
        <v>266200</v>
      </c>
      <c r="AQ3864" t="e">
        <v>#N/A</v>
      </c>
      <c r="AR3864" t="e">
        <v>#N/A</v>
      </c>
      <c r="AS3864" t="e">
        <v>#N/A</v>
      </c>
      <c r="AT3864" t="e">
        <v>#N/A</v>
      </c>
    </row>
    <row r="3865" spans="42:46">
      <c r="AP3865">
        <v>266250</v>
      </c>
      <c r="AQ3865" t="e">
        <v>#N/A</v>
      </c>
      <c r="AR3865" t="e">
        <v>#N/A</v>
      </c>
      <c r="AS3865" t="e">
        <v>#N/A</v>
      </c>
      <c r="AT3865" t="e">
        <v>#N/A</v>
      </c>
    </row>
    <row r="3866" spans="42:46">
      <c r="AP3866">
        <v>266300</v>
      </c>
      <c r="AQ3866" t="e">
        <v>#N/A</v>
      </c>
      <c r="AR3866" t="e">
        <v>#N/A</v>
      </c>
      <c r="AS3866" t="e">
        <v>#N/A</v>
      </c>
      <c r="AT3866" t="e">
        <v>#N/A</v>
      </c>
    </row>
    <row r="3867" spans="42:46">
      <c r="AP3867">
        <v>266350</v>
      </c>
      <c r="AQ3867" t="e">
        <v>#N/A</v>
      </c>
      <c r="AR3867" t="e">
        <v>#N/A</v>
      </c>
      <c r="AS3867" t="e">
        <v>#N/A</v>
      </c>
      <c r="AT3867" t="e">
        <v>#N/A</v>
      </c>
    </row>
    <row r="3868" spans="42:46">
      <c r="AP3868">
        <v>266400</v>
      </c>
      <c r="AQ3868" t="e">
        <v>#N/A</v>
      </c>
      <c r="AR3868" t="e">
        <v>#N/A</v>
      </c>
      <c r="AS3868" t="e">
        <v>#N/A</v>
      </c>
      <c r="AT3868" t="e">
        <v>#N/A</v>
      </c>
    </row>
    <row r="3869" spans="42:46">
      <c r="AP3869">
        <v>266450</v>
      </c>
      <c r="AQ3869" t="e">
        <v>#N/A</v>
      </c>
      <c r="AR3869" t="e">
        <v>#N/A</v>
      </c>
      <c r="AS3869" t="e">
        <v>#N/A</v>
      </c>
      <c r="AT3869" t="e">
        <v>#N/A</v>
      </c>
    </row>
    <row r="3870" spans="42:46">
      <c r="AP3870">
        <v>266500</v>
      </c>
      <c r="AQ3870" t="e">
        <v>#N/A</v>
      </c>
      <c r="AR3870" t="e">
        <v>#N/A</v>
      </c>
      <c r="AS3870" t="e">
        <v>#N/A</v>
      </c>
      <c r="AT3870" t="e">
        <v>#N/A</v>
      </c>
    </row>
    <row r="3871" spans="42:46">
      <c r="AP3871">
        <v>266550</v>
      </c>
      <c r="AQ3871" t="e">
        <v>#N/A</v>
      </c>
      <c r="AR3871" t="e">
        <v>#N/A</v>
      </c>
      <c r="AS3871" t="e">
        <v>#N/A</v>
      </c>
      <c r="AT3871" t="e">
        <v>#N/A</v>
      </c>
    </row>
    <row r="3872" spans="42:46">
      <c r="AP3872">
        <v>266600</v>
      </c>
      <c r="AQ3872" t="e">
        <v>#N/A</v>
      </c>
      <c r="AR3872" t="e">
        <v>#N/A</v>
      </c>
      <c r="AS3872" t="e">
        <v>#N/A</v>
      </c>
      <c r="AT3872" t="e">
        <v>#N/A</v>
      </c>
    </row>
    <row r="3873" spans="42:46">
      <c r="AP3873">
        <v>266650</v>
      </c>
      <c r="AQ3873" t="e">
        <v>#N/A</v>
      </c>
      <c r="AR3873" t="e">
        <v>#N/A</v>
      </c>
      <c r="AS3873" t="e">
        <v>#N/A</v>
      </c>
      <c r="AT3873" t="e">
        <v>#N/A</v>
      </c>
    </row>
    <row r="3874" spans="42:46">
      <c r="AP3874">
        <v>266700</v>
      </c>
      <c r="AQ3874" t="e">
        <v>#N/A</v>
      </c>
      <c r="AR3874" t="e">
        <v>#N/A</v>
      </c>
      <c r="AS3874" t="e">
        <v>#N/A</v>
      </c>
      <c r="AT3874" t="e">
        <v>#N/A</v>
      </c>
    </row>
    <row r="3875" spans="42:46">
      <c r="AP3875">
        <v>266750</v>
      </c>
      <c r="AQ3875" t="e">
        <v>#N/A</v>
      </c>
      <c r="AR3875" t="e">
        <v>#N/A</v>
      </c>
      <c r="AS3875" t="e">
        <v>#N/A</v>
      </c>
      <c r="AT3875" t="e">
        <v>#N/A</v>
      </c>
    </row>
    <row r="3876" spans="42:46">
      <c r="AP3876">
        <v>266800</v>
      </c>
      <c r="AQ3876" t="e">
        <v>#N/A</v>
      </c>
      <c r="AR3876" t="e">
        <v>#N/A</v>
      </c>
      <c r="AS3876" t="e">
        <v>#N/A</v>
      </c>
      <c r="AT3876" t="e">
        <v>#N/A</v>
      </c>
    </row>
    <row r="3877" spans="42:46">
      <c r="AP3877">
        <v>266850</v>
      </c>
      <c r="AQ3877" t="e">
        <v>#N/A</v>
      </c>
      <c r="AR3877" t="e">
        <v>#N/A</v>
      </c>
      <c r="AS3877" t="e">
        <v>#N/A</v>
      </c>
      <c r="AT3877" t="e">
        <v>#N/A</v>
      </c>
    </row>
    <row r="3878" spans="42:46">
      <c r="AP3878">
        <v>266900</v>
      </c>
      <c r="AQ3878" t="e">
        <v>#N/A</v>
      </c>
      <c r="AR3878" t="e">
        <v>#N/A</v>
      </c>
      <c r="AS3878" t="e">
        <v>#N/A</v>
      </c>
      <c r="AT3878" t="e">
        <v>#N/A</v>
      </c>
    </row>
    <row r="3879" spans="42:46">
      <c r="AP3879">
        <v>266950</v>
      </c>
      <c r="AQ3879" t="e">
        <v>#N/A</v>
      </c>
      <c r="AR3879" t="e">
        <v>#N/A</v>
      </c>
      <c r="AS3879" t="e">
        <v>#N/A</v>
      </c>
      <c r="AT3879" t="e">
        <v>#N/A</v>
      </c>
    </row>
    <row r="3880" spans="42:46">
      <c r="AP3880">
        <v>267000</v>
      </c>
      <c r="AQ3880" t="e">
        <v>#N/A</v>
      </c>
      <c r="AR3880" t="e">
        <v>#N/A</v>
      </c>
      <c r="AS3880" t="e">
        <v>#N/A</v>
      </c>
      <c r="AT3880" t="e">
        <v>#N/A</v>
      </c>
    </row>
    <row r="3881" spans="42:46">
      <c r="AP3881">
        <v>267050</v>
      </c>
      <c r="AQ3881" t="e">
        <v>#N/A</v>
      </c>
      <c r="AR3881" t="e">
        <v>#N/A</v>
      </c>
      <c r="AS3881" t="e">
        <v>#N/A</v>
      </c>
      <c r="AT3881" t="e">
        <v>#N/A</v>
      </c>
    </row>
    <row r="3882" spans="42:46">
      <c r="AP3882">
        <v>267100</v>
      </c>
      <c r="AQ3882" t="e">
        <v>#N/A</v>
      </c>
      <c r="AR3882" t="e">
        <v>#N/A</v>
      </c>
      <c r="AS3882" t="e">
        <v>#N/A</v>
      </c>
      <c r="AT3882" t="e">
        <v>#N/A</v>
      </c>
    </row>
    <row r="3883" spans="42:46">
      <c r="AP3883">
        <v>267150</v>
      </c>
      <c r="AQ3883" t="e">
        <v>#N/A</v>
      </c>
      <c r="AR3883" t="e">
        <v>#N/A</v>
      </c>
      <c r="AS3883" t="e">
        <v>#N/A</v>
      </c>
      <c r="AT3883" t="e">
        <v>#N/A</v>
      </c>
    </row>
    <row r="3884" spans="42:46">
      <c r="AP3884">
        <v>267200</v>
      </c>
      <c r="AQ3884" t="e">
        <v>#N/A</v>
      </c>
      <c r="AR3884" t="e">
        <v>#N/A</v>
      </c>
      <c r="AS3884" t="e">
        <v>#N/A</v>
      </c>
      <c r="AT3884" t="e">
        <v>#N/A</v>
      </c>
    </row>
    <row r="3885" spans="42:46">
      <c r="AP3885">
        <v>267250</v>
      </c>
      <c r="AQ3885" t="e">
        <v>#N/A</v>
      </c>
      <c r="AR3885" t="e">
        <v>#N/A</v>
      </c>
      <c r="AS3885" t="e">
        <v>#N/A</v>
      </c>
      <c r="AT3885" t="e">
        <v>#N/A</v>
      </c>
    </row>
    <row r="3886" spans="42:46">
      <c r="AP3886">
        <v>267300</v>
      </c>
      <c r="AQ3886" t="e">
        <v>#N/A</v>
      </c>
      <c r="AR3886" t="e">
        <v>#N/A</v>
      </c>
      <c r="AS3886" t="e">
        <v>#N/A</v>
      </c>
      <c r="AT3886" t="e">
        <v>#N/A</v>
      </c>
    </row>
    <row r="3887" spans="42:46">
      <c r="AP3887">
        <v>267350</v>
      </c>
      <c r="AQ3887" t="e">
        <v>#N/A</v>
      </c>
      <c r="AR3887" t="e">
        <v>#N/A</v>
      </c>
      <c r="AS3887" t="e">
        <v>#N/A</v>
      </c>
      <c r="AT3887" t="e">
        <v>#N/A</v>
      </c>
    </row>
    <row r="3888" spans="42:46">
      <c r="AP3888">
        <v>267400</v>
      </c>
      <c r="AQ3888" t="e">
        <v>#N/A</v>
      </c>
      <c r="AR3888" t="e">
        <v>#N/A</v>
      </c>
      <c r="AS3888" t="e">
        <v>#N/A</v>
      </c>
      <c r="AT3888" t="e">
        <v>#N/A</v>
      </c>
    </row>
    <row r="3889" spans="42:46">
      <c r="AP3889">
        <v>267450</v>
      </c>
      <c r="AQ3889" t="e">
        <v>#N/A</v>
      </c>
      <c r="AR3889" t="e">
        <v>#N/A</v>
      </c>
      <c r="AS3889" t="e">
        <v>#N/A</v>
      </c>
      <c r="AT3889" t="e">
        <v>#N/A</v>
      </c>
    </row>
    <row r="3890" spans="42:46">
      <c r="AP3890">
        <v>267500</v>
      </c>
      <c r="AQ3890" t="e">
        <v>#N/A</v>
      </c>
      <c r="AR3890" t="e">
        <v>#N/A</v>
      </c>
      <c r="AS3890" t="e">
        <v>#N/A</v>
      </c>
      <c r="AT3890" t="e">
        <v>#N/A</v>
      </c>
    </row>
    <row r="3891" spans="42:46">
      <c r="AP3891">
        <v>267550</v>
      </c>
      <c r="AQ3891" t="e">
        <v>#N/A</v>
      </c>
      <c r="AR3891" t="e">
        <v>#N/A</v>
      </c>
      <c r="AS3891" t="e">
        <v>#N/A</v>
      </c>
      <c r="AT3891" t="e">
        <v>#N/A</v>
      </c>
    </row>
    <row r="3892" spans="42:46">
      <c r="AP3892">
        <v>267600</v>
      </c>
      <c r="AQ3892" t="e">
        <v>#N/A</v>
      </c>
      <c r="AR3892" t="e">
        <v>#N/A</v>
      </c>
      <c r="AS3892" t="e">
        <v>#N/A</v>
      </c>
      <c r="AT3892" t="e">
        <v>#N/A</v>
      </c>
    </row>
    <row r="3893" spans="42:46">
      <c r="AP3893">
        <v>267650</v>
      </c>
      <c r="AQ3893" t="e">
        <v>#N/A</v>
      </c>
      <c r="AR3893" t="e">
        <v>#N/A</v>
      </c>
      <c r="AS3893" t="e">
        <v>#N/A</v>
      </c>
      <c r="AT3893" t="e">
        <v>#N/A</v>
      </c>
    </row>
    <row r="3894" spans="42:46">
      <c r="AP3894">
        <v>267700</v>
      </c>
      <c r="AQ3894" t="e">
        <v>#N/A</v>
      </c>
      <c r="AR3894" t="e">
        <v>#N/A</v>
      </c>
      <c r="AS3894" t="e">
        <v>#N/A</v>
      </c>
      <c r="AT3894" t="e">
        <v>#N/A</v>
      </c>
    </row>
    <row r="3895" spans="42:46">
      <c r="AP3895">
        <v>267750</v>
      </c>
      <c r="AQ3895" t="e">
        <v>#N/A</v>
      </c>
      <c r="AR3895" t="e">
        <v>#N/A</v>
      </c>
      <c r="AS3895" t="e">
        <v>#N/A</v>
      </c>
      <c r="AT3895" t="e">
        <v>#N/A</v>
      </c>
    </row>
    <row r="3896" spans="42:46">
      <c r="AP3896">
        <v>267800</v>
      </c>
      <c r="AQ3896" t="e">
        <v>#N/A</v>
      </c>
      <c r="AR3896" t="e">
        <v>#N/A</v>
      </c>
      <c r="AS3896" t="e">
        <v>#N/A</v>
      </c>
      <c r="AT3896" t="e">
        <v>#N/A</v>
      </c>
    </row>
    <row r="3897" spans="42:46">
      <c r="AP3897">
        <v>267850</v>
      </c>
      <c r="AQ3897" t="e">
        <v>#N/A</v>
      </c>
      <c r="AR3897" t="e">
        <v>#N/A</v>
      </c>
      <c r="AS3897" t="e">
        <v>#N/A</v>
      </c>
      <c r="AT3897" t="e">
        <v>#N/A</v>
      </c>
    </row>
    <row r="3898" spans="42:46">
      <c r="AP3898">
        <v>267900</v>
      </c>
      <c r="AQ3898" t="e">
        <v>#N/A</v>
      </c>
      <c r="AR3898" t="e">
        <v>#N/A</v>
      </c>
      <c r="AS3898" t="e">
        <v>#N/A</v>
      </c>
      <c r="AT3898" t="e">
        <v>#N/A</v>
      </c>
    </row>
    <row r="3899" spans="42:46">
      <c r="AP3899">
        <v>267950</v>
      </c>
      <c r="AQ3899" t="e">
        <v>#N/A</v>
      </c>
      <c r="AR3899" t="e">
        <v>#N/A</v>
      </c>
      <c r="AS3899" t="e">
        <v>#N/A</v>
      </c>
      <c r="AT3899" t="e">
        <v>#N/A</v>
      </c>
    </row>
    <row r="3900" spans="42:46">
      <c r="AP3900">
        <v>268000</v>
      </c>
      <c r="AQ3900" t="e">
        <v>#N/A</v>
      </c>
      <c r="AR3900" t="e">
        <v>#N/A</v>
      </c>
      <c r="AS3900" t="e">
        <v>#N/A</v>
      </c>
      <c r="AT3900" t="e">
        <v>#N/A</v>
      </c>
    </row>
    <row r="3901" spans="42:46">
      <c r="AP3901">
        <v>268050</v>
      </c>
      <c r="AQ3901" t="e">
        <v>#N/A</v>
      </c>
      <c r="AR3901" t="e">
        <v>#N/A</v>
      </c>
      <c r="AS3901" t="e">
        <v>#N/A</v>
      </c>
      <c r="AT3901" t="e">
        <v>#N/A</v>
      </c>
    </row>
    <row r="3902" spans="42:46">
      <c r="AP3902">
        <v>268100</v>
      </c>
      <c r="AQ3902" t="e">
        <v>#N/A</v>
      </c>
      <c r="AR3902" t="e">
        <v>#N/A</v>
      </c>
      <c r="AS3902" t="e">
        <v>#N/A</v>
      </c>
      <c r="AT3902" t="e">
        <v>#N/A</v>
      </c>
    </row>
    <row r="3903" spans="42:46">
      <c r="AP3903">
        <v>268150</v>
      </c>
      <c r="AQ3903" t="e">
        <v>#N/A</v>
      </c>
      <c r="AR3903" t="e">
        <v>#N/A</v>
      </c>
      <c r="AS3903" t="e">
        <v>#N/A</v>
      </c>
      <c r="AT3903" t="e">
        <v>#N/A</v>
      </c>
    </row>
    <row r="3904" spans="42:46">
      <c r="AP3904">
        <v>268200</v>
      </c>
      <c r="AQ3904" t="e">
        <v>#N/A</v>
      </c>
      <c r="AR3904" t="e">
        <v>#N/A</v>
      </c>
      <c r="AS3904" t="e">
        <v>#N/A</v>
      </c>
      <c r="AT3904" t="e">
        <v>#N/A</v>
      </c>
    </row>
    <row r="3905" spans="42:46">
      <c r="AP3905">
        <v>268250</v>
      </c>
      <c r="AQ3905" t="e">
        <v>#N/A</v>
      </c>
      <c r="AR3905" t="e">
        <v>#N/A</v>
      </c>
      <c r="AS3905" t="e">
        <v>#N/A</v>
      </c>
      <c r="AT3905" t="e">
        <v>#N/A</v>
      </c>
    </row>
    <row r="3906" spans="42:46">
      <c r="AP3906">
        <v>268300</v>
      </c>
      <c r="AQ3906" t="e">
        <v>#N/A</v>
      </c>
      <c r="AR3906" t="e">
        <v>#N/A</v>
      </c>
      <c r="AS3906" t="e">
        <v>#N/A</v>
      </c>
      <c r="AT3906" t="e">
        <v>#N/A</v>
      </c>
    </row>
    <row r="3907" spans="42:46">
      <c r="AP3907">
        <v>268350</v>
      </c>
      <c r="AQ3907" t="e">
        <v>#N/A</v>
      </c>
      <c r="AR3907" t="e">
        <v>#N/A</v>
      </c>
      <c r="AS3907" t="e">
        <v>#N/A</v>
      </c>
      <c r="AT3907" t="e">
        <v>#N/A</v>
      </c>
    </row>
    <row r="3908" spans="42:46">
      <c r="AP3908">
        <v>268400</v>
      </c>
      <c r="AQ3908" t="e">
        <v>#N/A</v>
      </c>
      <c r="AR3908" t="e">
        <v>#N/A</v>
      </c>
      <c r="AS3908" t="e">
        <v>#N/A</v>
      </c>
      <c r="AT3908" t="e">
        <v>#N/A</v>
      </c>
    </row>
    <row r="3909" spans="42:46">
      <c r="AP3909">
        <v>268450</v>
      </c>
      <c r="AQ3909" t="e">
        <v>#N/A</v>
      </c>
      <c r="AR3909" t="e">
        <v>#N/A</v>
      </c>
      <c r="AS3909" t="e">
        <v>#N/A</v>
      </c>
      <c r="AT3909" t="e">
        <v>#N/A</v>
      </c>
    </row>
    <row r="3910" spans="42:46">
      <c r="AP3910">
        <v>268500</v>
      </c>
      <c r="AQ3910" t="e">
        <v>#N/A</v>
      </c>
      <c r="AR3910" t="e">
        <v>#N/A</v>
      </c>
      <c r="AS3910" t="e">
        <v>#N/A</v>
      </c>
      <c r="AT3910" t="e">
        <v>#N/A</v>
      </c>
    </row>
    <row r="3911" spans="42:46">
      <c r="AP3911">
        <v>268550</v>
      </c>
      <c r="AQ3911" t="e">
        <v>#N/A</v>
      </c>
      <c r="AR3911" t="e">
        <v>#N/A</v>
      </c>
      <c r="AS3911" t="e">
        <v>#N/A</v>
      </c>
      <c r="AT3911" t="e">
        <v>#N/A</v>
      </c>
    </row>
    <row r="3912" spans="42:46">
      <c r="AP3912">
        <v>268600</v>
      </c>
      <c r="AQ3912" t="e">
        <v>#N/A</v>
      </c>
      <c r="AR3912" t="e">
        <v>#N/A</v>
      </c>
      <c r="AS3912" t="e">
        <v>#N/A</v>
      </c>
      <c r="AT3912" t="e">
        <v>#N/A</v>
      </c>
    </row>
    <row r="3913" spans="42:46">
      <c r="AP3913">
        <v>268650</v>
      </c>
      <c r="AQ3913" t="e">
        <v>#N/A</v>
      </c>
      <c r="AR3913" t="e">
        <v>#N/A</v>
      </c>
      <c r="AS3913" t="e">
        <v>#N/A</v>
      </c>
      <c r="AT3913" t="e">
        <v>#N/A</v>
      </c>
    </row>
    <row r="3914" spans="42:46">
      <c r="AP3914">
        <v>268700</v>
      </c>
      <c r="AQ3914" t="e">
        <v>#N/A</v>
      </c>
      <c r="AR3914" t="e">
        <v>#N/A</v>
      </c>
      <c r="AS3914" t="e">
        <v>#N/A</v>
      </c>
      <c r="AT3914" t="e">
        <v>#N/A</v>
      </c>
    </row>
    <row r="3915" spans="42:46">
      <c r="AP3915">
        <v>268750</v>
      </c>
      <c r="AQ3915" t="e">
        <v>#N/A</v>
      </c>
      <c r="AR3915" t="e">
        <v>#N/A</v>
      </c>
      <c r="AS3915" t="e">
        <v>#N/A</v>
      </c>
      <c r="AT3915" t="e">
        <v>#N/A</v>
      </c>
    </row>
    <row r="3916" spans="42:46">
      <c r="AP3916">
        <v>268800</v>
      </c>
      <c r="AQ3916" t="e">
        <v>#N/A</v>
      </c>
      <c r="AR3916" t="e">
        <v>#N/A</v>
      </c>
      <c r="AS3916" t="e">
        <v>#N/A</v>
      </c>
      <c r="AT3916" t="e">
        <v>#N/A</v>
      </c>
    </row>
    <row r="3917" spans="42:46">
      <c r="AP3917">
        <v>268850</v>
      </c>
      <c r="AQ3917" t="e">
        <v>#N/A</v>
      </c>
      <c r="AR3917" t="e">
        <v>#N/A</v>
      </c>
      <c r="AS3917" t="e">
        <v>#N/A</v>
      </c>
      <c r="AT3917" t="e">
        <v>#N/A</v>
      </c>
    </row>
    <row r="3918" spans="42:46">
      <c r="AP3918">
        <v>268900</v>
      </c>
      <c r="AQ3918" t="e">
        <v>#N/A</v>
      </c>
      <c r="AR3918" t="e">
        <v>#N/A</v>
      </c>
      <c r="AS3918" t="e">
        <v>#N/A</v>
      </c>
      <c r="AT3918" t="e">
        <v>#N/A</v>
      </c>
    </row>
    <row r="3919" spans="42:46">
      <c r="AP3919">
        <v>268950</v>
      </c>
      <c r="AQ3919" t="e">
        <v>#N/A</v>
      </c>
      <c r="AR3919" t="e">
        <v>#N/A</v>
      </c>
      <c r="AS3919" t="e">
        <v>#N/A</v>
      </c>
      <c r="AT3919" t="e">
        <v>#N/A</v>
      </c>
    </row>
    <row r="3920" spans="42:46">
      <c r="AP3920">
        <v>269000</v>
      </c>
      <c r="AQ3920" t="e">
        <v>#N/A</v>
      </c>
      <c r="AR3920" t="e">
        <v>#N/A</v>
      </c>
      <c r="AS3920" t="e">
        <v>#N/A</v>
      </c>
      <c r="AT3920" t="e">
        <v>#N/A</v>
      </c>
    </row>
    <row r="3921" spans="42:46">
      <c r="AP3921">
        <v>269050</v>
      </c>
      <c r="AQ3921" t="e">
        <v>#N/A</v>
      </c>
      <c r="AR3921" t="e">
        <v>#N/A</v>
      </c>
      <c r="AS3921" t="e">
        <v>#N/A</v>
      </c>
      <c r="AT3921" t="e">
        <v>#N/A</v>
      </c>
    </row>
    <row r="3922" spans="42:46">
      <c r="AP3922">
        <v>269100</v>
      </c>
      <c r="AQ3922" t="e">
        <v>#N/A</v>
      </c>
      <c r="AR3922" t="e">
        <v>#N/A</v>
      </c>
      <c r="AS3922" t="e">
        <v>#N/A</v>
      </c>
      <c r="AT3922" t="e">
        <v>#N/A</v>
      </c>
    </row>
    <row r="3923" spans="42:46">
      <c r="AP3923">
        <v>269150</v>
      </c>
      <c r="AQ3923" t="e">
        <v>#N/A</v>
      </c>
      <c r="AR3923" t="e">
        <v>#N/A</v>
      </c>
      <c r="AS3923" t="e">
        <v>#N/A</v>
      </c>
      <c r="AT3923" t="e">
        <v>#N/A</v>
      </c>
    </row>
    <row r="3924" spans="42:46">
      <c r="AP3924">
        <v>269200</v>
      </c>
      <c r="AQ3924" t="e">
        <v>#N/A</v>
      </c>
      <c r="AR3924" t="e">
        <v>#N/A</v>
      </c>
      <c r="AS3924" t="e">
        <v>#N/A</v>
      </c>
      <c r="AT3924" t="e">
        <v>#N/A</v>
      </c>
    </row>
    <row r="3925" spans="42:46">
      <c r="AP3925">
        <v>269250</v>
      </c>
      <c r="AQ3925" t="e">
        <v>#N/A</v>
      </c>
      <c r="AR3925" t="e">
        <v>#N/A</v>
      </c>
      <c r="AS3925" t="e">
        <v>#N/A</v>
      </c>
      <c r="AT3925" t="e">
        <v>#N/A</v>
      </c>
    </row>
    <row r="3926" spans="42:46">
      <c r="AP3926">
        <v>269300</v>
      </c>
      <c r="AQ3926" t="e">
        <v>#N/A</v>
      </c>
      <c r="AR3926" t="e">
        <v>#N/A</v>
      </c>
      <c r="AS3926" t="e">
        <v>#N/A</v>
      </c>
      <c r="AT3926" t="e">
        <v>#N/A</v>
      </c>
    </row>
    <row r="3927" spans="42:46">
      <c r="AP3927">
        <v>269350</v>
      </c>
      <c r="AQ3927" t="e">
        <v>#N/A</v>
      </c>
      <c r="AR3927" t="e">
        <v>#N/A</v>
      </c>
      <c r="AS3927" t="e">
        <v>#N/A</v>
      </c>
      <c r="AT3927" t="e">
        <v>#N/A</v>
      </c>
    </row>
    <row r="3928" spans="42:46">
      <c r="AP3928">
        <v>269400</v>
      </c>
      <c r="AQ3928" t="e">
        <v>#N/A</v>
      </c>
      <c r="AR3928" t="e">
        <v>#N/A</v>
      </c>
      <c r="AS3928" t="e">
        <v>#N/A</v>
      </c>
      <c r="AT3928" t="e">
        <v>#N/A</v>
      </c>
    </row>
    <row r="3929" spans="42:46">
      <c r="AP3929">
        <v>269450</v>
      </c>
      <c r="AQ3929" t="e">
        <v>#N/A</v>
      </c>
      <c r="AR3929" t="e">
        <v>#N/A</v>
      </c>
      <c r="AS3929" t="e">
        <v>#N/A</v>
      </c>
      <c r="AT3929" t="e">
        <v>#N/A</v>
      </c>
    </row>
    <row r="3930" spans="42:46">
      <c r="AP3930">
        <v>269500</v>
      </c>
      <c r="AQ3930" t="e">
        <v>#N/A</v>
      </c>
      <c r="AR3930" t="e">
        <v>#N/A</v>
      </c>
      <c r="AS3930" t="e">
        <v>#N/A</v>
      </c>
      <c r="AT3930" t="e">
        <v>#N/A</v>
      </c>
    </row>
    <row r="3931" spans="42:46">
      <c r="AP3931">
        <v>269550</v>
      </c>
      <c r="AQ3931" t="e">
        <v>#N/A</v>
      </c>
      <c r="AR3931" t="e">
        <v>#N/A</v>
      </c>
      <c r="AS3931" t="e">
        <v>#N/A</v>
      </c>
      <c r="AT3931" t="e">
        <v>#N/A</v>
      </c>
    </row>
    <row r="3932" spans="42:46">
      <c r="AP3932">
        <v>269600</v>
      </c>
      <c r="AQ3932" t="e">
        <v>#N/A</v>
      </c>
      <c r="AR3932" t="e">
        <v>#N/A</v>
      </c>
      <c r="AS3932" t="e">
        <v>#N/A</v>
      </c>
      <c r="AT3932" t="e">
        <v>#N/A</v>
      </c>
    </row>
    <row r="3933" spans="42:46">
      <c r="AP3933">
        <v>269650</v>
      </c>
      <c r="AQ3933" t="e">
        <v>#N/A</v>
      </c>
      <c r="AR3933" t="e">
        <v>#N/A</v>
      </c>
      <c r="AS3933" t="e">
        <v>#N/A</v>
      </c>
      <c r="AT3933" t="e">
        <v>#N/A</v>
      </c>
    </row>
    <row r="3934" spans="42:46">
      <c r="AP3934">
        <v>269700</v>
      </c>
      <c r="AQ3934" t="e">
        <v>#N/A</v>
      </c>
      <c r="AR3934" t="e">
        <v>#N/A</v>
      </c>
      <c r="AS3934" t="e">
        <v>#N/A</v>
      </c>
      <c r="AT3934" t="e">
        <v>#N/A</v>
      </c>
    </row>
    <row r="3935" spans="42:46">
      <c r="AP3935">
        <v>269750</v>
      </c>
      <c r="AQ3935" t="e">
        <v>#N/A</v>
      </c>
      <c r="AR3935" t="e">
        <v>#N/A</v>
      </c>
      <c r="AS3935" t="e">
        <v>#N/A</v>
      </c>
      <c r="AT3935" t="e">
        <v>#N/A</v>
      </c>
    </row>
    <row r="3936" spans="42:46">
      <c r="AP3936">
        <v>269800</v>
      </c>
      <c r="AQ3936" t="e">
        <v>#N/A</v>
      </c>
      <c r="AR3936" t="e">
        <v>#N/A</v>
      </c>
      <c r="AS3936" t="e">
        <v>#N/A</v>
      </c>
      <c r="AT3936" t="e">
        <v>#N/A</v>
      </c>
    </row>
    <row r="3937" spans="42:46">
      <c r="AP3937">
        <v>269850</v>
      </c>
      <c r="AQ3937" t="e">
        <v>#N/A</v>
      </c>
      <c r="AR3937" t="e">
        <v>#N/A</v>
      </c>
      <c r="AS3937" t="e">
        <v>#N/A</v>
      </c>
      <c r="AT3937" t="e">
        <v>#N/A</v>
      </c>
    </row>
    <row r="3938" spans="42:46">
      <c r="AP3938">
        <v>269900</v>
      </c>
      <c r="AQ3938" t="e">
        <v>#N/A</v>
      </c>
      <c r="AR3938" t="e">
        <v>#N/A</v>
      </c>
      <c r="AS3938" t="e">
        <v>#N/A</v>
      </c>
      <c r="AT3938" t="e">
        <v>#N/A</v>
      </c>
    </row>
    <row r="3939" spans="42:46">
      <c r="AP3939">
        <v>269950</v>
      </c>
      <c r="AQ3939" t="e">
        <v>#N/A</v>
      </c>
      <c r="AR3939" t="e">
        <v>#N/A</v>
      </c>
      <c r="AS3939" t="e">
        <v>#N/A</v>
      </c>
      <c r="AT3939" t="e">
        <v>#N/A</v>
      </c>
    </row>
    <row r="3940" spans="42:46">
      <c r="AP3940">
        <v>270000</v>
      </c>
      <c r="AQ3940" t="e">
        <v>#N/A</v>
      </c>
      <c r="AR3940" t="e">
        <v>#N/A</v>
      </c>
      <c r="AS3940" t="e">
        <v>#N/A</v>
      </c>
      <c r="AT3940" t="e">
        <v>#N/A</v>
      </c>
    </row>
    <row r="3941" spans="42:46">
      <c r="AP3941">
        <v>270050</v>
      </c>
      <c r="AQ3941" t="e">
        <v>#N/A</v>
      </c>
      <c r="AR3941" t="e">
        <v>#N/A</v>
      </c>
      <c r="AS3941" t="e">
        <v>#N/A</v>
      </c>
      <c r="AT3941" t="e">
        <v>#N/A</v>
      </c>
    </row>
    <row r="3942" spans="42:46">
      <c r="AP3942">
        <v>270100</v>
      </c>
      <c r="AQ3942" t="e">
        <v>#N/A</v>
      </c>
      <c r="AR3942" t="e">
        <v>#N/A</v>
      </c>
      <c r="AS3942" t="e">
        <v>#N/A</v>
      </c>
      <c r="AT3942" t="e">
        <v>#N/A</v>
      </c>
    </row>
    <row r="3943" spans="42:46">
      <c r="AP3943">
        <v>270150</v>
      </c>
      <c r="AQ3943" t="e">
        <v>#N/A</v>
      </c>
      <c r="AR3943" t="e">
        <v>#N/A</v>
      </c>
      <c r="AS3943" t="e">
        <v>#N/A</v>
      </c>
      <c r="AT3943" t="e">
        <v>#N/A</v>
      </c>
    </row>
    <row r="3944" spans="42:46">
      <c r="AP3944">
        <v>270200</v>
      </c>
      <c r="AQ3944" t="e">
        <v>#N/A</v>
      </c>
      <c r="AR3944" t="e">
        <v>#N/A</v>
      </c>
      <c r="AS3944" t="e">
        <v>#N/A</v>
      </c>
      <c r="AT3944" t="e">
        <v>#N/A</v>
      </c>
    </row>
    <row r="3945" spans="42:46">
      <c r="AP3945">
        <v>270250</v>
      </c>
      <c r="AQ3945" t="e">
        <v>#N/A</v>
      </c>
      <c r="AR3945" t="e">
        <v>#N/A</v>
      </c>
      <c r="AS3945" t="e">
        <v>#N/A</v>
      </c>
      <c r="AT3945" t="e">
        <v>#N/A</v>
      </c>
    </row>
    <row r="3946" spans="42:46">
      <c r="AP3946">
        <v>270300</v>
      </c>
      <c r="AQ3946" t="e">
        <v>#N/A</v>
      </c>
      <c r="AR3946" t="e">
        <v>#N/A</v>
      </c>
      <c r="AS3946" t="e">
        <v>#N/A</v>
      </c>
      <c r="AT3946" t="e">
        <v>#N/A</v>
      </c>
    </row>
    <row r="3947" spans="42:46">
      <c r="AP3947">
        <v>270350</v>
      </c>
      <c r="AQ3947" t="e">
        <v>#N/A</v>
      </c>
      <c r="AR3947" t="e">
        <v>#N/A</v>
      </c>
      <c r="AS3947" t="e">
        <v>#N/A</v>
      </c>
      <c r="AT3947" t="e">
        <v>#N/A</v>
      </c>
    </row>
    <row r="3948" spans="42:46">
      <c r="AP3948">
        <v>270400</v>
      </c>
      <c r="AQ3948" t="e">
        <v>#N/A</v>
      </c>
      <c r="AR3948" t="e">
        <v>#N/A</v>
      </c>
      <c r="AS3948" t="e">
        <v>#N/A</v>
      </c>
      <c r="AT3948" t="e">
        <v>#N/A</v>
      </c>
    </row>
    <row r="3949" spans="42:46">
      <c r="AP3949">
        <v>270450</v>
      </c>
      <c r="AQ3949" t="e">
        <v>#N/A</v>
      </c>
      <c r="AR3949" t="e">
        <v>#N/A</v>
      </c>
      <c r="AS3949" t="e">
        <v>#N/A</v>
      </c>
      <c r="AT3949" t="e">
        <v>#N/A</v>
      </c>
    </row>
    <row r="3950" spans="42:46">
      <c r="AP3950">
        <v>270500</v>
      </c>
      <c r="AQ3950" t="e">
        <v>#N/A</v>
      </c>
      <c r="AR3950" t="e">
        <v>#N/A</v>
      </c>
      <c r="AS3950" t="e">
        <v>#N/A</v>
      </c>
      <c r="AT3950" t="e">
        <v>#N/A</v>
      </c>
    </row>
    <row r="3951" spans="42:46">
      <c r="AP3951">
        <v>270550</v>
      </c>
      <c r="AQ3951" t="e">
        <v>#N/A</v>
      </c>
      <c r="AR3951" t="e">
        <v>#N/A</v>
      </c>
      <c r="AS3951" t="e">
        <v>#N/A</v>
      </c>
      <c r="AT3951" t="e">
        <v>#N/A</v>
      </c>
    </row>
    <row r="3952" spans="42:46">
      <c r="AP3952">
        <v>270600</v>
      </c>
      <c r="AQ3952" t="e">
        <v>#N/A</v>
      </c>
      <c r="AR3952" t="e">
        <v>#N/A</v>
      </c>
      <c r="AS3952" t="e">
        <v>#N/A</v>
      </c>
      <c r="AT3952" t="e">
        <v>#N/A</v>
      </c>
    </row>
    <row r="3953" spans="42:46">
      <c r="AP3953">
        <v>270650</v>
      </c>
      <c r="AQ3953" t="e">
        <v>#N/A</v>
      </c>
      <c r="AR3953" t="e">
        <v>#N/A</v>
      </c>
      <c r="AS3953" t="e">
        <v>#N/A</v>
      </c>
      <c r="AT3953" t="e">
        <v>#N/A</v>
      </c>
    </row>
    <row r="3954" spans="42:46">
      <c r="AP3954">
        <v>270700</v>
      </c>
      <c r="AQ3954" t="e">
        <v>#N/A</v>
      </c>
      <c r="AR3954" t="e">
        <v>#N/A</v>
      </c>
      <c r="AS3954" t="e">
        <v>#N/A</v>
      </c>
      <c r="AT3954" t="e">
        <v>#N/A</v>
      </c>
    </row>
    <row r="3955" spans="42:46">
      <c r="AP3955">
        <v>270750</v>
      </c>
      <c r="AQ3955" t="e">
        <v>#N/A</v>
      </c>
      <c r="AR3955" t="e">
        <v>#N/A</v>
      </c>
      <c r="AS3955" t="e">
        <v>#N/A</v>
      </c>
      <c r="AT3955" t="e">
        <v>#N/A</v>
      </c>
    </row>
    <row r="3956" spans="42:46">
      <c r="AP3956">
        <v>270800</v>
      </c>
      <c r="AQ3956" t="e">
        <v>#N/A</v>
      </c>
      <c r="AR3956" t="e">
        <v>#N/A</v>
      </c>
      <c r="AS3956" t="e">
        <v>#N/A</v>
      </c>
      <c r="AT3956" t="e">
        <v>#N/A</v>
      </c>
    </row>
    <row r="3957" spans="42:46">
      <c r="AP3957">
        <v>270850</v>
      </c>
      <c r="AQ3957" t="e">
        <v>#N/A</v>
      </c>
      <c r="AR3957" t="e">
        <v>#N/A</v>
      </c>
      <c r="AS3957" t="e">
        <v>#N/A</v>
      </c>
      <c r="AT3957" t="e">
        <v>#N/A</v>
      </c>
    </row>
    <row r="3958" spans="42:46">
      <c r="AP3958">
        <v>270900</v>
      </c>
      <c r="AQ3958" t="e">
        <v>#N/A</v>
      </c>
      <c r="AR3958" t="e">
        <v>#N/A</v>
      </c>
      <c r="AS3958" t="e">
        <v>#N/A</v>
      </c>
      <c r="AT3958" t="e">
        <v>#N/A</v>
      </c>
    </row>
    <row r="3959" spans="42:46">
      <c r="AP3959">
        <v>270950</v>
      </c>
      <c r="AQ3959" t="e">
        <v>#N/A</v>
      </c>
      <c r="AR3959" t="e">
        <v>#N/A</v>
      </c>
      <c r="AS3959" t="e">
        <v>#N/A</v>
      </c>
      <c r="AT3959" t="e">
        <v>#N/A</v>
      </c>
    </row>
    <row r="3960" spans="42:46">
      <c r="AP3960">
        <v>271000</v>
      </c>
      <c r="AQ3960" t="e">
        <v>#N/A</v>
      </c>
      <c r="AR3960" t="e">
        <v>#N/A</v>
      </c>
      <c r="AS3960" t="e">
        <v>#N/A</v>
      </c>
      <c r="AT3960" t="e">
        <v>#N/A</v>
      </c>
    </row>
    <row r="3961" spans="42:46">
      <c r="AP3961">
        <v>271050</v>
      </c>
      <c r="AQ3961" t="e">
        <v>#N/A</v>
      </c>
      <c r="AR3961" t="e">
        <v>#N/A</v>
      </c>
      <c r="AS3961" t="e">
        <v>#N/A</v>
      </c>
      <c r="AT3961" t="e">
        <v>#N/A</v>
      </c>
    </row>
    <row r="3962" spans="42:46">
      <c r="AP3962">
        <v>271100</v>
      </c>
      <c r="AQ3962" t="e">
        <v>#N/A</v>
      </c>
      <c r="AR3962" t="e">
        <v>#N/A</v>
      </c>
      <c r="AS3962" t="e">
        <v>#N/A</v>
      </c>
      <c r="AT3962" t="e">
        <v>#N/A</v>
      </c>
    </row>
    <row r="3963" spans="42:46">
      <c r="AP3963">
        <v>271150</v>
      </c>
      <c r="AQ3963" t="e">
        <v>#N/A</v>
      </c>
      <c r="AR3963" t="e">
        <v>#N/A</v>
      </c>
      <c r="AS3963" t="e">
        <v>#N/A</v>
      </c>
      <c r="AT3963" t="e">
        <v>#N/A</v>
      </c>
    </row>
    <row r="3964" spans="42:46">
      <c r="AP3964">
        <v>271200</v>
      </c>
      <c r="AQ3964" t="e">
        <v>#N/A</v>
      </c>
      <c r="AR3964" t="e">
        <v>#N/A</v>
      </c>
      <c r="AS3964" t="e">
        <v>#N/A</v>
      </c>
      <c r="AT3964" t="e">
        <v>#N/A</v>
      </c>
    </row>
    <row r="3965" spans="42:46">
      <c r="AP3965">
        <v>271250</v>
      </c>
      <c r="AQ3965" t="e">
        <v>#N/A</v>
      </c>
      <c r="AR3965" t="e">
        <v>#N/A</v>
      </c>
      <c r="AS3965" t="e">
        <v>#N/A</v>
      </c>
      <c r="AT3965" t="e">
        <v>#N/A</v>
      </c>
    </row>
    <row r="3966" spans="42:46">
      <c r="AP3966">
        <v>271300</v>
      </c>
      <c r="AQ3966" t="e">
        <v>#N/A</v>
      </c>
      <c r="AR3966" t="e">
        <v>#N/A</v>
      </c>
      <c r="AS3966" t="e">
        <v>#N/A</v>
      </c>
      <c r="AT3966" t="e">
        <v>#N/A</v>
      </c>
    </row>
    <row r="3967" spans="42:46">
      <c r="AP3967">
        <v>271350</v>
      </c>
      <c r="AQ3967" t="e">
        <v>#N/A</v>
      </c>
      <c r="AR3967" t="e">
        <v>#N/A</v>
      </c>
      <c r="AS3967" t="e">
        <v>#N/A</v>
      </c>
      <c r="AT3967" t="e">
        <v>#N/A</v>
      </c>
    </row>
    <row r="3968" spans="42:46">
      <c r="AP3968">
        <v>271400</v>
      </c>
      <c r="AQ3968" t="e">
        <v>#N/A</v>
      </c>
      <c r="AR3968" t="e">
        <v>#N/A</v>
      </c>
      <c r="AS3968" t="e">
        <v>#N/A</v>
      </c>
      <c r="AT3968" t="e">
        <v>#N/A</v>
      </c>
    </row>
    <row r="3969" spans="42:46">
      <c r="AP3969">
        <v>271450</v>
      </c>
      <c r="AQ3969" t="e">
        <v>#N/A</v>
      </c>
      <c r="AR3969" t="e">
        <v>#N/A</v>
      </c>
      <c r="AS3969" t="e">
        <v>#N/A</v>
      </c>
      <c r="AT3969" t="e">
        <v>#N/A</v>
      </c>
    </row>
    <row r="3970" spans="42:46">
      <c r="AP3970">
        <v>271500</v>
      </c>
      <c r="AQ3970" t="e">
        <v>#N/A</v>
      </c>
      <c r="AR3970" t="e">
        <v>#N/A</v>
      </c>
      <c r="AS3970" t="e">
        <v>#N/A</v>
      </c>
      <c r="AT3970" t="e">
        <v>#N/A</v>
      </c>
    </row>
    <row r="3971" spans="42:46">
      <c r="AP3971">
        <v>271550</v>
      </c>
      <c r="AQ3971" t="e">
        <v>#N/A</v>
      </c>
      <c r="AR3971" t="e">
        <v>#N/A</v>
      </c>
      <c r="AS3971" t="e">
        <v>#N/A</v>
      </c>
      <c r="AT3971" t="e">
        <v>#N/A</v>
      </c>
    </row>
    <row r="3972" spans="42:46">
      <c r="AP3972">
        <v>271600</v>
      </c>
      <c r="AQ3972" t="e">
        <v>#N/A</v>
      </c>
      <c r="AR3972" t="e">
        <v>#N/A</v>
      </c>
      <c r="AS3972" t="e">
        <v>#N/A</v>
      </c>
      <c r="AT3972" t="e">
        <v>#N/A</v>
      </c>
    </row>
    <row r="3973" spans="42:46">
      <c r="AP3973">
        <v>271650</v>
      </c>
      <c r="AQ3973" t="e">
        <v>#N/A</v>
      </c>
      <c r="AR3973" t="e">
        <v>#N/A</v>
      </c>
      <c r="AS3973" t="e">
        <v>#N/A</v>
      </c>
      <c r="AT3973" t="e">
        <v>#N/A</v>
      </c>
    </row>
    <row r="3974" spans="42:46">
      <c r="AP3974">
        <v>271700</v>
      </c>
      <c r="AQ3974" t="e">
        <v>#N/A</v>
      </c>
      <c r="AR3974" t="e">
        <v>#N/A</v>
      </c>
      <c r="AS3974" t="e">
        <v>#N/A</v>
      </c>
      <c r="AT3974" t="e">
        <v>#N/A</v>
      </c>
    </row>
    <row r="3975" spans="42:46">
      <c r="AP3975">
        <v>271750</v>
      </c>
      <c r="AQ3975" t="e">
        <v>#N/A</v>
      </c>
      <c r="AR3975" t="e">
        <v>#N/A</v>
      </c>
      <c r="AS3975" t="e">
        <v>#N/A</v>
      </c>
      <c r="AT3975" t="e">
        <v>#N/A</v>
      </c>
    </row>
    <row r="3976" spans="42:46">
      <c r="AP3976">
        <v>271800</v>
      </c>
      <c r="AQ3976" t="e">
        <v>#N/A</v>
      </c>
      <c r="AR3976" t="e">
        <v>#N/A</v>
      </c>
      <c r="AS3976" t="e">
        <v>#N/A</v>
      </c>
      <c r="AT3976" t="e">
        <v>#N/A</v>
      </c>
    </row>
    <row r="3977" spans="42:46">
      <c r="AP3977">
        <v>271850</v>
      </c>
      <c r="AQ3977" t="e">
        <v>#N/A</v>
      </c>
      <c r="AR3977" t="e">
        <v>#N/A</v>
      </c>
      <c r="AS3977" t="e">
        <v>#N/A</v>
      </c>
      <c r="AT3977" t="e">
        <v>#N/A</v>
      </c>
    </row>
    <row r="3978" spans="42:46">
      <c r="AP3978">
        <v>271900</v>
      </c>
      <c r="AQ3978" t="e">
        <v>#N/A</v>
      </c>
      <c r="AR3978" t="e">
        <v>#N/A</v>
      </c>
      <c r="AS3978" t="e">
        <v>#N/A</v>
      </c>
      <c r="AT3978" t="e">
        <v>#N/A</v>
      </c>
    </row>
    <row r="3979" spans="42:46">
      <c r="AP3979">
        <v>271950</v>
      </c>
      <c r="AQ3979" t="e">
        <v>#N/A</v>
      </c>
      <c r="AR3979" t="e">
        <v>#N/A</v>
      </c>
      <c r="AS3979" t="e">
        <v>#N/A</v>
      </c>
      <c r="AT3979" t="e">
        <v>#N/A</v>
      </c>
    </row>
    <row r="3980" spans="42:46">
      <c r="AP3980">
        <v>272000</v>
      </c>
      <c r="AQ3980" t="e">
        <v>#N/A</v>
      </c>
      <c r="AR3980" t="e">
        <v>#N/A</v>
      </c>
      <c r="AS3980" t="e">
        <v>#N/A</v>
      </c>
      <c r="AT3980" t="e">
        <v>#N/A</v>
      </c>
    </row>
    <row r="3981" spans="42:46">
      <c r="AP3981">
        <v>272050</v>
      </c>
      <c r="AQ3981" t="e">
        <v>#N/A</v>
      </c>
      <c r="AR3981" t="e">
        <v>#N/A</v>
      </c>
      <c r="AS3981" t="e">
        <v>#N/A</v>
      </c>
      <c r="AT3981" t="e">
        <v>#N/A</v>
      </c>
    </row>
    <row r="3982" spans="42:46">
      <c r="AP3982">
        <v>272100</v>
      </c>
      <c r="AQ3982" t="e">
        <v>#N/A</v>
      </c>
      <c r="AR3982" t="e">
        <v>#N/A</v>
      </c>
      <c r="AS3982" t="e">
        <v>#N/A</v>
      </c>
      <c r="AT3982" t="e">
        <v>#N/A</v>
      </c>
    </row>
    <row r="3983" spans="42:46">
      <c r="AP3983">
        <v>272150</v>
      </c>
      <c r="AQ3983" t="e">
        <v>#N/A</v>
      </c>
      <c r="AR3983" t="e">
        <v>#N/A</v>
      </c>
      <c r="AS3983" t="e">
        <v>#N/A</v>
      </c>
      <c r="AT3983" t="e">
        <v>#N/A</v>
      </c>
    </row>
    <row r="3984" spans="42:46">
      <c r="AP3984">
        <v>272200</v>
      </c>
      <c r="AQ3984" t="e">
        <v>#N/A</v>
      </c>
      <c r="AR3984" t="e">
        <v>#N/A</v>
      </c>
      <c r="AS3984" t="e">
        <v>#N/A</v>
      </c>
      <c r="AT3984" t="e">
        <v>#N/A</v>
      </c>
    </row>
    <row r="3985" spans="42:46">
      <c r="AP3985">
        <v>272250</v>
      </c>
      <c r="AQ3985" t="e">
        <v>#N/A</v>
      </c>
      <c r="AR3985" t="e">
        <v>#N/A</v>
      </c>
      <c r="AS3985" t="e">
        <v>#N/A</v>
      </c>
      <c r="AT3985" t="e">
        <v>#N/A</v>
      </c>
    </row>
    <row r="3986" spans="42:46">
      <c r="AP3986">
        <v>272300</v>
      </c>
      <c r="AQ3986" t="e">
        <v>#N/A</v>
      </c>
      <c r="AR3986" t="e">
        <v>#N/A</v>
      </c>
      <c r="AS3986" t="e">
        <v>#N/A</v>
      </c>
      <c r="AT3986" t="e">
        <v>#N/A</v>
      </c>
    </row>
    <row r="3987" spans="42:46">
      <c r="AP3987">
        <v>272350</v>
      </c>
      <c r="AQ3987" t="e">
        <v>#N/A</v>
      </c>
      <c r="AR3987" t="e">
        <v>#N/A</v>
      </c>
      <c r="AS3987" t="e">
        <v>#N/A</v>
      </c>
      <c r="AT3987" t="e">
        <v>#N/A</v>
      </c>
    </row>
    <row r="3988" spans="42:46">
      <c r="AP3988">
        <v>272400</v>
      </c>
      <c r="AQ3988" t="e">
        <v>#N/A</v>
      </c>
      <c r="AR3988" t="e">
        <v>#N/A</v>
      </c>
      <c r="AS3988" t="e">
        <v>#N/A</v>
      </c>
      <c r="AT3988" t="e">
        <v>#N/A</v>
      </c>
    </row>
    <row r="3989" spans="42:46">
      <c r="AP3989">
        <v>272450</v>
      </c>
      <c r="AQ3989" t="e">
        <v>#N/A</v>
      </c>
      <c r="AR3989" t="e">
        <v>#N/A</v>
      </c>
      <c r="AS3989" t="e">
        <v>#N/A</v>
      </c>
      <c r="AT3989" t="e">
        <v>#N/A</v>
      </c>
    </row>
    <row r="3990" spans="42:46">
      <c r="AP3990">
        <v>272500</v>
      </c>
      <c r="AQ3990" t="e">
        <v>#N/A</v>
      </c>
      <c r="AR3990" t="e">
        <v>#N/A</v>
      </c>
      <c r="AS3990" t="e">
        <v>#N/A</v>
      </c>
      <c r="AT3990" t="e">
        <v>#N/A</v>
      </c>
    </row>
    <row r="3991" spans="42:46">
      <c r="AP3991">
        <v>272550</v>
      </c>
      <c r="AQ3991" t="e">
        <v>#N/A</v>
      </c>
      <c r="AR3991" t="e">
        <v>#N/A</v>
      </c>
      <c r="AS3991" t="e">
        <v>#N/A</v>
      </c>
      <c r="AT3991" t="e">
        <v>#N/A</v>
      </c>
    </row>
    <row r="3992" spans="42:46">
      <c r="AP3992">
        <v>272600</v>
      </c>
      <c r="AQ3992" t="e">
        <v>#N/A</v>
      </c>
      <c r="AR3992" t="e">
        <v>#N/A</v>
      </c>
      <c r="AS3992" t="e">
        <v>#N/A</v>
      </c>
      <c r="AT3992" t="e">
        <v>#N/A</v>
      </c>
    </row>
    <row r="3993" spans="42:46">
      <c r="AP3993">
        <v>272650</v>
      </c>
      <c r="AQ3993" t="e">
        <v>#N/A</v>
      </c>
      <c r="AR3993" t="e">
        <v>#N/A</v>
      </c>
      <c r="AS3993" t="e">
        <v>#N/A</v>
      </c>
      <c r="AT3993" t="e">
        <v>#N/A</v>
      </c>
    </row>
    <row r="3994" spans="42:46">
      <c r="AP3994">
        <v>272700</v>
      </c>
      <c r="AQ3994" t="e">
        <v>#N/A</v>
      </c>
      <c r="AR3994" t="e">
        <v>#N/A</v>
      </c>
      <c r="AS3994" t="e">
        <v>#N/A</v>
      </c>
      <c r="AT3994" t="e">
        <v>#N/A</v>
      </c>
    </row>
    <row r="3995" spans="42:46">
      <c r="AP3995">
        <v>272750</v>
      </c>
      <c r="AQ3995" t="e">
        <v>#N/A</v>
      </c>
      <c r="AR3995" t="e">
        <v>#N/A</v>
      </c>
      <c r="AS3995" t="e">
        <v>#N/A</v>
      </c>
      <c r="AT3995" t="e">
        <v>#N/A</v>
      </c>
    </row>
    <row r="3996" spans="42:46">
      <c r="AP3996">
        <v>272800</v>
      </c>
      <c r="AQ3996" t="e">
        <v>#N/A</v>
      </c>
      <c r="AR3996" t="e">
        <v>#N/A</v>
      </c>
      <c r="AS3996" t="e">
        <v>#N/A</v>
      </c>
      <c r="AT3996" t="e">
        <v>#N/A</v>
      </c>
    </row>
    <row r="3997" spans="42:46">
      <c r="AP3997">
        <v>272850</v>
      </c>
      <c r="AQ3997" t="e">
        <v>#N/A</v>
      </c>
      <c r="AR3997" t="e">
        <v>#N/A</v>
      </c>
      <c r="AS3997" t="e">
        <v>#N/A</v>
      </c>
      <c r="AT3997" t="e">
        <v>#N/A</v>
      </c>
    </row>
    <row r="3998" spans="42:46">
      <c r="AP3998">
        <v>272900</v>
      </c>
      <c r="AQ3998" t="e">
        <v>#N/A</v>
      </c>
      <c r="AR3998" t="e">
        <v>#N/A</v>
      </c>
      <c r="AS3998" t="e">
        <v>#N/A</v>
      </c>
      <c r="AT3998" t="e">
        <v>#N/A</v>
      </c>
    </row>
    <row r="3999" spans="42:46">
      <c r="AP3999">
        <v>272950</v>
      </c>
      <c r="AQ3999" t="e">
        <v>#N/A</v>
      </c>
      <c r="AR3999" t="e">
        <v>#N/A</v>
      </c>
      <c r="AS3999" t="e">
        <v>#N/A</v>
      </c>
      <c r="AT3999" t="e">
        <v>#N/A</v>
      </c>
    </row>
    <row r="4000" spans="42:46">
      <c r="AP4000">
        <v>273000</v>
      </c>
      <c r="AQ4000" t="e">
        <v>#N/A</v>
      </c>
      <c r="AR4000" t="e">
        <v>#N/A</v>
      </c>
      <c r="AS4000" t="e">
        <v>#N/A</v>
      </c>
      <c r="AT4000" t="e">
        <v>#N/A</v>
      </c>
    </row>
    <row r="4001" spans="42:46">
      <c r="AP4001">
        <v>273050</v>
      </c>
      <c r="AQ4001" t="e">
        <v>#N/A</v>
      </c>
      <c r="AR4001" t="e">
        <v>#N/A</v>
      </c>
      <c r="AS4001" t="e">
        <v>#N/A</v>
      </c>
      <c r="AT4001" t="e">
        <v>#N/A</v>
      </c>
    </row>
    <row r="4002" spans="42:46">
      <c r="AP4002">
        <v>273100</v>
      </c>
      <c r="AQ4002" t="e">
        <v>#N/A</v>
      </c>
      <c r="AR4002" t="e">
        <v>#N/A</v>
      </c>
      <c r="AS4002" t="e">
        <v>#N/A</v>
      </c>
      <c r="AT4002" t="e">
        <v>#N/A</v>
      </c>
    </row>
    <row r="4003" spans="42:46">
      <c r="AP4003">
        <v>273150</v>
      </c>
      <c r="AQ4003" t="e">
        <v>#N/A</v>
      </c>
      <c r="AR4003" t="e">
        <v>#N/A</v>
      </c>
      <c r="AS4003" t="e">
        <v>#N/A</v>
      </c>
      <c r="AT4003" t="e">
        <v>#N/A</v>
      </c>
    </row>
    <row r="4004" spans="42:46">
      <c r="AP4004">
        <v>273200</v>
      </c>
      <c r="AQ4004" t="e">
        <v>#N/A</v>
      </c>
      <c r="AR4004" t="e">
        <v>#N/A</v>
      </c>
      <c r="AS4004" t="e">
        <v>#N/A</v>
      </c>
      <c r="AT4004" t="e">
        <v>#N/A</v>
      </c>
    </row>
    <row r="4005" spans="42:46">
      <c r="AP4005">
        <v>273250</v>
      </c>
      <c r="AQ4005" t="e">
        <v>#N/A</v>
      </c>
      <c r="AR4005" t="e">
        <v>#N/A</v>
      </c>
      <c r="AS4005" t="e">
        <v>#N/A</v>
      </c>
      <c r="AT4005" t="e">
        <v>#N/A</v>
      </c>
    </row>
    <row r="4006" spans="42:46">
      <c r="AP4006">
        <v>273300</v>
      </c>
      <c r="AQ4006" t="e">
        <v>#N/A</v>
      </c>
      <c r="AR4006" t="e">
        <v>#N/A</v>
      </c>
      <c r="AS4006" t="e">
        <v>#N/A</v>
      </c>
      <c r="AT4006" t="e">
        <v>#N/A</v>
      </c>
    </row>
    <row r="4007" spans="42:46">
      <c r="AP4007">
        <v>273350</v>
      </c>
      <c r="AQ4007" t="e">
        <v>#N/A</v>
      </c>
      <c r="AR4007" t="e">
        <v>#N/A</v>
      </c>
      <c r="AS4007" t="e">
        <v>#N/A</v>
      </c>
      <c r="AT4007" t="e">
        <v>#N/A</v>
      </c>
    </row>
    <row r="4008" spans="42:46">
      <c r="AP4008">
        <v>273400</v>
      </c>
      <c r="AQ4008" t="e">
        <v>#N/A</v>
      </c>
      <c r="AR4008" t="e">
        <v>#N/A</v>
      </c>
      <c r="AS4008" t="e">
        <v>#N/A</v>
      </c>
      <c r="AT4008" t="e">
        <v>#N/A</v>
      </c>
    </row>
    <row r="4009" spans="42:46">
      <c r="AP4009">
        <v>273450</v>
      </c>
      <c r="AQ4009" t="e">
        <v>#N/A</v>
      </c>
      <c r="AR4009" t="e">
        <v>#N/A</v>
      </c>
      <c r="AS4009" t="e">
        <v>#N/A</v>
      </c>
      <c r="AT4009" t="e">
        <v>#N/A</v>
      </c>
    </row>
    <row r="4010" spans="42:46">
      <c r="AP4010">
        <v>273500</v>
      </c>
      <c r="AQ4010" t="e">
        <v>#N/A</v>
      </c>
      <c r="AR4010" t="e">
        <v>#N/A</v>
      </c>
      <c r="AS4010" t="e">
        <v>#N/A</v>
      </c>
      <c r="AT4010" t="e">
        <v>#N/A</v>
      </c>
    </row>
    <row r="4011" spans="42:46">
      <c r="AP4011">
        <v>273550</v>
      </c>
      <c r="AQ4011" t="e">
        <v>#N/A</v>
      </c>
      <c r="AR4011" t="e">
        <v>#N/A</v>
      </c>
      <c r="AS4011" t="e">
        <v>#N/A</v>
      </c>
      <c r="AT4011" t="e">
        <v>#N/A</v>
      </c>
    </row>
    <row r="4012" spans="42:46">
      <c r="AP4012">
        <v>273600</v>
      </c>
      <c r="AQ4012" t="e">
        <v>#N/A</v>
      </c>
      <c r="AR4012" t="e">
        <v>#N/A</v>
      </c>
      <c r="AS4012" t="e">
        <v>#N/A</v>
      </c>
      <c r="AT4012" t="e">
        <v>#N/A</v>
      </c>
    </row>
    <row r="4013" spans="42:46">
      <c r="AP4013">
        <v>273650</v>
      </c>
      <c r="AQ4013" t="e">
        <v>#N/A</v>
      </c>
      <c r="AR4013" t="e">
        <v>#N/A</v>
      </c>
      <c r="AS4013" t="e">
        <v>#N/A</v>
      </c>
      <c r="AT4013" t="e">
        <v>#N/A</v>
      </c>
    </row>
    <row r="4014" spans="42:46">
      <c r="AP4014">
        <v>273700</v>
      </c>
      <c r="AQ4014" t="e">
        <v>#N/A</v>
      </c>
      <c r="AR4014" t="e">
        <v>#N/A</v>
      </c>
      <c r="AS4014" t="e">
        <v>#N/A</v>
      </c>
      <c r="AT4014" t="e">
        <v>#N/A</v>
      </c>
    </row>
    <row r="4015" spans="42:46">
      <c r="AP4015">
        <v>273750</v>
      </c>
      <c r="AQ4015" t="e">
        <v>#N/A</v>
      </c>
      <c r="AR4015" t="e">
        <v>#N/A</v>
      </c>
      <c r="AS4015" t="e">
        <v>#N/A</v>
      </c>
      <c r="AT4015" t="e">
        <v>#N/A</v>
      </c>
    </row>
    <row r="4016" spans="42:46">
      <c r="AP4016">
        <v>273800</v>
      </c>
      <c r="AQ4016" t="e">
        <v>#N/A</v>
      </c>
      <c r="AR4016" t="e">
        <v>#N/A</v>
      </c>
      <c r="AS4016" t="e">
        <v>#N/A</v>
      </c>
      <c r="AT4016" t="e">
        <v>#N/A</v>
      </c>
    </row>
    <row r="4017" spans="42:46">
      <c r="AP4017">
        <v>273850</v>
      </c>
      <c r="AQ4017" t="e">
        <v>#N/A</v>
      </c>
      <c r="AR4017" t="e">
        <v>#N/A</v>
      </c>
      <c r="AS4017" t="e">
        <v>#N/A</v>
      </c>
      <c r="AT4017" t="e">
        <v>#N/A</v>
      </c>
    </row>
    <row r="4018" spans="42:46">
      <c r="AP4018">
        <v>273900</v>
      </c>
      <c r="AQ4018" t="e">
        <v>#N/A</v>
      </c>
      <c r="AR4018" t="e">
        <v>#N/A</v>
      </c>
      <c r="AS4018" t="e">
        <v>#N/A</v>
      </c>
      <c r="AT4018" t="e">
        <v>#N/A</v>
      </c>
    </row>
    <row r="4019" spans="42:46">
      <c r="AP4019">
        <v>273950</v>
      </c>
      <c r="AQ4019" t="e">
        <v>#N/A</v>
      </c>
      <c r="AR4019" t="e">
        <v>#N/A</v>
      </c>
      <c r="AS4019" t="e">
        <v>#N/A</v>
      </c>
      <c r="AT4019" t="e">
        <v>#N/A</v>
      </c>
    </row>
    <row r="4020" spans="42:46">
      <c r="AP4020">
        <v>274000</v>
      </c>
      <c r="AQ4020" t="e">
        <v>#N/A</v>
      </c>
      <c r="AR4020" t="e">
        <v>#N/A</v>
      </c>
      <c r="AS4020" t="e">
        <v>#N/A</v>
      </c>
      <c r="AT4020" t="e">
        <v>#N/A</v>
      </c>
    </row>
    <row r="4021" spans="42:46">
      <c r="AP4021">
        <v>274050</v>
      </c>
      <c r="AQ4021" t="e">
        <v>#N/A</v>
      </c>
      <c r="AR4021" t="e">
        <v>#N/A</v>
      </c>
      <c r="AS4021" t="e">
        <v>#N/A</v>
      </c>
      <c r="AT4021" t="e">
        <v>#N/A</v>
      </c>
    </row>
    <row r="4022" spans="42:46">
      <c r="AP4022">
        <v>274100</v>
      </c>
      <c r="AQ4022" t="e">
        <v>#N/A</v>
      </c>
      <c r="AR4022" t="e">
        <v>#N/A</v>
      </c>
      <c r="AS4022" t="e">
        <v>#N/A</v>
      </c>
      <c r="AT4022" t="e">
        <v>#N/A</v>
      </c>
    </row>
    <row r="4023" spans="42:46">
      <c r="AP4023">
        <v>274150</v>
      </c>
      <c r="AQ4023" t="e">
        <v>#N/A</v>
      </c>
      <c r="AR4023" t="e">
        <v>#N/A</v>
      </c>
      <c r="AS4023" t="e">
        <v>#N/A</v>
      </c>
      <c r="AT4023" t="e">
        <v>#N/A</v>
      </c>
    </row>
    <row r="4024" spans="42:46">
      <c r="AP4024">
        <v>274200</v>
      </c>
      <c r="AQ4024" t="e">
        <v>#N/A</v>
      </c>
      <c r="AR4024" t="e">
        <v>#N/A</v>
      </c>
      <c r="AS4024" t="e">
        <v>#N/A</v>
      </c>
      <c r="AT4024" t="e">
        <v>#N/A</v>
      </c>
    </row>
    <row r="4025" spans="42:46">
      <c r="AP4025">
        <v>274250</v>
      </c>
      <c r="AQ4025" t="e">
        <v>#N/A</v>
      </c>
      <c r="AR4025" t="e">
        <v>#N/A</v>
      </c>
      <c r="AS4025" t="e">
        <v>#N/A</v>
      </c>
      <c r="AT4025" t="e">
        <v>#N/A</v>
      </c>
    </row>
    <row r="4026" spans="42:46">
      <c r="AP4026">
        <v>274300</v>
      </c>
      <c r="AQ4026" t="e">
        <v>#N/A</v>
      </c>
      <c r="AR4026" t="e">
        <v>#N/A</v>
      </c>
      <c r="AS4026" t="e">
        <v>#N/A</v>
      </c>
      <c r="AT4026" t="e">
        <v>#N/A</v>
      </c>
    </row>
    <row r="4027" spans="42:46">
      <c r="AP4027">
        <v>274350</v>
      </c>
      <c r="AQ4027" t="e">
        <v>#N/A</v>
      </c>
      <c r="AR4027" t="e">
        <v>#N/A</v>
      </c>
      <c r="AS4027" t="e">
        <v>#N/A</v>
      </c>
      <c r="AT4027" t="e">
        <v>#N/A</v>
      </c>
    </row>
    <row r="4028" spans="42:46">
      <c r="AP4028">
        <v>274400</v>
      </c>
      <c r="AQ4028" t="e">
        <v>#N/A</v>
      </c>
      <c r="AR4028" t="e">
        <v>#N/A</v>
      </c>
      <c r="AS4028" t="e">
        <v>#N/A</v>
      </c>
      <c r="AT4028" t="e">
        <v>#N/A</v>
      </c>
    </row>
    <row r="4029" spans="42:46">
      <c r="AP4029">
        <v>274450</v>
      </c>
      <c r="AQ4029" t="e">
        <v>#N/A</v>
      </c>
      <c r="AR4029" t="e">
        <v>#N/A</v>
      </c>
      <c r="AS4029" t="e">
        <v>#N/A</v>
      </c>
      <c r="AT4029" t="e">
        <v>#N/A</v>
      </c>
    </row>
    <row r="4030" spans="42:46">
      <c r="AP4030">
        <v>274500</v>
      </c>
      <c r="AQ4030" t="e">
        <v>#N/A</v>
      </c>
      <c r="AR4030" t="e">
        <v>#N/A</v>
      </c>
      <c r="AS4030" t="e">
        <v>#N/A</v>
      </c>
      <c r="AT4030" t="e">
        <v>#N/A</v>
      </c>
    </row>
    <row r="4031" spans="42:46">
      <c r="AP4031">
        <v>274550</v>
      </c>
      <c r="AQ4031" t="e">
        <v>#N/A</v>
      </c>
      <c r="AR4031" t="e">
        <v>#N/A</v>
      </c>
      <c r="AS4031" t="e">
        <v>#N/A</v>
      </c>
      <c r="AT4031" t="e">
        <v>#N/A</v>
      </c>
    </row>
    <row r="4032" spans="42:46">
      <c r="AP4032">
        <v>274600</v>
      </c>
      <c r="AQ4032" t="e">
        <v>#N/A</v>
      </c>
      <c r="AR4032" t="e">
        <v>#N/A</v>
      </c>
      <c r="AS4032" t="e">
        <v>#N/A</v>
      </c>
      <c r="AT4032" t="e">
        <v>#N/A</v>
      </c>
    </row>
    <row r="4033" spans="42:46">
      <c r="AP4033">
        <v>274650</v>
      </c>
      <c r="AQ4033" t="e">
        <v>#N/A</v>
      </c>
      <c r="AR4033" t="e">
        <v>#N/A</v>
      </c>
      <c r="AS4033" t="e">
        <v>#N/A</v>
      </c>
      <c r="AT4033" t="e">
        <v>#N/A</v>
      </c>
    </row>
    <row r="4034" spans="42:46">
      <c r="AP4034">
        <v>274700</v>
      </c>
      <c r="AQ4034" t="e">
        <v>#N/A</v>
      </c>
      <c r="AR4034" t="e">
        <v>#N/A</v>
      </c>
      <c r="AS4034" t="e">
        <v>#N/A</v>
      </c>
      <c r="AT4034" t="e">
        <v>#N/A</v>
      </c>
    </row>
    <row r="4035" spans="42:46">
      <c r="AP4035">
        <v>274750</v>
      </c>
      <c r="AQ4035" t="e">
        <v>#N/A</v>
      </c>
      <c r="AR4035" t="e">
        <v>#N/A</v>
      </c>
      <c r="AS4035" t="e">
        <v>#N/A</v>
      </c>
      <c r="AT4035" t="e">
        <v>#N/A</v>
      </c>
    </row>
    <row r="4036" spans="42:46">
      <c r="AP4036">
        <v>274800</v>
      </c>
      <c r="AQ4036" t="e">
        <v>#N/A</v>
      </c>
      <c r="AR4036" t="e">
        <v>#N/A</v>
      </c>
      <c r="AS4036" t="e">
        <v>#N/A</v>
      </c>
      <c r="AT4036" t="e">
        <v>#N/A</v>
      </c>
    </row>
    <row r="4037" spans="42:46">
      <c r="AP4037">
        <v>274850</v>
      </c>
      <c r="AQ4037" t="e">
        <v>#N/A</v>
      </c>
      <c r="AR4037" t="e">
        <v>#N/A</v>
      </c>
      <c r="AS4037" t="e">
        <v>#N/A</v>
      </c>
      <c r="AT4037" t="e">
        <v>#N/A</v>
      </c>
    </row>
    <row r="4038" spans="42:46">
      <c r="AP4038">
        <v>274900</v>
      </c>
      <c r="AQ4038" t="e">
        <v>#N/A</v>
      </c>
      <c r="AR4038" t="e">
        <v>#N/A</v>
      </c>
      <c r="AS4038" t="e">
        <v>#N/A</v>
      </c>
      <c r="AT4038" t="e">
        <v>#N/A</v>
      </c>
    </row>
    <row r="4039" spans="42:46">
      <c r="AP4039">
        <v>274950</v>
      </c>
      <c r="AQ4039" t="e">
        <v>#N/A</v>
      </c>
      <c r="AR4039" t="e">
        <v>#N/A</v>
      </c>
      <c r="AS4039" t="e">
        <v>#N/A</v>
      </c>
      <c r="AT4039" t="e">
        <v>#N/A</v>
      </c>
    </row>
    <row r="4040" spans="42:46">
      <c r="AP4040">
        <v>275000</v>
      </c>
      <c r="AQ4040" t="e">
        <v>#N/A</v>
      </c>
      <c r="AR4040" t="e">
        <v>#N/A</v>
      </c>
      <c r="AS4040" t="e">
        <v>#N/A</v>
      </c>
      <c r="AT4040" t="e">
        <v>#N/A</v>
      </c>
    </row>
    <row r="4041" spans="42:46">
      <c r="AP4041">
        <v>275050</v>
      </c>
      <c r="AQ4041" t="e">
        <v>#N/A</v>
      </c>
      <c r="AR4041" t="e">
        <v>#N/A</v>
      </c>
      <c r="AS4041" t="e">
        <v>#N/A</v>
      </c>
      <c r="AT4041" t="e">
        <v>#N/A</v>
      </c>
    </row>
    <row r="4042" spans="42:46">
      <c r="AP4042">
        <v>275100</v>
      </c>
      <c r="AQ4042" t="e">
        <v>#N/A</v>
      </c>
      <c r="AR4042" t="e">
        <v>#N/A</v>
      </c>
      <c r="AS4042" t="e">
        <v>#N/A</v>
      </c>
      <c r="AT4042" t="e">
        <v>#N/A</v>
      </c>
    </row>
    <row r="4043" spans="42:46">
      <c r="AP4043">
        <v>275150</v>
      </c>
      <c r="AQ4043" t="e">
        <v>#N/A</v>
      </c>
      <c r="AR4043" t="e">
        <v>#N/A</v>
      </c>
      <c r="AS4043" t="e">
        <v>#N/A</v>
      </c>
      <c r="AT4043" t="e">
        <v>#N/A</v>
      </c>
    </row>
    <row r="4044" spans="42:46">
      <c r="AP4044">
        <v>275200</v>
      </c>
      <c r="AQ4044" t="e">
        <v>#N/A</v>
      </c>
      <c r="AR4044" t="e">
        <v>#N/A</v>
      </c>
      <c r="AS4044" t="e">
        <v>#N/A</v>
      </c>
      <c r="AT4044" t="e">
        <v>#N/A</v>
      </c>
    </row>
    <row r="4045" spans="42:46">
      <c r="AP4045">
        <v>275250</v>
      </c>
      <c r="AQ4045" t="e">
        <v>#N/A</v>
      </c>
      <c r="AR4045" t="e">
        <v>#N/A</v>
      </c>
      <c r="AS4045" t="e">
        <v>#N/A</v>
      </c>
      <c r="AT4045" t="e">
        <v>#N/A</v>
      </c>
    </row>
    <row r="4046" spans="42:46">
      <c r="AP4046">
        <v>275300</v>
      </c>
      <c r="AQ4046" t="e">
        <v>#N/A</v>
      </c>
      <c r="AR4046" t="e">
        <v>#N/A</v>
      </c>
      <c r="AS4046" t="e">
        <v>#N/A</v>
      </c>
      <c r="AT4046" t="e">
        <v>#N/A</v>
      </c>
    </row>
    <row r="4047" spans="42:46">
      <c r="AP4047">
        <v>275350</v>
      </c>
      <c r="AQ4047" t="e">
        <v>#N/A</v>
      </c>
      <c r="AR4047" t="e">
        <v>#N/A</v>
      </c>
      <c r="AS4047" t="e">
        <v>#N/A</v>
      </c>
      <c r="AT4047" t="e">
        <v>#N/A</v>
      </c>
    </row>
    <row r="4048" spans="42:46">
      <c r="AP4048">
        <v>275400</v>
      </c>
      <c r="AQ4048" t="e">
        <v>#N/A</v>
      </c>
      <c r="AR4048" t="e">
        <v>#N/A</v>
      </c>
      <c r="AS4048" t="e">
        <v>#N/A</v>
      </c>
      <c r="AT4048" t="e">
        <v>#N/A</v>
      </c>
    </row>
    <row r="4049" spans="42:46">
      <c r="AP4049">
        <v>275450</v>
      </c>
      <c r="AQ4049" t="e">
        <v>#N/A</v>
      </c>
      <c r="AR4049" t="e">
        <v>#N/A</v>
      </c>
      <c r="AS4049" t="e">
        <v>#N/A</v>
      </c>
      <c r="AT4049" t="e">
        <v>#N/A</v>
      </c>
    </row>
    <row r="4050" spans="42:46">
      <c r="AP4050">
        <v>275500</v>
      </c>
      <c r="AQ4050" t="e">
        <v>#N/A</v>
      </c>
      <c r="AR4050" t="e">
        <v>#N/A</v>
      </c>
      <c r="AS4050" t="e">
        <v>#N/A</v>
      </c>
      <c r="AT4050" t="e">
        <v>#N/A</v>
      </c>
    </row>
    <row r="4051" spans="42:46">
      <c r="AP4051">
        <v>275550</v>
      </c>
      <c r="AQ4051" t="e">
        <v>#N/A</v>
      </c>
      <c r="AR4051" t="e">
        <v>#N/A</v>
      </c>
      <c r="AS4051" t="e">
        <v>#N/A</v>
      </c>
      <c r="AT4051" t="e">
        <v>#N/A</v>
      </c>
    </row>
    <row r="4052" spans="42:46">
      <c r="AP4052">
        <v>275600</v>
      </c>
      <c r="AQ4052" t="e">
        <v>#N/A</v>
      </c>
      <c r="AR4052" t="e">
        <v>#N/A</v>
      </c>
      <c r="AS4052" t="e">
        <v>#N/A</v>
      </c>
      <c r="AT4052" t="e">
        <v>#N/A</v>
      </c>
    </row>
    <row r="4053" spans="42:46">
      <c r="AP4053">
        <v>275650</v>
      </c>
      <c r="AQ4053" t="e">
        <v>#N/A</v>
      </c>
      <c r="AR4053" t="e">
        <v>#N/A</v>
      </c>
      <c r="AS4053" t="e">
        <v>#N/A</v>
      </c>
      <c r="AT4053" t="e">
        <v>#N/A</v>
      </c>
    </row>
    <row r="4054" spans="42:46">
      <c r="AP4054">
        <v>275700</v>
      </c>
      <c r="AQ4054" t="e">
        <v>#N/A</v>
      </c>
      <c r="AR4054" t="e">
        <v>#N/A</v>
      </c>
      <c r="AS4054" t="e">
        <v>#N/A</v>
      </c>
      <c r="AT4054" t="e">
        <v>#N/A</v>
      </c>
    </row>
    <row r="4055" spans="42:46">
      <c r="AP4055">
        <v>275750</v>
      </c>
      <c r="AQ4055" t="e">
        <v>#N/A</v>
      </c>
      <c r="AR4055" t="e">
        <v>#N/A</v>
      </c>
      <c r="AS4055" t="e">
        <v>#N/A</v>
      </c>
      <c r="AT4055" t="e">
        <v>#N/A</v>
      </c>
    </row>
    <row r="4056" spans="42:46">
      <c r="AP4056">
        <v>275800</v>
      </c>
      <c r="AQ4056" t="e">
        <v>#N/A</v>
      </c>
      <c r="AR4056" t="e">
        <v>#N/A</v>
      </c>
      <c r="AS4056" t="e">
        <v>#N/A</v>
      </c>
      <c r="AT4056" t="e">
        <v>#N/A</v>
      </c>
    </row>
    <row r="4057" spans="42:46">
      <c r="AP4057">
        <v>275850</v>
      </c>
      <c r="AQ4057" t="e">
        <v>#N/A</v>
      </c>
      <c r="AR4057" t="e">
        <v>#N/A</v>
      </c>
      <c r="AS4057" t="e">
        <v>#N/A</v>
      </c>
      <c r="AT4057" t="e">
        <v>#N/A</v>
      </c>
    </row>
    <row r="4058" spans="42:46">
      <c r="AP4058">
        <v>275900</v>
      </c>
      <c r="AQ4058" t="e">
        <v>#N/A</v>
      </c>
      <c r="AR4058" t="e">
        <v>#N/A</v>
      </c>
      <c r="AS4058" t="e">
        <v>#N/A</v>
      </c>
      <c r="AT4058" t="e">
        <v>#N/A</v>
      </c>
    </row>
    <row r="4059" spans="42:46">
      <c r="AP4059">
        <v>275950</v>
      </c>
      <c r="AQ4059" t="e">
        <v>#N/A</v>
      </c>
      <c r="AR4059" t="e">
        <v>#N/A</v>
      </c>
      <c r="AS4059" t="e">
        <v>#N/A</v>
      </c>
      <c r="AT4059" t="e">
        <v>#N/A</v>
      </c>
    </row>
    <row r="4060" spans="42:46">
      <c r="AP4060">
        <v>276000</v>
      </c>
      <c r="AQ4060" t="e">
        <v>#N/A</v>
      </c>
      <c r="AR4060" t="e">
        <v>#N/A</v>
      </c>
      <c r="AS4060" t="e">
        <v>#N/A</v>
      </c>
      <c r="AT4060" t="e">
        <v>#N/A</v>
      </c>
    </row>
    <row r="4061" spans="42:46">
      <c r="AP4061">
        <v>276050</v>
      </c>
      <c r="AQ4061" t="e">
        <v>#N/A</v>
      </c>
      <c r="AR4061" t="e">
        <v>#N/A</v>
      </c>
      <c r="AS4061" t="e">
        <v>#N/A</v>
      </c>
      <c r="AT4061" t="e">
        <v>#N/A</v>
      </c>
    </row>
    <row r="4062" spans="42:46">
      <c r="AP4062">
        <v>276100</v>
      </c>
      <c r="AQ4062" t="e">
        <v>#N/A</v>
      </c>
      <c r="AR4062" t="e">
        <v>#N/A</v>
      </c>
      <c r="AS4062" t="e">
        <v>#N/A</v>
      </c>
      <c r="AT4062" t="e">
        <v>#N/A</v>
      </c>
    </row>
    <row r="4063" spans="42:46">
      <c r="AP4063">
        <v>276150</v>
      </c>
      <c r="AQ4063" t="e">
        <v>#N/A</v>
      </c>
      <c r="AR4063" t="e">
        <v>#N/A</v>
      </c>
      <c r="AS4063" t="e">
        <v>#N/A</v>
      </c>
      <c r="AT4063" t="e">
        <v>#N/A</v>
      </c>
    </row>
    <row r="4064" spans="42:46">
      <c r="AP4064">
        <v>276200</v>
      </c>
      <c r="AQ4064" t="e">
        <v>#N/A</v>
      </c>
      <c r="AR4064" t="e">
        <v>#N/A</v>
      </c>
      <c r="AS4064" t="e">
        <v>#N/A</v>
      </c>
      <c r="AT4064" t="e">
        <v>#N/A</v>
      </c>
    </row>
    <row r="4065" spans="42:46">
      <c r="AP4065">
        <v>276250</v>
      </c>
      <c r="AQ4065" t="e">
        <v>#N/A</v>
      </c>
      <c r="AR4065" t="e">
        <v>#N/A</v>
      </c>
      <c r="AS4065" t="e">
        <v>#N/A</v>
      </c>
      <c r="AT4065" t="e">
        <v>#N/A</v>
      </c>
    </row>
    <row r="4066" spans="42:46">
      <c r="AP4066">
        <v>276300</v>
      </c>
      <c r="AQ4066" t="e">
        <v>#N/A</v>
      </c>
      <c r="AR4066" t="e">
        <v>#N/A</v>
      </c>
      <c r="AS4066" t="e">
        <v>#N/A</v>
      </c>
      <c r="AT4066" t="e">
        <v>#N/A</v>
      </c>
    </row>
    <row r="4067" spans="42:46">
      <c r="AP4067">
        <v>276350</v>
      </c>
      <c r="AQ4067" t="e">
        <v>#N/A</v>
      </c>
      <c r="AR4067" t="e">
        <v>#N/A</v>
      </c>
      <c r="AS4067" t="e">
        <v>#N/A</v>
      </c>
      <c r="AT4067" t="e">
        <v>#N/A</v>
      </c>
    </row>
    <row r="4068" spans="42:46">
      <c r="AP4068">
        <v>276400</v>
      </c>
      <c r="AQ4068" t="e">
        <v>#N/A</v>
      </c>
      <c r="AR4068" t="e">
        <v>#N/A</v>
      </c>
      <c r="AS4068" t="e">
        <v>#N/A</v>
      </c>
      <c r="AT4068" t="e">
        <v>#N/A</v>
      </c>
    </row>
    <row r="4069" spans="42:46">
      <c r="AP4069">
        <v>276450</v>
      </c>
      <c r="AQ4069" t="e">
        <v>#N/A</v>
      </c>
      <c r="AR4069" t="e">
        <v>#N/A</v>
      </c>
      <c r="AS4069" t="e">
        <v>#N/A</v>
      </c>
      <c r="AT4069" t="e">
        <v>#N/A</v>
      </c>
    </row>
    <row r="4070" spans="42:46">
      <c r="AP4070">
        <v>276500</v>
      </c>
      <c r="AQ4070" t="e">
        <v>#N/A</v>
      </c>
      <c r="AR4070" t="e">
        <v>#N/A</v>
      </c>
      <c r="AS4070" t="e">
        <v>#N/A</v>
      </c>
      <c r="AT4070" t="e">
        <v>#N/A</v>
      </c>
    </row>
    <row r="4071" spans="42:46">
      <c r="AP4071">
        <v>276550</v>
      </c>
      <c r="AQ4071" t="e">
        <v>#N/A</v>
      </c>
      <c r="AR4071" t="e">
        <v>#N/A</v>
      </c>
      <c r="AS4071" t="e">
        <v>#N/A</v>
      </c>
      <c r="AT4071" t="e">
        <v>#N/A</v>
      </c>
    </row>
    <row r="4072" spans="42:46">
      <c r="AP4072">
        <v>276600</v>
      </c>
      <c r="AQ4072" t="e">
        <v>#N/A</v>
      </c>
      <c r="AR4072" t="e">
        <v>#N/A</v>
      </c>
      <c r="AS4072" t="e">
        <v>#N/A</v>
      </c>
      <c r="AT4072" t="e">
        <v>#N/A</v>
      </c>
    </row>
    <row r="4073" spans="42:46">
      <c r="AP4073">
        <v>276650</v>
      </c>
      <c r="AQ4073" t="e">
        <v>#N/A</v>
      </c>
      <c r="AR4073" t="e">
        <v>#N/A</v>
      </c>
      <c r="AS4073" t="e">
        <v>#N/A</v>
      </c>
      <c r="AT4073" t="e">
        <v>#N/A</v>
      </c>
    </row>
    <row r="4074" spans="42:46">
      <c r="AP4074">
        <v>276700</v>
      </c>
      <c r="AQ4074" t="e">
        <v>#N/A</v>
      </c>
      <c r="AR4074" t="e">
        <v>#N/A</v>
      </c>
      <c r="AS4074" t="e">
        <v>#N/A</v>
      </c>
      <c r="AT4074" t="e">
        <v>#N/A</v>
      </c>
    </row>
    <row r="4075" spans="42:46">
      <c r="AP4075">
        <v>276750</v>
      </c>
      <c r="AQ4075" t="e">
        <v>#N/A</v>
      </c>
      <c r="AR4075" t="e">
        <v>#N/A</v>
      </c>
      <c r="AS4075" t="e">
        <v>#N/A</v>
      </c>
      <c r="AT4075" t="e">
        <v>#N/A</v>
      </c>
    </row>
    <row r="4076" spans="42:46">
      <c r="AP4076">
        <v>276800</v>
      </c>
      <c r="AQ4076" t="e">
        <v>#N/A</v>
      </c>
      <c r="AR4076" t="e">
        <v>#N/A</v>
      </c>
      <c r="AS4076" t="e">
        <v>#N/A</v>
      </c>
      <c r="AT4076" t="e">
        <v>#N/A</v>
      </c>
    </row>
    <row r="4077" spans="42:46">
      <c r="AP4077">
        <v>276850</v>
      </c>
      <c r="AQ4077" t="e">
        <v>#N/A</v>
      </c>
      <c r="AR4077" t="e">
        <v>#N/A</v>
      </c>
      <c r="AS4077" t="e">
        <v>#N/A</v>
      </c>
      <c r="AT4077" t="e">
        <v>#N/A</v>
      </c>
    </row>
    <row r="4078" spans="42:46">
      <c r="AP4078">
        <v>276900</v>
      </c>
      <c r="AQ4078" t="e">
        <v>#N/A</v>
      </c>
      <c r="AR4078" t="e">
        <v>#N/A</v>
      </c>
      <c r="AS4078" t="e">
        <v>#N/A</v>
      </c>
      <c r="AT4078" t="e">
        <v>#N/A</v>
      </c>
    </row>
    <row r="4079" spans="42:46">
      <c r="AP4079">
        <v>276950</v>
      </c>
      <c r="AQ4079" t="e">
        <v>#N/A</v>
      </c>
      <c r="AR4079" t="e">
        <v>#N/A</v>
      </c>
      <c r="AS4079" t="e">
        <v>#N/A</v>
      </c>
      <c r="AT4079" t="e">
        <v>#N/A</v>
      </c>
    </row>
    <row r="4080" spans="42:46">
      <c r="AP4080">
        <v>277000</v>
      </c>
      <c r="AQ4080" t="e">
        <v>#N/A</v>
      </c>
      <c r="AR4080" t="e">
        <v>#N/A</v>
      </c>
      <c r="AS4080" t="e">
        <v>#N/A</v>
      </c>
      <c r="AT4080" t="e">
        <v>#N/A</v>
      </c>
    </row>
    <row r="4081" spans="42:46">
      <c r="AP4081">
        <v>277050</v>
      </c>
      <c r="AQ4081" t="e">
        <v>#N/A</v>
      </c>
      <c r="AR4081" t="e">
        <v>#N/A</v>
      </c>
      <c r="AS4081" t="e">
        <v>#N/A</v>
      </c>
      <c r="AT4081" t="e">
        <v>#N/A</v>
      </c>
    </row>
    <row r="4082" spans="42:46">
      <c r="AP4082">
        <v>277100</v>
      </c>
      <c r="AQ4082" t="e">
        <v>#N/A</v>
      </c>
      <c r="AR4082" t="e">
        <v>#N/A</v>
      </c>
      <c r="AS4082" t="e">
        <v>#N/A</v>
      </c>
      <c r="AT4082" t="e">
        <v>#N/A</v>
      </c>
    </row>
    <row r="4083" spans="42:46">
      <c r="AP4083">
        <v>277150</v>
      </c>
      <c r="AQ4083" t="e">
        <v>#N/A</v>
      </c>
      <c r="AR4083" t="e">
        <v>#N/A</v>
      </c>
      <c r="AS4083" t="e">
        <v>#N/A</v>
      </c>
      <c r="AT4083" t="e">
        <v>#N/A</v>
      </c>
    </row>
    <row r="4084" spans="42:46">
      <c r="AP4084">
        <v>277200</v>
      </c>
      <c r="AQ4084" t="e">
        <v>#N/A</v>
      </c>
      <c r="AR4084" t="e">
        <v>#N/A</v>
      </c>
      <c r="AS4084" t="e">
        <v>#N/A</v>
      </c>
      <c r="AT4084" t="e">
        <v>#N/A</v>
      </c>
    </row>
    <row r="4085" spans="42:46">
      <c r="AP4085">
        <v>277250</v>
      </c>
      <c r="AQ4085" t="e">
        <v>#N/A</v>
      </c>
      <c r="AR4085" t="e">
        <v>#N/A</v>
      </c>
      <c r="AS4085" t="e">
        <v>#N/A</v>
      </c>
      <c r="AT4085" t="e">
        <v>#N/A</v>
      </c>
    </row>
    <row r="4086" spans="42:46">
      <c r="AP4086">
        <v>277300</v>
      </c>
      <c r="AQ4086" t="e">
        <v>#N/A</v>
      </c>
      <c r="AR4086" t="e">
        <v>#N/A</v>
      </c>
      <c r="AS4086" t="e">
        <v>#N/A</v>
      </c>
      <c r="AT4086" t="e">
        <v>#N/A</v>
      </c>
    </row>
    <row r="4087" spans="42:46">
      <c r="AP4087">
        <v>277350</v>
      </c>
      <c r="AQ4087" t="e">
        <v>#N/A</v>
      </c>
      <c r="AR4087" t="e">
        <v>#N/A</v>
      </c>
      <c r="AS4087" t="e">
        <v>#N/A</v>
      </c>
      <c r="AT4087" t="e">
        <v>#N/A</v>
      </c>
    </row>
    <row r="4088" spans="42:46">
      <c r="AP4088">
        <v>277400</v>
      </c>
      <c r="AQ4088" t="e">
        <v>#N/A</v>
      </c>
      <c r="AR4088" t="e">
        <v>#N/A</v>
      </c>
      <c r="AS4088" t="e">
        <v>#N/A</v>
      </c>
      <c r="AT4088" t="e">
        <v>#N/A</v>
      </c>
    </row>
    <row r="4089" spans="42:46">
      <c r="AP4089">
        <v>277450</v>
      </c>
      <c r="AQ4089" t="e">
        <v>#N/A</v>
      </c>
      <c r="AR4089" t="e">
        <v>#N/A</v>
      </c>
      <c r="AS4089" t="e">
        <v>#N/A</v>
      </c>
      <c r="AT4089" t="e">
        <v>#N/A</v>
      </c>
    </row>
    <row r="4090" spans="42:46">
      <c r="AP4090">
        <v>277500</v>
      </c>
      <c r="AQ4090" t="e">
        <v>#N/A</v>
      </c>
      <c r="AR4090" t="e">
        <v>#N/A</v>
      </c>
      <c r="AS4090" t="e">
        <v>#N/A</v>
      </c>
      <c r="AT4090" t="e">
        <v>#N/A</v>
      </c>
    </row>
    <row r="4091" spans="42:46">
      <c r="AP4091">
        <v>277550</v>
      </c>
      <c r="AQ4091" t="e">
        <v>#N/A</v>
      </c>
      <c r="AR4091" t="e">
        <v>#N/A</v>
      </c>
      <c r="AS4091" t="e">
        <v>#N/A</v>
      </c>
      <c r="AT4091" t="e">
        <v>#N/A</v>
      </c>
    </row>
    <row r="4092" spans="42:46">
      <c r="AP4092">
        <v>277600</v>
      </c>
      <c r="AQ4092" t="e">
        <v>#N/A</v>
      </c>
      <c r="AR4092" t="e">
        <v>#N/A</v>
      </c>
      <c r="AS4092" t="e">
        <v>#N/A</v>
      </c>
      <c r="AT4092" t="e">
        <v>#N/A</v>
      </c>
    </row>
    <row r="4093" spans="42:46">
      <c r="AP4093">
        <v>277650</v>
      </c>
      <c r="AQ4093" t="e">
        <v>#N/A</v>
      </c>
      <c r="AR4093" t="e">
        <v>#N/A</v>
      </c>
      <c r="AS4093" t="e">
        <v>#N/A</v>
      </c>
      <c r="AT4093" t="e">
        <v>#N/A</v>
      </c>
    </row>
    <row r="4094" spans="42:46">
      <c r="AP4094">
        <v>277700</v>
      </c>
      <c r="AQ4094" t="e">
        <v>#N/A</v>
      </c>
      <c r="AR4094" t="e">
        <v>#N/A</v>
      </c>
      <c r="AS4094" t="e">
        <v>#N/A</v>
      </c>
      <c r="AT4094" t="e">
        <v>#N/A</v>
      </c>
    </row>
    <row r="4095" spans="42:46">
      <c r="AP4095">
        <v>277750</v>
      </c>
      <c r="AQ4095" t="e">
        <v>#N/A</v>
      </c>
      <c r="AR4095" t="e">
        <v>#N/A</v>
      </c>
      <c r="AS4095" t="e">
        <v>#N/A</v>
      </c>
      <c r="AT4095" t="e">
        <v>#N/A</v>
      </c>
    </row>
    <row r="4096" spans="42:46">
      <c r="AP4096">
        <v>277800</v>
      </c>
      <c r="AQ4096" t="e">
        <v>#N/A</v>
      </c>
      <c r="AR4096" t="e">
        <v>#N/A</v>
      </c>
      <c r="AS4096" t="e">
        <v>#N/A</v>
      </c>
      <c r="AT4096" t="e">
        <v>#N/A</v>
      </c>
    </row>
    <row r="4097" spans="42:46">
      <c r="AP4097">
        <v>277850</v>
      </c>
      <c r="AQ4097" t="e">
        <v>#N/A</v>
      </c>
      <c r="AR4097" t="e">
        <v>#N/A</v>
      </c>
      <c r="AS4097" t="e">
        <v>#N/A</v>
      </c>
      <c r="AT4097" t="e">
        <v>#N/A</v>
      </c>
    </row>
    <row r="4098" spans="42:46">
      <c r="AP4098">
        <v>277900</v>
      </c>
      <c r="AQ4098" t="e">
        <v>#N/A</v>
      </c>
      <c r="AR4098" t="e">
        <v>#N/A</v>
      </c>
      <c r="AS4098" t="e">
        <v>#N/A</v>
      </c>
      <c r="AT4098" t="e">
        <v>#N/A</v>
      </c>
    </row>
    <row r="4099" spans="42:46">
      <c r="AP4099">
        <v>277950</v>
      </c>
      <c r="AQ4099" t="e">
        <v>#N/A</v>
      </c>
      <c r="AR4099" t="e">
        <v>#N/A</v>
      </c>
      <c r="AS4099" t="e">
        <v>#N/A</v>
      </c>
      <c r="AT4099" t="e">
        <v>#N/A</v>
      </c>
    </row>
    <row r="4100" spans="42:46">
      <c r="AP4100">
        <v>278000</v>
      </c>
      <c r="AQ4100" t="e">
        <v>#N/A</v>
      </c>
      <c r="AR4100" t="e">
        <v>#N/A</v>
      </c>
      <c r="AS4100" t="e">
        <v>#N/A</v>
      </c>
      <c r="AT4100" t="e">
        <v>#N/A</v>
      </c>
    </row>
    <row r="4101" spans="42:46">
      <c r="AP4101">
        <v>278050</v>
      </c>
      <c r="AQ4101" t="e">
        <v>#N/A</v>
      </c>
      <c r="AR4101" t="e">
        <v>#N/A</v>
      </c>
      <c r="AS4101" t="e">
        <v>#N/A</v>
      </c>
      <c r="AT4101" t="e">
        <v>#N/A</v>
      </c>
    </row>
    <row r="4102" spans="42:46">
      <c r="AP4102">
        <v>278100</v>
      </c>
      <c r="AQ4102" t="e">
        <v>#N/A</v>
      </c>
      <c r="AR4102" t="e">
        <v>#N/A</v>
      </c>
      <c r="AS4102" t="e">
        <v>#N/A</v>
      </c>
      <c r="AT4102" t="e">
        <v>#N/A</v>
      </c>
    </row>
    <row r="4103" spans="42:46">
      <c r="AP4103">
        <v>278150</v>
      </c>
      <c r="AQ4103" t="e">
        <v>#N/A</v>
      </c>
      <c r="AR4103" t="e">
        <v>#N/A</v>
      </c>
      <c r="AS4103" t="e">
        <v>#N/A</v>
      </c>
      <c r="AT4103" t="e">
        <v>#N/A</v>
      </c>
    </row>
    <row r="4104" spans="42:46">
      <c r="AP4104">
        <v>278200</v>
      </c>
      <c r="AQ4104" t="e">
        <v>#N/A</v>
      </c>
      <c r="AR4104" t="e">
        <v>#N/A</v>
      </c>
      <c r="AS4104" t="e">
        <v>#N/A</v>
      </c>
      <c r="AT4104" t="e">
        <v>#N/A</v>
      </c>
    </row>
    <row r="4105" spans="42:46">
      <c r="AP4105">
        <v>278250</v>
      </c>
      <c r="AQ4105" t="e">
        <v>#N/A</v>
      </c>
      <c r="AR4105" t="e">
        <v>#N/A</v>
      </c>
      <c r="AS4105" t="e">
        <v>#N/A</v>
      </c>
      <c r="AT4105" t="e">
        <v>#N/A</v>
      </c>
    </row>
    <row r="4106" spans="42:46">
      <c r="AP4106">
        <v>278300</v>
      </c>
      <c r="AQ4106" t="e">
        <v>#N/A</v>
      </c>
      <c r="AR4106" t="e">
        <v>#N/A</v>
      </c>
      <c r="AS4106" t="e">
        <v>#N/A</v>
      </c>
      <c r="AT4106" t="e">
        <v>#N/A</v>
      </c>
    </row>
    <row r="4107" spans="42:46">
      <c r="AP4107">
        <v>278350</v>
      </c>
      <c r="AQ4107" t="e">
        <v>#N/A</v>
      </c>
      <c r="AR4107" t="e">
        <v>#N/A</v>
      </c>
      <c r="AS4107" t="e">
        <v>#N/A</v>
      </c>
      <c r="AT4107" t="e">
        <v>#N/A</v>
      </c>
    </row>
    <row r="4108" spans="42:46">
      <c r="AP4108">
        <v>278400</v>
      </c>
      <c r="AQ4108" t="e">
        <v>#N/A</v>
      </c>
      <c r="AR4108" t="e">
        <v>#N/A</v>
      </c>
      <c r="AS4108" t="e">
        <v>#N/A</v>
      </c>
      <c r="AT4108" t="e">
        <v>#N/A</v>
      </c>
    </row>
    <row r="4109" spans="42:46">
      <c r="AP4109">
        <v>278450</v>
      </c>
      <c r="AQ4109" t="e">
        <v>#N/A</v>
      </c>
      <c r="AR4109" t="e">
        <v>#N/A</v>
      </c>
      <c r="AS4109" t="e">
        <v>#N/A</v>
      </c>
      <c r="AT4109" t="e">
        <v>#N/A</v>
      </c>
    </row>
    <row r="4110" spans="42:46">
      <c r="AP4110">
        <v>278500</v>
      </c>
      <c r="AQ4110" t="e">
        <v>#N/A</v>
      </c>
      <c r="AR4110" t="e">
        <v>#N/A</v>
      </c>
      <c r="AS4110" t="e">
        <v>#N/A</v>
      </c>
      <c r="AT4110" t="e">
        <v>#N/A</v>
      </c>
    </row>
    <row r="4111" spans="42:46">
      <c r="AP4111">
        <v>278550</v>
      </c>
      <c r="AQ4111" t="e">
        <v>#N/A</v>
      </c>
      <c r="AR4111" t="e">
        <v>#N/A</v>
      </c>
      <c r="AS4111" t="e">
        <v>#N/A</v>
      </c>
      <c r="AT4111" t="e">
        <v>#N/A</v>
      </c>
    </row>
    <row r="4112" spans="42:46">
      <c r="AP4112">
        <v>278600</v>
      </c>
      <c r="AQ4112" t="e">
        <v>#N/A</v>
      </c>
      <c r="AR4112" t="e">
        <v>#N/A</v>
      </c>
      <c r="AS4112" t="e">
        <v>#N/A</v>
      </c>
      <c r="AT4112" t="e">
        <v>#N/A</v>
      </c>
    </row>
    <row r="4113" spans="42:46">
      <c r="AP4113">
        <v>278650</v>
      </c>
      <c r="AQ4113" t="e">
        <v>#N/A</v>
      </c>
      <c r="AR4113" t="e">
        <v>#N/A</v>
      </c>
      <c r="AS4113" t="e">
        <v>#N/A</v>
      </c>
      <c r="AT4113" t="e">
        <v>#N/A</v>
      </c>
    </row>
    <row r="4114" spans="42:46">
      <c r="AP4114">
        <v>278700</v>
      </c>
      <c r="AQ4114" t="e">
        <v>#N/A</v>
      </c>
      <c r="AR4114" t="e">
        <v>#N/A</v>
      </c>
      <c r="AS4114" t="e">
        <v>#N/A</v>
      </c>
      <c r="AT4114" t="e">
        <v>#N/A</v>
      </c>
    </row>
    <row r="4115" spans="42:46">
      <c r="AP4115">
        <v>278750</v>
      </c>
      <c r="AQ4115" t="e">
        <v>#N/A</v>
      </c>
      <c r="AR4115" t="e">
        <v>#N/A</v>
      </c>
      <c r="AS4115" t="e">
        <v>#N/A</v>
      </c>
      <c r="AT4115" t="e">
        <v>#N/A</v>
      </c>
    </row>
    <row r="4116" spans="42:46">
      <c r="AP4116">
        <v>278800</v>
      </c>
      <c r="AQ4116" t="e">
        <v>#N/A</v>
      </c>
      <c r="AR4116" t="e">
        <v>#N/A</v>
      </c>
      <c r="AS4116" t="e">
        <v>#N/A</v>
      </c>
      <c r="AT4116" t="e">
        <v>#N/A</v>
      </c>
    </row>
    <row r="4117" spans="42:46">
      <c r="AP4117">
        <v>278850</v>
      </c>
      <c r="AQ4117" t="e">
        <v>#N/A</v>
      </c>
      <c r="AR4117" t="e">
        <v>#N/A</v>
      </c>
      <c r="AS4117" t="e">
        <v>#N/A</v>
      </c>
      <c r="AT4117" t="e">
        <v>#N/A</v>
      </c>
    </row>
    <row r="4118" spans="42:46">
      <c r="AP4118">
        <v>278900</v>
      </c>
      <c r="AQ4118" t="e">
        <v>#N/A</v>
      </c>
      <c r="AR4118" t="e">
        <v>#N/A</v>
      </c>
      <c r="AS4118" t="e">
        <v>#N/A</v>
      </c>
      <c r="AT4118" t="e">
        <v>#N/A</v>
      </c>
    </row>
    <row r="4119" spans="42:46">
      <c r="AP4119">
        <v>278950</v>
      </c>
      <c r="AQ4119" t="e">
        <v>#N/A</v>
      </c>
      <c r="AR4119" t="e">
        <v>#N/A</v>
      </c>
      <c r="AS4119" t="e">
        <v>#N/A</v>
      </c>
      <c r="AT4119" t="e">
        <v>#N/A</v>
      </c>
    </row>
    <row r="4120" spans="42:46">
      <c r="AP4120">
        <v>279000</v>
      </c>
      <c r="AQ4120" t="e">
        <v>#N/A</v>
      </c>
      <c r="AR4120" t="e">
        <v>#N/A</v>
      </c>
      <c r="AS4120" t="e">
        <v>#N/A</v>
      </c>
      <c r="AT4120" t="e">
        <v>#N/A</v>
      </c>
    </row>
    <row r="4121" spans="42:46">
      <c r="AP4121">
        <v>279050</v>
      </c>
      <c r="AQ4121" t="e">
        <v>#N/A</v>
      </c>
      <c r="AR4121" t="e">
        <v>#N/A</v>
      </c>
      <c r="AS4121" t="e">
        <v>#N/A</v>
      </c>
      <c r="AT4121" t="e">
        <v>#N/A</v>
      </c>
    </row>
    <row r="4122" spans="42:46">
      <c r="AP4122">
        <v>279100</v>
      </c>
      <c r="AQ4122" t="e">
        <v>#N/A</v>
      </c>
      <c r="AR4122" t="e">
        <v>#N/A</v>
      </c>
      <c r="AS4122" t="e">
        <v>#N/A</v>
      </c>
      <c r="AT4122" t="e">
        <v>#N/A</v>
      </c>
    </row>
    <row r="4123" spans="42:46">
      <c r="AP4123">
        <v>279150</v>
      </c>
      <c r="AQ4123" t="e">
        <v>#N/A</v>
      </c>
      <c r="AR4123" t="e">
        <v>#N/A</v>
      </c>
      <c r="AS4123" t="e">
        <v>#N/A</v>
      </c>
      <c r="AT4123" t="e">
        <v>#N/A</v>
      </c>
    </row>
    <row r="4124" spans="42:46">
      <c r="AP4124">
        <v>279200</v>
      </c>
      <c r="AQ4124" t="e">
        <v>#N/A</v>
      </c>
      <c r="AR4124" t="e">
        <v>#N/A</v>
      </c>
      <c r="AS4124" t="e">
        <v>#N/A</v>
      </c>
      <c r="AT4124" t="e">
        <v>#N/A</v>
      </c>
    </row>
    <row r="4125" spans="42:46">
      <c r="AP4125">
        <v>279250</v>
      </c>
      <c r="AQ4125" t="e">
        <v>#N/A</v>
      </c>
      <c r="AR4125" t="e">
        <v>#N/A</v>
      </c>
      <c r="AS4125" t="e">
        <v>#N/A</v>
      </c>
      <c r="AT4125" t="e">
        <v>#N/A</v>
      </c>
    </row>
    <row r="4126" spans="42:46">
      <c r="AP4126">
        <v>279300</v>
      </c>
      <c r="AQ4126" t="e">
        <v>#N/A</v>
      </c>
      <c r="AR4126" t="e">
        <v>#N/A</v>
      </c>
      <c r="AS4126" t="e">
        <v>#N/A</v>
      </c>
      <c r="AT4126" t="e">
        <v>#N/A</v>
      </c>
    </row>
    <row r="4127" spans="42:46">
      <c r="AP4127">
        <v>279350</v>
      </c>
      <c r="AQ4127" t="e">
        <v>#N/A</v>
      </c>
      <c r="AR4127" t="e">
        <v>#N/A</v>
      </c>
      <c r="AS4127" t="e">
        <v>#N/A</v>
      </c>
      <c r="AT4127" t="e">
        <v>#N/A</v>
      </c>
    </row>
    <row r="4128" spans="42:46">
      <c r="AP4128">
        <v>279400</v>
      </c>
      <c r="AQ4128" t="e">
        <v>#N/A</v>
      </c>
      <c r="AR4128" t="e">
        <v>#N/A</v>
      </c>
      <c r="AS4128" t="e">
        <v>#N/A</v>
      </c>
      <c r="AT4128" t="e">
        <v>#N/A</v>
      </c>
    </row>
    <row r="4129" spans="42:46">
      <c r="AP4129">
        <v>279450</v>
      </c>
      <c r="AQ4129" t="e">
        <v>#N/A</v>
      </c>
      <c r="AR4129" t="e">
        <v>#N/A</v>
      </c>
      <c r="AS4129" t="e">
        <v>#N/A</v>
      </c>
      <c r="AT4129" t="e">
        <v>#N/A</v>
      </c>
    </row>
    <row r="4130" spans="42:46">
      <c r="AP4130">
        <v>279500</v>
      </c>
      <c r="AQ4130" t="e">
        <v>#N/A</v>
      </c>
      <c r="AR4130" t="e">
        <v>#N/A</v>
      </c>
      <c r="AS4130" t="e">
        <v>#N/A</v>
      </c>
      <c r="AT4130" t="e">
        <v>#N/A</v>
      </c>
    </row>
    <row r="4131" spans="42:46">
      <c r="AP4131">
        <v>279550</v>
      </c>
      <c r="AQ4131" t="e">
        <v>#N/A</v>
      </c>
      <c r="AR4131" t="e">
        <v>#N/A</v>
      </c>
      <c r="AS4131" t="e">
        <v>#N/A</v>
      </c>
      <c r="AT4131" t="e">
        <v>#N/A</v>
      </c>
    </row>
    <row r="4132" spans="42:46">
      <c r="AP4132">
        <v>279600</v>
      </c>
      <c r="AQ4132" t="e">
        <v>#N/A</v>
      </c>
      <c r="AR4132" t="e">
        <v>#N/A</v>
      </c>
      <c r="AS4132" t="e">
        <v>#N/A</v>
      </c>
      <c r="AT4132" t="e">
        <v>#N/A</v>
      </c>
    </row>
    <row r="4133" spans="42:46">
      <c r="AP4133">
        <v>279650</v>
      </c>
      <c r="AQ4133" t="e">
        <v>#N/A</v>
      </c>
      <c r="AR4133" t="e">
        <v>#N/A</v>
      </c>
      <c r="AS4133" t="e">
        <v>#N/A</v>
      </c>
      <c r="AT4133" t="e">
        <v>#N/A</v>
      </c>
    </row>
    <row r="4134" spans="42:46">
      <c r="AP4134">
        <v>279700</v>
      </c>
      <c r="AQ4134" t="e">
        <v>#N/A</v>
      </c>
      <c r="AR4134" t="e">
        <v>#N/A</v>
      </c>
      <c r="AS4134" t="e">
        <v>#N/A</v>
      </c>
      <c r="AT4134" t="e">
        <v>#N/A</v>
      </c>
    </row>
    <row r="4135" spans="42:46">
      <c r="AP4135">
        <v>279750</v>
      </c>
      <c r="AQ4135" t="e">
        <v>#N/A</v>
      </c>
      <c r="AR4135" t="e">
        <v>#N/A</v>
      </c>
      <c r="AS4135" t="e">
        <v>#N/A</v>
      </c>
      <c r="AT4135" t="e">
        <v>#N/A</v>
      </c>
    </row>
    <row r="4136" spans="42:46">
      <c r="AP4136">
        <v>279800</v>
      </c>
      <c r="AQ4136" t="e">
        <v>#N/A</v>
      </c>
      <c r="AR4136" t="e">
        <v>#N/A</v>
      </c>
      <c r="AS4136" t="e">
        <v>#N/A</v>
      </c>
      <c r="AT4136" t="e">
        <v>#N/A</v>
      </c>
    </row>
    <row r="4137" spans="42:46">
      <c r="AP4137">
        <v>279850</v>
      </c>
      <c r="AQ4137" t="e">
        <v>#N/A</v>
      </c>
      <c r="AR4137" t="e">
        <v>#N/A</v>
      </c>
      <c r="AS4137" t="e">
        <v>#N/A</v>
      </c>
      <c r="AT4137" t="e">
        <v>#N/A</v>
      </c>
    </row>
    <row r="4138" spans="42:46">
      <c r="AP4138">
        <v>279900</v>
      </c>
      <c r="AQ4138" t="e">
        <v>#N/A</v>
      </c>
      <c r="AR4138" t="e">
        <v>#N/A</v>
      </c>
      <c r="AS4138" t="e">
        <v>#N/A</v>
      </c>
      <c r="AT4138" t="e">
        <v>#N/A</v>
      </c>
    </row>
    <row r="4139" spans="42:46">
      <c r="AP4139">
        <v>279950</v>
      </c>
      <c r="AQ4139" t="e">
        <v>#N/A</v>
      </c>
      <c r="AR4139" t="e">
        <v>#N/A</v>
      </c>
      <c r="AS4139" t="e">
        <v>#N/A</v>
      </c>
      <c r="AT4139" t="e">
        <v>#N/A</v>
      </c>
    </row>
    <row r="4140" spans="42:46">
      <c r="AP4140">
        <v>280000</v>
      </c>
      <c r="AQ4140" t="e">
        <v>#N/A</v>
      </c>
      <c r="AR4140" t="e">
        <v>#N/A</v>
      </c>
      <c r="AS4140" t="e">
        <v>#N/A</v>
      </c>
      <c r="AT4140" t="e">
        <v>#N/A</v>
      </c>
    </row>
    <row r="4141" spans="42:46">
      <c r="AP4141">
        <v>280050</v>
      </c>
      <c r="AQ4141" t="e">
        <v>#N/A</v>
      </c>
      <c r="AR4141" t="e">
        <v>#N/A</v>
      </c>
      <c r="AS4141" t="e">
        <v>#N/A</v>
      </c>
      <c r="AT4141" t="e">
        <v>#N/A</v>
      </c>
    </row>
    <row r="4142" spans="42:46">
      <c r="AP4142">
        <v>280100</v>
      </c>
      <c r="AQ4142" t="e">
        <v>#N/A</v>
      </c>
      <c r="AR4142" t="e">
        <v>#N/A</v>
      </c>
      <c r="AS4142" t="e">
        <v>#N/A</v>
      </c>
      <c r="AT4142" t="e">
        <v>#N/A</v>
      </c>
    </row>
    <row r="4143" spans="42:46">
      <c r="AP4143">
        <v>280150</v>
      </c>
      <c r="AQ4143" t="e">
        <v>#N/A</v>
      </c>
      <c r="AR4143" t="e">
        <v>#N/A</v>
      </c>
      <c r="AS4143" t="e">
        <v>#N/A</v>
      </c>
      <c r="AT4143" t="e">
        <v>#N/A</v>
      </c>
    </row>
    <row r="4144" spans="42:46">
      <c r="AP4144">
        <v>280200</v>
      </c>
      <c r="AQ4144" t="e">
        <v>#N/A</v>
      </c>
      <c r="AR4144" t="e">
        <v>#N/A</v>
      </c>
      <c r="AS4144" t="e">
        <v>#N/A</v>
      </c>
      <c r="AT4144" t="e">
        <v>#N/A</v>
      </c>
    </row>
    <row r="4145" spans="42:46">
      <c r="AP4145">
        <v>280250</v>
      </c>
      <c r="AQ4145" t="e">
        <v>#N/A</v>
      </c>
      <c r="AR4145" t="e">
        <v>#N/A</v>
      </c>
      <c r="AS4145" t="e">
        <v>#N/A</v>
      </c>
      <c r="AT4145" t="e">
        <v>#N/A</v>
      </c>
    </row>
    <row r="4146" spans="42:46">
      <c r="AP4146">
        <v>280300</v>
      </c>
      <c r="AQ4146" t="e">
        <v>#N/A</v>
      </c>
      <c r="AR4146" t="e">
        <v>#N/A</v>
      </c>
      <c r="AS4146" t="e">
        <v>#N/A</v>
      </c>
      <c r="AT4146" t="e">
        <v>#N/A</v>
      </c>
    </row>
    <row r="4147" spans="42:46">
      <c r="AP4147">
        <v>280350</v>
      </c>
      <c r="AQ4147" t="e">
        <v>#N/A</v>
      </c>
      <c r="AR4147" t="e">
        <v>#N/A</v>
      </c>
      <c r="AS4147" t="e">
        <v>#N/A</v>
      </c>
      <c r="AT4147" t="e">
        <v>#N/A</v>
      </c>
    </row>
    <row r="4148" spans="42:46">
      <c r="AP4148">
        <v>280400</v>
      </c>
      <c r="AQ4148" t="e">
        <v>#N/A</v>
      </c>
      <c r="AR4148" t="e">
        <v>#N/A</v>
      </c>
      <c r="AS4148" t="e">
        <v>#N/A</v>
      </c>
      <c r="AT4148" t="e">
        <v>#N/A</v>
      </c>
    </row>
    <row r="4149" spans="42:46">
      <c r="AP4149">
        <v>280450</v>
      </c>
      <c r="AQ4149" t="e">
        <v>#N/A</v>
      </c>
      <c r="AR4149" t="e">
        <v>#N/A</v>
      </c>
      <c r="AS4149" t="e">
        <v>#N/A</v>
      </c>
      <c r="AT4149" t="e">
        <v>#N/A</v>
      </c>
    </row>
    <row r="4150" spans="42:46">
      <c r="AP4150">
        <v>280500</v>
      </c>
      <c r="AQ4150" t="e">
        <v>#N/A</v>
      </c>
      <c r="AR4150" t="e">
        <v>#N/A</v>
      </c>
      <c r="AS4150" t="e">
        <v>#N/A</v>
      </c>
      <c r="AT4150" t="e">
        <v>#N/A</v>
      </c>
    </row>
    <row r="4151" spans="42:46">
      <c r="AP4151">
        <v>280550</v>
      </c>
      <c r="AQ4151" t="e">
        <v>#N/A</v>
      </c>
      <c r="AR4151" t="e">
        <v>#N/A</v>
      </c>
      <c r="AS4151" t="e">
        <v>#N/A</v>
      </c>
      <c r="AT4151" t="e">
        <v>#N/A</v>
      </c>
    </row>
    <row r="4152" spans="42:46">
      <c r="AP4152">
        <v>280600</v>
      </c>
      <c r="AQ4152" t="e">
        <v>#N/A</v>
      </c>
      <c r="AR4152" t="e">
        <v>#N/A</v>
      </c>
      <c r="AS4152" t="e">
        <v>#N/A</v>
      </c>
      <c r="AT4152" t="e">
        <v>#N/A</v>
      </c>
    </row>
    <row r="4153" spans="42:46">
      <c r="AP4153">
        <v>280650</v>
      </c>
      <c r="AQ4153" t="e">
        <v>#N/A</v>
      </c>
      <c r="AR4153" t="e">
        <v>#N/A</v>
      </c>
      <c r="AS4153" t="e">
        <v>#N/A</v>
      </c>
      <c r="AT4153" t="e">
        <v>#N/A</v>
      </c>
    </row>
    <row r="4154" spans="42:46">
      <c r="AP4154">
        <v>280700</v>
      </c>
      <c r="AQ4154" t="e">
        <v>#N/A</v>
      </c>
      <c r="AR4154" t="e">
        <v>#N/A</v>
      </c>
      <c r="AS4154" t="e">
        <v>#N/A</v>
      </c>
      <c r="AT4154" t="e">
        <v>#N/A</v>
      </c>
    </row>
    <row r="4155" spans="42:46">
      <c r="AP4155">
        <v>280750</v>
      </c>
      <c r="AQ4155" t="e">
        <v>#N/A</v>
      </c>
      <c r="AR4155" t="e">
        <v>#N/A</v>
      </c>
      <c r="AS4155" t="e">
        <v>#N/A</v>
      </c>
      <c r="AT4155" t="e">
        <v>#N/A</v>
      </c>
    </row>
    <row r="4156" spans="42:46">
      <c r="AP4156">
        <v>280800</v>
      </c>
      <c r="AQ4156" t="e">
        <v>#N/A</v>
      </c>
      <c r="AR4156" t="e">
        <v>#N/A</v>
      </c>
      <c r="AS4156" t="e">
        <v>#N/A</v>
      </c>
      <c r="AT4156" t="e">
        <v>#N/A</v>
      </c>
    </row>
    <row r="4157" spans="42:46">
      <c r="AP4157">
        <v>280850</v>
      </c>
      <c r="AQ4157" t="e">
        <v>#N/A</v>
      </c>
      <c r="AR4157" t="e">
        <v>#N/A</v>
      </c>
      <c r="AS4157" t="e">
        <v>#N/A</v>
      </c>
      <c r="AT4157" t="e">
        <v>#N/A</v>
      </c>
    </row>
    <row r="4158" spans="42:46">
      <c r="AP4158">
        <v>280900</v>
      </c>
      <c r="AQ4158" t="e">
        <v>#N/A</v>
      </c>
      <c r="AR4158" t="e">
        <v>#N/A</v>
      </c>
      <c r="AS4158" t="e">
        <v>#N/A</v>
      </c>
      <c r="AT4158" t="e">
        <v>#N/A</v>
      </c>
    </row>
    <row r="4159" spans="42:46">
      <c r="AP4159">
        <v>280950</v>
      </c>
      <c r="AQ4159" t="e">
        <v>#N/A</v>
      </c>
      <c r="AR4159" t="e">
        <v>#N/A</v>
      </c>
      <c r="AS4159" t="e">
        <v>#N/A</v>
      </c>
      <c r="AT4159" t="e">
        <v>#N/A</v>
      </c>
    </row>
    <row r="4160" spans="42:46">
      <c r="AP4160">
        <v>281000</v>
      </c>
      <c r="AQ4160" t="e">
        <v>#N/A</v>
      </c>
      <c r="AR4160" t="e">
        <v>#N/A</v>
      </c>
      <c r="AS4160" t="e">
        <v>#N/A</v>
      </c>
      <c r="AT4160" t="e">
        <v>#N/A</v>
      </c>
    </row>
    <row r="4161" spans="42:46">
      <c r="AP4161">
        <v>281050</v>
      </c>
      <c r="AQ4161" t="e">
        <v>#N/A</v>
      </c>
      <c r="AR4161" t="e">
        <v>#N/A</v>
      </c>
      <c r="AS4161" t="e">
        <v>#N/A</v>
      </c>
      <c r="AT4161" t="e">
        <v>#N/A</v>
      </c>
    </row>
    <row r="4162" spans="42:46">
      <c r="AP4162">
        <v>281100</v>
      </c>
      <c r="AQ4162" t="e">
        <v>#N/A</v>
      </c>
      <c r="AR4162" t="e">
        <v>#N/A</v>
      </c>
      <c r="AS4162" t="e">
        <v>#N/A</v>
      </c>
      <c r="AT4162" t="e">
        <v>#N/A</v>
      </c>
    </row>
    <row r="4163" spans="42:46">
      <c r="AP4163">
        <v>281150</v>
      </c>
      <c r="AQ4163" t="e">
        <v>#N/A</v>
      </c>
      <c r="AR4163" t="e">
        <v>#N/A</v>
      </c>
      <c r="AS4163" t="e">
        <v>#N/A</v>
      </c>
      <c r="AT4163" t="e">
        <v>#N/A</v>
      </c>
    </row>
    <row r="4164" spans="42:46">
      <c r="AP4164">
        <v>281200</v>
      </c>
      <c r="AQ4164" t="e">
        <v>#N/A</v>
      </c>
      <c r="AR4164" t="e">
        <v>#N/A</v>
      </c>
      <c r="AS4164" t="e">
        <v>#N/A</v>
      </c>
      <c r="AT4164" t="e">
        <v>#N/A</v>
      </c>
    </row>
    <row r="4165" spans="42:46">
      <c r="AP4165">
        <v>281250</v>
      </c>
      <c r="AQ4165" t="e">
        <v>#N/A</v>
      </c>
      <c r="AR4165" t="e">
        <v>#N/A</v>
      </c>
      <c r="AS4165" t="e">
        <v>#N/A</v>
      </c>
      <c r="AT4165" t="e">
        <v>#N/A</v>
      </c>
    </row>
    <row r="4166" spans="42:46">
      <c r="AP4166">
        <v>281300</v>
      </c>
      <c r="AQ4166" t="e">
        <v>#N/A</v>
      </c>
      <c r="AR4166" t="e">
        <v>#N/A</v>
      </c>
      <c r="AS4166" t="e">
        <v>#N/A</v>
      </c>
      <c r="AT4166" t="e">
        <v>#N/A</v>
      </c>
    </row>
    <row r="4167" spans="42:46">
      <c r="AP4167">
        <v>281350</v>
      </c>
      <c r="AQ4167" t="e">
        <v>#N/A</v>
      </c>
      <c r="AR4167" t="e">
        <v>#N/A</v>
      </c>
      <c r="AS4167" t="e">
        <v>#N/A</v>
      </c>
      <c r="AT4167" t="e">
        <v>#N/A</v>
      </c>
    </row>
    <row r="4168" spans="42:46">
      <c r="AP4168">
        <v>281400</v>
      </c>
      <c r="AQ4168" t="e">
        <v>#N/A</v>
      </c>
      <c r="AR4168" t="e">
        <v>#N/A</v>
      </c>
      <c r="AS4168" t="e">
        <v>#N/A</v>
      </c>
      <c r="AT4168" t="e">
        <v>#N/A</v>
      </c>
    </row>
    <row r="4169" spans="42:46">
      <c r="AP4169">
        <v>281450</v>
      </c>
      <c r="AQ4169" t="e">
        <v>#N/A</v>
      </c>
      <c r="AR4169" t="e">
        <v>#N/A</v>
      </c>
      <c r="AS4169" t="e">
        <v>#N/A</v>
      </c>
      <c r="AT4169" t="e">
        <v>#N/A</v>
      </c>
    </row>
    <row r="4170" spans="42:46">
      <c r="AP4170">
        <v>281500</v>
      </c>
      <c r="AQ4170" t="e">
        <v>#N/A</v>
      </c>
      <c r="AR4170" t="e">
        <v>#N/A</v>
      </c>
      <c r="AS4170" t="e">
        <v>#N/A</v>
      </c>
      <c r="AT4170" t="e">
        <v>#N/A</v>
      </c>
    </row>
    <row r="4171" spans="42:46">
      <c r="AP4171">
        <v>281550</v>
      </c>
      <c r="AQ4171" t="e">
        <v>#N/A</v>
      </c>
      <c r="AR4171" t="e">
        <v>#N/A</v>
      </c>
      <c r="AS4171" t="e">
        <v>#N/A</v>
      </c>
      <c r="AT4171" t="e">
        <v>#N/A</v>
      </c>
    </row>
    <row r="4172" spans="42:46">
      <c r="AP4172">
        <v>281600</v>
      </c>
      <c r="AQ4172" t="e">
        <v>#N/A</v>
      </c>
      <c r="AR4172" t="e">
        <v>#N/A</v>
      </c>
      <c r="AS4172" t="e">
        <v>#N/A</v>
      </c>
      <c r="AT4172" t="e">
        <v>#N/A</v>
      </c>
    </row>
    <row r="4173" spans="42:46">
      <c r="AP4173">
        <v>281650</v>
      </c>
      <c r="AQ4173" t="e">
        <v>#N/A</v>
      </c>
      <c r="AR4173" t="e">
        <v>#N/A</v>
      </c>
      <c r="AS4173" t="e">
        <v>#N/A</v>
      </c>
      <c r="AT4173" t="e">
        <v>#N/A</v>
      </c>
    </row>
    <row r="4174" spans="42:46">
      <c r="AP4174">
        <v>281700</v>
      </c>
      <c r="AQ4174" t="e">
        <v>#N/A</v>
      </c>
      <c r="AR4174" t="e">
        <v>#N/A</v>
      </c>
      <c r="AS4174" t="e">
        <v>#N/A</v>
      </c>
      <c r="AT4174" t="e">
        <v>#N/A</v>
      </c>
    </row>
    <row r="4175" spans="42:46">
      <c r="AP4175">
        <v>281750</v>
      </c>
      <c r="AQ4175" t="e">
        <v>#N/A</v>
      </c>
      <c r="AR4175" t="e">
        <v>#N/A</v>
      </c>
      <c r="AS4175" t="e">
        <v>#N/A</v>
      </c>
      <c r="AT4175" t="e">
        <v>#N/A</v>
      </c>
    </row>
    <row r="4176" spans="42:46">
      <c r="AP4176">
        <v>281800</v>
      </c>
      <c r="AQ4176" t="e">
        <v>#N/A</v>
      </c>
      <c r="AR4176" t="e">
        <v>#N/A</v>
      </c>
      <c r="AS4176" t="e">
        <v>#N/A</v>
      </c>
      <c r="AT4176" t="e">
        <v>#N/A</v>
      </c>
    </row>
    <row r="4177" spans="42:46">
      <c r="AP4177">
        <v>281850</v>
      </c>
      <c r="AQ4177" t="e">
        <v>#N/A</v>
      </c>
      <c r="AR4177" t="e">
        <v>#N/A</v>
      </c>
      <c r="AS4177" t="e">
        <v>#N/A</v>
      </c>
      <c r="AT4177" t="e">
        <v>#N/A</v>
      </c>
    </row>
    <row r="4178" spans="42:46">
      <c r="AP4178">
        <v>281900</v>
      </c>
      <c r="AQ4178" t="e">
        <v>#N/A</v>
      </c>
      <c r="AR4178" t="e">
        <v>#N/A</v>
      </c>
      <c r="AS4178" t="e">
        <v>#N/A</v>
      </c>
      <c r="AT4178" t="e">
        <v>#N/A</v>
      </c>
    </row>
    <row r="4179" spans="42:46">
      <c r="AP4179">
        <v>281950</v>
      </c>
      <c r="AQ4179" t="e">
        <v>#N/A</v>
      </c>
      <c r="AR4179" t="e">
        <v>#N/A</v>
      </c>
      <c r="AS4179" t="e">
        <v>#N/A</v>
      </c>
      <c r="AT4179" t="e">
        <v>#N/A</v>
      </c>
    </row>
    <row r="4180" spans="42:46">
      <c r="AP4180">
        <v>282000</v>
      </c>
      <c r="AQ4180" t="e">
        <v>#N/A</v>
      </c>
      <c r="AR4180" t="e">
        <v>#N/A</v>
      </c>
      <c r="AS4180" t="e">
        <v>#N/A</v>
      </c>
      <c r="AT4180" t="e">
        <v>#N/A</v>
      </c>
    </row>
    <row r="4181" spans="42:46">
      <c r="AP4181">
        <v>282050</v>
      </c>
      <c r="AQ4181" t="e">
        <v>#N/A</v>
      </c>
      <c r="AR4181" t="e">
        <v>#N/A</v>
      </c>
      <c r="AS4181" t="e">
        <v>#N/A</v>
      </c>
      <c r="AT4181" t="e">
        <v>#N/A</v>
      </c>
    </row>
    <row r="4182" spans="42:46">
      <c r="AP4182">
        <v>282100</v>
      </c>
      <c r="AQ4182" t="e">
        <v>#N/A</v>
      </c>
      <c r="AR4182" t="e">
        <v>#N/A</v>
      </c>
      <c r="AS4182" t="e">
        <v>#N/A</v>
      </c>
      <c r="AT4182" t="e">
        <v>#N/A</v>
      </c>
    </row>
    <row r="4183" spans="42:46">
      <c r="AP4183">
        <v>282150</v>
      </c>
      <c r="AQ4183" t="e">
        <v>#N/A</v>
      </c>
      <c r="AR4183" t="e">
        <v>#N/A</v>
      </c>
      <c r="AS4183" t="e">
        <v>#N/A</v>
      </c>
      <c r="AT4183" t="e">
        <v>#N/A</v>
      </c>
    </row>
    <row r="4184" spans="42:46">
      <c r="AP4184">
        <v>282200</v>
      </c>
      <c r="AQ4184" t="e">
        <v>#N/A</v>
      </c>
      <c r="AR4184" t="e">
        <v>#N/A</v>
      </c>
      <c r="AS4184" t="e">
        <v>#N/A</v>
      </c>
      <c r="AT4184" t="e">
        <v>#N/A</v>
      </c>
    </row>
    <row r="4185" spans="42:46">
      <c r="AP4185">
        <v>282250</v>
      </c>
      <c r="AQ4185" t="e">
        <v>#N/A</v>
      </c>
      <c r="AR4185" t="e">
        <v>#N/A</v>
      </c>
      <c r="AS4185" t="e">
        <v>#N/A</v>
      </c>
      <c r="AT4185" t="e">
        <v>#N/A</v>
      </c>
    </row>
    <row r="4186" spans="42:46">
      <c r="AP4186">
        <v>282300</v>
      </c>
      <c r="AQ4186" t="e">
        <v>#N/A</v>
      </c>
      <c r="AR4186" t="e">
        <v>#N/A</v>
      </c>
      <c r="AS4186" t="e">
        <v>#N/A</v>
      </c>
      <c r="AT4186" t="e">
        <v>#N/A</v>
      </c>
    </row>
    <row r="4187" spans="42:46">
      <c r="AP4187">
        <v>282350</v>
      </c>
      <c r="AQ4187" t="e">
        <v>#N/A</v>
      </c>
      <c r="AR4187" t="e">
        <v>#N/A</v>
      </c>
      <c r="AS4187" t="e">
        <v>#N/A</v>
      </c>
      <c r="AT4187" t="e">
        <v>#N/A</v>
      </c>
    </row>
    <row r="4188" spans="42:46">
      <c r="AP4188">
        <v>282400</v>
      </c>
      <c r="AQ4188" t="e">
        <v>#N/A</v>
      </c>
      <c r="AR4188" t="e">
        <v>#N/A</v>
      </c>
      <c r="AS4188" t="e">
        <v>#N/A</v>
      </c>
      <c r="AT4188" t="e">
        <v>#N/A</v>
      </c>
    </row>
    <row r="4189" spans="42:46">
      <c r="AP4189">
        <v>282450</v>
      </c>
      <c r="AQ4189" t="e">
        <v>#N/A</v>
      </c>
      <c r="AR4189" t="e">
        <v>#N/A</v>
      </c>
      <c r="AS4189" t="e">
        <v>#N/A</v>
      </c>
      <c r="AT4189" t="e">
        <v>#N/A</v>
      </c>
    </row>
    <row r="4190" spans="42:46">
      <c r="AP4190">
        <v>282500</v>
      </c>
      <c r="AQ4190" t="e">
        <v>#N/A</v>
      </c>
      <c r="AR4190" t="e">
        <v>#N/A</v>
      </c>
      <c r="AS4190" t="e">
        <v>#N/A</v>
      </c>
      <c r="AT4190" t="e">
        <v>#N/A</v>
      </c>
    </row>
    <row r="4191" spans="42:46">
      <c r="AP4191">
        <v>282550</v>
      </c>
      <c r="AQ4191" t="e">
        <v>#N/A</v>
      </c>
      <c r="AR4191" t="e">
        <v>#N/A</v>
      </c>
      <c r="AS4191" t="e">
        <v>#N/A</v>
      </c>
      <c r="AT4191" t="e">
        <v>#N/A</v>
      </c>
    </row>
    <row r="4192" spans="42:46">
      <c r="AP4192">
        <v>282600</v>
      </c>
      <c r="AQ4192" t="e">
        <v>#N/A</v>
      </c>
      <c r="AR4192" t="e">
        <v>#N/A</v>
      </c>
      <c r="AS4192" t="e">
        <v>#N/A</v>
      </c>
      <c r="AT4192" t="e">
        <v>#N/A</v>
      </c>
    </row>
    <row r="4193" spans="42:46">
      <c r="AP4193">
        <v>282650</v>
      </c>
      <c r="AQ4193" t="e">
        <v>#N/A</v>
      </c>
      <c r="AR4193" t="e">
        <v>#N/A</v>
      </c>
      <c r="AS4193" t="e">
        <v>#N/A</v>
      </c>
      <c r="AT4193" t="e">
        <v>#N/A</v>
      </c>
    </row>
    <row r="4194" spans="42:46">
      <c r="AP4194">
        <v>282700</v>
      </c>
      <c r="AQ4194" t="e">
        <v>#N/A</v>
      </c>
      <c r="AR4194" t="e">
        <v>#N/A</v>
      </c>
      <c r="AS4194" t="e">
        <v>#N/A</v>
      </c>
      <c r="AT4194" t="e">
        <v>#N/A</v>
      </c>
    </row>
    <row r="4195" spans="42:46">
      <c r="AP4195">
        <v>282750</v>
      </c>
      <c r="AQ4195" t="e">
        <v>#N/A</v>
      </c>
      <c r="AR4195" t="e">
        <v>#N/A</v>
      </c>
      <c r="AS4195" t="e">
        <v>#N/A</v>
      </c>
      <c r="AT4195" t="e">
        <v>#N/A</v>
      </c>
    </row>
    <row r="4196" spans="42:46">
      <c r="AP4196">
        <v>282800</v>
      </c>
      <c r="AQ4196" t="e">
        <v>#N/A</v>
      </c>
      <c r="AR4196" t="e">
        <v>#N/A</v>
      </c>
      <c r="AS4196" t="e">
        <v>#N/A</v>
      </c>
      <c r="AT4196" t="e">
        <v>#N/A</v>
      </c>
    </row>
    <row r="4197" spans="42:46">
      <c r="AP4197">
        <v>282850</v>
      </c>
      <c r="AQ4197" t="e">
        <v>#N/A</v>
      </c>
      <c r="AR4197" t="e">
        <v>#N/A</v>
      </c>
      <c r="AS4197" t="e">
        <v>#N/A</v>
      </c>
      <c r="AT4197" t="e">
        <v>#N/A</v>
      </c>
    </row>
    <row r="4198" spans="42:46">
      <c r="AP4198">
        <v>282900</v>
      </c>
      <c r="AQ4198" t="e">
        <v>#N/A</v>
      </c>
      <c r="AR4198" t="e">
        <v>#N/A</v>
      </c>
      <c r="AS4198" t="e">
        <v>#N/A</v>
      </c>
      <c r="AT4198" t="e">
        <v>#N/A</v>
      </c>
    </row>
    <row r="4199" spans="42:46">
      <c r="AP4199">
        <v>282950</v>
      </c>
      <c r="AQ4199" t="e">
        <v>#N/A</v>
      </c>
      <c r="AR4199" t="e">
        <v>#N/A</v>
      </c>
      <c r="AS4199" t="e">
        <v>#N/A</v>
      </c>
      <c r="AT4199" t="e">
        <v>#N/A</v>
      </c>
    </row>
    <row r="4200" spans="42:46">
      <c r="AP4200">
        <v>283000</v>
      </c>
      <c r="AQ4200" t="e">
        <v>#N/A</v>
      </c>
      <c r="AR4200" t="e">
        <v>#N/A</v>
      </c>
      <c r="AS4200" t="e">
        <v>#N/A</v>
      </c>
      <c r="AT4200" t="e">
        <v>#N/A</v>
      </c>
    </row>
    <row r="4201" spans="42:46">
      <c r="AP4201">
        <v>283050</v>
      </c>
      <c r="AQ4201" t="e">
        <v>#N/A</v>
      </c>
      <c r="AR4201" t="e">
        <v>#N/A</v>
      </c>
      <c r="AS4201" t="e">
        <v>#N/A</v>
      </c>
      <c r="AT4201" t="e">
        <v>#N/A</v>
      </c>
    </row>
    <row r="4202" spans="42:46">
      <c r="AP4202">
        <v>283100</v>
      </c>
      <c r="AQ4202" t="e">
        <v>#N/A</v>
      </c>
      <c r="AR4202" t="e">
        <v>#N/A</v>
      </c>
      <c r="AS4202" t="e">
        <v>#N/A</v>
      </c>
      <c r="AT4202" t="e">
        <v>#N/A</v>
      </c>
    </row>
    <row r="4203" spans="42:46">
      <c r="AP4203">
        <v>283150</v>
      </c>
      <c r="AQ4203" t="e">
        <v>#N/A</v>
      </c>
      <c r="AR4203" t="e">
        <v>#N/A</v>
      </c>
      <c r="AS4203" t="e">
        <v>#N/A</v>
      </c>
      <c r="AT4203" t="e">
        <v>#N/A</v>
      </c>
    </row>
    <row r="4204" spans="42:46">
      <c r="AP4204">
        <v>283200</v>
      </c>
      <c r="AQ4204" t="e">
        <v>#N/A</v>
      </c>
      <c r="AR4204" t="e">
        <v>#N/A</v>
      </c>
      <c r="AS4204" t="e">
        <v>#N/A</v>
      </c>
      <c r="AT4204" t="e">
        <v>#N/A</v>
      </c>
    </row>
    <row r="4205" spans="42:46">
      <c r="AP4205">
        <v>283250</v>
      </c>
      <c r="AQ4205" t="e">
        <v>#N/A</v>
      </c>
      <c r="AR4205" t="e">
        <v>#N/A</v>
      </c>
      <c r="AS4205" t="e">
        <v>#N/A</v>
      </c>
      <c r="AT4205" t="e">
        <v>#N/A</v>
      </c>
    </row>
    <row r="4206" spans="42:46">
      <c r="AP4206">
        <v>283300</v>
      </c>
      <c r="AQ4206" t="e">
        <v>#N/A</v>
      </c>
      <c r="AR4206" t="e">
        <v>#N/A</v>
      </c>
      <c r="AS4206" t="e">
        <v>#N/A</v>
      </c>
      <c r="AT4206" t="e">
        <v>#N/A</v>
      </c>
    </row>
    <row r="4207" spans="42:46">
      <c r="AP4207">
        <v>283350</v>
      </c>
      <c r="AQ4207" t="e">
        <v>#N/A</v>
      </c>
      <c r="AR4207" t="e">
        <v>#N/A</v>
      </c>
      <c r="AS4207" t="e">
        <v>#N/A</v>
      </c>
      <c r="AT4207" t="e">
        <v>#N/A</v>
      </c>
    </row>
    <row r="4208" spans="42:46">
      <c r="AP4208">
        <v>283400</v>
      </c>
      <c r="AQ4208" t="e">
        <v>#N/A</v>
      </c>
      <c r="AR4208" t="e">
        <v>#N/A</v>
      </c>
      <c r="AS4208" t="e">
        <v>#N/A</v>
      </c>
      <c r="AT4208" t="e">
        <v>#N/A</v>
      </c>
    </row>
    <row r="4209" spans="42:46">
      <c r="AP4209">
        <v>283450</v>
      </c>
      <c r="AQ4209" t="e">
        <v>#N/A</v>
      </c>
      <c r="AR4209" t="e">
        <v>#N/A</v>
      </c>
      <c r="AS4209" t="e">
        <v>#N/A</v>
      </c>
      <c r="AT4209" t="e">
        <v>#N/A</v>
      </c>
    </row>
    <row r="4210" spans="42:46">
      <c r="AP4210">
        <v>283500</v>
      </c>
      <c r="AQ4210" t="e">
        <v>#N/A</v>
      </c>
      <c r="AR4210" t="e">
        <v>#N/A</v>
      </c>
      <c r="AS4210" t="e">
        <v>#N/A</v>
      </c>
      <c r="AT4210" t="e">
        <v>#N/A</v>
      </c>
    </row>
    <row r="4211" spans="42:46">
      <c r="AP4211">
        <v>283550</v>
      </c>
      <c r="AQ4211" t="e">
        <v>#N/A</v>
      </c>
      <c r="AR4211" t="e">
        <v>#N/A</v>
      </c>
      <c r="AS4211" t="e">
        <v>#N/A</v>
      </c>
      <c r="AT4211" t="e">
        <v>#N/A</v>
      </c>
    </row>
    <row r="4212" spans="42:46">
      <c r="AP4212">
        <v>283600</v>
      </c>
      <c r="AQ4212" t="e">
        <v>#N/A</v>
      </c>
      <c r="AR4212" t="e">
        <v>#N/A</v>
      </c>
      <c r="AS4212" t="e">
        <v>#N/A</v>
      </c>
      <c r="AT4212" t="e">
        <v>#N/A</v>
      </c>
    </row>
    <row r="4213" spans="42:46">
      <c r="AP4213">
        <v>283650</v>
      </c>
      <c r="AQ4213" t="e">
        <v>#N/A</v>
      </c>
      <c r="AR4213" t="e">
        <v>#N/A</v>
      </c>
      <c r="AS4213" t="e">
        <v>#N/A</v>
      </c>
      <c r="AT4213" t="e">
        <v>#N/A</v>
      </c>
    </row>
    <row r="4214" spans="42:46">
      <c r="AP4214">
        <v>283700</v>
      </c>
      <c r="AQ4214" t="e">
        <v>#N/A</v>
      </c>
      <c r="AR4214" t="e">
        <v>#N/A</v>
      </c>
      <c r="AS4214" t="e">
        <v>#N/A</v>
      </c>
      <c r="AT4214" t="e">
        <v>#N/A</v>
      </c>
    </row>
    <row r="4215" spans="42:46">
      <c r="AP4215">
        <v>283750</v>
      </c>
      <c r="AQ4215" t="e">
        <v>#N/A</v>
      </c>
      <c r="AR4215" t="e">
        <v>#N/A</v>
      </c>
      <c r="AS4215" t="e">
        <v>#N/A</v>
      </c>
      <c r="AT4215" t="e">
        <v>#N/A</v>
      </c>
    </row>
    <row r="4216" spans="42:46">
      <c r="AP4216">
        <v>283800</v>
      </c>
      <c r="AQ4216" t="e">
        <v>#N/A</v>
      </c>
      <c r="AR4216" t="e">
        <v>#N/A</v>
      </c>
      <c r="AS4216" t="e">
        <v>#N/A</v>
      </c>
      <c r="AT4216" t="e">
        <v>#N/A</v>
      </c>
    </row>
    <row r="4217" spans="42:46">
      <c r="AP4217">
        <v>283850</v>
      </c>
      <c r="AQ4217" t="e">
        <v>#N/A</v>
      </c>
      <c r="AR4217" t="e">
        <v>#N/A</v>
      </c>
      <c r="AS4217" t="e">
        <v>#N/A</v>
      </c>
      <c r="AT4217" t="e">
        <v>#N/A</v>
      </c>
    </row>
    <row r="4218" spans="42:46">
      <c r="AP4218">
        <v>283900</v>
      </c>
      <c r="AQ4218" t="e">
        <v>#N/A</v>
      </c>
      <c r="AR4218" t="e">
        <v>#N/A</v>
      </c>
      <c r="AS4218" t="e">
        <v>#N/A</v>
      </c>
      <c r="AT4218" t="e">
        <v>#N/A</v>
      </c>
    </row>
    <row r="4219" spans="42:46">
      <c r="AP4219">
        <v>283950</v>
      </c>
      <c r="AQ4219" t="e">
        <v>#N/A</v>
      </c>
      <c r="AR4219" t="e">
        <v>#N/A</v>
      </c>
      <c r="AS4219" t="e">
        <v>#N/A</v>
      </c>
      <c r="AT4219" t="e">
        <v>#N/A</v>
      </c>
    </row>
    <row r="4220" spans="42:46">
      <c r="AP4220">
        <v>284000</v>
      </c>
      <c r="AQ4220" t="e">
        <v>#N/A</v>
      </c>
      <c r="AR4220" t="e">
        <v>#N/A</v>
      </c>
      <c r="AS4220" t="e">
        <v>#N/A</v>
      </c>
      <c r="AT4220" t="e">
        <v>#N/A</v>
      </c>
    </row>
    <row r="4221" spans="42:46">
      <c r="AP4221">
        <v>284050</v>
      </c>
      <c r="AQ4221" t="e">
        <v>#N/A</v>
      </c>
      <c r="AR4221" t="e">
        <v>#N/A</v>
      </c>
      <c r="AS4221" t="e">
        <v>#N/A</v>
      </c>
      <c r="AT4221" t="e">
        <v>#N/A</v>
      </c>
    </row>
    <row r="4222" spans="42:46">
      <c r="AP4222">
        <v>284100</v>
      </c>
      <c r="AQ4222" t="e">
        <v>#N/A</v>
      </c>
      <c r="AR4222" t="e">
        <v>#N/A</v>
      </c>
      <c r="AS4222" t="e">
        <v>#N/A</v>
      </c>
      <c r="AT4222" t="e">
        <v>#N/A</v>
      </c>
    </row>
    <row r="4223" spans="42:46">
      <c r="AP4223">
        <v>284150</v>
      </c>
      <c r="AQ4223" t="e">
        <v>#N/A</v>
      </c>
      <c r="AR4223" t="e">
        <v>#N/A</v>
      </c>
      <c r="AS4223" t="e">
        <v>#N/A</v>
      </c>
      <c r="AT4223" t="e">
        <v>#N/A</v>
      </c>
    </row>
    <row r="4224" spans="42:46">
      <c r="AP4224">
        <v>284200</v>
      </c>
      <c r="AQ4224" t="e">
        <v>#N/A</v>
      </c>
      <c r="AR4224" t="e">
        <v>#N/A</v>
      </c>
      <c r="AS4224" t="e">
        <v>#N/A</v>
      </c>
      <c r="AT4224" t="e">
        <v>#N/A</v>
      </c>
    </row>
    <row r="4225" spans="42:46">
      <c r="AP4225">
        <v>284250</v>
      </c>
      <c r="AQ4225" t="e">
        <v>#N/A</v>
      </c>
      <c r="AR4225" t="e">
        <v>#N/A</v>
      </c>
      <c r="AS4225" t="e">
        <v>#N/A</v>
      </c>
      <c r="AT4225" t="e">
        <v>#N/A</v>
      </c>
    </row>
    <row r="4226" spans="42:46">
      <c r="AP4226">
        <v>284300</v>
      </c>
      <c r="AQ4226" t="e">
        <v>#N/A</v>
      </c>
      <c r="AR4226" t="e">
        <v>#N/A</v>
      </c>
      <c r="AS4226" t="e">
        <v>#N/A</v>
      </c>
      <c r="AT4226" t="e">
        <v>#N/A</v>
      </c>
    </row>
    <row r="4227" spans="42:46">
      <c r="AP4227">
        <v>284350</v>
      </c>
      <c r="AQ4227" t="e">
        <v>#N/A</v>
      </c>
      <c r="AR4227" t="e">
        <v>#N/A</v>
      </c>
      <c r="AS4227" t="e">
        <v>#N/A</v>
      </c>
      <c r="AT4227" t="e">
        <v>#N/A</v>
      </c>
    </row>
    <row r="4228" spans="42:46">
      <c r="AP4228">
        <v>284400</v>
      </c>
      <c r="AQ4228" t="e">
        <v>#N/A</v>
      </c>
      <c r="AR4228" t="e">
        <v>#N/A</v>
      </c>
      <c r="AS4228" t="e">
        <v>#N/A</v>
      </c>
      <c r="AT4228" t="e">
        <v>#N/A</v>
      </c>
    </row>
    <row r="4229" spans="42:46">
      <c r="AP4229">
        <v>284450</v>
      </c>
      <c r="AQ4229" t="e">
        <v>#N/A</v>
      </c>
      <c r="AR4229" t="e">
        <v>#N/A</v>
      </c>
      <c r="AS4229" t="e">
        <v>#N/A</v>
      </c>
      <c r="AT4229" t="e">
        <v>#N/A</v>
      </c>
    </row>
    <row r="4230" spans="42:46">
      <c r="AP4230">
        <v>284500</v>
      </c>
      <c r="AQ4230" t="e">
        <v>#N/A</v>
      </c>
      <c r="AR4230" t="e">
        <v>#N/A</v>
      </c>
      <c r="AS4230" t="e">
        <v>#N/A</v>
      </c>
      <c r="AT4230" t="e">
        <v>#N/A</v>
      </c>
    </row>
    <row r="4231" spans="42:46">
      <c r="AP4231">
        <v>284550</v>
      </c>
      <c r="AQ4231" t="e">
        <v>#N/A</v>
      </c>
      <c r="AR4231" t="e">
        <v>#N/A</v>
      </c>
      <c r="AS4231" t="e">
        <v>#N/A</v>
      </c>
      <c r="AT4231" t="e">
        <v>#N/A</v>
      </c>
    </row>
    <row r="4232" spans="42:46">
      <c r="AP4232">
        <v>284600</v>
      </c>
      <c r="AQ4232" t="e">
        <v>#N/A</v>
      </c>
      <c r="AR4232" t="e">
        <v>#N/A</v>
      </c>
      <c r="AS4232" t="e">
        <v>#N/A</v>
      </c>
      <c r="AT4232" t="e">
        <v>#N/A</v>
      </c>
    </row>
    <row r="4233" spans="42:46">
      <c r="AP4233">
        <v>284650</v>
      </c>
      <c r="AQ4233" t="e">
        <v>#N/A</v>
      </c>
      <c r="AR4233" t="e">
        <v>#N/A</v>
      </c>
      <c r="AS4233" t="e">
        <v>#N/A</v>
      </c>
      <c r="AT4233" t="e">
        <v>#N/A</v>
      </c>
    </row>
    <row r="4234" spans="42:46">
      <c r="AP4234">
        <v>284700</v>
      </c>
      <c r="AQ4234" t="e">
        <v>#N/A</v>
      </c>
      <c r="AR4234" t="e">
        <v>#N/A</v>
      </c>
      <c r="AS4234" t="e">
        <v>#N/A</v>
      </c>
      <c r="AT4234" t="e">
        <v>#N/A</v>
      </c>
    </row>
    <row r="4235" spans="42:46">
      <c r="AP4235">
        <v>284750</v>
      </c>
      <c r="AQ4235" t="e">
        <v>#N/A</v>
      </c>
      <c r="AR4235" t="e">
        <v>#N/A</v>
      </c>
      <c r="AS4235" t="e">
        <v>#N/A</v>
      </c>
      <c r="AT4235" t="e">
        <v>#N/A</v>
      </c>
    </row>
    <row r="4236" spans="42:46">
      <c r="AP4236">
        <v>284800</v>
      </c>
      <c r="AQ4236" t="e">
        <v>#N/A</v>
      </c>
      <c r="AR4236" t="e">
        <v>#N/A</v>
      </c>
      <c r="AS4236" t="e">
        <v>#N/A</v>
      </c>
      <c r="AT4236" t="e">
        <v>#N/A</v>
      </c>
    </row>
    <row r="4237" spans="42:46">
      <c r="AP4237">
        <v>284850</v>
      </c>
      <c r="AQ4237" t="e">
        <v>#N/A</v>
      </c>
      <c r="AR4237" t="e">
        <v>#N/A</v>
      </c>
      <c r="AS4237" t="e">
        <v>#N/A</v>
      </c>
      <c r="AT4237" t="e">
        <v>#N/A</v>
      </c>
    </row>
    <row r="4238" spans="42:46">
      <c r="AP4238">
        <v>284900</v>
      </c>
      <c r="AQ4238" t="e">
        <v>#N/A</v>
      </c>
      <c r="AR4238" t="e">
        <v>#N/A</v>
      </c>
      <c r="AS4238" t="e">
        <v>#N/A</v>
      </c>
      <c r="AT4238" t="e">
        <v>#N/A</v>
      </c>
    </row>
    <row r="4239" spans="42:46">
      <c r="AP4239">
        <v>284950</v>
      </c>
      <c r="AQ4239" t="e">
        <v>#N/A</v>
      </c>
      <c r="AR4239" t="e">
        <v>#N/A</v>
      </c>
      <c r="AS4239" t="e">
        <v>#N/A</v>
      </c>
      <c r="AT4239" t="e">
        <v>#N/A</v>
      </c>
    </row>
    <row r="4240" spans="42:46">
      <c r="AP4240">
        <v>285000</v>
      </c>
      <c r="AQ4240" t="e">
        <v>#N/A</v>
      </c>
      <c r="AR4240" t="e">
        <v>#N/A</v>
      </c>
      <c r="AS4240" t="e">
        <v>#N/A</v>
      </c>
      <c r="AT4240" t="e">
        <v>#N/A</v>
      </c>
    </row>
    <row r="4241" spans="42:46">
      <c r="AP4241">
        <v>285050</v>
      </c>
      <c r="AQ4241" t="e">
        <v>#N/A</v>
      </c>
      <c r="AR4241" t="e">
        <v>#N/A</v>
      </c>
      <c r="AS4241" t="e">
        <v>#N/A</v>
      </c>
      <c r="AT4241" t="e">
        <v>#N/A</v>
      </c>
    </row>
    <row r="4242" spans="42:46">
      <c r="AP4242">
        <v>285100</v>
      </c>
      <c r="AQ4242" t="e">
        <v>#N/A</v>
      </c>
      <c r="AR4242" t="e">
        <v>#N/A</v>
      </c>
      <c r="AS4242" t="e">
        <v>#N/A</v>
      </c>
      <c r="AT4242" t="e">
        <v>#N/A</v>
      </c>
    </row>
    <row r="4243" spans="42:46">
      <c r="AP4243">
        <v>285150</v>
      </c>
      <c r="AQ4243" t="e">
        <v>#N/A</v>
      </c>
      <c r="AR4243" t="e">
        <v>#N/A</v>
      </c>
      <c r="AS4243" t="e">
        <v>#N/A</v>
      </c>
      <c r="AT4243" t="e">
        <v>#N/A</v>
      </c>
    </row>
    <row r="4244" spans="42:46">
      <c r="AP4244">
        <v>285200</v>
      </c>
      <c r="AQ4244" t="e">
        <v>#N/A</v>
      </c>
      <c r="AR4244" t="e">
        <v>#N/A</v>
      </c>
      <c r="AS4244" t="e">
        <v>#N/A</v>
      </c>
      <c r="AT4244" t="e">
        <v>#N/A</v>
      </c>
    </row>
    <row r="4245" spans="42:46">
      <c r="AP4245">
        <v>285250</v>
      </c>
      <c r="AQ4245" t="e">
        <v>#N/A</v>
      </c>
      <c r="AR4245" t="e">
        <v>#N/A</v>
      </c>
      <c r="AS4245" t="e">
        <v>#N/A</v>
      </c>
      <c r="AT4245" t="e">
        <v>#N/A</v>
      </c>
    </row>
    <row r="4246" spans="42:46">
      <c r="AP4246">
        <v>285300</v>
      </c>
      <c r="AQ4246" t="e">
        <v>#N/A</v>
      </c>
      <c r="AR4246" t="e">
        <v>#N/A</v>
      </c>
      <c r="AS4246" t="e">
        <v>#N/A</v>
      </c>
      <c r="AT4246" t="e">
        <v>#N/A</v>
      </c>
    </row>
    <row r="4247" spans="42:46">
      <c r="AP4247">
        <v>285350</v>
      </c>
      <c r="AQ4247" t="e">
        <v>#N/A</v>
      </c>
      <c r="AR4247" t="e">
        <v>#N/A</v>
      </c>
      <c r="AS4247" t="e">
        <v>#N/A</v>
      </c>
      <c r="AT4247" t="e">
        <v>#N/A</v>
      </c>
    </row>
    <row r="4248" spans="42:46">
      <c r="AP4248">
        <v>285400</v>
      </c>
      <c r="AQ4248" t="e">
        <v>#N/A</v>
      </c>
      <c r="AR4248" t="e">
        <v>#N/A</v>
      </c>
      <c r="AS4248" t="e">
        <v>#N/A</v>
      </c>
      <c r="AT4248" t="e">
        <v>#N/A</v>
      </c>
    </row>
    <row r="4249" spans="42:46">
      <c r="AP4249">
        <v>285450</v>
      </c>
      <c r="AQ4249" t="e">
        <v>#N/A</v>
      </c>
      <c r="AR4249" t="e">
        <v>#N/A</v>
      </c>
      <c r="AS4249" t="e">
        <v>#N/A</v>
      </c>
      <c r="AT4249" t="e">
        <v>#N/A</v>
      </c>
    </row>
    <row r="4250" spans="42:46">
      <c r="AP4250">
        <v>285500</v>
      </c>
      <c r="AQ4250" t="e">
        <v>#N/A</v>
      </c>
      <c r="AR4250" t="e">
        <v>#N/A</v>
      </c>
      <c r="AS4250" t="e">
        <v>#N/A</v>
      </c>
      <c r="AT4250" t="e">
        <v>#N/A</v>
      </c>
    </row>
    <row r="4251" spans="42:46">
      <c r="AP4251">
        <v>285550</v>
      </c>
      <c r="AQ4251" t="e">
        <v>#N/A</v>
      </c>
      <c r="AR4251" t="e">
        <v>#N/A</v>
      </c>
      <c r="AS4251" t="e">
        <v>#N/A</v>
      </c>
      <c r="AT4251" t="e">
        <v>#N/A</v>
      </c>
    </row>
    <row r="4252" spans="42:46">
      <c r="AP4252">
        <v>285600</v>
      </c>
      <c r="AQ4252" t="e">
        <v>#N/A</v>
      </c>
      <c r="AR4252" t="e">
        <v>#N/A</v>
      </c>
      <c r="AS4252" t="e">
        <v>#N/A</v>
      </c>
      <c r="AT4252" t="e">
        <v>#N/A</v>
      </c>
    </row>
    <row r="4253" spans="42:46">
      <c r="AP4253">
        <v>285650</v>
      </c>
      <c r="AQ4253" t="e">
        <v>#N/A</v>
      </c>
      <c r="AR4253" t="e">
        <v>#N/A</v>
      </c>
      <c r="AS4253" t="e">
        <v>#N/A</v>
      </c>
      <c r="AT4253" t="e">
        <v>#N/A</v>
      </c>
    </row>
    <row r="4254" spans="42:46">
      <c r="AP4254">
        <v>285700</v>
      </c>
      <c r="AQ4254" t="e">
        <v>#N/A</v>
      </c>
      <c r="AR4254" t="e">
        <v>#N/A</v>
      </c>
      <c r="AS4254" t="e">
        <v>#N/A</v>
      </c>
      <c r="AT4254" t="e">
        <v>#N/A</v>
      </c>
    </row>
    <row r="4255" spans="42:46">
      <c r="AP4255">
        <v>285750</v>
      </c>
      <c r="AQ4255" t="e">
        <v>#N/A</v>
      </c>
      <c r="AR4255" t="e">
        <v>#N/A</v>
      </c>
      <c r="AS4255" t="e">
        <v>#N/A</v>
      </c>
      <c r="AT4255" t="e">
        <v>#N/A</v>
      </c>
    </row>
    <row r="4256" spans="42:46">
      <c r="AP4256">
        <v>285800</v>
      </c>
      <c r="AQ4256" t="e">
        <v>#N/A</v>
      </c>
      <c r="AR4256" t="e">
        <v>#N/A</v>
      </c>
      <c r="AS4256" t="e">
        <v>#N/A</v>
      </c>
      <c r="AT4256" t="e">
        <v>#N/A</v>
      </c>
    </row>
    <row r="4257" spans="42:46">
      <c r="AP4257">
        <v>285850</v>
      </c>
      <c r="AQ4257" t="e">
        <v>#N/A</v>
      </c>
      <c r="AR4257" t="e">
        <v>#N/A</v>
      </c>
      <c r="AS4257" t="e">
        <v>#N/A</v>
      </c>
      <c r="AT4257" t="e">
        <v>#N/A</v>
      </c>
    </row>
    <row r="4258" spans="42:46">
      <c r="AP4258">
        <v>285900</v>
      </c>
      <c r="AQ4258" t="e">
        <v>#N/A</v>
      </c>
      <c r="AR4258" t="e">
        <v>#N/A</v>
      </c>
      <c r="AS4258" t="e">
        <v>#N/A</v>
      </c>
      <c r="AT4258" t="e">
        <v>#N/A</v>
      </c>
    </row>
    <row r="4259" spans="42:46">
      <c r="AP4259">
        <v>285950</v>
      </c>
      <c r="AQ4259" t="e">
        <v>#N/A</v>
      </c>
      <c r="AR4259" t="e">
        <v>#N/A</v>
      </c>
      <c r="AS4259" t="e">
        <v>#N/A</v>
      </c>
      <c r="AT4259" t="e">
        <v>#N/A</v>
      </c>
    </row>
    <row r="4260" spans="42:46">
      <c r="AP4260">
        <v>286000</v>
      </c>
      <c r="AQ4260" t="e">
        <v>#N/A</v>
      </c>
      <c r="AR4260" t="e">
        <v>#N/A</v>
      </c>
      <c r="AS4260" t="e">
        <v>#N/A</v>
      </c>
      <c r="AT4260" t="e">
        <v>#N/A</v>
      </c>
    </row>
    <row r="4261" spans="42:46">
      <c r="AP4261">
        <v>286050</v>
      </c>
      <c r="AQ4261" t="e">
        <v>#N/A</v>
      </c>
      <c r="AR4261" t="e">
        <v>#N/A</v>
      </c>
      <c r="AS4261" t="e">
        <v>#N/A</v>
      </c>
      <c r="AT4261" t="e">
        <v>#N/A</v>
      </c>
    </row>
    <row r="4262" spans="42:46">
      <c r="AP4262">
        <v>286100</v>
      </c>
      <c r="AQ4262" t="e">
        <v>#N/A</v>
      </c>
      <c r="AR4262" t="e">
        <v>#N/A</v>
      </c>
      <c r="AS4262" t="e">
        <v>#N/A</v>
      </c>
      <c r="AT4262" t="e">
        <v>#N/A</v>
      </c>
    </row>
    <row r="4263" spans="42:46">
      <c r="AP4263">
        <v>286150</v>
      </c>
      <c r="AQ4263" t="e">
        <v>#N/A</v>
      </c>
      <c r="AR4263" t="e">
        <v>#N/A</v>
      </c>
      <c r="AS4263" t="e">
        <v>#N/A</v>
      </c>
      <c r="AT4263" t="e">
        <v>#N/A</v>
      </c>
    </row>
    <row r="4264" spans="42:46">
      <c r="AP4264">
        <v>286200</v>
      </c>
      <c r="AQ4264" t="e">
        <v>#N/A</v>
      </c>
      <c r="AR4264" t="e">
        <v>#N/A</v>
      </c>
      <c r="AS4264" t="e">
        <v>#N/A</v>
      </c>
      <c r="AT4264" t="e">
        <v>#N/A</v>
      </c>
    </row>
    <row r="4265" spans="42:46">
      <c r="AP4265">
        <v>286250</v>
      </c>
      <c r="AQ4265" t="e">
        <v>#N/A</v>
      </c>
      <c r="AR4265" t="e">
        <v>#N/A</v>
      </c>
      <c r="AS4265" t="e">
        <v>#N/A</v>
      </c>
      <c r="AT4265" t="e">
        <v>#N/A</v>
      </c>
    </row>
    <row r="4266" spans="42:46">
      <c r="AP4266">
        <v>286300</v>
      </c>
      <c r="AQ4266" t="e">
        <v>#N/A</v>
      </c>
      <c r="AR4266" t="e">
        <v>#N/A</v>
      </c>
      <c r="AS4266" t="e">
        <v>#N/A</v>
      </c>
      <c r="AT4266" t="e">
        <v>#N/A</v>
      </c>
    </row>
    <row r="4267" spans="42:46">
      <c r="AP4267">
        <v>286350</v>
      </c>
      <c r="AQ4267" t="e">
        <v>#N/A</v>
      </c>
      <c r="AR4267" t="e">
        <v>#N/A</v>
      </c>
      <c r="AS4267" t="e">
        <v>#N/A</v>
      </c>
      <c r="AT4267" t="e">
        <v>#N/A</v>
      </c>
    </row>
    <row r="4268" spans="42:46">
      <c r="AP4268">
        <v>286400</v>
      </c>
      <c r="AQ4268" t="e">
        <v>#N/A</v>
      </c>
      <c r="AR4268" t="e">
        <v>#N/A</v>
      </c>
      <c r="AS4268" t="e">
        <v>#N/A</v>
      </c>
      <c r="AT4268" t="e">
        <v>#N/A</v>
      </c>
    </row>
    <row r="4269" spans="42:46">
      <c r="AP4269">
        <v>286450</v>
      </c>
      <c r="AQ4269" t="e">
        <v>#N/A</v>
      </c>
      <c r="AR4269" t="e">
        <v>#N/A</v>
      </c>
      <c r="AS4269" t="e">
        <v>#N/A</v>
      </c>
      <c r="AT4269" t="e">
        <v>#N/A</v>
      </c>
    </row>
    <row r="4270" spans="42:46">
      <c r="AP4270">
        <v>286500</v>
      </c>
      <c r="AQ4270" t="e">
        <v>#N/A</v>
      </c>
      <c r="AR4270" t="e">
        <v>#N/A</v>
      </c>
      <c r="AS4270" t="e">
        <v>#N/A</v>
      </c>
      <c r="AT4270" t="e">
        <v>#N/A</v>
      </c>
    </row>
    <row r="4271" spans="42:46">
      <c r="AP4271">
        <v>286550</v>
      </c>
      <c r="AQ4271" t="e">
        <v>#N/A</v>
      </c>
      <c r="AR4271" t="e">
        <v>#N/A</v>
      </c>
      <c r="AS4271" t="e">
        <v>#N/A</v>
      </c>
      <c r="AT4271" t="e">
        <v>#N/A</v>
      </c>
    </row>
    <row r="4272" spans="42:46">
      <c r="AP4272">
        <v>286600</v>
      </c>
      <c r="AQ4272" t="e">
        <v>#N/A</v>
      </c>
      <c r="AR4272" t="e">
        <v>#N/A</v>
      </c>
      <c r="AS4272" t="e">
        <v>#N/A</v>
      </c>
      <c r="AT4272" t="e">
        <v>#N/A</v>
      </c>
    </row>
    <row r="4273" spans="42:46">
      <c r="AP4273">
        <v>286650</v>
      </c>
      <c r="AQ4273" t="e">
        <v>#N/A</v>
      </c>
      <c r="AR4273" t="e">
        <v>#N/A</v>
      </c>
      <c r="AS4273" t="e">
        <v>#N/A</v>
      </c>
      <c r="AT4273" t="e">
        <v>#N/A</v>
      </c>
    </row>
    <row r="4274" spans="42:46">
      <c r="AP4274">
        <v>286700</v>
      </c>
      <c r="AQ4274" t="e">
        <v>#N/A</v>
      </c>
      <c r="AR4274" t="e">
        <v>#N/A</v>
      </c>
      <c r="AS4274" t="e">
        <v>#N/A</v>
      </c>
      <c r="AT4274" t="e">
        <v>#N/A</v>
      </c>
    </row>
    <row r="4275" spans="42:46">
      <c r="AP4275">
        <v>286750</v>
      </c>
      <c r="AQ4275" t="e">
        <v>#N/A</v>
      </c>
      <c r="AR4275" t="e">
        <v>#N/A</v>
      </c>
      <c r="AS4275" t="e">
        <v>#N/A</v>
      </c>
      <c r="AT4275" t="e">
        <v>#N/A</v>
      </c>
    </row>
    <row r="4276" spans="42:46">
      <c r="AP4276">
        <v>286800</v>
      </c>
      <c r="AQ4276" t="e">
        <v>#N/A</v>
      </c>
      <c r="AR4276" t="e">
        <v>#N/A</v>
      </c>
      <c r="AS4276" t="e">
        <v>#N/A</v>
      </c>
      <c r="AT4276" t="e">
        <v>#N/A</v>
      </c>
    </row>
    <row r="4277" spans="42:46">
      <c r="AP4277">
        <v>286850</v>
      </c>
      <c r="AQ4277" t="e">
        <v>#N/A</v>
      </c>
      <c r="AR4277" t="e">
        <v>#N/A</v>
      </c>
      <c r="AS4277" t="e">
        <v>#N/A</v>
      </c>
      <c r="AT4277" t="e">
        <v>#N/A</v>
      </c>
    </row>
    <row r="4278" spans="42:46">
      <c r="AP4278">
        <v>286900</v>
      </c>
      <c r="AQ4278" t="e">
        <v>#N/A</v>
      </c>
      <c r="AR4278" t="e">
        <v>#N/A</v>
      </c>
      <c r="AS4278" t="e">
        <v>#N/A</v>
      </c>
      <c r="AT4278" t="e">
        <v>#N/A</v>
      </c>
    </row>
    <row r="4279" spans="42:46">
      <c r="AP4279">
        <v>286950</v>
      </c>
      <c r="AQ4279" t="e">
        <v>#N/A</v>
      </c>
      <c r="AR4279" t="e">
        <v>#N/A</v>
      </c>
      <c r="AS4279" t="e">
        <v>#N/A</v>
      </c>
      <c r="AT4279" t="e">
        <v>#N/A</v>
      </c>
    </row>
    <row r="4280" spans="42:46">
      <c r="AP4280">
        <v>287000</v>
      </c>
      <c r="AQ4280" t="e">
        <v>#N/A</v>
      </c>
      <c r="AR4280" t="e">
        <v>#N/A</v>
      </c>
      <c r="AS4280" t="e">
        <v>#N/A</v>
      </c>
      <c r="AT4280" t="e">
        <v>#N/A</v>
      </c>
    </row>
    <row r="4281" spans="42:46">
      <c r="AP4281">
        <v>287050</v>
      </c>
      <c r="AQ4281" t="e">
        <v>#N/A</v>
      </c>
      <c r="AR4281" t="e">
        <v>#N/A</v>
      </c>
      <c r="AS4281" t="e">
        <v>#N/A</v>
      </c>
      <c r="AT4281" t="e">
        <v>#N/A</v>
      </c>
    </row>
    <row r="4282" spans="42:46">
      <c r="AP4282">
        <v>287100</v>
      </c>
      <c r="AQ4282" t="e">
        <v>#N/A</v>
      </c>
      <c r="AR4282" t="e">
        <v>#N/A</v>
      </c>
      <c r="AS4282" t="e">
        <v>#N/A</v>
      </c>
      <c r="AT4282" t="e">
        <v>#N/A</v>
      </c>
    </row>
    <row r="4283" spans="42:46">
      <c r="AP4283">
        <v>287150</v>
      </c>
      <c r="AQ4283" t="e">
        <v>#N/A</v>
      </c>
      <c r="AR4283" t="e">
        <v>#N/A</v>
      </c>
      <c r="AS4283" t="e">
        <v>#N/A</v>
      </c>
      <c r="AT4283" t="e">
        <v>#N/A</v>
      </c>
    </row>
    <row r="4284" spans="42:46">
      <c r="AP4284">
        <v>287200</v>
      </c>
      <c r="AQ4284" t="e">
        <v>#N/A</v>
      </c>
      <c r="AR4284" t="e">
        <v>#N/A</v>
      </c>
      <c r="AS4284" t="e">
        <v>#N/A</v>
      </c>
      <c r="AT4284" t="e">
        <v>#N/A</v>
      </c>
    </row>
    <row r="4285" spans="42:46">
      <c r="AP4285">
        <v>287250</v>
      </c>
      <c r="AQ4285" t="e">
        <v>#N/A</v>
      </c>
      <c r="AR4285" t="e">
        <v>#N/A</v>
      </c>
      <c r="AS4285" t="e">
        <v>#N/A</v>
      </c>
      <c r="AT4285" t="e">
        <v>#N/A</v>
      </c>
    </row>
    <row r="4286" spans="42:46">
      <c r="AP4286">
        <v>287300</v>
      </c>
      <c r="AQ4286" t="e">
        <v>#N/A</v>
      </c>
      <c r="AR4286" t="e">
        <v>#N/A</v>
      </c>
      <c r="AS4286" t="e">
        <v>#N/A</v>
      </c>
      <c r="AT4286" t="e">
        <v>#N/A</v>
      </c>
    </row>
    <row r="4287" spans="42:46">
      <c r="AP4287">
        <v>287350</v>
      </c>
      <c r="AQ4287" t="e">
        <v>#N/A</v>
      </c>
      <c r="AR4287" t="e">
        <v>#N/A</v>
      </c>
      <c r="AS4287" t="e">
        <v>#N/A</v>
      </c>
      <c r="AT4287" t="e">
        <v>#N/A</v>
      </c>
    </row>
    <row r="4288" spans="42:46">
      <c r="AP4288">
        <v>287400</v>
      </c>
      <c r="AQ4288" t="e">
        <v>#N/A</v>
      </c>
      <c r="AR4288" t="e">
        <v>#N/A</v>
      </c>
      <c r="AS4288" t="e">
        <v>#N/A</v>
      </c>
      <c r="AT4288" t="e">
        <v>#N/A</v>
      </c>
    </row>
    <row r="4289" spans="42:46">
      <c r="AP4289">
        <v>287450</v>
      </c>
      <c r="AQ4289" t="e">
        <v>#N/A</v>
      </c>
      <c r="AR4289" t="e">
        <v>#N/A</v>
      </c>
      <c r="AS4289" t="e">
        <v>#N/A</v>
      </c>
      <c r="AT4289" t="e">
        <v>#N/A</v>
      </c>
    </row>
    <row r="4290" spans="42:46">
      <c r="AP4290">
        <v>287500</v>
      </c>
      <c r="AQ4290" t="e">
        <v>#N/A</v>
      </c>
      <c r="AR4290" t="e">
        <v>#N/A</v>
      </c>
      <c r="AS4290" t="e">
        <v>#N/A</v>
      </c>
      <c r="AT4290" t="e">
        <v>#N/A</v>
      </c>
    </row>
    <row r="4291" spans="42:46">
      <c r="AP4291">
        <v>287550</v>
      </c>
      <c r="AQ4291" t="e">
        <v>#N/A</v>
      </c>
      <c r="AR4291" t="e">
        <v>#N/A</v>
      </c>
      <c r="AS4291" t="e">
        <v>#N/A</v>
      </c>
      <c r="AT4291" t="e">
        <v>#N/A</v>
      </c>
    </row>
    <row r="4292" spans="42:46">
      <c r="AP4292">
        <v>287600</v>
      </c>
      <c r="AQ4292" t="e">
        <v>#N/A</v>
      </c>
      <c r="AR4292" t="e">
        <v>#N/A</v>
      </c>
      <c r="AS4292" t="e">
        <v>#N/A</v>
      </c>
      <c r="AT4292" t="e">
        <v>#N/A</v>
      </c>
    </row>
    <row r="4293" spans="42:46">
      <c r="AP4293">
        <v>287650</v>
      </c>
      <c r="AQ4293" t="e">
        <v>#N/A</v>
      </c>
      <c r="AR4293" t="e">
        <v>#N/A</v>
      </c>
      <c r="AS4293" t="e">
        <v>#N/A</v>
      </c>
      <c r="AT4293" t="e">
        <v>#N/A</v>
      </c>
    </row>
    <row r="4294" spans="42:46">
      <c r="AP4294">
        <v>287700</v>
      </c>
      <c r="AQ4294" t="e">
        <v>#N/A</v>
      </c>
      <c r="AR4294" t="e">
        <v>#N/A</v>
      </c>
      <c r="AS4294" t="e">
        <v>#N/A</v>
      </c>
      <c r="AT4294" t="e">
        <v>#N/A</v>
      </c>
    </row>
    <row r="4295" spans="42:46">
      <c r="AP4295">
        <v>287750</v>
      </c>
      <c r="AQ4295" t="e">
        <v>#N/A</v>
      </c>
      <c r="AR4295" t="e">
        <v>#N/A</v>
      </c>
      <c r="AS4295" t="e">
        <v>#N/A</v>
      </c>
      <c r="AT4295" t="e">
        <v>#N/A</v>
      </c>
    </row>
    <row r="4296" spans="42:46">
      <c r="AP4296">
        <v>287800</v>
      </c>
      <c r="AQ4296" t="e">
        <v>#N/A</v>
      </c>
      <c r="AR4296" t="e">
        <v>#N/A</v>
      </c>
      <c r="AS4296" t="e">
        <v>#N/A</v>
      </c>
      <c r="AT4296" t="e">
        <v>#N/A</v>
      </c>
    </row>
    <row r="4297" spans="42:46">
      <c r="AP4297">
        <v>287850</v>
      </c>
      <c r="AQ4297" t="e">
        <v>#N/A</v>
      </c>
      <c r="AR4297" t="e">
        <v>#N/A</v>
      </c>
      <c r="AS4297" t="e">
        <v>#N/A</v>
      </c>
      <c r="AT4297" t="e">
        <v>#N/A</v>
      </c>
    </row>
    <row r="4298" spans="42:46">
      <c r="AP4298">
        <v>287900</v>
      </c>
      <c r="AQ4298" t="e">
        <v>#N/A</v>
      </c>
      <c r="AR4298" t="e">
        <v>#N/A</v>
      </c>
      <c r="AS4298" t="e">
        <v>#N/A</v>
      </c>
      <c r="AT4298" t="e">
        <v>#N/A</v>
      </c>
    </row>
    <row r="4299" spans="42:46">
      <c r="AP4299">
        <v>287950</v>
      </c>
      <c r="AQ4299" t="e">
        <v>#N/A</v>
      </c>
      <c r="AR4299" t="e">
        <v>#N/A</v>
      </c>
      <c r="AS4299" t="e">
        <v>#N/A</v>
      </c>
      <c r="AT4299" t="e">
        <v>#N/A</v>
      </c>
    </row>
    <row r="4300" spans="42:46">
      <c r="AP4300">
        <v>288000</v>
      </c>
      <c r="AQ4300" t="e">
        <v>#N/A</v>
      </c>
      <c r="AR4300" t="e">
        <v>#N/A</v>
      </c>
      <c r="AS4300" t="e">
        <v>#N/A</v>
      </c>
      <c r="AT4300" t="e">
        <v>#N/A</v>
      </c>
    </row>
    <row r="4301" spans="42:46">
      <c r="AP4301">
        <v>288050</v>
      </c>
      <c r="AQ4301" t="e">
        <v>#N/A</v>
      </c>
      <c r="AR4301" t="e">
        <v>#N/A</v>
      </c>
      <c r="AS4301" t="e">
        <v>#N/A</v>
      </c>
      <c r="AT4301" t="e">
        <v>#N/A</v>
      </c>
    </row>
    <row r="4302" spans="42:46">
      <c r="AP4302">
        <v>288100</v>
      </c>
      <c r="AQ4302" t="e">
        <v>#N/A</v>
      </c>
      <c r="AR4302" t="e">
        <v>#N/A</v>
      </c>
      <c r="AS4302" t="e">
        <v>#N/A</v>
      </c>
      <c r="AT4302" t="e">
        <v>#N/A</v>
      </c>
    </row>
    <row r="4303" spans="42:46">
      <c r="AP4303">
        <v>288150</v>
      </c>
      <c r="AQ4303" t="e">
        <v>#N/A</v>
      </c>
      <c r="AR4303" t="e">
        <v>#N/A</v>
      </c>
      <c r="AS4303" t="e">
        <v>#N/A</v>
      </c>
      <c r="AT4303" t="e">
        <v>#N/A</v>
      </c>
    </row>
    <row r="4304" spans="42:46">
      <c r="AP4304">
        <v>288200</v>
      </c>
      <c r="AQ4304" t="e">
        <v>#N/A</v>
      </c>
      <c r="AR4304" t="e">
        <v>#N/A</v>
      </c>
      <c r="AS4304" t="e">
        <v>#N/A</v>
      </c>
      <c r="AT4304" t="e">
        <v>#N/A</v>
      </c>
    </row>
    <row r="4305" spans="42:46">
      <c r="AP4305">
        <v>288250</v>
      </c>
      <c r="AQ4305" t="e">
        <v>#N/A</v>
      </c>
      <c r="AR4305" t="e">
        <v>#N/A</v>
      </c>
      <c r="AS4305" t="e">
        <v>#N/A</v>
      </c>
      <c r="AT4305" t="e">
        <v>#N/A</v>
      </c>
    </row>
    <row r="4306" spans="42:46">
      <c r="AP4306">
        <v>288300</v>
      </c>
      <c r="AQ4306" t="e">
        <v>#N/A</v>
      </c>
      <c r="AR4306" t="e">
        <v>#N/A</v>
      </c>
      <c r="AS4306" t="e">
        <v>#N/A</v>
      </c>
      <c r="AT4306" t="e">
        <v>#N/A</v>
      </c>
    </row>
    <row r="4307" spans="42:46">
      <c r="AP4307">
        <v>288350</v>
      </c>
      <c r="AQ4307" t="e">
        <v>#N/A</v>
      </c>
      <c r="AR4307" t="e">
        <v>#N/A</v>
      </c>
      <c r="AS4307" t="e">
        <v>#N/A</v>
      </c>
      <c r="AT4307" t="e">
        <v>#N/A</v>
      </c>
    </row>
    <row r="4308" spans="42:46">
      <c r="AP4308">
        <v>288400</v>
      </c>
      <c r="AQ4308" t="e">
        <v>#N/A</v>
      </c>
      <c r="AR4308" t="e">
        <v>#N/A</v>
      </c>
      <c r="AS4308" t="e">
        <v>#N/A</v>
      </c>
      <c r="AT4308" t="e">
        <v>#N/A</v>
      </c>
    </row>
    <row r="4309" spans="42:46">
      <c r="AP4309">
        <v>288450</v>
      </c>
      <c r="AQ4309" t="e">
        <v>#N/A</v>
      </c>
      <c r="AR4309" t="e">
        <v>#N/A</v>
      </c>
      <c r="AS4309" t="e">
        <v>#N/A</v>
      </c>
      <c r="AT4309" t="e">
        <v>#N/A</v>
      </c>
    </row>
    <row r="4310" spans="42:46">
      <c r="AP4310">
        <v>288500</v>
      </c>
      <c r="AQ4310" t="e">
        <v>#N/A</v>
      </c>
      <c r="AR4310" t="e">
        <v>#N/A</v>
      </c>
      <c r="AS4310" t="e">
        <v>#N/A</v>
      </c>
      <c r="AT4310" t="e">
        <v>#N/A</v>
      </c>
    </row>
    <row r="4311" spans="42:46">
      <c r="AP4311">
        <v>288550</v>
      </c>
      <c r="AQ4311" t="e">
        <v>#N/A</v>
      </c>
      <c r="AR4311" t="e">
        <v>#N/A</v>
      </c>
      <c r="AS4311" t="e">
        <v>#N/A</v>
      </c>
      <c r="AT4311" t="e">
        <v>#N/A</v>
      </c>
    </row>
    <row r="4312" spans="42:46">
      <c r="AP4312">
        <v>288600</v>
      </c>
      <c r="AQ4312" t="e">
        <v>#N/A</v>
      </c>
      <c r="AR4312" t="e">
        <v>#N/A</v>
      </c>
      <c r="AS4312" t="e">
        <v>#N/A</v>
      </c>
      <c r="AT4312" t="e">
        <v>#N/A</v>
      </c>
    </row>
    <row r="4313" spans="42:46">
      <c r="AP4313">
        <v>288650</v>
      </c>
      <c r="AQ4313" t="e">
        <v>#N/A</v>
      </c>
      <c r="AR4313" t="e">
        <v>#N/A</v>
      </c>
      <c r="AS4313" t="e">
        <v>#N/A</v>
      </c>
      <c r="AT4313" t="e">
        <v>#N/A</v>
      </c>
    </row>
    <row r="4314" spans="42:46">
      <c r="AP4314">
        <v>288700</v>
      </c>
      <c r="AQ4314" t="e">
        <v>#N/A</v>
      </c>
      <c r="AR4314" t="e">
        <v>#N/A</v>
      </c>
      <c r="AS4314" t="e">
        <v>#N/A</v>
      </c>
      <c r="AT4314" t="e">
        <v>#N/A</v>
      </c>
    </row>
    <row r="4315" spans="42:46">
      <c r="AP4315">
        <v>288750</v>
      </c>
      <c r="AQ4315" t="e">
        <v>#N/A</v>
      </c>
      <c r="AR4315" t="e">
        <v>#N/A</v>
      </c>
      <c r="AS4315" t="e">
        <v>#N/A</v>
      </c>
      <c r="AT4315" t="e">
        <v>#N/A</v>
      </c>
    </row>
    <row r="4316" spans="42:46">
      <c r="AP4316">
        <v>288800</v>
      </c>
      <c r="AQ4316" t="e">
        <v>#N/A</v>
      </c>
      <c r="AR4316" t="e">
        <v>#N/A</v>
      </c>
      <c r="AS4316" t="e">
        <v>#N/A</v>
      </c>
      <c r="AT4316" t="e">
        <v>#N/A</v>
      </c>
    </row>
    <row r="4317" spans="42:46">
      <c r="AP4317">
        <v>288850</v>
      </c>
      <c r="AQ4317" t="e">
        <v>#N/A</v>
      </c>
      <c r="AR4317" t="e">
        <v>#N/A</v>
      </c>
      <c r="AS4317" t="e">
        <v>#N/A</v>
      </c>
      <c r="AT4317" t="e">
        <v>#N/A</v>
      </c>
    </row>
    <row r="4318" spans="42:46">
      <c r="AP4318">
        <v>288900</v>
      </c>
      <c r="AQ4318" t="e">
        <v>#N/A</v>
      </c>
      <c r="AR4318" t="e">
        <v>#N/A</v>
      </c>
      <c r="AS4318" t="e">
        <v>#N/A</v>
      </c>
      <c r="AT4318" t="e">
        <v>#N/A</v>
      </c>
    </row>
    <row r="4319" spans="42:46">
      <c r="AP4319">
        <v>288950</v>
      </c>
      <c r="AQ4319" t="e">
        <v>#N/A</v>
      </c>
      <c r="AR4319" t="e">
        <v>#N/A</v>
      </c>
      <c r="AS4319" t="e">
        <v>#N/A</v>
      </c>
      <c r="AT4319" t="e">
        <v>#N/A</v>
      </c>
    </row>
    <row r="4320" spans="42:46">
      <c r="AP4320">
        <v>289000</v>
      </c>
      <c r="AQ4320" t="e">
        <v>#N/A</v>
      </c>
      <c r="AR4320" t="e">
        <v>#N/A</v>
      </c>
      <c r="AS4320" t="e">
        <v>#N/A</v>
      </c>
      <c r="AT4320" t="e">
        <v>#N/A</v>
      </c>
    </row>
    <row r="4321" spans="42:46">
      <c r="AP4321">
        <v>289050</v>
      </c>
      <c r="AQ4321" t="e">
        <v>#N/A</v>
      </c>
      <c r="AR4321" t="e">
        <v>#N/A</v>
      </c>
      <c r="AS4321" t="e">
        <v>#N/A</v>
      </c>
      <c r="AT4321" t="e">
        <v>#N/A</v>
      </c>
    </row>
    <row r="4322" spans="42:46">
      <c r="AP4322">
        <v>289100</v>
      </c>
      <c r="AQ4322" t="e">
        <v>#N/A</v>
      </c>
      <c r="AR4322" t="e">
        <v>#N/A</v>
      </c>
      <c r="AS4322" t="e">
        <v>#N/A</v>
      </c>
      <c r="AT4322" t="e">
        <v>#N/A</v>
      </c>
    </row>
    <row r="4323" spans="42:46">
      <c r="AP4323">
        <v>289150</v>
      </c>
      <c r="AQ4323" t="e">
        <v>#N/A</v>
      </c>
      <c r="AR4323" t="e">
        <v>#N/A</v>
      </c>
      <c r="AS4323" t="e">
        <v>#N/A</v>
      </c>
      <c r="AT4323" t="e">
        <v>#N/A</v>
      </c>
    </row>
    <row r="4324" spans="42:46">
      <c r="AP4324">
        <v>289200</v>
      </c>
      <c r="AQ4324" t="e">
        <v>#N/A</v>
      </c>
      <c r="AR4324" t="e">
        <v>#N/A</v>
      </c>
      <c r="AS4324" t="e">
        <v>#N/A</v>
      </c>
      <c r="AT4324" t="e">
        <v>#N/A</v>
      </c>
    </row>
    <row r="4325" spans="42:46">
      <c r="AP4325">
        <v>289250</v>
      </c>
      <c r="AQ4325" t="e">
        <v>#N/A</v>
      </c>
      <c r="AR4325" t="e">
        <v>#N/A</v>
      </c>
      <c r="AS4325" t="e">
        <v>#N/A</v>
      </c>
      <c r="AT4325" t="e">
        <v>#N/A</v>
      </c>
    </row>
    <row r="4326" spans="42:46">
      <c r="AP4326">
        <v>289300</v>
      </c>
      <c r="AQ4326" t="e">
        <v>#N/A</v>
      </c>
      <c r="AR4326" t="e">
        <v>#N/A</v>
      </c>
      <c r="AS4326" t="e">
        <v>#N/A</v>
      </c>
      <c r="AT4326" t="e">
        <v>#N/A</v>
      </c>
    </row>
    <row r="4327" spans="42:46">
      <c r="AP4327">
        <v>289350</v>
      </c>
      <c r="AQ4327" t="e">
        <v>#N/A</v>
      </c>
      <c r="AR4327" t="e">
        <v>#N/A</v>
      </c>
      <c r="AS4327" t="e">
        <v>#N/A</v>
      </c>
      <c r="AT4327" t="e">
        <v>#N/A</v>
      </c>
    </row>
    <row r="4328" spans="42:46">
      <c r="AP4328">
        <v>289400</v>
      </c>
      <c r="AQ4328" t="e">
        <v>#N/A</v>
      </c>
      <c r="AR4328" t="e">
        <v>#N/A</v>
      </c>
      <c r="AS4328" t="e">
        <v>#N/A</v>
      </c>
      <c r="AT4328" t="e">
        <v>#N/A</v>
      </c>
    </row>
    <row r="4329" spans="42:46">
      <c r="AP4329">
        <v>289450</v>
      </c>
      <c r="AQ4329" t="e">
        <v>#N/A</v>
      </c>
      <c r="AR4329" t="e">
        <v>#N/A</v>
      </c>
      <c r="AS4329" t="e">
        <v>#N/A</v>
      </c>
      <c r="AT4329" t="e">
        <v>#N/A</v>
      </c>
    </row>
    <row r="4330" spans="42:46">
      <c r="AP4330">
        <v>289500</v>
      </c>
      <c r="AQ4330" t="e">
        <v>#N/A</v>
      </c>
      <c r="AR4330" t="e">
        <v>#N/A</v>
      </c>
      <c r="AS4330" t="e">
        <v>#N/A</v>
      </c>
      <c r="AT4330" t="e">
        <v>#N/A</v>
      </c>
    </row>
    <row r="4331" spans="42:46">
      <c r="AP4331">
        <v>289550</v>
      </c>
      <c r="AQ4331" t="e">
        <v>#N/A</v>
      </c>
      <c r="AR4331" t="e">
        <v>#N/A</v>
      </c>
      <c r="AS4331" t="e">
        <v>#N/A</v>
      </c>
      <c r="AT4331" t="e">
        <v>#N/A</v>
      </c>
    </row>
    <row r="4332" spans="42:46">
      <c r="AP4332">
        <v>289600</v>
      </c>
      <c r="AQ4332" t="e">
        <v>#N/A</v>
      </c>
      <c r="AR4332" t="e">
        <v>#N/A</v>
      </c>
      <c r="AS4332" t="e">
        <v>#N/A</v>
      </c>
      <c r="AT4332" t="e">
        <v>#N/A</v>
      </c>
    </row>
    <row r="4333" spans="42:46">
      <c r="AP4333">
        <v>289650</v>
      </c>
      <c r="AQ4333" t="e">
        <v>#N/A</v>
      </c>
      <c r="AR4333" t="e">
        <v>#N/A</v>
      </c>
      <c r="AS4333" t="e">
        <v>#N/A</v>
      </c>
      <c r="AT4333" t="e">
        <v>#N/A</v>
      </c>
    </row>
    <row r="4334" spans="42:46">
      <c r="AP4334">
        <v>289700</v>
      </c>
      <c r="AQ4334" t="e">
        <v>#N/A</v>
      </c>
      <c r="AR4334" t="e">
        <v>#N/A</v>
      </c>
      <c r="AS4334" t="e">
        <v>#N/A</v>
      </c>
      <c r="AT4334" t="e">
        <v>#N/A</v>
      </c>
    </row>
    <row r="4335" spans="42:46">
      <c r="AP4335">
        <v>289750</v>
      </c>
      <c r="AQ4335" t="e">
        <v>#N/A</v>
      </c>
      <c r="AR4335" t="e">
        <v>#N/A</v>
      </c>
      <c r="AS4335" t="e">
        <v>#N/A</v>
      </c>
      <c r="AT4335" t="e">
        <v>#N/A</v>
      </c>
    </row>
    <row r="4336" spans="42:46">
      <c r="AP4336">
        <v>289800</v>
      </c>
      <c r="AQ4336" t="e">
        <v>#N/A</v>
      </c>
      <c r="AR4336" t="e">
        <v>#N/A</v>
      </c>
      <c r="AS4336" t="e">
        <v>#N/A</v>
      </c>
      <c r="AT4336" t="e">
        <v>#N/A</v>
      </c>
    </row>
    <row r="4337" spans="42:46">
      <c r="AP4337">
        <v>289850</v>
      </c>
      <c r="AQ4337" t="e">
        <v>#N/A</v>
      </c>
      <c r="AR4337" t="e">
        <v>#N/A</v>
      </c>
      <c r="AS4337" t="e">
        <v>#N/A</v>
      </c>
      <c r="AT4337" t="e">
        <v>#N/A</v>
      </c>
    </row>
    <row r="4338" spans="42:46">
      <c r="AP4338">
        <v>289900</v>
      </c>
      <c r="AQ4338" t="e">
        <v>#N/A</v>
      </c>
      <c r="AR4338" t="e">
        <v>#N/A</v>
      </c>
      <c r="AS4338" t="e">
        <v>#N/A</v>
      </c>
      <c r="AT4338" t="e">
        <v>#N/A</v>
      </c>
    </row>
    <row r="4339" spans="42:46">
      <c r="AP4339">
        <v>289950</v>
      </c>
      <c r="AQ4339" t="e">
        <v>#N/A</v>
      </c>
      <c r="AR4339" t="e">
        <v>#N/A</v>
      </c>
      <c r="AS4339" t="e">
        <v>#N/A</v>
      </c>
      <c r="AT4339" t="e">
        <v>#N/A</v>
      </c>
    </row>
    <row r="4340" spans="42:46">
      <c r="AP4340">
        <v>290000</v>
      </c>
      <c r="AQ4340" t="e">
        <v>#N/A</v>
      </c>
      <c r="AR4340" t="e">
        <v>#N/A</v>
      </c>
      <c r="AS4340" t="e">
        <v>#N/A</v>
      </c>
      <c r="AT4340" t="e">
        <v>#N/A</v>
      </c>
    </row>
    <row r="4341" spans="42:46">
      <c r="AP4341">
        <v>290050</v>
      </c>
      <c r="AQ4341" t="e">
        <v>#N/A</v>
      </c>
      <c r="AR4341" t="e">
        <v>#N/A</v>
      </c>
      <c r="AS4341" t="e">
        <v>#N/A</v>
      </c>
      <c r="AT4341" t="e">
        <v>#N/A</v>
      </c>
    </row>
    <row r="4342" spans="42:46">
      <c r="AP4342">
        <v>290100</v>
      </c>
      <c r="AQ4342" t="e">
        <v>#N/A</v>
      </c>
      <c r="AR4342" t="e">
        <v>#N/A</v>
      </c>
      <c r="AS4342" t="e">
        <v>#N/A</v>
      </c>
      <c r="AT4342" t="e">
        <v>#N/A</v>
      </c>
    </row>
    <row r="4343" spans="42:46">
      <c r="AP4343">
        <v>290150</v>
      </c>
      <c r="AQ4343" t="e">
        <v>#N/A</v>
      </c>
      <c r="AR4343" t="e">
        <v>#N/A</v>
      </c>
      <c r="AS4343" t="e">
        <v>#N/A</v>
      </c>
      <c r="AT4343" t="e">
        <v>#N/A</v>
      </c>
    </row>
    <row r="4344" spans="42:46">
      <c r="AP4344">
        <v>290200</v>
      </c>
      <c r="AQ4344" t="e">
        <v>#N/A</v>
      </c>
      <c r="AR4344" t="e">
        <v>#N/A</v>
      </c>
      <c r="AS4344" t="e">
        <v>#N/A</v>
      </c>
      <c r="AT4344" t="e">
        <v>#N/A</v>
      </c>
    </row>
    <row r="4345" spans="42:46">
      <c r="AP4345">
        <v>290250</v>
      </c>
      <c r="AQ4345" t="e">
        <v>#N/A</v>
      </c>
      <c r="AR4345" t="e">
        <v>#N/A</v>
      </c>
      <c r="AS4345" t="e">
        <v>#N/A</v>
      </c>
      <c r="AT4345" t="e">
        <v>#N/A</v>
      </c>
    </row>
    <row r="4346" spans="42:46">
      <c r="AP4346">
        <v>290300</v>
      </c>
      <c r="AQ4346" t="e">
        <v>#N/A</v>
      </c>
      <c r="AR4346" t="e">
        <v>#N/A</v>
      </c>
      <c r="AS4346" t="e">
        <v>#N/A</v>
      </c>
      <c r="AT4346" t="e">
        <v>#N/A</v>
      </c>
    </row>
    <row r="4347" spans="42:46">
      <c r="AP4347">
        <v>290350</v>
      </c>
      <c r="AQ4347" t="e">
        <v>#N/A</v>
      </c>
      <c r="AR4347" t="e">
        <v>#N/A</v>
      </c>
      <c r="AS4347" t="e">
        <v>#N/A</v>
      </c>
      <c r="AT4347" t="e">
        <v>#N/A</v>
      </c>
    </row>
    <row r="4348" spans="42:46">
      <c r="AP4348">
        <v>290400</v>
      </c>
      <c r="AQ4348" t="e">
        <v>#N/A</v>
      </c>
      <c r="AR4348" t="e">
        <v>#N/A</v>
      </c>
      <c r="AS4348" t="e">
        <v>#N/A</v>
      </c>
      <c r="AT4348" t="e">
        <v>#N/A</v>
      </c>
    </row>
    <row r="4349" spans="42:46">
      <c r="AP4349">
        <v>290450</v>
      </c>
      <c r="AQ4349" t="e">
        <v>#N/A</v>
      </c>
      <c r="AR4349" t="e">
        <v>#N/A</v>
      </c>
      <c r="AS4349" t="e">
        <v>#N/A</v>
      </c>
      <c r="AT4349" t="e">
        <v>#N/A</v>
      </c>
    </row>
    <row r="4350" spans="42:46">
      <c r="AP4350">
        <v>290500</v>
      </c>
      <c r="AQ4350" t="e">
        <v>#N/A</v>
      </c>
      <c r="AR4350" t="e">
        <v>#N/A</v>
      </c>
      <c r="AS4350" t="e">
        <v>#N/A</v>
      </c>
      <c r="AT4350" t="e">
        <v>#N/A</v>
      </c>
    </row>
    <row r="4351" spans="42:46">
      <c r="AP4351">
        <v>290550</v>
      </c>
      <c r="AQ4351" t="e">
        <v>#N/A</v>
      </c>
      <c r="AR4351" t="e">
        <v>#N/A</v>
      </c>
      <c r="AS4351" t="e">
        <v>#N/A</v>
      </c>
      <c r="AT4351" t="e">
        <v>#N/A</v>
      </c>
    </row>
    <row r="4352" spans="42:46">
      <c r="AP4352">
        <v>290600</v>
      </c>
      <c r="AQ4352" t="e">
        <v>#N/A</v>
      </c>
      <c r="AR4352" t="e">
        <v>#N/A</v>
      </c>
      <c r="AS4352" t="e">
        <v>#N/A</v>
      </c>
      <c r="AT4352" t="e">
        <v>#N/A</v>
      </c>
    </row>
    <row r="4353" spans="42:46">
      <c r="AP4353">
        <v>290650</v>
      </c>
      <c r="AQ4353" t="e">
        <v>#N/A</v>
      </c>
      <c r="AR4353" t="e">
        <v>#N/A</v>
      </c>
      <c r="AS4353" t="e">
        <v>#N/A</v>
      </c>
      <c r="AT4353" t="e">
        <v>#N/A</v>
      </c>
    </row>
    <row r="4354" spans="42:46">
      <c r="AP4354">
        <v>290700</v>
      </c>
      <c r="AQ4354" t="e">
        <v>#N/A</v>
      </c>
      <c r="AR4354" t="e">
        <v>#N/A</v>
      </c>
      <c r="AS4354" t="e">
        <v>#N/A</v>
      </c>
      <c r="AT4354" t="e">
        <v>#N/A</v>
      </c>
    </row>
    <row r="4355" spans="42:46">
      <c r="AP4355">
        <v>290750</v>
      </c>
      <c r="AQ4355" t="e">
        <v>#N/A</v>
      </c>
      <c r="AR4355" t="e">
        <v>#N/A</v>
      </c>
      <c r="AS4355" t="e">
        <v>#N/A</v>
      </c>
      <c r="AT4355" t="e">
        <v>#N/A</v>
      </c>
    </row>
    <row r="4356" spans="42:46">
      <c r="AP4356">
        <v>290800</v>
      </c>
      <c r="AQ4356" t="e">
        <v>#N/A</v>
      </c>
      <c r="AR4356" t="e">
        <v>#N/A</v>
      </c>
      <c r="AS4356" t="e">
        <v>#N/A</v>
      </c>
      <c r="AT4356" t="e">
        <v>#N/A</v>
      </c>
    </row>
    <row r="4357" spans="42:46">
      <c r="AP4357">
        <v>290850</v>
      </c>
      <c r="AQ4357" t="e">
        <v>#N/A</v>
      </c>
      <c r="AR4357" t="e">
        <v>#N/A</v>
      </c>
      <c r="AS4357" t="e">
        <v>#N/A</v>
      </c>
      <c r="AT4357" t="e">
        <v>#N/A</v>
      </c>
    </row>
    <row r="4358" spans="42:46">
      <c r="AP4358">
        <v>290900</v>
      </c>
      <c r="AQ4358" t="e">
        <v>#N/A</v>
      </c>
      <c r="AR4358" t="e">
        <v>#N/A</v>
      </c>
      <c r="AS4358" t="e">
        <v>#N/A</v>
      </c>
      <c r="AT4358" t="e">
        <v>#N/A</v>
      </c>
    </row>
    <row r="4359" spans="42:46">
      <c r="AP4359">
        <v>290950</v>
      </c>
      <c r="AQ4359" t="e">
        <v>#N/A</v>
      </c>
      <c r="AR4359" t="e">
        <v>#N/A</v>
      </c>
      <c r="AS4359" t="e">
        <v>#N/A</v>
      </c>
      <c r="AT4359" t="e">
        <v>#N/A</v>
      </c>
    </row>
    <row r="4360" spans="42:46">
      <c r="AP4360">
        <v>291000</v>
      </c>
      <c r="AQ4360" t="e">
        <v>#N/A</v>
      </c>
      <c r="AR4360" t="e">
        <v>#N/A</v>
      </c>
      <c r="AS4360" t="e">
        <v>#N/A</v>
      </c>
      <c r="AT4360" t="e">
        <v>#N/A</v>
      </c>
    </row>
    <row r="4361" spans="42:46">
      <c r="AP4361">
        <v>291050</v>
      </c>
      <c r="AQ4361" t="e">
        <v>#N/A</v>
      </c>
      <c r="AR4361" t="e">
        <v>#N/A</v>
      </c>
      <c r="AS4361" t="e">
        <v>#N/A</v>
      </c>
      <c r="AT4361" t="e">
        <v>#N/A</v>
      </c>
    </row>
    <row r="4362" spans="42:46">
      <c r="AP4362">
        <v>291100</v>
      </c>
      <c r="AQ4362" t="e">
        <v>#N/A</v>
      </c>
      <c r="AR4362" t="e">
        <v>#N/A</v>
      </c>
      <c r="AS4362" t="e">
        <v>#N/A</v>
      </c>
      <c r="AT4362" t="e">
        <v>#N/A</v>
      </c>
    </row>
    <row r="4363" spans="42:46">
      <c r="AP4363">
        <v>291150</v>
      </c>
      <c r="AQ4363" t="e">
        <v>#N/A</v>
      </c>
      <c r="AR4363" t="e">
        <v>#N/A</v>
      </c>
      <c r="AS4363" t="e">
        <v>#N/A</v>
      </c>
      <c r="AT4363" t="e">
        <v>#N/A</v>
      </c>
    </row>
    <row r="4364" spans="42:46">
      <c r="AP4364">
        <v>291200</v>
      </c>
      <c r="AQ4364" t="e">
        <v>#N/A</v>
      </c>
      <c r="AR4364" t="e">
        <v>#N/A</v>
      </c>
      <c r="AS4364" t="e">
        <v>#N/A</v>
      </c>
      <c r="AT4364" t="e">
        <v>#N/A</v>
      </c>
    </row>
    <row r="4365" spans="42:46">
      <c r="AP4365">
        <v>291250</v>
      </c>
      <c r="AQ4365" t="e">
        <v>#N/A</v>
      </c>
      <c r="AR4365" t="e">
        <v>#N/A</v>
      </c>
      <c r="AS4365" t="e">
        <v>#N/A</v>
      </c>
      <c r="AT4365" t="e">
        <v>#N/A</v>
      </c>
    </row>
    <row r="4366" spans="42:46">
      <c r="AP4366">
        <v>291300</v>
      </c>
      <c r="AQ4366" t="e">
        <v>#N/A</v>
      </c>
      <c r="AR4366" t="e">
        <v>#N/A</v>
      </c>
      <c r="AS4366" t="e">
        <v>#N/A</v>
      </c>
      <c r="AT4366" t="e">
        <v>#N/A</v>
      </c>
    </row>
    <row r="4367" spans="42:46">
      <c r="AP4367">
        <v>291350</v>
      </c>
      <c r="AQ4367" t="e">
        <v>#N/A</v>
      </c>
      <c r="AR4367" t="e">
        <v>#N/A</v>
      </c>
      <c r="AS4367" t="e">
        <v>#N/A</v>
      </c>
      <c r="AT4367" t="e">
        <v>#N/A</v>
      </c>
    </row>
    <row r="4368" spans="42:46">
      <c r="AP4368">
        <v>291400</v>
      </c>
      <c r="AQ4368" t="e">
        <v>#N/A</v>
      </c>
      <c r="AR4368" t="e">
        <v>#N/A</v>
      </c>
      <c r="AS4368" t="e">
        <v>#N/A</v>
      </c>
      <c r="AT4368" t="e">
        <v>#N/A</v>
      </c>
    </row>
    <row r="4369" spans="42:46">
      <c r="AP4369">
        <v>291450</v>
      </c>
      <c r="AQ4369" t="e">
        <v>#N/A</v>
      </c>
      <c r="AR4369" t="e">
        <v>#N/A</v>
      </c>
      <c r="AS4369" t="e">
        <v>#N/A</v>
      </c>
      <c r="AT4369" t="e">
        <v>#N/A</v>
      </c>
    </row>
    <row r="4370" spans="42:46">
      <c r="AP4370">
        <v>291500</v>
      </c>
      <c r="AQ4370" t="e">
        <v>#N/A</v>
      </c>
      <c r="AR4370" t="e">
        <v>#N/A</v>
      </c>
      <c r="AS4370" t="e">
        <v>#N/A</v>
      </c>
      <c r="AT4370" t="e">
        <v>#N/A</v>
      </c>
    </row>
    <row r="4371" spans="42:46">
      <c r="AP4371">
        <v>291550</v>
      </c>
      <c r="AQ4371" t="e">
        <v>#N/A</v>
      </c>
      <c r="AR4371" t="e">
        <v>#N/A</v>
      </c>
      <c r="AS4371" t="e">
        <v>#N/A</v>
      </c>
      <c r="AT4371" t="e">
        <v>#N/A</v>
      </c>
    </row>
    <row r="4372" spans="42:46">
      <c r="AP4372">
        <v>291600</v>
      </c>
      <c r="AQ4372" t="e">
        <v>#N/A</v>
      </c>
      <c r="AR4372" t="e">
        <v>#N/A</v>
      </c>
      <c r="AS4372" t="e">
        <v>#N/A</v>
      </c>
      <c r="AT4372" t="e">
        <v>#N/A</v>
      </c>
    </row>
    <row r="4373" spans="42:46">
      <c r="AP4373">
        <v>291650</v>
      </c>
      <c r="AQ4373" t="e">
        <v>#N/A</v>
      </c>
      <c r="AR4373" t="e">
        <v>#N/A</v>
      </c>
      <c r="AS4373" t="e">
        <v>#N/A</v>
      </c>
      <c r="AT4373" t="e">
        <v>#N/A</v>
      </c>
    </row>
    <row r="4374" spans="42:46">
      <c r="AP4374">
        <v>291700</v>
      </c>
      <c r="AQ4374" t="e">
        <v>#N/A</v>
      </c>
      <c r="AR4374" t="e">
        <v>#N/A</v>
      </c>
      <c r="AS4374" t="e">
        <v>#N/A</v>
      </c>
      <c r="AT4374" t="e">
        <v>#N/A</v>
      </c>
    </row>
    <row r="4375" spans="42:46">
      <c r="AP4375">
        <v>291750</v>
      </c>
      <c r="AQ4375" t="e">
        <v>#N/A</v>
      </c>
      <c r="AR4375" t="e">
        <v>#N/A</v>
      </c>
      <c r="AS4375" t="e">
        <v>#N/A</v>
      </c>
      <c r="AT4375" t="e">
        <v>#N/A</v>
      </c>
    </row>
    <row r="4376" spans="42:46">
      <c r="AP4376">
        <v>291800</v>
      </c>
      <c r="AQ4376" t="e">
        <v>#N/A</v>
      </c>
      <c r="AR4376" t="e">
        <v>#N/A</v>
      </c>
      <c r="AS4376" t="e">
        <v>#N/A</v>
      </c>
      <c r="AT4376" t="e">
        <v>#N/A</v>
      </c>
    </row>
    <row r="4377" spans="42:46">
      <c r="AP4377">
        <v>291850</v>
      </c>
      <c r="AQ4377" t="e">
        <v>#N/A</v>
      </c>
      <c r="AR4377" t="e">
        <v>#N/A</v>
      </c>
      <c r="AS4377" t="e">
        <v>#N/A</v>
      </c>
      <c r="AT4377" t="e">
        <v>#N/A</v>
      </c>
    </row>
    <row r="4378" spans="42:46">
      <c r="AP4378">
        <v>291900</v>
      </c>
      <c r="AQ4378" t="e">
        <v>#N/A</v>
      </c>
      <c r="AR4378" t="e">
        <v>#N/A</v>
      </c>
      <c r="AS4378" t="e">
        <v>#N/A</v>
      </c>
      <c r="AT4378" t="e">
        <v>#N/A</v>
      </c>
    </row>
    <row r="4379" spans="42:46">
      <c r="AP4379">
        <v>291950</v>
      </c>
      <c r="AQ4379" t="e">
        <v>#N/A</v>
      </c>
      <c r="AR4379" t="e">
        <v>#N/A</v>
      </c>
      <c r="AS4379" t="e">
        <v>#N/A</v>
      </c>
      <c r="AT4379" t="e">
        <v>#N/A</v>
      </c>
    </row>
    <row r="4380" spans="42:46">
      <c r="AP4380">
        <v>292000</v>
      </c>
      <c r="AQ4380" t="e">
        <v>#N/A</v>
      </c>
      <c r="AR4380" t="e">
        <v>#N/A</v>
      </c>
      <c r="AS4380" t="e">
        <v>#N/A</v>
      </c>
      <c r="AT4380" t="e">
        <v>#N/A</v>
      </c>
    </row>
    <row r="4381" spans="42:46">
      <c r="AP4381">
        <v>292050</v>
      </c>
      <c r="AQ4381" t="e">
        <v>#N/A</v>
      </c>
      <c r="AR4381" t="e">
        <v>#N/A</v>
      </c>
      <c r="AS4381" t="e">
        <v>#N/A</v>
      </c>
      <c r="AT4381" t="e">
        <v>#N/A</v>
      </c>
    </row>
    <row r="4382" spans="42:46">
      <c r="AP4382">
        <v>292100</v>
      </c>
      <c r="AQ4382" t="e">
        <v>#N/A</v>
      </c>
      <c r="AR4382" t="e">
        <v>#N/A</v>
      </c>
      <c r="AS4382" t="e">
        <v>#N/A</v>
      </c>
      <c r="AT4382" t="e">
        <v>#N/A</v>
      </c>
    </row>
    <row r="4383" spans="42:46">
      <c r="AP4383">
        <v>292150</v>
      </c>
      <c r="AQ4383" t="e">
        <v>#N/A</v>
      </c>
      <c r="AR4383" t="e">
        <v>#N/A</v>
      </c>
      <c r="AS4383" t="e">
        <v>#N/A</v>
      </c>
      <c r="AT4383" t="e">
        <v>#N/A</v>
      </c>
    </row>
    <row r="4384" spans="42:46">
      <c r="AP4384">
        <v>292200</v>
      </c>
      <c r="AQ4384" t="e">
        <v>#N/A</v>
      </c>
      <c r="AR4384" t="e">
        <v>#N/A</v>
      </c>
      <c r="AS4384" t="e">
        <v>#N/A</v>
      </c>
      <c r="AT4384" t="e">
        <v>#N/A</v>
      </c>
    </row>
    <row r="4385" spans="42:46">
      <c r="AP4385">
        <v>292250</v>
      </c>
      <c r="AQ4385" t="e">
        <v>#N/A</v>
      </c>
      <c r="AR4385" t="e">
        <v>#N/A</v>
      </c>
      <c r="AS4385" t="e">
        <v>#N/A</v>
      </c>
      <c r="AT4385" t="e">
        <v>#N/A</v>
      </c>
    </row>
    <row r="4386" spans="42:46">
      <c r="AP4386">
        <v>292300</v>
      </c>
      <c r="AQ4386" t="e">
        <v>#N/A</v>
      </c>
      <c r="AR4386" t="e">
        <v>#N/A</v>
      </c>
      <c r="AS4386" t="e">
        <v>#N/A</v>
      </c>
      <c r="AT4386" t="e">
        <v>#N/A</v>
      </c>
    </row>
    <row r="4387" spans="42:46">
      <c r="AP4387">
        <v>292350</v>
      </c>
      <c r="AQ4387" t="e">
        <v>#N/A</v>
      </c>
      <c r="AR4387" t="e">
        <v>#N/A</v>
      </c>
      <c r="AS4387" t="e">
        <v>#N/A</v>
      </c>
      <c r="AT4387" t="e">
        <v>#N/A</v>
      </c>
    </row>
    <row r="4388" spans="42:46">
      <c r="AP4388">
        <v>292400</v>
      </c>
      <c r="AQ4388" t="e">
        <v>#N/A</v>
      </c>
      <c r="AR4388" t="e">
        <v>#N/A</v>
      </c>
      <c r="AS4388" t="e">
        <v>#N/A</v>
      </c>
      <c r="AT4388" t="e">
        <v>#N/A</v>
      </c>
    </row>
    <row r="4389" spans="42:46">
      <c r="AP4389">
        <v>292450</v>
      </c>
      <c r="AQ4389" t="e">
        <v>#N/A</v>
      </c>
      <c r="AR4389" t="e">
        <v>#N/A</v>
      </c>
      <c r="AS4389" t="e">
        <v>#N/A</v>
      </c>
      <c r="AT4389" t="e">
        <v>#N/A</v>
      </c>
    </row>
    <row r="4390" spans="42:46">
      <c r="AP4390">
        <v>292500</v>
      </c>
      <c r="AQ4390" t="e">
        <v>#N/A</v>
      </c>
      <c r="AR4390" t="e">
        <v>#N/A</v>
      </c>
      <c r="AS4390" t="e">
        <v>#N/A</v>
      </c>
      <c r="AT4390" t="e">
        <v>#N/A</v>
      </c>
    </row>
    <row r="4391" spans="42:46">
      <c r="AP4391">
        <v>292550</v>
      </c>
      <c r="AQ4391" t="e">
        <v>#N/A</v>
      </c>
      <c r="AR4391" t="e">
        <v>#N/A</v>
      </c>
      <c r="AS4391" t="e">
        <v>#N/A</v>
      </c>
      <c r="AT4391" t="e">
        <v>#N/A</v>
      </c>
    </row>
    <row r="4392" spans="42:46">
      <c r="AP4392">
        <v>292600</v>
      </c>
      <c r="AQ4392" t="e">
        <v>#N/A</v>
      </c>
      <c r="AR4392" t="e">
        <v>#N/A</v>
      </c>
      <c r="AS4392" t="e">
        <v>#N/A</v>
      </c>
      <c r="AT4392" t="e">
        <v>#N/A</v>
      </c>
    </row>
    <row r="4393" spans="42:46">
      <c r="AP4393">
        <v>292650</v>
      </c>
      <c r="AQ4393" t="e">
        <v>#N/A</v>
      </c>
      <c r="AR4393" t="e">
        <v>#N/A</v>
      </c>
      <c r="AS4393" t="e">
        <v>#N/A</v>
      </c>
      <c r="AT4393" t="e">
        <v>#N/A</v>
      </c>
    </row>
    <row r="4394" spans="42:46">
      <c r="AP4394">
        <v>292700</v>
      </c>
      <c r="AQ4394" t="e">
        <v>#N/A</v>
      </c>
      <c r="AR4394" t="e">
        <v>#N/A</v>
      </c>
      <c r="AS4394" t="e">
        <v>#N/A</v>
      </c>
      <c r="AT4394" t="e">
        <v>#N/A</v>
      </c>
    </row>
    <row r="4395" spans="42:46">
      <c r="AP4395">
        <v>292750</v>
      </c>
      <c r="AQ4395" t="e">
        <v>#N/A</v>
      </c>
      <c r="AR4395" t="e">
        <v>#N/A</v>
      </c>
      <c r="AS4395" t="e">
        <v>#N/A</v>
      </c>
      <c r="AT4395" t="e">
        <v>#N/A</v>
      </c>
    </row>
    <row r="4396" spans="42:46">
      <c r="AP4396">
        <v>292800</v>
      </c>
      <c r="AQ4396" t="e">
        <v>#N/A</v>
      </c>
      <c r="AR4396" t="e">
        <v>#N/A</v>
      </c>
      <c r="AS4396" t="e">
        <v>#N/A</v>
      </c>
      <c r="AT4396" t="e">
        <v>#N/A</v>
      </c>
    </row>
    <row r="4397" spans="42:46">
      <c r="AP4397">
        <v>292850</v>
      </c>
      <c r="AQ4397" t="e">
        <v>#N/A</v>
      </c>
      <c r="AR4397" t="e">
        <v>#N/A</v>
      </c>
      <c r="AS4397" t="e">
        <v>#N/A</v>
      </c>
      <c r="AT4397" t="e">
        <v>#N/A</v>
      </c>
    </row>
    <row r="4398" spans="42:46">
      <c r="AP4398">
        <v>292900</v>
      </c>
      <c r="AQ4398" t="e">
        <v>#N/A</v>
      </c>
      <c r="AR4398" t="e">
        <v>#N/A</v>
      </c>
      <c r="AS4398" t="e">
        <v>#N/A</v>
      </c>
      <c r="AT4398" t="e">
        <v>#N/A</v>
      </c>
    </row>
    <row r="4399" spans="42:46">
      <c r="AP4399">
        <v>292950</v>
      </c>
      <c r="AQ4399" t="e">
        <v>#N/A</v>
      </c>
      <c r="AR4399" t="e">
        <v>#N/A</v>
      </c>
      <c r="AS4399" t="e">
        <v>#N/A</v>
      </c>
      <c r="AT4399" t="e">
        <v>#N/A</v>
      </c>
    </row>
    <row r="4400" spans="42:46">
      <c r="AP4400">
        <v>293000</v>
      </c>
      <c r="AQ4400" t="e">
        <v>#N/A</v>
      </c>
      <c r="AR4400" t="e">
        <v>#N/A</v>
      </c>
      <c r="AS4400" t="e">
        <v>#N/A</v>
      </c>
      <c r="AT4400" t="e">
        <v>#N/A</v>
      </c>
    </row>
    <row r="4401" spans="42:46">
      <c r="AP4401">
        <v>293050</v>
      </c>
      <c r="AQ4401" t="e">
        <v>#N/A</v>
      </c>
      <c r="AR4401" t="e">
        <v>#N/A</v>
      </c>
      <c r="AS4401" t="e">
        <v>#N/A</v>
      </c>
      <c r="AT4401" t="e">
        <v>#N/A</v>
      </c>
    </row>
    <row r="4402" spans="42:46">
      <c r="AP4402">
        <v>293100</v>
      </c>
      <c r="AQ4402" t="e">
        <v>#N/A</v>
      </c>
      <c r="AR4402" t="e">
        <v>#N/A</v>
      </c>
      <c r="AS4402" t="e">
        <v>#N/A</v>
      </c>
      <c r="AT4402" t="e">
        <v>#N/A</v>
      </c>
    </row>
    <row r="4403" spans="42:46">
      <c r="AP4403">
        <v>293150</v>
      </c>
      <c r="AQ4403" t="e">
        <v>#N/A</v>
      </c>
      <c r="AR4403" t="e">
        <v>#N/A</v>
      </c>
      <c r="AS4403" t="e">
        <v>#N/A</v>
      </c>
      <c r="AT4403" t="e">
        <v>#N/A</v>
      </c>
    </row>
    <row r="4404" spans="42:46">
      <c r="AP4404">
        <v>293200</v>
      </c>
      <c r="AQ4404" t="e">
        <v>#N/A</v>
      </c>
      <c r="AR4404" t="e">
        <v>#N/A</v>
      </c>
      <c r="AS4404" t="e">
        <v>#N/A</v>
      </c>
      <c r="AT4404" t="e">
        <v>#N/A</v>
      </c>
    </row>
    <row r="4405" spans="42:46">
      <c r="AP4405">
        <v>293250</v>
      </c>
      <c r="AQ4405" t="e">
        <v>#N/A</v>
      </c>
      <c r="AR4405" t="e">
        <v>#N/A</v>
      </c>
      <c r="AS4405" t="e">
        <v>#N/A</v>
      </c>
      <c r="AT4405" t="e">
        <v>#N/A</v>
      </c>
    </row>
    <row r="4406" spans="42:46">
      <c r="AP4406">
        <v>293300</v>
      </c>
      <c r="AQ4406" t="e">
        <v>#N/A</v>
      </c>
      <c r="AR4406" t="e">
        <v>#N/A</v>
      </c>
      <c r="AS4406" t="e">
        <v>#N/A</v>
      </c>
      <c r="AT4406" t="e">
        <v>#N/A</v>
      </c>
    </row>
    <row r="4407" spans="42:46">
      <c r="AP4407">
        <v>293350</v>
      </c>
      <c r="AQ4407" t="e">
        <v>#N/A</v>
      </c>
      <c r="AR4407" t="e">
        <v>#N/A</v>
      </c>
      <c r="AS4407" t="e">
        <v>#N/A</v>
      </c>
      <c r="AT4407" t="e">
        <v>#N/A</v>
      </c>
    </row>
    <row r="4408" spans="42:46">
      <c r="AP4408">
        <v>293400</v>
      </c>
      <c r="AQ4408" t="e">
        <v>#N/A</v>
      </c>
      <c r="AR4408" t="e">
        <v>#N/A</v>
      </c>
      <c r="AS4408" t="e">
        <v>#N/A</v>
      </c>
      <c r="AT4408" t="e">
        <v>#N/A</v>
      </c>
    </row>
    <row r="4409" spans="42:46">
      <c r="AP4409">
        <v>293450</v>
      </c>
      <c r="AQ4409" t="e">
        <v>#N/A</v>
      </c>
      <c r="AR4409" t="e">
        <v>#N/A</v>
      </c>
      <c r="AS4409" t="e">
        <v>#N/A</v>
      </c>
      <c r="AT4409" t="e">
        <v>#N/A</v>
      </c>
    </row>
    <row r="4410" spans="42:46">
      <c r="AP4410">
        <v>293500</v>
      </c>
      <c r="AQ4410" t="e">
        <v>#N/A</v>
      </c>
      <c r="AR4410" t="e">
        <v>#N/A</v>
      </c>
      <c r="AS4410" t="e">
        <v>#N/A</v>
      </c>
      <c r="AT4410" t="e">
        <v>#N/A</v>
      </c>
    </row>
    <row r="4411" spans="42:46">
      <c r="AP4411">
        <v>293550</v>
      </c>
      <c r="AQ4411" t="e">
        <v>#N/A</v>
      </c>
      <c r="AR4411" t="e">
        <v>#N/A</v>
      </c>
      <c r="AS4411" t="e">
        <v>#N/A</v>
      </c>
      <c r="AT4411" t="e">
        <v>#N/A</v>
      </c>
    </row>
    <row r="4412" spans="42:46">
      <c r="AP4412">
        <v>293600</v>
      </c>
      <c r="AQ4412" t="e">
        <v>#N/A</v>
      </c>
      <c r="AR4412" t="e">
        <v>#N/A</v>
      </c>
      <c r="AS4412" t="e">
        <v>#N/A</v>
      </c>
      <c r="AT4412" t="e">
        <v>#N/A</v>
      </c>
    </row>
    <row r="4413" spans="42:46">
      <c r="AP4413">
        <v>293650</v>
      </c>
      <c r="AQ4413" t="e">
        <v>#N/A</v>
      </c>
      <c r="AR4413" t="e">
        <v>#N/A</v>
      </c>
      <c r="AS4413" t="e">
        <v>#N/A</v>
      </c>
      <c r="AT4413" t="e">
        <v>#N/A</v>
      </c>
    </row>
    <row r="4414" spans="42:46">
      <c r="AP4414">
        <v>293700</v>
      </c>
      <c r="AQ4414" t="e">
        <v>#N/A</v>
      </c>
      <c r="AR4414" t="e">
        <v>#N/A</v>
      </c>
      <c r="AS4414" t="e">
        <v>#N/A</v>
      </c>
      <c r="AT4414" t="e">
        <v>#N/A</v>
      </c>
    </row>
    <row r="4415" spans="42:46">
      <c r="AP4415">
        <v>293750</v>
      </c>
      <c r="AQ4415" t="e">
        <v>#N/A</v>
      </c>
      <c r="AR4415" t="e">
        <v>#N/A</v>
      </c>
      <c r="AS4415" t="e">
        <v>#N/A</v>
      </c>
      <c r="AT4415" t="e">
        <v>#N/A</v>
      </c>
    </row>
    <row r="4416" spans="42:46">
      <c r="AP4416">
        <v>293800</v>
      </c>
      <c r="AQ4416" t="e">
        <v>#N/A</v>
      </c>
      <c r="AR4416" t="e">
        <v>#N/A</v>
      </c>
      <c r="AS4416" t="e">
        <v>#N/A</v>
      </c>
      <c r="AT4416" t="e">
        <v>#N/A</v>
      </c>
    </row>
    <row r="4417" spans="42:46">
      <c r="AP4417">
        <v>293850</v>
      </c>
      <c r="AQ4417" t="e">
        <v>#N/A</v>
      </c>
      <c r="AR4417" t="e">
        <v>#N/A</v>
      </c>
      <c r="AS4417" t="e">
        <v>#N/A</v>
      </c>
      <c r="AT4417" t="e">
        <v>#N/A</v>
      </c>
    </row>
    <row r="4418" spans="42:46">
      <c r="AP4418">
        <v>293900</v>
      </c>
      <c r="AQ4418" t="e">
        <v>#N/A</v>
      </c>
      <c r="AR4418" t="e">
        <v>#N/A</v>
      </c>
      <c r="AS4418" t="e">
        <v>#N/A</v>
      </c>
      <c r="AT4418" t="e">
        <v>#N/A</v>
      </c>
    </row>
    <row r="4419" spans="42:46">
      <c r="AP4419">
        <v>293950</v>
      </c>
      <c r="AQ4419" t="e">
        <v>#N/A</v>
      </c>
      <c r="AR4419" t="e">
        <v>#N/A</v>
      </c>
      <c r="AS4419" t="e">
        <v>#N/A</v>
      </c>
      <c r="AT4419" t="e">
        <v>#N/A</v>
      </c>
    </row>
    <row r="4420" spans="42:46">
      <c r="AP4420">
        <v>294000</v>
      </c>
      <c r="AQ4420" t="e">
        <v>#N/A</v>
      </c>
      <c r="AR4420" t="e">
        <v>#N/A</v>
      </c>
      <c r="AS4420" t="e">
        <v>#N/A</v>
      </c>
      <c r="AT4420" t="e">
        <v>#N/A</v>
      </c>
    </row>
    <row r="4421" spans="42:46">
      <c r="AP4421">
        <v>294050</v>
      </c>
      <c r="AQ4421" t="e">
        <v>#N/A</v>
      </c>
      <c r="AR4421" t="e">
        <v>#N/A</v>
      </c>
      <c r="AS4421" t="e">
        <v>#N/A</v>
      </c>
      <c r="AT4421" t="e">
        <v>#N/A</v>
      </c>
    </row>
    <row r="4422" spans="42:46">
      <c r="AP4422">
        <v>294100</v>
      </c>
      <c r="AQ4422" t="e">
        <v>#N/A</v>
      </c>
      <c r="AR4422" t="e">
        <v>#N/A</v>
      </c>
      <c r="AS4422" t="e">
        <v>#N/A</v>
      </c>
      <c r="AT4422" t="e">
        <v>#N/A</v>
      </c>
    </row>
    <row r="4423" spans="42:46">
      <c r="AP4423">
        <v>294150</v>
      </c>
      <c r="AQ4423" t="e">
        <v>#N/A</v>
      </c>
      <c r="AR4423" t="e">
        <v>#N/A</v>
      </c>
      <c r="AS4423" t="e">
        <v>#N/A</v>
      </c>
      <c r="AT4423" t="e">
        <v>#N/A</v>
      </c>
    </row>
    <row r="4424" spans="42:46">
      <c r="AP4424">
        <v>294200</v>
      </c>
      <c r="AQ4424" t="e">
        <v>#N/A</v>
      </c>
      <c r="AR4424" t="e">
        <v>#N/A</v>
      </c>
      <c r="AS4424" t="e">
        <v>#N/A</v>
      </c>
      <c r="AT4424" t="e">
        <v>#N/A</v>
      </c>
    </row>
    <row r="4425" spans="42:46">
      <c r="AP4425">
        <v>294250</v>
      </c>
      <c r="AQ4425" t="e">
        <v>#N/A</v>
      </c>
      <c r="AR4425" t="e">
        <v>#N/A</v>
      </c>
      <c r="AS4425" t="e">
        <v>#N/A</v>
      </c>
      <c r="AT4425" t="e">
        <v>#N/A</v>
      </c>
    </row>
    <row r="4426" spans="42:46">
      <c r="AP4426">
        <v>294300</v>
      </c>
      <c r="AQ4426" t="e">
        <v>#N/A</v>
      </c>
      <c r="AR4426" t="e">
        <v>#N/A</v>
      </c>
      <c r="AS4426" t="e">
        <v>#N/A</v>
      </c>
      <c r="AT4426" t="e">
        <v>#N/A</v>
      </c>
    </row>
    <row r="4427" spans="42:46">
      <c r="AP4427">
        <v>294350</v>
      </c>
      <c r="AQ4427" t="e">
        <v>#N/A</v>
      </c>
      <c r="AR4427" t="e">
        <v>#N/A</v>
      </c>
      <c r="AS4427" t="e">
        <v>#N/A</v>
      </c>
      <c r="AT4427" t="e">
        <v>#N/A</v>
      </c>
    </row>
    <row r="4428" spans="42:46">
      <c r="AP4428">
        <v>294400</v>
      </c>
      <c r="AQ4428" t="e">
        <v>#N/A</v>
      </c>
      <c r="AR4428" t="e">
        <v>#N/A</v>
      </c>
      <c r="AS4428" t="e">
        <v>#N/A</v>
      </c>
      <c r="AT4428" t="e">
        <v>#N/A</v>
      </c>
    </row>
    <row r="4429" spans="42:46">
      <c r="AP4429">
        <v>294450</v>
      </c>
      <c r="AQ4429" t="e">
        <v>#N/A</v>
      </c>
      <c r="AR4429" t="e">
        <v>#N/A</v>
      </c>
      <c r="AS4429" t="e">
        <v>#N/A</v>
      </c>
      <c r="AT4429" t="e">
        <v>#N/A</v>
      </c>
    </row>
    <row r="4430" spans="42:46">
      <c r="AP4430">
        <v>294500</v>
      </c>
      <c r="AQ4430" t="e">
        <v>#N/A</v>
      </c>
      <c r="AR4430" t="e">
        <v>#N/A</v>
      </c>
      <c r="AS4430" t="e">
        <v>#N/A</v>
      </c>
      <c r="AT4430" t="e">
        <v>#N/A</v>
      </c>
    </row>
    <row r="4431" spans="42:46">
      <c r="AP4431">
        <v>294550</v>
      </c>
      <c r="AQ4431" t="e">
        <v>#N/A</v>
      </c>
      <c r="AR4431" t="e">
        <v>#N/A</v>
      </c>
      <c r="AS4431" t="e">
        <v>#N/A</v>
      </c>
      <c r="AT4431" t="e">
        <v>#N/A</v>
      </c>
    </row>
    <row r="4432" spans="42:46">
      <c r="AP4432">
        <v>294600</v>
      </c>
      <c r="AQ4432" t="e">
        <v>#N/A</v>
      </c>
      <c r="AR4432" t="e">
        <v>#N/A</v>
      </c>
      <c r="AS4432" t="e">
        <v>#N/A</v>
      </c>
      <c r="AT4432" t="e">
        <v>#N/A</v>
      </c>
    </row>
    <row r="4433" spans="42:46">
      <c r="AP4433">
        <v>294650</v>
      </c>
      <c r="AQ4433" t="e">
        <v>#N/A</v>
      </c>
      <c r="AR4433" t="e">
        <v>#N/A</v>
      </c>
      <c r="AS4433" t="e">
        <v>#N/A</v>
      </c>
      <c r="AT4433" t="e">
        <v>#N/A</v>
      </c>
    </row>
    <row r="4434" spans="42:46">
      <c r="AP4434">
        <v>294700</v>
      </c>
      <c r="AQ4434" t="e">
        <v>#N/A</v>
      </c>
      <c r="AR4434" t="e">
        <v>#N/A</v>
      </c>
      <c r="AS4434" t="e">
        <v>#N/A</v>
      </c>
      <c r="AT4434" t="e">
        <v>#N/A</v>
      </c>
    </row>
    <row r="4435" spans="42:46">
      <c r="AP4435">
        <v>294750</v>
      </c>
      <c r="AQ4435" t="e">
        <v>#N/A</v>
      </c>
      <c r="AR4435" t="e">
        <v>#N/A</v>
      </c>
      <c r="AS4435" t="e">
        <v>#N/A</v>
      </c>
      <c r="AT4435" t="e">
        <v>#N/A</v>
      </c>
    </row>
    <row r="4436" spans="42:46">
      <c r="AP4436">
        <v>294800</v>
      </c>
      <c r="AQ4436" t="e">
        <v>#N/A</v>
      </c>
      <c r="AR4436" t="e">
        <v>#N/A</v>
      </c>
      <c r="AS4436" t="e">
        <v>#N/A</v>
      </c>
      <c r="AT4436" t="e">
        <v>#N/A</v>
      </c>
    </row>
    <row r="4437" spans="42:46">
      <c r="AP4437">
        <v>294850</v>
      </c>
      <c r="AQ4437" t="e">
        <v>#N/A</v>
      </c>
      <c r="AR4437" t="e">
        <v>#N/A</v>
      </c>
      <c r="AS4437" t="e">
        <v>#N/A</v>
      </c>
      <c r="AT4437" t="e">
        <v>#N/A</v>
      </c>
    </row>
    <row r="4438" spans="42:46">
      <c r="AP4438">
        <v>294900</v>
      </c>
      <c r="AQ4438" t="e">
        <v>#N/A</v>
      </c>
      <c r="AR4438" t="e">
        <v>#N/A</v>
      </c>
      <c r="AS4438" t="e">
        <v>#N/A</v>
      </c>
      <c r="AT4438" t="e">
        <v>#N/A</v>
      </c>
    </row>
    <row r="4439" spans="42:46">
      <c r="AP4439">
        <v>294950</v>
      </c>
      <c r="AQ4439" t="e">
        <v>#N/A</v>
      </c>
      <c r="AR4439" t="e">
        <v>#N/A</v>
      </c>
      <c r="AS4439" t="e">
        <v>#N/A</v>
      </c>
      <c r="AT4439" t="e">
        <v>#N/A</v>
      </c>
    </row>
    <row r="4440" spans="42:46">
      <c r="AP4440">
        <v>295000</v>
      </c>
      <c r="AQ4440" t="e">
        <v>#N/A</v>
      </c>
      <c r="AR4440" t="e">
        <v>#N/A</v>
      </c>
      <c r="AS4440" t="e">
        <v>#N/A</v>
      </c>
      <c r="AT4440" t="e">
        <v>#N/A</v>
      </c>
    </row>
    <row r="4441" spans="42:46">
      <c r="AP4441">
        <v>295050</v>
      </c>
      <c r="AQ4441" t="e">
        <v>#N/A</v>
      </c>
      <c r="AR4441" t="e">
        <v>#N/A</v>
      </c>
      <c r="AS4441" t="e">
        <v>#N/A</v>
      </c>
      <c r="AT4441" t="e">
        <v>#N/A</v>
      </c>
    </row>
    <row r="4442" spans="42:46">
      <c r="AP4442">
        <v>295100</v>
      </c>
      <c r="AQ4442" t="e">
        <v>#N/A</v>
      </c>
      <c r="AR4442" t="e">
        <v>#N/A</v>
      </c>
      <c r="AS4442" t="e">
        <v>#N/A</v>
      </c>
      <c r="AT4442" t="e">
        <v>#N/A</v>
      </c>
    </row>
    <row r="4443" spans="42:46">
      <c r="AP4443">
        <v>295150</v>
      </c>
      <c r="AQ4443" t="e">
        <v>#N/A</v>
      </c>
      <c r="AR4443" t="e">
        <v>#N/A</v>
      </c>
      <c r="AS4443" t="e">
        <v>#N/A</v>
      </c>
      <c r="AT4443" t="e">
        <v>#N/A</v>
      </c>
    </row>
    <row r="4444" spans="42:46">
      <c r="AP4444">
        <v>295200</v>
      </c>
      <c r="AQ4444" t="e">
        <v>#N/A</v>
      </c>
      <c r="AR4444" t="e">
        <v>#N/A</v>
      </c>
      <c r="AS4444" t="e">
        <v>#N/A</v>
      </c>
      <c r="AT4444" t="e">
        <v>#N/A</v>
      </c>
    </row>
    <row r="4445" spans="42:46">
      <c r="AP4445">
        <v>295250</v>
      </c>
      <c r="AQ4445" t="e">
        <v>#N/A</v>
      </c>
      <c r="AR4445" t="e">
        <v>#N/A</v>
      </c>
      <c r="AS4445" t="e">
        <v>#N/A</v>
      </c>
      <c r="AT4445" t="e">
        <v>#N/A</v>
      </c>
    </row>
    <row r="4446" spans="42:46">
      <c r="AP4446">
        <v>295300</v>
      </c>
      <c r="AQ4446" t="e">
        <v>#N/A</v>
      </c>
      <c r="AR4446" t="e">
        <v>#N/A</v>
      </c>
      <c r="AS4446" t="e">
        <v>#N/A</v>
      </c>
      <c r="AT4446" t="e">
        <v>#N/A</v>
      </c>
    </row>
    <row r="4447" spans="42:46">
      <c r="AP4447">
        <v>295350</v>
      </c>
      <c r="AQ4447" t="e">
        <v>#N/A</v>
      </c>
      <c r="AR4447" t="e">
        <v>#N/A</v>
      </c>
      <c r="AS4447" t="e">
        <v>#N/A</v>
      </c>
      <c r="AT4447" t="e">
        <v>#N/A</v>
      </c>
    </row>
    <row r="4448" spans="42:46">
      <c r="AP4448">
        <v>295400</v>
      </c>
      <c r="AQ4448" t="e">
        <v>#N/A</v>
      </c>
      <c r="AR4448" t="e">
        <v>#N/A</v>
      </c>
      <c r="AS4448" t="e">
        <v>#N/A</v>
      </c>
      <c r="AT4448" t="e">
        <v>#N/A</v>
      </c>
    </row>
    <row r="4449" spans="42:46">
      <c r="AP4449">
        <v>295450</v>
      </c>
      <c r="AQ4449" t="e">
        <v>#N/A</v>
      </c>
      <c r="AR4449" t="e">
        <v>#N/A</v>
      </c>
      <c r="AS4449" t="e">
        <v>#N/A</v>
      </c>
      <c r="AT4449" t="e">
        <v>#N/A</v>
      </c>
    </row>
    <row r="4450" spans="42:46">
      <c r="AP4450">
        <v>295500</v>
      </c>
      <c r="AQ4450" t="e">
        <v>#N/A</v>
      </c>
      <c r="AR4450" t="e">
        <v>#N/A</v>
      </c>
      <c r="AS4450" t="e">
        <v>#N/A</v>
      </c>
      <c r="AT4450" t="e">
        <v>#N/A</v>
      </c>
    </row>
    <row r="4451" spans="42:46">
      <c r="AP4451">
        <v>295550</v>
      </c>
      <c r="AQ4451" t="e">
        <v>#N/A</v>
      </c>
      <c r="AR4451" t="e">
        <v>#N/A</v>
      </c>
      <c r="AS4451" t="e">
        <v>#N/A</v>
      </c>
      <c r="AT4451" t="e">
        <v>#N/A</v>
      </c>
    </row>
    <row r="4452" spans="42:46">
      <c r="AP4452">
        <v>295600</v>
      </c>
      <c r="AQ4452" t="e">
        <v>#N/A</v>
      </c>
      <c r="AR4452" t="e">
        <v>#N/A</v>
      </c>
      <c r="AS4452" t="e">
        <v>#N/A</v>
      </c>
      <c r="AT4452" t="e">
        <v>#N/A</v>
      </c>
    </row>
    <row r="4453" spans="42:46">
      <c r="AP4453">
        <v>295650</v>
      </c>
      <c r="AQ4453" t="e">
        <v>#N/A</v>
      </c>
      <c r="AR4453" t="e">
        <v>#N/A</v>
      </c>
      <c r="AS4453" t="e">
        <v>#N/A</v>
      </c>
      <c r="AT4453" t="e">
        <v>#N/A</v>
      </c>
    </row>
    <row r="4454" spans="42:46">
      <c r="AP4454">
        <v>295700</v>
      </c>
      <c r="AQ4454" t="e">
        <v>#N/A</v>
      </c>
      <c r="AR4454" t="e">
        <v>#N/A</v>
      </c>
      <c r="AS4454" t="e">
        <v>#N/A</v>
      </c>
      <c r="AT4454" t="e">
        <v>#N/A</v>
      </c>
    </row>
    <row r="4455" spans="42:46">
      <c r="AP4455">
        <v>295750</v>
      </c>
      <c r="AQ4455" t="e">
        <v>#N/A</v>
      </c>
      <c r="AR4455" t="e">
        <v>#N/A</v>
      </c>
      <c r="AS4455" t="e">
        <v>#N/A</v>
      </c>
      <c r="AT4455" t="e">
        <v>#N/A</v>
      </c>
    </row>
    <row r="4456" spans="42:46">
      <c r="AP4456">
        <v>295800</v>
      </c>
      <c r="AQ4456" t="e">
        <v>#N/A</v>
      </c>
      <c r="AR4456" t="e">
        <v>#N/A</v>
      </c>
      <c r="AS4456" t="e">
        <v>#N/A</v>
      </c>
      <c r="AT4456" t="e">
        <v>#N/A</v>
      </c>
    </row>
    <row r="4457" spans="42:46">
      <c r="AP4457">
        <v>295850</v>
      </c>
      <c r="AQ4457" t="e">
        <v>#N/A</v>
      </c>
      <c r="AR4457" t="e">
        <v>#N/A</v>
      </c>
      <c r="AS4457" t="e">
        <v>#N/A</v>
      </c>
      <c r="AT4457" t="e">
        <v>#N/A</v>
      </c>
    </row>
    <row r="4458" spans="42:46">
      <c r="AP4458">
        <v>295900</v>
      </c>
      <c r="AQ4458" t="e">
        <v>#N/A</v>
      </c>
      <c r="AR4458" t="e">
        <v>#N/A</v>
      </c>
      <c r="AS4458" t="e">
        <v>#N/A</v>
      </c>
      <c r="AT4458" t="e">
        <v>#N/A</v>
      </c>
    </row>
    <row r="4459" spans="42:46">
      <c r="AP4459">
        <v>295950</v>
      </c>
      <c r="AQ4459" t="e">
        <v>#N/A</v>
      </c>
      <c r="AR4459" t="e">
        <v>#N/A</v>
      </c>
      <c r="AS4459" t="e">
        <v>#N/A</v>
      </c>
      <c r="AT4459" t="e">
        <v>#N/A</v>
      </c>
    </row>
    <row r="4460" spans="42:46">
      <c r="AP4460">
        <v>296000</v>
      </c>
      <c r="AQ4460" t="e">
        <v>#N/A</v>
      </c>
      <c r="AR4460" t="e">
        <v>#N/A</v>
      </c>
      <c r="AS4460" t="e">
        <v>#N/A</v>
      </c>
      <c r="AT4460" t="e">
        <v>#N/A</v>
      </c>
    </row>
    <row r="4461" spans="42:46">
      <c r="AP4461">
        <v>296050</v>
      </c>
      <c r="AQ4461" t="e">
        <v>#N/A</v>
      </c>
      <c r="AR4461" t="e">
        <v>#N/A</v>
      </c>
      <c r="AS4461" t="e">
        <v>#N/A</v>
      </c>
      <c r="AT4461" t="e">
        <v>#N/A</v>
      </c>
    </row>
    <row r="4462" spans="42:46">
      <c r="AP4462">
        <v>296100</v>
      </c>
      <c r="AQ4462" t="e">
        <v>#N/A</v>
      </c>
      <c r="AR4462" t="e">
        <v>#N/A</v>
      </c>
      <c r="AS4462" t="e">
        <v>#N/A</v>
      </c>
      <c r="AT4462" t="e">
        <v>#N/A</v>
      </c>
    </row>
    <row r="4463" spans="42:46">
      <c r="AP4463">
        <v>296150</v>
      </c>
      <c r="AQ4463" t="e">
        <v>#N/A</v>
      </c>
      <c r="AR4463" t="e">
        <v>#N/A</v>
      </c>
      <c r="AS4463" t="e">
        <v>#N/A</v>
      </c>
      <c r="AT4463" t="e">
        <v>#N/A</v>
      </c>
    </row>
    <row r="4464" spans="42:46">
      <c r="AP4464">
        <v>296200</v>
      </c>
      <c r="AQ4464" t="e">
        <v>#N/A</v>
      </c>
      <c r="AR4464" t="e">
        <v>#N/A</v>
      </c>
      <c r="AS4464" t="e">
        <v>#N/A</v>
      </c>
      <c r="AT4464" t="e">
        <v>#N/A</v>
      </c>
    </row>
    <row r="4465" spans="42:46">
      <c r="AP4465">
        <v>296250</v>
      </c>
      <c r="AQ4465" t="e">
        <v>#N/A</v>
      </c>
      <c r="AR4465" t="e">
        <v>#N/A</v>
      </c>
      <c r="AS4465" t="e">
        <v>#N/A</v>
      </c>
      <c r="AT4465" t="e">
        <v>#N/A</v>
      </c>
    </row>
    <row r="4466" spans="42:46">
      <c r="AP4466">
        <v>296300</v>
      </c>
      <c r="AQ4466" t="e">
        <v>#N/A</v>
      </c>
      <c r="AR4466" t="e">
        <v>#N/A</v>
      </c>
      <c r="AS4466" t="e">
        <v>#N/A</v>
      </c>
      <c r="AT4466" t="e">
        <v>#N/A</v>
      </c>
    </row>
    <row r="4467" spans="42:46">
      <c r="AP4467">
        <v>296350</v>
      </c>
      <c r="AQ4467" t="e">
        <v>#N/A</v>
      </c>
      <c r="AR4467" t="e">
        <v>#N/A</v>
      </c>
      <c r="AS4467" t="e">
        <v>#N/A</v>
      </c>
      <c r="AT4467" t="e">
        <v>#N/A</v>
      </c>
    </row>
    <row r="4468" spans="42:46">
      <c r="AP4468">
        <v>296400</v>
      </c>
      <c r="AQ4468" t="e">
        <v>#N/A</v>
      </c>
      <c r="AR4468" t="e">
        <v>#N/A</v>
      </c>
      <c r="AS4468" t="e">
        <v>#N/A</v>
      </c>
      <c r="AT4468" t="e">
        <v>#N/A</v>
      </c>
    </row>
    <row r="4469" spans="42:46">
      <c r="AP4469">
        <v>296450</v>
      </c>
      <c r="AQ4469" t="e">
        <v>#N/A</v>
      </c>
      <c r="AR4469" t="e">
        <v>#N/A</v>
      </c>
      <c r="AS4469" t="e">
        <v>#N/A</v>
      </c>
      <c r="AT4469" t="e">
        <v>#N/A</v>
      </c>
    </row>
    <row r="4470" spans="42:46">
      <c r="AP4470">
        <v>296500</v>
      </c>
      <c r="AQ4470" t="e">
        <v>#N/A</v>
      </c>
      <c r="AR4470" t="e">
        <v>#N/A</v>
      </c>
      <c r="AS4470" t="e">
        <v>#N/A</v>
      </c>
      <c r="AT4470" t="e">
        <v>#N/A</v>
      </c>
    </row>
    <row r="4471" spans="42:46">
      <c r="AP4471">
        <v>296550</v>
      </c>
      <c r="AQ4471" t="e">
        <v>#N/A</v>
      </c>
      <c r="AR4471" t="e">
        <v>#N/A</v>
      </c>
      <c r="AS4471" t="e">
        <v>#N/A</v>
      </c>
      <c r="AT4471" t="e">
        <v>#N/A</v>
      </c>
    </row>
    <row r="4472" spans="42:46">
      <c r="AP4472">
        <v>296600</v>
      </c>
      <c r="AQ4472" t="e">
        <v>#N/A</v>
      </c>
      <c r="AR4472" t="e">
        <v>#N/A</v>
      </c>
      <c r="AS4472" t="e">
        <v>#N/A</v>
      </c>
      <c r="AT4472" t="e">
        <v>#N/A</v>
      </c>
    </row>
    <row r="4473" spans="42:46">
      <c r="AP4473">
        <v>296650</v>
      </c>
      <c r="AQ4473" t="e">
        <v>#N/A</v>
      </c>
      <c r="AR4473" t="e">
        <v>#N/A</v>
      </c>
      <c r="AS4473" t="e">
        <v>#N/A</v>
      </c>
      <c r="AT4473" t="e">
        <v>#N/A</v>
      </c>
    </row>
    <row r="4474" spans="42:46">
      <c r="AP4474">
        <v>296700</v>
      </c>
      <c r="AQ4474" t="e">
        <v>#N/A</v>
      </c>
      <c r="AR4474" t="e">
        <v>#N/A</v>
      </c>
      <c r="AS4474" t="e">
        <v>#N/A</v>
      </c>
      <c r="AT4474" t="e">
        <v>#N/A</v>
      </c>
    </row>
    <row r="4475" spans="42:46">
      <c r="AP4475">
        <v>296750</v>
      </c>
      <c r="AQ4475" t="e">
        <v>#N/A</v>
      </c>
      <c r="AR4475" t="e">
        <v>#N/A</v>
      </c>
      <c r="AS4475" t="e">
        <v>#N/A</v>
      </c>
      <c r="AT4475" t="e">
        <v>#N/A</v>
      </c>
    </row>
    <row r="4476" spans="42:46">
      <c r="AP4476">
        <v>296800</v>
      </c>
      <c r="AQ4476" t="e">
        <v>#N/A</v>
      </c>
      <c r="AR4476" t="e">
        <v>#N/A</v>
      </c>
      <c r="AS4476" t="e">
        <v>#N/A</v>
      </c>
      <c r="AT4476" t="e">
        <v>#N/A</v>
      </c>
    </row>
    <row r="4477" spans="42:46">
      <c r="AP4477">
        <v>296850</v>
      </c>
      <c r="AQ4477" t="e">
        <v>#N/A</v>
      </c>
      <c r="AR4477" t="e">
        <v>#N/A</v>
      </c>
      <c r="AS4477" t="e">
        <v>#N/A</v>
      </c>
      <c r="AT4477" t="e">
        <v>#N/A</v>
      </c>
    </row>
    <row r="4478" spans="42:46">
      <c r="AP4478">
        <v>296900</v>
      </c>
      <c r="AQ4478" t="e">
        <v>#N/A</v>
      </c>
      <c r="AR4478" t="e">
        <v>#N/A</v>
      </c>
      <c r="AS4478" t="e">
        <v>#N/A</v>
      </c>
      <c r="AT4478" t="e">
        <v>#N/A</v>
      </c>
    </row>
    <row r="4479" spans="42:46">
      <c r="AP4479">
        <v>296950</v>
      </c>
      <c r="AQ4479" t="e">
        <v>#N/A</v>
      </c>
      <c r="AR4479" t="e">
        <v>#N/A</v>
      </c>
      <c r="AS4479" t="e">
        <v>#N/A</v>
      </c>
      <c r="AT4479" t="e">
        <v>#N/A</v>
      </c>
    </row>
    <row r="4480" spans="42:46">
      <c r="AP4480">
        <v>297000</v>
      </c>
      <c r="AQ4480" t="e">
        <v>#N/A</v>
      </c>
      <c r="AR4480" t="e">
        <v>#N/A</v>
      </c>
      <c r="AS4480" t="e">
        <v>#N/A</v>
      </c>
      <c r="AT4480" t="e">
        <v>#N/A</v>
      </c>
    </row>
    <row r="4481" spans="42:46">
      <c r="AP4481">
        <v>297050</v>
      </c>
      <c r="AQ4481" t="e">
        <v>#N/A</v>
      </c>
      <c r="AR4481" t="e">
        <v>#N/A</v>
      </c>
      <c r="AS4481" t="e">
        <v>#N/A</v>
      </c>
      <c r="AT4481" t="e">
        <v>#N/A</v>
      </c>
    </row>
    <row r="4482" spans="42:46">
      <c r="AP4482">
        <v>297100</v>
      </c>
      <c r="AQ4482" t="e">
        <v>#N/A</v>
      </c>
      <c r="AR4482" t="e">
        <v>#N/A</v>
      </c>
      <c r="AS4482" t="e">
        <v>#N/A</v>
      </c>
      <c r="AT4482" t="e">
        <v>#N/A</v>
      </c>
    </row>
    <row r="4483" spans="42:46">
      <c r="AP4483">
        <v>297150</v>
      </c>
      <c r="AQ4483" t="e">
        <v>#N/A</v>
      </c>
      <c r="AR4483" t="e">
        <v>#N/A</v>
      </c>
      <c r="AS4483" t="e">
        <v>#N/A</v>
      </c>
      <c r="AT4483" t="e">
        <v>#N/A</v>
      </c>
    </row>
    <row r="4484" spans="42:46">
      <c r="AP4484">
        <v>297200</v>
      </c>
      <c r="AQ4484" t="e">
        <v>#N/A</v>
      </c>
      <c r="AR4484" t="e">
        <v>#N/A</v>
      </c>
      <c r="AS4484" t="e">
        <v>#N/A</v>
      </c>
      <c r="AT4484" t="e">
        <v>#N/A</v>
      </c>
    </row>
    <row r="4485" spans="42:46">
      <c r="AP4485">
        <v>297250</v>
      </c>
      <c r="AQ4485" t="e">
        <v>#N/A</v>
      </c>
      <c r="AR4485" t="e">
        <v>#N/A</v>
      </c>
      <c r="AS4485" t="e">
        <v>#N/A</v>
      </c>
      <c r="AT4485" t="e">
        <v>#N/A</v>
      </c>
    </row>
    <row r="4486" spans="42:46">
      <c r="AP4486">
        <v>297300</v>
      </c>
      <c r="AQ4486" t="e">
        <v>#N/A</v>
      </c>
      <c r="AR4486" t="e">
        <v>#N/A</v>
      </c>
      <c r="AS4486" t="e">
        <v>#N/A</v>
      </c>
      <c r="AT4486" t="e">
        <v>#N/A</v>
      </c>
    </row>
    <row r="4487" spans="42:46">
      <c r="AP4487">
        <v>297350</v>
      </c>
      <c r="AQ4487" t="e">
        <v>#N/A</v>
      </c>
      <c r="AR4487" t="e">
        <v>#N/A</v>
      </c>
      <c r="AS4487" t="e">
        <v>#N/A</v>
      </c>
      <c r="AT4487" t="e">
        <v>#N/A</v>
      </c>
    </row>
    <row r="4488" spans="42:46">
      <c r="AP4488">
        <v>297400</v>
      </c>
      <c r="AQ4488" t="e">
        <v>#N/A</v>
      </c>
      <c r="AR4488" t="e">
        <v>#N/A</v>
      </c>
      <c r="AS4488" t="e">
        <v>#N/A</v>
      </c>
      <c r="AT4488" t="e">
        <v>#N/A</v>
      </c>
    </row>
    <row r="4489" spans="42:46">
      <c r="AP4489">
        <v>297450</v>
      </c>
      <c r="AQ4489" t="e">
        <v>#N/A</v>
      </c>
      <c r="AR4489" t="e">
        <v>#N/A</v>
      </c>
      <c r="AS4489" t="e">
        <v>#N/A</v>
      </c>
      <c r="AT4489" t="e">
        <v>#N/A</v>
      </c>
    </row>
    <row r="4490" spans="42:46">
      <c r="AP4490">
        <v>297500</v>
      </c>
      <c r="AQ4490" t="e">
        <v>#N/A</v>
      </c>
      <c r="AR4490" t="e">
        <v>#N/A</v>
      </c>
      <c r="AS4490" t="e">
        <v>#N/A</v>
      </c>
      <c r="AT4490" t="e">
        <v>#N/A</v>
      </c>
    </row>
    <row r="4491" spans="42:46">
      <c r="AP4491">
        <v>297550</v>
      </c>
      <c r="AQ4491" t="e">
        <v>#N/A</v>
      </c>
      <c r="AR4491" t="e">
        <v>#N/A</v>
      </c>
      <c r="AS4491" t="e">
        <v>#N/A</v>
      </c>
      <c r="AT4491" t="e">
        <v>#N/A</v>
      </c>
    </row>
    <row r="4492" spans="42:46">
      <c r="AP4492">
        <v>297600</v>
      </c>
      <c r="AQ4492" t="e">
        <v>#N/A</v>
      </c>
      <c r="AR4492" t="e">
        <v>#N/A</v>
      </c>
      <c r="AS4492" t="e">
        <v>#N/A</v>
      </c>
      <c r="AT4492" t="e">
        <v>#N/A</v>
      </c>
    </row>
    <row r="4493" spans="42:46">
      <c r="AP4493">
        <v>297650</v>
      </c>
      <c r="AQ4493" t="e">
        <v>#N/A</v>
      </c>
      <c r="AR4493" t="e">
        <v>#N/A</v>
      </c>
      <c r="AS4493" t="e">
        <v>#N/A</v>
      </c>
      <c r="AT4493" t="e">
        <v>#N/A</v>
      </c>
    </row>
    <row r="4494" spans="42:46">
      <c r="AP4494">
        <v>297700</v>
      </c>
      <c r="AQ4494" t="e">
        <v>#N/A</v>
      </c>
      <c r="AR4494" t="e">
        <v>#N/A</v>
      </c>
      <c r="AS4494" t="e">
        <v>#N/A</v>
      </c>
      <c r="AT4494" t="e">
        <v>#N/A</v>
      </c>
    </row>
    <row r="4495" spans="42:46">
      <c r="AP4495">
        <v>297750</v>
      </c>
      <c r="AQ4495" t="e">
        <v>#N/A</v>
      </c>
      <c r="AR4495" t="e">
        <v>#N/A</v>
      </c>
      <c r="AS4495" t="e">
        <v>#N/A</v>
      </c>
      <c r="AT4495" t="e">
        <v>#N/A</v>
      </c>
    </row>
    <row r="4496" spans="42:46">
      <c r="AP4496">
        <v>297800</v>
      </c>
      <c r="AQ4496" t="e">
        <v>#N/A</v>
      </c>
      <c r="AR4496" t="e">
        <v>#N/A</v>
      </c>
      <c r="AS4496" t="e">
        <v>#N/A</v>
      </c>
      <c r="AT4496" t="e">
        <v>#N/A</v>
      </c>
    </row>
    <row r="4497" spans="42:46">
      <c r="AP4497">
        <v>297850</v>
      </c>
      <c r="AQ4497" t="e">
        <v>#N/A</v>
      </c>
      <c r="AR4497" t="e">
        <v>#N/A</v>
      </c>
      <c r="AS4497" t="e">
        <v>#N/A</v>
      </c>
      <c r="AT4497" t="e">
        <v>#N/A</v>
      </c>
    </row>
    <row r="4498" spans="42:46">
      <c r="AP4498">
        <v>297900</v>
      </c>
      <c r="AQ4498" t="e">
        <v>#N/A</v>
      </c>
      <c r="AR4498" t="e">
        <v>#N/A</v>
      </c>
      <c r="AS4498" t="e">
        <v>#N/A</v>
      </c>
      <c r="AT4498" t="e">
        <v>#N/A</v>
      </c>
    </row>
    <row r="4499" spans="42:46">
      <c r="AP4499">
        <v>297950</v>
      </c>
      <c r="AQ4499" t="e">
        <v>#N/A</v>
      </c>
      <c r="AR4499" t="e">
        <v>#N/A</v>
      </c>
      <c r="AS4499" t="e">
        <v>#N/A</v>
      </c>
      <c r="AT4499" t="e">
        <v>#N/A</v>
      </c>
    </row>
    <row r="4500" spans="42:46">
      <c r="AP4500">
        <v>298000</v>
      </c>
      <c r="AQ4500" t="e">
        <v>#N/A</v>
      </c>
      <c r="AR4500" t="e">
        <v>#N/A</v>
      </c>
      <c r="AS4500" t="e">
        <v>#N/A</v>
      </c>
      <c r="AT4500" t="e">
        <v>#N/A</v>
      </c>
    </row>
    <row r="4501" spans="42:46">
      <c r="AP4501">
        <v>298050</v>
      </c>
      <c r="AQ4501" t="e">
        <v>#N/A</v>
      </c>
      <c r="AR4501" t="e">
        <v>#N/A</v>
      </c>
      <c r="AS4501" t="e">
        <v>#N/A</v>
      </c>
      <c r="AT4501" t="e">
        <v>#N/A</v>
      </c>
    </row>
    <row r="4502" spans="42:46">
      <c r="AP4502">
        <v>298100</v>
      </c>
      <c r="AQ4502" t="e">
        <v>#N/A</v>
      </c>
      <c r="AR4502" t="e">
        <v>#N/A</v>
      </c>
      <c r="AS4502" t="e">
        <v>#N/A</v>
      </c>
      <c r="AT4502" t="e">
        <v>#N/A</v>
      </c>
    </row>
    <row r="4503" spans="42:46">
      <c r="AP4503">
        <v>298150</v>
      </c>
      <c r="AQ4503" t="e">
        <v>#N/A</v>
      </c>
      <c r="AR4503" t="e">
        <v>#N/A</v>
      </c>
      <c r="AS4503" t="e">
        <v>#N/A</v>
      </c>
      <c r="AT4503" t="e">
        <v>#N/A</v>
      </c>
    </row>
    <row r="4504" spans="42:46">
      <c r="AP4504">
        <v>298200</v>
      </c>
      <c r="AQ4504" t="e">
        <v>#N/A</v>
      </c>
      <c r="AR4504" t="e">
        <v>#N/A</v>
      </c>
      <c r="AS4504" t="e">
        <v>#N/A</v>
      </c>
      <c r="AT4504" t="e">
        <v>#N/A</v>
      </c>
    </row>
    <row r="4505" spans="42:46">
      <c r="AP4505">
        <v>298250</v>
      </c>
      <c r="AQ4505" t="e">
        <v>#N/A</v>
      </c>
      <c r="AR4505" t="e">
        <v>#N/A</v>
      </c>
      <c r="AS4505" t="e">
        <v>#N/A</v>
      </c>
      <c r="AT4505" t="e">
        <v>#N/A</v>
      </c>
    </row>
    <row r="4506" spans="42:46">
      <c r="AP4506">
        <v>298300</v>
      </c>
      <c r="AQ4506" t="e">
        <v>#N/A</v>
      </c>
      <c r="AR4506" t="e">
        <v>#N/A</v>
      </c>
      <c r="AS4506" t="e">
        <v>#N/A</v>
      </c>
      <c r="AT4506" t="e">
        <v>#N/A</v>
      </c>
    </row>
    <row r="4507" spans="42:46">
      <c r="AP4507">
        <v>298350</v>
      </c>
      <c r="AQ4507" t="e">
        <v>#N/A</v>
      </c>
      <c r="AR4507" t="e">
        <v>#N/A</v>
      </c>
      <c r="AS4507" t="e">
        <v>#N/A</v>
      </c>
      <c r="AT4507" t="e">
        <v>#N/A</v>
      </c>
    </row>
    <row r="4508" spans="42:46">
      <c r="AP4508">
        <v>298400</v>
      </c>
      <c r="AQ4508" t="e">
        <v>#N/A</v>
      </c>
      <c r="AR4508" t="e">
        <v>#N/A</v>
      </c>
      <c r="AS4508" t="e">
        <v>#N/A</v>
      </c>
      <c r="AT4508" t="e">
        <v>#N/A</v>
      </c>
    </row>
    <row r="4509" spans="42:46">
      <c r="AP4509">
        <v>298450</v>
      </c>
      <c r="AQ4509" t="e">
        <v>#N/A</v>
      </c>
      <c r="AR4509" t="e">
        <v>#N/A</v>
      </c>
      <c r="AS4509" t="e">
        <v>#N/A</v>
      </c>
      <c r="AT4509" t="e">
        <v>#N/A</v>
      </c>
    </row>
    <row r="4510" spans="42:46">
      <c r="AP4510">
        <v>298500</v>
      </c>
      <c r="AQ4510" t="e">
        <v>#N/A</v>
      </c>
      <c r="AR4510" t="e">
        <v>#N/A</v>
      </c>
      <c r="AS4510" t="e">
        <v>#N/A</v>
      </c>
      <c r="AT4510" t="e">
        <v>#N/A</v>
      </c>
    </row>
    <row r="4511" spans="42:46">
      <c r="AP4511">
        <v>298550</v>
      </c>
      <c r="AQ4511" t="e">
        <v>#N/A</v>
      </c>
      <c r="AR4511" t="e">
        <v>#N/A</v>
      </c>
      <c r="AS4511" t="e">
        <v>#N/A</v>
      </c>
      <c r="AT4511" t="e">
        <v>#N/A</v>
      </c>
    </row>
    <row r="4512" spans="42:46">
      <c r="AP4512">
        <v>298600</v>
      </c>
      <c r="AQ4512" t="e">
        <v>#N/A</v>
      </c>
      <c r="AR4512" t="e">
        <v>#N/A</v>
      </c>
      <c r="AS4512" t="e">
        <v>#N/A</v>
      </c>
      <c r="AT4512" t="e">
        <v>#N/A</v>
      </c>
    </row>
    <row r="4513" spans="42:46">
      <c r="AP4513">
        <v>298650</v>
      </c>
      <c r="AQ4513" t="e">
        <v>#N/A</v>
      </c>
      <c r="AR4513" t="e">
        <v>#N/A</v>
      </c>
      <c r="AS4513" t="e">
        <v>#N/A</v>
      </c>
      <c r="AT4513" t="e">
        <v>#N/A</v>
      </c>
    </row>
    <row r="4514" spans="42:46">
      <c r="AP4514">
        <v>298700</v>
      </c>
      <c r="AQ4514" t="e">
        <v>#N/A</v>
      </c>
      <c r="AR4514" t="e">
        <v>#N/A</v>
      </c>
      <c r="AS4514" t="e">
        <v>#N/A</v>
      </c>
      <c r="AT4514" t="e">
        <v>#N/A</v>
      </c>
    </row>
    <row r="4515" spans="42:46">
      <c r="AP4515">
        <v>298750</v>
      </c>
      <c r="AQ4515" t="e">
        <v>#N/A</v>
      </c>
      <c r="AR4515" t="e">
        <v>#N/A</v>
      </c>
      <c r="AS4515" t="e">
        <v>#N/A</v>
      </c>
      <c r="AT4515" t="e">
        <v>#N/A</v>
      </c>
    </row>
    <row r="4516" spans="42:46">
      <c r="AP4516">
        <v>298800</v>
      </c>
      <c r="AQ4516" t="e">
        <v>#N/A</v>
      </c>
      <c r="AR4516" t="e">
        <v>#N/A</v>
      </c>
      <c r="AS4516" t="e">
        <v>#N/A</v>
      </c>
      <c r="AT4516" t="e">
        <v>#N/A</v>
      </c>
    </row>
    <row r="4517" spans="42:46">
      <c r="AP4517">
        <v>298850</v>
      </c>
      <c r="AQ4517" t="e">
        <v>#N/A</v>
      </c>
      <c r="AR4517" t="e">
        <v>#N/A</v>
      </c>
      <c r="AS4517" t="e">
        <v>#N/A</v>
      </c>
      <c r="AT4517" t="e">
        <v>#N/A</v>
      </c>
    </row>
    <row r="4518" spans="42:46">
      <c r="AP4518">
        <v>298900</v>
      </c>
      <c r="AQ4518" t="e">
        <v>#N/A</v>
      </c>
      <c r="AR4518" t="e">
        <v>#N/A</v>
      </c>
      <c r="AS4518" t="e">
        <v>#N/A</v>
      </c>
      <c r="AT4518" t="e">
        <v>#N/A</v>
      </c>
    </row>
    <row r="4519" spans="42:46">
      <c r="AP4519">
        <v>298950</v>
      </c>
      <c r="AQ4519" t="e">
        <v>#N/A</v>
      </c>
      <c r="AR4519" t="e">
        <v>#N/A</v>
      </c>
      <c r="AS4519" t="e">
        <v>#N/A</v>
      </c>
      <c r="AT4519" t="e">
        <v>#N/A</v>
      </c>
    </row>
    <row r="4520" spans="42:46">
      <c r="AP4520">
        <v>299000</v>
      </c>
      <c r="AQ4520" t="e">
        <v>#N/A</v>
      </c>
      <c r="AR4520" t="e">
        <v>#N/A</v>
      </c>
      <c r="AS4520" t="e">
        <v>#N/A</v>
      </c>
      <c r="AT4520" t="e">
        <v>#N/A</v>
      </c>
    </row>
    <row r="4521" spans="42:46">
      <c r="AP4521">
        <v>299050</v>
      </c>
      <c r="AQ4521" t="e">
        <v>#N/A</v>
      </c>
      <c r="AR4521" t="e">
        <v>#N/A</v>
      </c>
      <c r="AS4521" t="e">
        <v>#N/A</v>
      </c>
      <c r="AT4521" t="e">
        <v>#N/A</v>
      </c>
    </row>
    <row r="4522" spans="42:46">
      <c r="AP4522">
        <v>299100</v>
      </c>
      <c r="AQ4522" t="e">
        <v>#N/A</v>
      </c>
      <c r="AR4522" t="e">
        <v>#N/A</v>
      </c>
      <c r="AS4522" t="e">
        <v>#N/A</v>
      </c>
      <c r="AT4522" t="e">
        <v>#N/A</v>
      </c>
    </row>
    <row r="4523" spans="42:46">
      <c r="AP4523">
        <v>299150</v>
      </c>
      <c r="AQ4523" t="e">
        <v>#N/A</v>
      </c>
      <c r="AR4523" t="e">
        <v>#N/A</v>
      </c>
      <c r="AS4523" t="e">
        <v>#N/A</v>
      </c>
      <c r="AT4523" t="e">
        <v>#N/A</v>
      </c>
    </row>
    <row r="4524" spans="42:46">
      <c r="AP4524">
        <v>299200</v>
      </c>
      <c r="AQ4524" t="e">
        <v>#N/A</v>
      </c>
      <c r="AR4524" t="e">
        <v>#N/A</v>
      </c>
      <c r="AS4524" t="e">
        <v>#N/A</v>
      </c>
      <c r="AT4524" t="e">
        <v>#N/A</v>
      </c>
    </row>
    <row r="4525" spans="42:46">
      <c r="AP4525">
        <v>299250</v>
      </c>
      <c r="AQ4525" t="e">
        <v>#N/A</v>
      </c>
      <c r="AR4525" t="e">
        <v>#N/A</v>
      </c>
      <c r="AS4525" t="e">
        <v>#N/A</v>
      </c>
      <c r="AT4525" t="e">
        <v>#N/A</v>
      </c>
    </row>
    <row r="4526" spans="42:46">
      <c r="AP4526">
        <v>299300</v>
      </c>
      <c r="AQ4526" t="e">
        <v>#N/A</v>
      </c>
      <c r="AR4526" t="e">
        <v>#N/A</v>
      </c>
      <c r="AS4526" t="e">
        <v>#N/A</v>
      </c>
      <c r="AT4526" t="e">
        <v>#N/A</v>
      </c>
    </row>
    <row r="4527" spans="42:46">
      <c r="AP4527">
        <v>299350</v>
      </c>
      <c r="AQ4527" t="e">
        <v>#N/A</v>
      </c>
      <c r="AR4527" t="e">
        <v>#N/A</v>
      </c>
      <c r="AS4527" t="e">
        <v>#N/A</v>
      </c>
      <c r="AT4527" t="e">
        <v>#N/A</v>
      </c>
    </row>
    <row r="4528" spans="42:46">
      <c r="AP4528">
        <v>299400</v>
      </c>
      <c r="AQ4528" t="e">
        <v>#N/A</v>
      </c>
      <c r="AR4528" t="e">
        <v>#N/A</v>
      </c>
      <c r="AS4528" t="e">
        <v>#N/A</v>
      </c>
      <c r="AT4528" t="e">
        <v>#N/A</v>
      </c>
    </row>
    <row r="4529" spans="42:46">
      <c r="AP4529">
        <v>299450</v>
      </c>
      <c r="AQ4529" t="e">
        <v>#N/A</v>
      </c>
      <c r="AR4529" t="e">
        <v>#N/A</v>
      </c>
      <c r="AS4529" t="e">
        <v>#N/A</v>
      </c>
      <c r="AT4529" t="e">
        <v>#N/A</v>
      </c>
    </row>
    <row r="4530" spans="42:46">
      <c r="AP4530">
        <v>299500</v>
      </c>
      <c r="AQ4530" t="e">
        <v>#N/A</v>
      </c>
      <c r="AR4530" t="e">
        <v>#N/A</v>
      </c>
      <c r="AS4530" t="e">
        <v>#N/A</v>
      </c>
      <c r="AT4530" t="e">
        <v>#N/A</v>
      </c>
    </row>
    <row r="4531" spans="42:46">
      <c r="AP4531">
        <v>299550</v>
      </c>
      <c r="AQ4531" t="e">
        <v>#N/A</v>
      </c>
      <c r="AR4531" t="e">
        <v>#N/A</v>
      </c>
      <c r="AS4531" t="e">
        <v>#N/A</v>
      </c>
      <c r="AT4531" t="e">
        <v>#N/A</v>
      </c>
    </row>
    <row r="4532" spans="42:46">
      <c r="AP4532">
        <v>299600</v>
      </c>
      <c r="AQ4532" t="e">
        <v>#N/A</v>
      </c>
      <c r="AR4532" t="e">
        <v>#N/A</v>
      </c>
      <c r="AS4532" t="e">
        <v>#N/A</v>
      </c>
      <c r="AT4532" t="e">
        <v>#N/A</v>
      </c>
    </row>
    <row r="4533" spans="42:46">
      <c r="AP4533">
        <v>299650</v>
      </c>
      <c r="AQ4533" t="e">
        <v>#N/A</v>
      </c>
      <c r="AR4533" t="e">
        <v>#N/A</v>
      </c>
      <c r="AS4533" t="e">
        <v>#N/A</v>
      </c>
      <c r="AT4533" t="e">
        <v>#N/A</v>
      </c>
    </row>
    <row r="4534" spans="42:46">
      <c r="AP4534">
        <v>299700</v>
      </c>
      <c r="AQ4534" t="e">
        <v>#N/A</v>
      </c>
      <c r="AR4534" t="e">
        <v>#N/A</v>
      </c>
      <c r="AS4534" t="e">
        <v>#N/A</v>
      </c>
      <c r="AT4534" t="e">
        <v>#N/A</v>
      </c>
    </row>
    <row r="4535" spans="42:46">
      <c r="AP4535">
        <v>299750</v>
      </c>
      <c r="AQ4535" t="e">
        <v>#N/A</v>
      </c>
      <c r="AR4535" t="e">
        <v>#N/A</v>
      </c>
      <c r="AS4535" t="e">
        <v>#N/A</v>
      </c>
      <c r="AT4535" t="e">
        <v>#N/A</v>
      </c>
    </row>
    <row r="4536" spans="42:46">
      <c r="AP4536">
        <v>299800</v>
      </c>
      <c r="AQ4536" t="e">
        <v>#N/A</v>
      </c>
      <c r="AR4536" t="e">
        <v>#N/A</v>
      </c>
      <c r="AS4536" t="e">
        <v>#N/A</v>
      </c>
      <c r="AT4536" t="e">
        <v>#N/A</v>
      </c>
    </row>
    <row r="4537" spans="42:46">
      <c r="AP4537">
        <v>299850</v>
      </c>
      <c r="AQ4537" t="e">
        <v>#N/A</v>
      </c>
      <c r="AR4537" t="e">
        <v>#N/A</v>
      </c>
      <c r="AS4537" t="e">
        <v>#N/A</v>
      </c>
      <c r="AT4537" t="e">
        <v>#N/A</v>
      </c>
    </row>
    <row r="4538" spans="42:46">
      <c r="AP4538">
        <v>299900</v>
      </c>
      <c r="AQ4538" t="e">
        <v>#N/A</v>
      </c>
      <c r="AR4538" t="e">
        <v>#N/A</v>
      </c>
      <c r="AS4538" t="e">
        <v>#N/A</v>
      </c>
      <c r="AT4538" t="e">
        <v>#N/A</v>
      </c>
    </row>
    <row r="4539" spans="42:46">
      <c r="AP4539">
        <v>299950</v>
      </c>
      <c r="AQ4539" t="e">
        <v>#N/A</v>
      </c>
      <c r="AR4539" t="e">
        <v>#N/A</v>
      </c>
      <c r="AS4539" t="e">
        <v>#N/A</v>
      </c>
      <c r="AT4539" t="e">
        <v>#N/A</v>
      </c>
    </row>
    <row r="4540" spans="42:46">
      <c r="AP4540">
        <v>300000</v>
      </c>
      <c r="AQ4540" t="e">
        <v>#N/A</v>
      </c>
      <c r="AR4540" t="e">
        <v>#N/A</v>
      </c>
      <c r="AS4540" t="e">
        <v>#N/A</v>
      </c>
      <c r="AT4540" t="e">
        <v>#N/A</v>
      </c>
    </row>
    <row r="4541" spans="42:46">
      <c r="AP4541">
        <v>300050</v>
      </c>
      <c r="AQ4541" t="e">
        <v>#N/A</v>
      </c>
      <c r="AR4541" t="e">
        <v>#N/A</v>
      </c>
      <c r="AS4541" t="e">
        <v>#N/A</v>
      </c>
      <c r="AT4541" t="e">
        <v>#N/A</v>
      </c>
    </row>
    <row r="4542" spans="42:46">
      <c r="AP4542">
        <v>300100</v>
      </c>
      <c r="AQ4542" t="e">
        <v>#N/A</v>
      </c>
      <c r="AR4542" t="e">
        <v>#N/A</v>
      </c>
      <c r="AS4542" t="e">
        <v>#N/A</v>
      </c>
      <c r="AT4542" t="e">
        <v>#N/A</v>
      </c>
    </row>
    <row r="4543" spans="42:46">
      <c r="AP4543">
        <v>300150</v>
      </c>
      <c r="AQ4543" t="e">
        <v>#N/A</v>
      </c>
      <c r="AR4543" t="e">
        <v>#N/A</v>
      </c>
      <c r="AS4543" t="e">
        <v>#N/A</v>
      </c>
      <c r="AT4543" t="e">
        <v>#N/A</v>
      </c>
    </row>
    <row r="4544" spans="42:46">
      <c r="AP4544">
        <v>300200</v>
      </c>
      <c r="AQ4544" t="e">
        <v>#N/A</v>
      </c>
      <c r="AR4544" t="e">
        <v>#N/A</v>
      </c>
      <c r="AS4544" t="e">
        <v>#N/A</v>
      </c>
      <c r="AT4544" t="e">
        <v>#N/A</v>
      </c>
    </row>
    <row r="4545" spans="42:46">
      <c r="AP4545">
        <v>300250</v>
      </c>
      <c r="AQ4545" t="e">
        <v>#N/A</v>
      </c>
      <c r="AR4545" t="e">
        <v>#N/A</v>
      </c>
      <c r="AS4545" t="e">
        <v>#N/A</v>
      </c>
      <c r="AT4545" t="e">
        <v>#N/A</v>
      </c>
    </row>
    <row r="4546" spans="42:46">
      <c r="AP4546">
        <v>300300</v>
      </c>
      <c r="AQ4546" t="e">
        <v>#N/A</v>
      </c>
      <c r="AR4546" t="e">
        <v>#N/A</v>
      </c>
      <c r="AS4546" t="e">
        <v>#N/A</v>
      </c>
      <c r="AT4546" t="e">
        <v>#N/A</v>
      </c>
    </row>
    <row r="4547" spans="42:46">
      <c r="AP4547">
        <v>300350</v>
      </c>
      <c r="AQ4547" t="e">
        <v>#N/A</v>
      </c>
      <c r="AR4547" t="e">
        <v>#N/A</v>
      </c>
      <c r="AS4547" t="e">
        <v>#N/A</v>
      </c>
      <c r="AT4547" t="e">
        <v>#N/A</v>
      </c>
    </row>
    <row r="4548" spans="42:46">
      <c r="AP4548">
        <v>300400</v>
      </c>
      <c r="AQ4548" t="e">
        <v>#N/A</v>
      </c>
      <c r="AR4548" t="e">
        <v>#N/A</v>
      </c>
      <c r="AS4548" t="e">
        <v>#N/A</v>
      </c>
      <c r="AT4548" t="e">
        <v>#N/A</v>
      </c>
    </row>
    <row r="4549" spans="42:46">
      <c r="AP4549">
        <v>300450</v>
      </c>
      <c r="AQ4549" t="e">
        <v>#N/A</v>
      </c>
      <c r="AR4549" t="e">
        <v>#N/A</v>
      </c>
      <c r="AS4549" t="e">
        <v>#N/A</v>
      </c>
      <c r="AT4549" t="e">
        <v>#N/A</v>
      </c>
    </row>
    <row r="4550" spans="42:46">
      <c r="AP4550">
        <v>300500</v>
      </c>
      <c r="AQ4550" t="e">
        <v>#N/A</v>
      </c>
      <c r="AR4550" t="e">
        <v>#N/A</v>
      </c>
      <c r="AS4550" t="e">
        <v>#N/A</v>
      </c>
      <c r="AT4550" t="e">
        <v>#N/A</v>
      </c>
    </row>
    <row r="4551" spans="42:46">
      <c r="AP4551">
        <v>300550</v>
      </c>
      <c r="AQ4551" t="e">
        <v>#N/A</v>
      </c>
      <c r="AR4551" t="e">
        <v>#N/A</v>
      </c>
      <c r="AS4551" t="e">
        <v>#N/A</v>
      </c>
      <c r="AT4551" t="e">
        <v>#N/A</v>
      </c>
    </row>
    <row r="4552" spans="42:46">
      <c r="AP4552">
        <v>300600</v>
      </c>
      <c r="AQ4552" t="e">
        <v>#N/A</v>
      </c>
      <c r="AR4552" t="e">
        <v>#N/A</v>
      </c>
      <c r="AS4552" t="e">
        <v>#N/A</v>
      </c>
      <c r="AT4552" t="e">
        <v>#N/A</v>
      </c>
    </row>
    <row r="4553" spans="42:46">
      <c r="AP4553">
        <v>300650</v>
      </c>
      <c r="AQ4553" t="e">
        <v>#N/A</v>
      </c>
      <c r="AR4553" t="e">
        <v>#N/A</v>
      </c>
      <c r="AS4553" t="e">
        <v>#N/A</v>
      </c>
      <c r="AT4553" t="e">
        <v>#N/A</v>
      </c>
    </row>
    <row r="4554" spans="42:46">
      <c r="AP4554">
        <v>300700</v>
      </c>
      <c r="AQ4554" t="e">
        <v>#N/A</v>
      </c>
      <c r="AR4554" t="e">
        <v>#N/A</v>
      </c>
      <c r="AS4554" t="e">
        <v>#N/A</v>
      </c>
      <c r="AT4554" t="e">
        <v>#N/A</v>
      </c>
    </row>
    <row r="4555" spans="42:46">
      <c r="AP4555">
        <v>300750</v>
      </c>
      <c r="AQ4555" t="e">
        <v>#N/A</v>
      </c>
      <c r="AR4555" t="e">
        <v>#N/A</v>
      </c>
      <c r="AS4555" t="e">
        <v>#N/A</v>
      </c>
      <c r="AT4555" t="e">
        <v>#N/A</v>
      </c>
    </row>
    <row r="4556" spans="42:46">
      <c r="AP4556">
        <v>300800</v>
      </c>
      <c r="AQ4556" t="e">
        <v>#N/A</v>
      </c>
      <c r="AR4556" t="e">
        <v>#N/A</v>
      </c>
      <c r="AS4556" t="e">
        <v>#N/A</v>
      </c>
      <c r="AT4556" t="e">
        <v>#N/A</v>
      </c>
    </row>
    <row r="4557" spans="42:46">
      <c r="AP4557">
        <v>300850</v>
      </c>
      <c r="AQ4557" t="e">
        <v>#N/A</v>
      </c>
      <c r="AR4557" t="e">
        <v>#N/A</v>
      </c>
      <c r="AS4557" t="e">
        <v>#N/A</v>
      </c>
      <c r="AT4557" t="e">
        <v>#N/A</v>
      </c>
    </row>
    <row r="4558" spans="42:46">
      <c r="AP4558">
        <v>300900</v>
      </c>
      <c r="AQ4558" t="e">
        <v>#N/A</v>
      </c>
      <c r="AR4558" t="e">
        <v>#N/A</v>
      </c>
      <c r="AS4558" t="e">
        <v>#N/A</v>
      </c>
      <c r="AT4558" t="e">
        <v>#N/A</v>
      </c>
    </row>
    <row r="4559" spans="42:46">
      <c r="AP4559">
        <v>300950</v>
      </c>
      <c r="AQ4559" t="e">
        <v>#N/A</v>
      </c>
      <c r="AR4559" t="e">
        <v>#N/A</v>
      </c>
      <c r="AS4559" t="e">
        <v>#N/A</v>
      </c>
      <c r="AT4559" t="e">
        <v>#N/A</v>
      </c>
    </row>
    <row r="4560" spans="42:46">
      <c r="AP4560">
        <v>301000</v>
      </c>
      <c r="AQ4560" t="e">
        <v>#N/A</v>
      </c>
      <c r="AR4560" t="e">
        <v>#N/A</v>
      </c>
      <c r="AS4560" t="e">
        <v>#N/A</v>
      </c>
      <c r="AT4560" t="e">
        <v>#N/A</v>
      </c>
    </row>
    <row r="4561" spans="42:46">
      <c r="AP4561">
        <v>301050</v>
      </c>
      <c r="AQ4561" t="e">
        <v>#N/A</v>
      </c>
      <c r="AR4561" t="e">
        <v>#N/A</v>
      </c>
      <c r="AS4561" t="e">
        <v>#N/A</v>
      </c>
      <c r="AT4561" t="e">
        <v>#N/A</v>
      </c>
    </row>
    <row r="4562" spans="42:46">
      <c r="AP4562">
        <v>301100</v>
      </c>
      <c r="AQ4562" t="e">
        <v>#N/A</v>
      </c>
      <c r="AR4562" t="e">
        <v>#N/A</v>
      </c>
      <c r="AS4562" t="e">
        <v>#N/A</v>
      </c>
      <c r="AT4562" t="e">
        <v>#N/A</v>
      </c>
    </row>
    <row r="4563" spans="42:46">
      <c r="AP4563">
        <v>301150</v>
      </c>
      <c r="AQ4563" t="e">
        <v>#N/A</v>
      </c>
      <c r="AR4563" t="e">
        <v>#N/A</v>
      </c>
      <c r="AS4563" t="e">
        <v>#N/A</v>
      </c>
      <c r="AT4563" t="e">
        <v>#N/A</v>
      </c>
    </row>
    <row r="4564" spans="42:46">
      <c r="AP4564">
        <v>301200</v>
      </c>
      <c r="AQ4564" t="e">
        <v>#N/A</v>
      </c>
      <c r="AR4564" t="e">
        <v>#N/A</v>
      </c>
      <c r="AS4564" t="e">
        <v>#N/A</v>
      </c>
      <c r="AT4564" t="e">
        <v>#N/A</v>
      </c>
    </row>
    <row r="4565" spans="42:46">
      <c r="AP4565">
        <v>301250</v>
      </c>
      <c r="AQ4565" t="e">
        <v>#N/A</v>
      </c>
      <c r="AR4565" t="e">
        <v>#N/A</v>
      </c>
      <c r="AS4565" t="e">
        <v>#N/A</v>
      </c>
      <c r="AT4565" t="e">
        <v>#N/A</v>
      </c>
    </row>
    <row r="4566" spans="42:46">
      <c r="AP4566">
        <v>301300</v>
      </c>
      <c r="AQ4566" t="e">
        <v>#N/A</v>
      </c>
      <c r="AR4566" t="e">
        <v>#N/A</v>
      </c>
      <c r="AS4566" t="e">
        <v>#N/A</v>
      </c>
      <c r="AT4566" t="e">
        <v>#N/A</v>
      </c>
    </row>
    <row r="4567" spans="42:46">
      <c r="AP4567">
        <v>301350</v>
      </c>
      <c r="AQ4567" t="e">
        <v>#N/A</v>
      </c>
      <c r="AR4567" t="e">
        <v>#N/A</v>
      </c>
      <c r="AS4567" t="e">
        <v>#N/A</v>
      </c>
      <c r="AT4567" t="e">
        <v>#N/A</v>
      </c>
    </row>
    <row r="4568" spans="42:46">
      <c r="AP4568">
        <v>301400</v>
      </c>
      <c r="AQ4568" t="e">
        <v>#N/A</v>
      </c>
      <c r="AR4568" t="e">
        <v>#N/A</v>
      </c>
      <c r="AS4568" t="e">
        <v>#N/A</v>
      </c>
      <c r="AT4568" t="e">
        <v>#N/A</v>
      </c>
    </row>
    <row r="4569" spans="42:46">
      <c r="AP4569">
        <v>301450</v>
      </c>
      <c r="AQ4569" t="e">
        <v>#N/A</v>
      </c>
      <c r="AR4569" t="e">
        <v>#N/A</v>
      </c>
      <c r="AS4569" t="e">
        <v>#N/A</v>
      </c>
      <c r="AT4569" t="e">
        <v>#N/A</v>
      </c>
    </row>
    <row r="4570" spans="42:46">
      <c r="AP4570">
        <v>301500</v>
      </c>
      <c r="AQ4570" t="e">
        <v>#N/A</v>
      </c>
      <c r="AR4570" t="e">
        <v>#N/A</v>
      </c>
      <c r="AS4570" t="e">
        <v>#N/A</v>
      </c>
      <c r="AT4570" t="e">
        <v>#N/A</v>
      </c>
    </row>
    <row r="4571" spans="42:46">
      <c r="AP4571">
        <v>301550</v>
      </c>
      <c r="AQ4571" t="e">
        <v>#N/A</v>
      </c>
      <c r="AR4571" t="e">
        <v>#N/A</v>
      </c>
      <c r="AS4571" t="e">
        <v>#N/A</v>
      </c>
      <c r="AT4571" t="e">
        <v>#N/A</v>
      </c>
    </row>
    <row r="4572" spans="42:46">
      <c r="AP4572">
        <v>301600</v>
      </c>
      <c r="AQ4572" t="e">
        <v>#N/A</v>
      </c>
      <c r="AR4572" t="e">
        <v>#N/A</v>
      </c>
      <c r="AS4572" t="e">
        <v>#N/A</v>
      </c>
      <c r="AT4572" t="e">
        <v>#N/A</v>
      </c>
    </row>
    <row r="4573" spans="42:46">
      <c r="AP4573">
        <v>301650</v>
      </c>
      <c r="AQ4573" t="e">
        <v>#N/A</v>
      </c>
      <c r="AR4573" t="e">
        <v>#N/A</v>
      </c>
      <c r="AS4573" t="e">
        <v>#N/A</v>
      </c>
      <c r="AT4573" t="e">
        <v>#N/A</v>
      </c>
    </row>
    <row r="4574" spans="42:46">
      <c r="AP4574">
        <v>301700</v>
      </c>
      <c r="AQ4574" t="e">
        <v>#N/A</v>
      </c>
      <c r="AR4574" t="e">
        <v>#N/A</v>
      </c>
      <c r="AS4574" t="e">
        <v>#N/A</v>
      </c>
      <c r="AT4574" t="e">
        <v>#N/A</v>
      </c>
    </row>
    <row r="4575" spans="42:46">
      <c r="AP4575">
        <v>301750</v>
      </c>
      <c r="AQ4575" t="e">
        <v>#N/A</v>
      </c>
      <c r="AR4575" t="e">
        <v>#N/A</v>
      </c>
      <c r="AS4575" t="e">
        <v>#N/A</v>
      </c>
      <c r="AT4575" t="e">
        <v>#N/A</v>
      </c>
    </row>
    <row r="4576" spans="42:46">
      <c r="AP4576">
        <v>301800</v>
      </c>
      <c r="AQ4576" t="e">
        <v>#N/A</v>
      </c>
      <c r="AR4576" t="e">
        <v>#N/A</v>
      </c>
      <c r="AS4576" t="e">
        <v>#N/A</v>
      </c>
      <c r="AT4576" t="e">
        <v>#N/A</v>
      </c>
    </row>
    <row r="4577" spans="42:46">
      <c r="AP4577">
        <v>301850</v>
      </c>
      <c r="AQ4577" t="e">
        <v>#N/A</v>
      </c>
      <c r="AR4577" t="e">
        <v>#N/A</v>
      </c>
      <c r="AS4577" t="e">
        <v>#N/A</v>
      </c>
      <c r="AT4577" t="e">
        <v>#N/A</v>
      </c>
    </row>
    <row r="4578" spans="42:46">
      <c r="AP4578">
        <v>301900</v>
      </c>
      <c r="AQ4578" t="e">
        <v>#N/A</v>
      </c>
      <c r="AR4578" t="e">
        <v>#N/A</v>
      </c>
      <c r="AS4578" t="e">
        <v>#N/A</v>
      </c>
      <c r="AT4578" t="e">
        <v>#N/A</v>
      </c>
    </row>
    <row r="4579" spans="42:46">
      <c r="AP4579">
        <v>301950</v>
      </c>
      <c r="AQ4579" t="e">
        <v>#N/A</v>
      </c>
      <c r="AR4579" t="e">
        <v>#N/A</v>
      </c>
      <c r="AS4579" t="e">
        <v>#N/A</v>
      </c>
      <c r="AT4579" t="e">
        <v>#N/A</v>
      </c>
    </row>
    <row r="4580" spans="42:46">
      <c r="AP4580">
        <v>302000</v>
      </c>
      <c r="AQ4580" t="e">
        <v>#N/A</v>
      </c>
      <c r="AR4580" t="e">
        <v>#N/A</v>
      </c>
      <c r="AS4580" t="e">
        <v>#N/A</v>
      </c>
      <c r="AT4580" t="e">
        <v>#N/A</v>
      </c>
    </row>
    <row r="4581" spans="42:46">
      <c r="AP4581">
        <v>302050</v>
      </c>
      <c r="AQ4581" t="e">
        <v>#N/A</v>
      </c>
      <c r="AR4581" t="e">
        <v>#N/A</v>
      </c>
      <c r="AS4581" t="e">
        <v>#N/A</v>
      </c>
      <c r="AT4581" t="e">
        <v>#N/A</v>
      </c>
    </row>
    <row r="4582" spans="42:46">
      <c r="AP4582">
        <v>302100</v>
      </c>
      <c r="AQ4582" t="e">
        <v>#N/A</v>
      </c>
      <c r="AR4582" t="e">
        <v>#N/A</v>
      </c>
      <c r="AS4582" t="e">
        <v>#N/A</v>
      </c>
      <c r="AT4582" t="e">
        <v>#N/A</v>
      </c>
    </row>
    <row r="4583" spans="42:46">
      <c r="AP4583">
        <v>302150</v>
      </c>
      <c r="AQ4583" t="e">
        <v>#N/A</v>
      </c>
      <c r="AR4583" t="e">
        <v>#N/A</v>
      </c>
      <c r="AS4583" t="e">
        <v>#N/A</v>
      </c>
      <c r="AT4583" t="e">
        <v>#N/A</v>
      </c>
    </row>
    <row r="4584" spans="42:46">
      <c r="AP4584">
        <v>302200</v>
      </c>
      <c r="AQ4584" t="e">
        <v>#N/A</v>
      </c>
      <c r="AR4584" t="e">
        <v>#N/A</v>
      </c>
      <c r="AS4584" t="e">
        <v>#N/A</v>
      </c>
      <c r="AT4584" t="e">
        <v>#N/A</v>
      </c>
    </row>
    <row r="4585" spans="42:46">
      <c r="AP4585">
        <v>302250</v>
      </c>
      <c r="AQ4585" t="e">
        <v>#N/A</v>
      </c>
      <c r="AR4585" t="e">
        <v>#N/A</v>
      </c>
      <c r="AS4585" t="e">
        <v>#N/A</v>
      </c>
      <c r="AT4585" t="e">
        <v>#N/A</v>
      </c>
    </row>
    <row r="4586" spans="42:46">
      <c r="AP4586">
        <v>302300</v>
      </c>
      <c r="AQ4586" t="e">
        <v>#N/A</v>
      </c>
      <c r="AR4586" t="e">
        <v>#N/A</v>
      </c>
      <c r="AS4586" t="e">
        <v>#N/A</v>
      </c>
      <c r="AT4586" t="e">
        <v>#N/A</v>
      </c>
    </row>
    <row r="4587" spans="42:46">
      <c r="AP4587">
        <v>302350</v>
      </c>
      <c r="AQ4587" t="e">
        <v>#N/A</v>
      </c>
      <c r="AR4587" t="e">
        <v>#N/A</v>
      </c>
      <c r="AS4587" t="e">
        <v>#N/A</v>
      </c>
      <c r="AT4587" t="e">
        <v>#N/A</v>
      </c>
    </row>
    <row r="4588" spans="42:46">
      <c r="AP4588">
        <v>302400</v>
      </c>
      <c r="AQ4588" t="e">
        <v>#N/A</v>
      </c>
      <c r="AR4588" t="e">
        <v>#N/A</v>
      </c>
      <c r="AS4588" t="e">
        <v>#N/A</v>
      </c>
      <c r="AT4588" t="e">
        <v>#N/A</v>
      </c>
    </row>
    <row r="4589" spans="42:46">
      <c r="AP4589">
        <v>302450</v>
      </c>
      <c r="AQ4589" t="e">
        <v>#N/A</v>
      </c>
      <c r="AR4589" t="e">
        <v>#N/A</v>
      </c>
      <c r="AS4589" t="e">
        <v>#N/A</v>
      </c>
      <c r="AT4589" t="e">
        <v>#N/A</v>
      </c>
    </row>
    <row r="4590" spans="42:46">
      <c r="AP4590">
        <v>302500</v>
      </c>
      <c r="AQ4590" t="e">
        <v>#N/A</v>
      </c>
      <c r="AR4590" t="e">
        <v>#N/A</v>
      </c>
      <c r="AS4590" t="e">
        <v>#N/A</v>
      </c>
      <c r="AT4590" t="e">
        <v>#N/A</v>
      </c>
    </row>
    <row r="4591" spans="42:46">
      <c r="AP4591">
        <v>302550</v>
      </c>
      <c r="AQ4591" t="e">
        <v>#N/A</v>
      </c>
      <c r="AR4591" t="e">
        <v>#N/A</v>
      </c>
      <c r="AS4591" t="e">
        <v>#N/A</v>
      </c>
      <c r="AT4591" t="e">
        <v>#N/A</v>
      </c>
    </row>
    <row r="4592" spans="42:46">
      <c r="AP4592">
        <v>302600</v>
      </c>
      <c r="AQ4592" t="e">
        <v>#N/A</v>
      </c>
      <c r="AR4592" t="e">
        <v>#N/A</v>
      </c>
      <c r="AS4592" t="e">
        <v>#N/A</v>
      </c>
      <c r="AT4592" t="e">
        <v>#N/A</v>
      </c>
    </row>
    <row r="4593" spans="42:46">
      <c r="AP4593">
        <v>302650</v>
      </c>
      <c r="AQ4593" t="e">
        <v>#N/A</v>
      </c>
      <c r="AR4593" t="e">
        <v>#N/A</v>
      </c>
      <c r="AS4593" t="e">
        <v>#N/A</v>
      </c>
      <c r="AT4593" t="e">
        <v>#N/A</v>
      </c>
    </row>
    <row r="4594" spans="42:46">
      <c r="AP4594">
        <v>302700</v>
      </c>
      <c r="AQ4594" t="e">
        <v>#N/A</v>
      </c>
      <c r="AR4594" t="e">
        <v>#N/A</v>
      </c>
      <c r="AS4594" t="e">
        <v>#N/A</v>
      </c>
      <c r="AT4594" t="e">
        <v>#N/A</v>
      </c>
    </row>
    <row r="4595" spans="42:46">
      <c r="AP4595">
        <v>302750</v>
      </c>
      <c r="AQ4595" t="e">
        <v>#N/A</v>
      </c>
      <c r="AR4595" t="e">
        <v>#N/A</v>
      </c>
      <c r="AS4595" t="e">
        <v>#N/A</v>
      </c>
      <c r="AT4595" t="e">
        <v>#N/A</v>
      </c>
    </row>
    <row r="4596" spans="42:46">
      <c r="AP4596">
        <v>302800</v>
      </c>
      <c r="AQ4596" t="e">
        <v>#N/A</v>
      </c>
      <c r="AR4596" t="e">
        <v>#N/A</v>
      </c>
      <c r="AS4596" t="e">
        <v>#N/A</v>
      </c>
      <c r="AT4596" t="e">
        <v>#N/A</v>
      </c>
    </row>
    <row r="4597" spans="42:46">
      <c r="AP4597">
        <v>302850</v>
      </c>
      <c r="AQ4597" t="e">
        <v>#N/A</v>
      </c>
      <c r="AR4597" t="e">
        <v>#N/A</v>
      </c>
      <c r="AS4597" t="e">
        <v>#N/A</v>
      </c>
      <c r="AT4597" t="e">
        <v>#N/A</v>
      </c>
    </row>
    <row r="4598" spans="42:46">
      <c r="AP4598">
        <v>302900</v>
      </c>
      <c r="AQ4598" t="e">
        <v>#N/A</v>
      </c>
      <c r="AR4598" t="e">
        <v>#N/A</v>
      </c>
      <c r="AS4598" t="e">
        <v>#N/A</v>
      </c>
      <c r="AT4598" t="e">
        <v>#N/A</v>
      </c>
    </row>
    <row r="4599" spans="42:46">
      <c r="AP4599">
        <v>302950</v>
      </c>
      <c r="AQ4599" t="e">
        <v>#N/A</v>
      </c>
      <c r="AR4599" t="e">
        <v>#N/A</v>
      </c>
      <c r="AS4599" t="e">
        <v>#N/A</v>
      </c>
      <c r="AT4599" t="e">
        <v>#N/A</v>
      </c>
    </row>
    <row r="4600" spans="42:46">
      <c r="AP4600">
        <v>303000</v>
      </c>
      <c r="AQ4600" t="e">
        <v>#N/A</v>
      </c>
      <c r="AR4600" t="e">
        <v>#N/A</v>
      </c>
      <c r="AS4600" t="e">
        <v>#N/A</v>
      </c>
      <c r="AT4600" t="e">
        <v>#N/A</v>
      </c>
    </row>
    <row r="4601" spans="42:46">
      <c r="AP4601">
        <v>303050</v>
      </c>
      <c r="AQ4601" t="e">
        <v>#N/A</v>
      </c>
      <c r="AR4601" t="e">
        <v>#N/A</v>
      </c>
      <c r="AS4601" t="e">
        <v>#N/A</v>
      </c>
      <c r="AT4601" t="e">
        <v>#N/A</v>
      </c>
    </row>
    <row r="4602" spans="42:46">
      <c r="AP4602">
        <v>303100</v>
      </c>
      <c r="AQ4602" t="e">
        <v>#N/A</v>
      </c>
      <c r="AR4602" t="e">
        <v>#N/A</v>
      </c>
      <c r="AS4602" t="e">
        <v>#N/A</v>
      </c>
      <c r="AT4602" t="e">
        <v>#N/A</v>
      </c>
    </row>
    <row r="4603" spans="42:46">
      <c r="AP4603">
        <v>303150</v>
      </c>
      <c r="AQ4603" t="e">
        <v>#N/A</v>
      </c>
      <c r="AR4603" t="e">
        <v>#N/A</v>
      </c>
      <c r="AS4603" t="e">
        <v>#N/A</v>
      </c>
      <c r="AT4603" t="e">
        <v>#N/A</v>
      </c>
    </row>
    <row r="4604" spans="42:46">
      <c r="AP4604">
        <v>303200</v>
      </c>
      <c r="AQ4604" t="e">
        <v>#N/A</v>
      </c>
      <c r="AR4604" t="e">
        <v>#N/A</v>
      </c>
      <c r="AS4604" t="e">
        <v>#N/A</v>
      </c>
      <c r="AT4604" t="e">
        <v>#N/A</v>
      </c>
    </row>
    <row r="4605" spans="42:46">
      <c r="AP4605">
        <v>303250</v>
      </c>
      <c r="AQ4605" t="e">
        <v>#N/A</v>
      </c>
      <c r="AR4605" t="e">
        <v>#N/A</v>
      </c>
      <c r="AS4605" t="e">
        <v>#N/A</v>
      </c>
      <c r="AT4605" t="e">
        <v>#N/A</v>
      </c>
    </row>
    <row r="4606" spans="42:46">
      <c r="AP4606">
        <v>303300</v>
      </c>
      <c r="AQ4606" t="e">
        <v>#N/A</v>
      </c>
      <c r="AR4606" t="e">
        <v>#N/A</v>
      </c>
      <c r="AS4606" t="e">
        <v>#N/A</v>
      </c>
      <c r="AT4606" t="e">
        <v>#N/A</v>
      </c>
    </row>
    <row r="4607" spans="42:46">
      <c r="AP4607">
        <v>303350</v>
      </c>
      <c r="AQ4607" t="e">
        <v>#N/A</v>
      </c>
      <c r="AR4607" t="e">
        <v>#N/A</v>
      </c>
      <c r="AS4607" t="e">
        <v>#N/A</v>
      </c>
      <c r="AT4607" t="e">
        <v>#N/A</v>
      </c>
    </row>
    <row r="4608" spans="42:46">
      <c r="AP4608">
        <v>303400</v>
      </c>
      <c r="AQ4608" t="e">
        <v>#N/A</v>
      </c>
      <c r="AR4608" t="e">
        <v>#N/A</v>
      </c>
      <c r="AS4608" t="e">
        <v>#N/A</v>
      </c>
      <c r="AT4608" t="e">
        <v>#N/A</v>
      </c>
    </row>
    <row r="4609" spans="42:46">
      <c r="AP4609">
        <v>303450</v>
      </c>
      <c r="AQ4609" t="e">
        <v>#N/A</v>
      </c>
      <c r="AR4609" t="e">
        <v>#N/A</v>
      </c>
      <c r="AS4609" t="e">
        <v>#N/A</v>
      </c>
      <c r="AT4609" t="e">
        <v>#N/A</v>
      </c>
    </row>
    <row r="4610" spans="42:46">
      <c r="AP4610">
        <v>303500</v>
      </c>
      <c r="AQ4610" t="e">
        <v>#N/A</v>
      </c>
      <c r="AR4610" t="e">
        <v>#N/A</v>
      </c>
      <c r="AS4610" t="e">
        <v>#N/A</v>
      </c>
      <c r="AT4610" t="e">
        <v>#N/A</v>
      </c>
    </row>
    <row r="4611" spans="42:46">
      <c r="AP4611">
        <v>303550</v>
      </c>
      <c r="AQ4611" t="e">
        <v>#N/A</v>
      </c>
      <c r="AR4611" t="e">
        <v>#N/A</v>
      </c>
      <c r="AS4611" t="e">
        <v>#N/A</v>
      </c>
      <c r="AT4611" t="e">
        <v>#N/A</v>
      </c>
    </row>
    <row r="4612" spans="42:46">
      <c r="AP4612">
        <v>303600</v>
      </c>
      <c r="AQ4612" t="e">
        <v>#N/A</v>
      </c>
      <c r="AR4612" t="e">
        <v>#N/A</v>
      </c>
      <c r="AS4612" t="e">
        <v>#N/A</v>
      </c>
      <c r="AT4612" t="e">
        <v>#N/A</v>
      </c>
    </row>
    <row r="4613" spans="42:46">
      <c r="AP4613">
        <v>303650</v>
      </c>
      <c r="AQ4613" t="e">
        <v>#N/A</v>
      </c>
      <c r="AR4613" t="e">
        <v>#N/A</v>
      </c>
      <c r="AS4613" t="e">
        <v>#N/A</v>
      </c>
      <c r="AT4613" t="e">
        <v>#N/A</v>
      </c>
    </row>
    <row r="4614" spans="42:46">
      <c r="AP4614">
        <v>303700</v>
      </c>
      <c r="AQ4614" t="e">
        <v>#N/A</v>
      </c>
      <c r="AR4614" t="e">
        <v>#N/A</v>
      </c>
      <c r="AS4614" t="e">
        <v>#N/A</v>
      </c>
      <c r="AT4614" t="e">
        <v>#N/A</v>
      </c>
    </row>
    <row r="4615" spans="42:46">
      <c r="AP4615">
        <v>303750</v>
      </c>
      <c r="AQ4615" t="e">
        <v>#N/A</v>
      </c>
      <c r="AR4615" t="e">
        <v>#N/A</v>
      </c>
      <c r="AS4615" t="e">
        <v>#N/A</v>
      </c>
      <c r="AT4615" t="e">
        <v>#N/A</v>
      </c>
    </row>
    <row r="4616" spans="42:46">
      <c r="AP4616">
        <v>303800</v>
      </c>
      <c r="AQ4616" t="e">
        <v>#N/A</v>
      </c>
      <c r="AR4616" t="e">
        <v>#N/A</v>
      </c>
      <c r="AS4616" t="e">
        <v>#N/A</v>
      </c>
      <c r="AT4616" t="e">
        <v>#N/A</v>
      </c>
    </row>
    <row r="4617" spans="42:46">
      <c r="AP4617">
        <v>303850</v>
      </c>
      <c r="AQ4617" t="e">
        <v>#N/A</v>
      </c>
      <c r="AR4617" t="e">
        <v>#N/A</v>
      </c>
      <c r="AS4617" t="e">
        <v>#N/A</v>
      </c>
      <c r="AT4617" t="e">
        <v>#N/A</v>
      </c>
    </row>
    <row r="4618" spans="42:46">
      <c r="AP4618">
        <v>303900</v>
      </c>
      <c r="AQ4618" t="e">
        <v>#N/A</v>
      </c>
      <c r="AR4618" t="e">
        <v>#N/A</v>
      </c>
      <c r="AS4618" t="e">
        <v>#N/A</v>
      </c>
      <c r="AT4618" t="e">
        <v>#N/A</v>
      </c>
    </row>
    <row r="4619" spans="42:46">
      <c r="AP4619">
        <v>303950</v>
      </c>
      <c r="AQ4619" t="e">
        <v>#N/A</v>
      </c>
      <c r="AR4619" t="e">
        <v>#N/A</v>
      </c>
      <c r="AS4619" t="e">
        <v>#N/A</v>
      </c>
      <c r="AT4619" t="e">
        <v>#N/A</v>
      </c>
    </row>
    <row r="4620" spans="42:46">
      <c r="AP4620">
        <v>304000</v>
      </c>
      <c r="AQ4620" t="e">
        <v>#N/A</v>
      </c>
      <c r="AR4620" t="e">
        <v>#N/A</v>
      </c>
      <c r="AS4620" t="e">
        <v>#N/A</v>
      </c>
      <c r="AT4620" t="e">
        <v>#N/A</v>
      </c>
    </row>
    <row r="4621" spans="42:46">
      <c r="AP4621">
        <v>304050</v>
      </c>
      <c r="AQ4621" t="e">
        <v>#N/A</v>
      </c>
      <c r="AR4621" t="e">
        <v>#N/A</v>
      </c>
      <c r="AS4621" t="e">
        <v>#N/A</v>
      </c>
      <c r="AT4621" t="e">
        <v>#N/A</v>
      </c>
    </row>
    <row r="4622" spans="42:46">
      <c r="AP4622">
        <v>304100</v>
      </c>
      <c r="AQ4622" t="e">
        <v>#N/A</v>
      </c>
      <c r="AR4622" t="e">
        <v>#N/A</v>
      </c>
      <c r="AS4622" t="e">
        <v>#N/A</v>
      </c>
      <c r="AT4622" t="e">
        <v>#N/A</v>
      </c>
    </row>
    <row r="4623" spans="42:46">
      <c r="AP4623">
        <v>304150</v>
      </c>
      <c r="AQ4623" t="e">
        <v>#N/A</v>
      </c>
      <c r="AR4623" t="e">
        <v>#N/A</v>
      </c>
      <c r="AS4623" t="e">
        <v>#N/A</v>
      </c>
      <c r="AT4623" t="e">
        <v>#N/A</v>
      </c>
    </row>
    <row r="4624" spans="42:46">
      <c r="AP4624">
        <v>304200</v>
      </c>
      <c r="AQ4624" t="e">
        <v>#N/A</v>
      </c>
      <c r="AR4624" t="e">
        <v>#N/A</v>
      </c>
      <c r="AS4624" t="e">
        <v>#N/A</v>
      </c>
      <c r="AT4624" t="e">
        <v>#N/A</v>
      </c>
    </row>
    <row r="4625" spans="42:46">
      <c r="AP4625">
        <v>304250</v>
      </c>
      <c r="AQ4625" t="e">
        <v>#N/A</v>
      </c>
      <c r="AR4625" t="e">
        <v>#N/A</v>
      </c>
      <c r="AS4625" t="e">
        <v>#N/A</v>
      </c>
      <c r="AT4625" t="e">
        <v>#N/A</v>
      </c>
    </row>
    <row r="4626" spans="42:46">
      <c r="AP4626">
        <v>304300</v>
      </c>
      <c r="AQ4626" t="e">
        <v>#N/A</v>
      </c>
      <c r="AR4626" t="e">
        <v>#N/A</v>
      </c>
      <c r="AS4626" t="e">
        <v>#N/A</v>
      </c>
      <c r="AT4626" t="e">
        <v>#N/A</v>
      </c>
    </row>
    <row r="4627" spans="42:46">
      <c r="AP4627">
        <v>304350</v>
      </c>
      <c r="AQ4627" t="e">
        <v>#N/A</v>
      </c>
      <c r="AR4627" t="e">
        <v>#N/A</v>
      </c>
      <c r="AS4627" t="e">
        <v>#N/A</v>
      </c>
      <c r="AT4627" t="e">
        <v>#N/A</v>
      </c>
    </row>
    <row r="4628" spans="42:46">
      <c r="AP4628">
        <v>304400</v>
      </c>
      <c r="AQ4628" t="e">
        <v>#N/A</v>
      </c>
      <c r="AR4628" t="e">
        <v>#N/A</v>
      </c>
      <c r="AS4628" t="e">
        <v>#N/A</v>
      </c>
      <c r="AT4628" t="e">
        <v>#N/A</v>
      </c>
    </row>
    <row r="4629" spans="42:46">
      <c r="AP4629">
        <v>304450</v>
      </c>
      <c r="AQ4629" t="e">
        <v>#N/A</v>
      </c>
      <c r="AR4629" t="e">
        <v>#N/A</v>
      </c>
      <c r="AS4629" t="e">
        <v>#N/A</v>
      </c>
      <c r="AT4629" t="e">
        <v>#N/A</v>
      </c>
    </row>
    <row r="4630" spans="42:46">
      <c r="AP4630">
        <v>304500</v>
      </c>
      <c r="AQ4630" t="e">
        <v>#N/A</v>
      </c>
      <c r="AR4630" t="e">
        <v>#N/A</v>
      </c>
      <c r="AS4630" t="e">
        <v>#N/A</v>
      </c>
      <c r="AT4630" t="e">
        <v>#N/A</v>
      </c>
    </row>
    <row r="4631" spans="42:46">
      <c r="AP4631">
        <v>304550</v>
      </c>
      <c r="AQ4631" t="e">
        <v>#N/A</v>
      </c>
      <c r="AR4631" t="e">
        <v>#N/A</v>
      </c>
      <c r="AS4631" t="e">
        <v>#N/A</v>
      </c>
      <c r="AT4631" t="e">
        <v>#N/A</v>
      </c>
    </row>
    <row r="4632" spans="42:46">
      <c r="AP4632">
        <v>304600</v>
      </c>
      <c r="AQ4632" t="e">
        <v>#N/A</v>
      </c>
      <c r="AR4632" t="e">
        <v>#N/A</v>
      </c>
      <c r="AS4632" t="e">
        <v>#N/A</v>
      </c>
      <c r="AT4632" t="e">
        <v>#N/A</v>
      </c>
    </row>
    <row r="4633" spans="42:46">
      <c r="AP4633">
        <v>304650</v>
      </c>
      <c r="AQ4633" t="e">
        <v>#N/A</v>
      </c>
      <c r="AR4633" t="e">
        <v>#N/A</v>
      </c>
      <c r="AS4633" t="e">
        <v>#N/A</v>
      </c>
      <c r="AT4633" t="e">
        <v>#N/A</v>
      </c>
    </row>
    <row r="4634" spans="42:46">
      <c r="AP4634">
        <v>304700</v>
      </c>
      <c r="AQ4634" t="e">
        <v>#N/A</v>
      </c>
      <c r="AR4634" t="e">
        <v>#N/A</v>
      </c>
      <c r="AS4634" t="e">
        <v>#N/A</v>
      </c>
      <c r="AT4634" t="e">
        <v>#N/A</v>
      </c>
    </row>
    <row r="4635" spans="42:46">
      <c r="AP4635">
        <v>304750</v>
      </c>
      <c r="AQ4635" t="e">
        <v>#N/A</v>
      </c>
      <c r="AR4635" t="e">
        <v>#N/A</v>
      </c>
      <c r="AS4635" t="e">
        <v>#N/A</v>
      </c>
      <c r="AT4635" t="e">
        <v>#N/A</v>
      </c>
    </row>
    <row r="4636" spans="42:46">
      <c r="AP4636">
        <v>304800</v>
      </c>
      <c r="AQ4636" t="e">
        <v>#N/A</v>
      </c>
      <c r="AR4636" t="e">
        <v>#N/A</v>
      </c>
      <c r="AS4636" t="e">
        <v>#N/A</v>
      </c>
      <c r="AT4636" t="e">
        <v>#N/A</v>
      </c>
    </row>
    <row r="4637" spans="42:46">
      <c r="AP4637">
        <v>304850</v>
      </c>
      <c r="AQ4637" t="e">
        <v>#N/A</v>
      </c>
      <c r="AR4637" t="e">
        <v>#N/A</v>
      </c>
      <c r="AS4637" t="e">
        <v>#N/A</v>
      </c>
      <c r="AT4637" t="e">
        <v>#N/A</v>
      </c>
    </row>
    <row r="4638" spans="42:46">
      <c r="AP4638">
        <v>304900</v>
      </c>
      <c r="AQ4638" t="e">
        <v>#N/A</v>
      </c>
      <c r="AR4638" t="e">
        <v>#N/A</v>
      </c>
      <c r="AS4638" t="e">
        <v>#N/A</v>
      </c>
      <c r="AT4638" t="e">
        <v>#N/A</v>
      </c>
    </row>
    <row r="4639" spans="42:46">
      <c r="AP4639">
        <v>304950</v>
      </c>
      <c r="AQ4639" t="e">
        <v>#N/A</v>
      </c>
      <c r="AR4639" t="e">
        <v>#N/A</v>
      </c>
      <c r="AS4639" t="e">
        <v>#N/A</v>
      </c>
      <c r="AT4639" t="e">
        <v>#N/A</v>
      </c>
    </row>
    <row r="4640" spans="42:46">
      <c r="AP4640">
        <v>305000</v>
      </c>
      <c r="AQ4640" t="e">
        <v>#N/A</v>
      </c>
      <c r="AR4640" t="e">
        <v>#N/A</v>
      </c>
      <c r="AS4640" t="e">
        <v>#N/A</v>
      </c>
      <c r="AT4640" t="e">
        <v>#N/A</v>
      </c>
    </row>
    <row r="4641" spans="42:46">
      <c r="AP4641">
        <v>305050</v>
      </c>
      <c r="AQ4641" t="e">
        <v>#N/A</v>
      </c>
      <c r="AR4641" t="e">
        <v>#N/A</v>
      </c>
      <c r="AS4641" t="e">
        <v>#N/A</v>
      </c>
      <c r="AT4641" t="e">
        <v>#N/A</v>
      </c>
    </row>
    <row r="4642" spans="42:46">
      <c r="AP4642">
        <v>305100</v>
      </c>
      <c r="AQ4642" t="e">
        <v>#N/A</v>
      </c>
      <c r="AR4642" t="e">
        <v>#N/A</v>
      </c>
      <c r="AS4642" t="e">
        <v>#N/A</v>
      </c>
      <c r="AT4642" t="e">
        <v>#N/A</v>
      </c>
    </row>
    <row r="4643" spans="42:46">
      <c r="AP4643">
        <v>305150</v>
      </c>
      <c r="AQ4643" t="e">
        <v>#N/A</v>
      </c>
      <c r="AR4643" t="e">
        <v>#N/A</v>
      </c>
      <c r="AS4643" t="e">
        <v>#N/A</v>
      </c>
      <c r="AT4643" t="e">
        <v>#N/A</v>
      </c>
    </row>
    <row r="4644" spans="42:46">
      <c r="AP4644">
        <v>305200</v>
      </c>
      <c r="AQ4644" t="e">
        <v>#N/A</v>
      </c>
      <c r="AR4644" t="e">
        <v>#N/A</v>
      </c>
      <c r="AS4644" t="e">
        <v>#N/A</v>
      </c>
      <c r="AT4644" t="e">
        <v>#N/A</v>
      </c>
    </row>
    <row r="4645" spans="42:46">
      <c r="AP4645">
        <v>305250</v>
      </c>
      <c r="AQ4645" t="e">
        <v>#N/A</v>
      </c>
      <c r="AR4645" t="e">
        <v>#N/A</v>
      </c>
      <c r="AS4645" t="e">
        <v>#N/A</v>
      </c>
      <c r="AT4645" t="e">
        <v>#N/A</v>
      </c>
    </row>
    <row r="4646" spans="42:46">
      <c r="AP4646">
        <v>305300</v>
      </c>
      <c r="AQ4646" t="e">
        <v>#N/A</v>
      </c>
      <c r="AR4646" t="e">
        <v>#N/A</v>
      </c>
      <c r="AS4646" t="e">
        <v>#N/A</v>
      </c>
      <c r="AT4646" t="e">
        <v>#N/A</v>
      </c>
    </row>
    <row r="4647" spans="42:46">
      <c r="AP4647">
        <v>305350</v>
      </c>
      <c r="AQ4647" t="e">
        <v>#N/A</v>
      </c>
      <c r="AR4647" t="e">
        <v>#N/A</v>
      </c>
      <c r="AS4647" t="e">
        <v>#N/A</v>
      </c>
      <c r="AT4647" t="e">
        <v>#N/A</v>
      </c>
    </row>
    <row r="4648" spans="42:46">
      <c r="AP4648">
        <v>305400</v>
      </c>
      <c r="AQ4648" t="e">
        <v>#N/A</v>
      </c>
      <c r="AR4648" t="e">
        <v>#N/A</v>
      </c>
      <c r="AS4648" t="e">
        <v>#N/A</v>
      </c>
      <c r="AT4648" t="e">
        <v>#N/A</v>
      </c>
    </row>
    <row r="4649" spans="42:46">
      <c r="AP4649">
        <v>305450</v>
      </c>
      <c r="AQ4649" t="e">
        <v>#N/A</v>
      </c>
      <c r="AR4649" t="e">
        <v>#N/A</v>
      </c>
      <c r="AS4649" t="e">
        <v>#N/A</v>
      </c>
      <c r="AT4649" t="e">
        <v>#N/A</v>
      </c>
    </row>
    <row r="4650" spans="42:46">
      <c r="AP4650">
        <v>305500</v>
      </c>
      <c r="AQ4650" t="e">
        <v>#N/A</v>
      </c>
      <c r="AR4650" t="e">
        <v>#N/A</v>
      </c>
      <c r="AS4650" t="e">
        <v>#N/A</v>
      </c>
      <c r="AT4650" t="e">
        <v>#N/A</v>
      </c>
    </row>
    <row r="4651" spans="42:46">
      <c r="AP4651">
        <v>305550</v>
      </c>
      <c r="AQ4651" t="e">
        <v>#N/A</v>
      </c>
      <c r="AR4651" t="e">
        <v>#N/A</v>
      </c>
      <c r="AS4651" t="e">
        <v>#N/A</v>
      </c>
      <c r="AT4651" t="e">
        <v>#N/A</v>
      </c>
    </row>
    <row r="4652" spans="42:46">
      <c r="AP4652">
        <v>305600</v>
      </c>
      <c r="AQ4652" t="e">
        <v>#N/A</v>
      </c>
      <c r="AR4652" t="e">
        <v>#N/A</v>
      </c>
      <c r="AS4652" t="e">
        <v>#N/A</v>
      </c>
      <c r="AT4652" t="e">
        <v>#N/A</v>
      </c>
    </row>
    <row r="4653" spans="42:46">
      <c r="AP4653">
        <v>305650</v>
      </c>
      <c r="AQ4653" t="e">
        <v>#N/A</v>
      </c>
      <c r="AR4653" t="e">
        <v>#N/A</v>
      </c>
      <c r="AS4653" t="e">
        <v>#N/A</v>
      </c>
      <c r="AT4653" t="e">
        <v>#N/A</v>
      </c>
    </row>
    <row r="4654" spans="42:46">
      <c r="AP4654">
        <v>305700</v>
      </c>
      <c r="AQ4654" t="e">
        <v>#N/A</v>
      </c>
      <c r="AR4654" t="e">
        <v>#N/A</v>
      </c>
      <c r="AS4654" t="e">
        <v>#N/A</v>
      </c>
      <c r="AT4654" t="e">
        <v>#N/A</v>
      </c>
    </row>
    <row r="4655" spans="42:46">
      <c r="AP4655">
        <v>305750</v>
      </c>
      <c r="AQ4655" t="e">
        <v>#N/A</v>
      </c>
      <c r="AR4655" t="e">
        <v>#N/A</v>
      </c>
      <c r="AS4655" t="e">
        <v>#N/A</v>
      </c>
      <c r="AT4655" t="e">
        <v>#N/A</v>
      </c>
    </row>
    <row r="4656" spans="42:46">
      <c r="AP4656">
        <v>305800</v>
      </c>
      <c r="AQ4656" t="e">
        <v>#N/A</v>
      </c>
      <c r="AR4656" t="e">
        <v>#N/A</v>
      </c>
      <c r="AS4656" t="e">
        <v>#N/A</v>
      </c>
      <c r="AT4656" t="e">
        <v>#N/A</v>
      </c>
    </row>
    <row r="4657" spans="42:46">
      <c r="AP4657">
        <v>305850</v>
      </c>
      <c r="AQ4657" t="e">
        <v>#N/A</v>
      </c>
      <c r="AR4657" t="e">
        <v>#N/A</v>
      </c>
      <c r="AS4657" t="e">
        <v>#N/A</v>
      </c>
      <c r="AT4657" t="e">
        <v>#N/A</v>
      </c>
    </row>
    <row r="4658" spans="42:46">
      <c r="AP4658">
        <v>305900</v>
      </c>
      <c r="AQ4658" t="e">
        <v>#N/A</v>
      </c>
      <c r="AR4658" t="e">
        <v>#N/A</v>
      </c>
      <c r="AS4658" t="e">
        <v>#N/A</v>
      </c>
      <c r="AT4658" t="e">
        <v>#N/A</v>
      </c>
    </row>
    <row r="4659" spans="42:46">
      <c r="AP4659">
        <v>305950</v>
      </c>
      <c r="AQ4659" t="e">
        <v>#N/A</v>
      </c>
      <c r="AR4659" t="e">
        <v>#N/A</v>
      </c>
      <c r="AS4659" t="e">
        <v>#N/A</v>
      </c>
      <c r="AT4659" t="e">
        <v>#N/A</v>
      </c>
    </row>
    <row r="4660" spans="42:46">
      <c r="AP4660">
        <v>306000</v>
      </c>
      <c r="AQ4660" t="e">
        <v>#N/A</v>
      </c>
      <c r="AR4660" t="e">
        <v>#N/A</v>
      </c>
      <c r="AS4660" t="e">
        <v>#N/A</v>
      </c>
      <c r="AT4660" t="e">
        <v>#N/A</v>
      </c>
    </row>
    <row r="4661" spans="42:46">
      <c r="AP4661">
        <v>306050</v>
      </c>
      <c r="AQ4661" t="e">
        <v>#N/A</v>
      </c>
      <c r="AR4661" t="e">
        <v>#N/A</v>
      </c>
      <c r="AS4661" t="e">
        <v>#N/A</v>
      </c>
      <c r="AT4661" t="e">
        <v>#N/A</v>
      </c>
    </row>
    <row r="4662" spans="42:46">
      <c r="AP4662">
        <v>306100</v>
      </c>
      <c r="AQ4662" t="e">
        <v>#N/A</v>
      </c>
      <c r="AR4662" t="e">
        <v>#N/A</v>
      </c>
      <c r="AS4662" t="e">
        <v>#N/A</v>
      </c>
      <c r="AT4662" t="e">
        <v>#N/A</v>
      </c>
    </row>
    <row r="4663" spans="42:46">
      <c r="AP4663">
        <v>306150</v>
      </c>
      <c r="AQ4663" t="e">
        <v>#N/A</v>
      </c>
      <c r="AR4663" t="e">
        <v>#N/A</v>
      </c>
      <c r="AS4663" t="e">
        <v>#N/A</v>
      </c>
      <c r="AT4663" t="e">
        <v>#N/A</v>
      </c>
    </row>
    <row r="4664" spans="42:46">
      <c r="AP4664">
        <v>306200</v>
      </c>
      <c r="AQ4664" t="e">
        <v>#N/A</v>
      </c>
      <c r="AR4664" t="e">
        <v>#N/A</v>
      </c>
      <c r="AS4664" t="e">
        <v>#N/A</v>
      </c>
      <c r="AT4664" t="e">
        <v>#N/A</v>
      </c>
    </row>
    <row r="4665" spans="42:46">
      <c r="AP4665">
        <v>306250</v>
      </c>
      <c r="AQ4665" t="e">
        <v>#N/A</v>
      </c>
      <c r="AR4665" t="e">
        <v>#N/A</v>
      </c>
      <c r="AS4665" t="e">
        <v>#N/A</v>
      </c>
      <c r="AT4665" t="e">
        <v>#N/A</v>
      </c>
    </row>
    <row r="4666" spans="42:46">
      <c r="AP4666">
        <v>306300</v>
      </c>
      <c r="AQ4666" t="e">
        <v>#N/A</v>
      </c>
      <c r="AR4666" t="e">
        <v>#N/A</v>
      </c>
      <c r="AS4666" t="e">
        <v>#N/A</v>
      </c>
      <c r="AT4666" t="e">
        <v>#N/A</v>
      </c>
    </row>
    <row r="4667" spans="42:46">
      <c r="AP4667">
        <v>306350</v>
      </c>
      <c r="AQ4667" t="e">
        <v>#N/A</v>
      </c>
      <c r="AR4667" t="e">
        <v>#N/A</v>
      </c>
      <c r="AS4667" t="e">
        <v>#N/A</v>
      </c>
      <c r="AT4667" t="e">
        <v>#N/A</v>
      </c>
    </row>
    <row r="4668" spans="42:46">
      <c r="AP4668">
        <v>306400</v>
      </c>
      <c r="AQ4668" t="e">
        <v>#N/A</v>
      </c>
      <c r="AR4668" t="e">
        <v>#N/A</v>
      </c>
      <c r="AS4668" t="e">
        <v>#N/A</v>
      </c>
      <c r="AT4668" t="e">
        <v>#N/A</v>
      </c>
    </row>
    <row r="4669" spans="42:46">
      <c r="AP4669">
        <v>306450</v>
      </c>
      <c r="AQ4669" t="e">
        <v>#N/A</v>
      </c>
      <c r="AR4669" t="e">
        <v>#N/A</v>
      </c>
      <c r="AS4669" t="e">
        <v>#N/A</v>
      </c>
      <c r="AT4669" t="e">
        <v>#N/A</v>
      </c>
    </row>
    <row r="4670" spans="42:46">
      <c r="AP4670">
        <v>306500</v>
      </c>
      <c r="AQ4670" t="e">
        <v>#N/A</v>
      </c>
      <c r="AR4670" t="e">
        <v>#N/A</v>
      </c>
      <c r="AS4670" t="e">
        <v>#N/A</v>
      </c>
      <c r="AT4670" t="e">
        <v>#N/A</v>
      </c>
    </row>
    <row r="4671" spans="42:46">
      <c r="AP4671">
        <v>306550</v>
      </c>
      <c r="AQ4671" t="e">
        <v>#N/A</v>
      </c>
      <c r="AR4671" t="e">
        <v>#N/A</v>
      </c>
      <c r="AS4671" t="e">
        <v>#N/A</v>
      </c>
      <c r="AT4671" t="e">
        <v>#N/A</v>
      </c>
    </row>
    <row r="4672" spans="42:46">
      <c r="AP4672">
        <v>306600</v>
      </c>
      <c r="AQ4672" t="e">
        <v>#N/A</v>
      </c>
      <c r="AR4672" t="e">
        <v>#N/A</v>
      </c>
      <c r="AS4672" t="e">
        <v>#N/A</v>
      </c>
      <c r="AT4672" t="e">
        <v>#N/A</v>
      </c>
    </row>
    <row r="4673" spans="42:46">
      <c r="AP4673">
        <v>306650</v>
      </c>
      <c r="AQ4673" t="e">
        <v>#N/A</v>
      </c>
      <c r="AR4673" t="e">
        <v>#N/A</v>
      </c>
      <c r="AS4673" t="e">
        <v>#N/A</v>
      </c>
      <c r="AT4673" t="e">
        <v>#N/A</v>
      </c>
    </row>
    <row r="4674" spans="42:46">
      <c r="AP4674">
        <v>306700</v>
      </c>
      <c r="AQ4674" t="e">
        <v>#N/A</v>
      </c>
      <c r="AR4674" t="e">
        <v>#N/A</v>
      </c>
      <c r="AS4674" t="e">
        <v>#N/A</v>
      </c>
      <c r="AT4674" t="e">
        <v>#N/A</v>
      </c>
    </row>
    <row r="4675" spans="42:46">
      <c r="AP4675">
        <v>306750</v>
      </c>
      <c r="AQ4675" t="e">
        <v>#N/A</v>
      </c>
      <c r="AR4675" t="e">
        <v>#N/A</v>
      </c>
      <c r="AS4675" t="e">
        <v>#N/A</v>
      </c>
      <c r="AT4675" t="e">
        <v>#N/A</v>
      </c>
    </row>
    <row r="4676" spans="42:46">
      <c r="AP4676">
        <v>306800</v>
      </c>
      <c r="AQ4676" t="e">
        <v>#N/A</v>
      </c>
      <c r="AR4676" t="e">
        <v>#N/A</v>
      </c>
      <c r="AS4676" t="e">
        <v>#N/A</v>
      </c>
      <c r="AT4676" t="e">
        <v>#N/A</v>
      </c>
    </row>
    <row r="4677" spans="42:46">
      <c r="AP4677">
        <v>306850</v>
      </c>
      <c r="AQ4677" t="e">
        <v>#N/A</v>
      </c>
      <c r="AR4677" t="e">
        <v>#N/A</v>
      </c>
      <c r="AS4677" t="e">
        <v>#N/A</v>
      </c>
      <c r="AT4677" t="e">
        <v>#N/A</v>
      </c>
    </row>
    <row r="4678" spans="42:46">
      <c r="AP4678">
        <v>306900</v>
      </c>
      <c r="AQ4678" t="e">
        <v>#N/A</v>
      </c>
      <c r="AR4678" t="e">
        <v>#N/A</v>
      </c>
      <c r="AS4678" t="e">
        <v>#N/A</v>
      </c>
      <c r="AT4678" t="e">
        <v>#N/A</v>
      </c>
    </row>
    <row r="4679" spans="42:46">
      <c r="AP4679">
        <v>306950</v>
      </c>
      <c r="AQ4679" t="e">
        <v>#N/A</v>
      </c>
      <c r="AR4679" t="e">
        <v>#N/A</v>
      </c>
      <c r="AS4679" t="e">
        <v>#N/A</v>
      </c>
      <c r="AT4679" t="e">
        <v>#N/A</v>
      </c>
    </row>
    <row r="4680" spans="42:46">
      <c r="AP4680">
        <v>307000</v>
      </c>
      <c r="AQ4680" t="e">
        <v>#N/A</v>
      </c>
      <c r="AR4680" t="e">
        <v>#N/A</v>
      </c>
      <c r="AS4680" t="e">
        <v>#N/A</v>
      </c>
      <c r="AT4680" t="e">
        <v>#N/A</v>
      </c>
    </row>
    <row r="4681" spans="42:46">
      <c r="AP4681">
        <v>307050</v>
      </c>
      <c r="AQ4681" t="e">
        <v>#N/A</v>
      </c>
      <c r="AR4681" t="e">
        <v>#N/A</v>
      </c>
      <c r="AS4681" t="e">
        <v>#N/A</v>
      </c>
      <c r="AT4681" t="e">
        <v>#N/A</v>
      </c>
    </row>
    <row r="4682" spans="42:46">
      <c r="AP4682">
        <v>307100</v>
      </c>
      <c r="AQ4682" t="e">
        <v>#N/A</v>
      </c>
      <c r="AR4682" t="e">
        <v>#N/A</v>
      </c>
      <c r="AS4682" t="e">
        <v>#N/A</v>
      </c>
      <c r="AT4682" t="e">
        <v>#N/A</v>
      </c>
    </row>
    <row r="4683" spans="42:46">
      <c r="AP4683">
        <v>307150</v>
      </c>
      <c r="AQ4683" t="e">
        <v>#N/A</v>
      </c>
      <c r="AR4683" t="e">
        <v>#N/A</v>
      </c>
      <c r="AS4683" t="e">
        <v>#N/A</v>
      </c>
      <c r="AT4683" t="e">
        <v>#N/A</v>
      </c>
    </row>
    <row r="4684" spans="42:46">
      <c r="AP4684">
        <v>307200</v>
      </c>
      <c r="AQ4684" t="e">
        <v>#N/A</v>
      </c>
      <c r="AR4684" t="e">
        <v>#N/A</v>
      </c>
      <c r="AS4684" t="e">
        <v>#N/A</v>
      </c>
      <c r="AT4684" t="e">
        <v>#N/A</v>
      </c>
    </row>
    <row r="4685" spans="42:46">
      <c r="AP4685">
        <v>307250</v>
      </c>
      <c r="AQ4685" t="e">
        <v>#N/A</v>
      </c>
      <c r="AR4685" t="e">
        <v>#N/A</v>
      </c>
      <c r="AS4685" t="e">
        <v>#N/A</v>
      </c>
      <c r="AT4685" t="e">
        <v>#N/A</v>
      </c>
    </row>
    <row r="4686" spans="42:46">
      <c r="AP4686">
        <v>307300</v>
      </c>
      <c r="AQ4686" t="e">
        <v>#N/A</v>
      </c>
      <c r="AR4686" t="e">
        <v>#N/A</v>
      </c>
      <c r="AS4686" t="e">
        <v>#N/A</v>
      </c>
      <c r="AT4686" t="e">
        <v>#N/A</v>
      </c>
    </row>
    <row r="4687" spans="42:46">
      <c r="AP4687">
        <v>307350</v>
      </c>
      <c r="AQ4687" t="e">
        <v>#N/A</v>
      </c>
      <c r="AR4687" t="e">
        <v>#N/A</v>
      </c>
      <c r="AS4687" t="e">
        <v>#N/A</v>
      </c>
      <c r="AT4687" t="e">
        <v>#N/A</v>
      </c>
    </row>
    <row r="4688" spans="42:46">
      <c r="AP4688">
        <v>307400</v>
      </c>
      <c r="AQ4688" t="e">
        <v>#N/A</v>
      </c>
      <c r="AR4688" t="e">
        <v>#N/A</v>
      </c>
      <c r="AS4688" t="e">
        <v>#N/A</v>
      </c>
      <c r="AT4688" t="e">
        <v>#N/A</v>
      </c>
    </row>
    <row r="4689" spans="42:46">
      <c r="AP4689">
        <v>307450</v>
      </c>
      <c r="AQ4689" t="e">
        <v>#N/A</v>
      </c>
      <c r="AR4689" t="e">
        <v>#N/A</v>
      </c>
      <c r="AS4689" t="e">
        <v>#N/A</v>
      </c>
      <c r="AT4689" t="e">
        <v>#N/A</v>
      </c>
    </row>
    <row r="4690" spans="42:46">
      <c r="AP4690">
        <v>307500</v>
      </c>
      <c r="AQ4690" t="e">
        <v>#N/A</v>
      </c>
      <c r="AR4690" t="e">
        <v>#N/A</v>
      </c>
      <c r="AS4690" t="e">
        <v>#N/A</v>
      </c>
      <c r="AT4690" t="e">
        <v>#N/A</v>
      </c>
    </row>
    <row r="4691" spans="42:46">
      <c r="AP4691">
        <v>307550</v>
      </c>
      <c r="AQ4691" t="e">
        <v>#N/A</v>
      </c>
      <c r="AR4691" t="e">
        <v>#N/A</v>
      </c>
      <c r="AS4691" t="e">
        <v>#N/A</v>
      </c>
      <c r="AT4691" t="e">
        <v>#N/A</v>
      </c>
    </row>
    <row r="4692" spans="42:46">
      <c r="AP4692">
        <v>307600</v>
      </c>
      <c r="AQ4692" t="e">
        <v>#N/A</v>
      </c>
      <c r="AR4692" t="e">
        <v>#N/A</v>
      </c>
      <c r="AS4692" t="e">
        <v>#N/A</v>
      </c>
      <c r="AT4692" t="e">
        <v>#N/A</v>
      </c>
    </row>
    <row r="4693" spans="42:46">
      <c r="AP4693">
        <v>307650</v>
      </c>
      <c r="AQ4693" t="e">
        <v>#N/A</v>
      </c>
      <c r="AR4693" t="e">
        <v>#N/A</v>
      </c>
      <c r="AS4693" t="e">
        <v>#N/A</v>
      </c>
      <c r="AT4693" t="e">
        <v>#N/A</v>
      </c>
    </row>
    <row r="4694" spans="42:46">
      <c r="AP4694">
        <v>307700</v>
      </c>
      <c r="AQ4694" t="e">
        <v>#N/A</v>
      </c>
      <c r="AR4694" t="e">
        <v>#N/A</v>
      </c>
      <c r="AS4694" t="e">
        <v>#N/A</v>
      </c>
      <c r="AT4694" t="e">
        <v>#N/A</v>
      </c>
    </row>
    <row r="4695" spans="42:46">
      <c r="AP4695">
        <v>307750</v>
      </c>
      <c r="AQ4695" t="e">
        <v>#N/A</v>
      </c>
      <c r="AR4695" t="e">
        <v>#N/A</v>
      </c>
      <c r="AS4695" t="e">
        <v>#N/A</v>
      </c>
      <c r="AT4695" t="e">
        <v>#N/A</v>
      </c>
    </row>
    <row r="4696" spans="42:46">
      <c r="AP4696">
        <v>307800</v>
      </c>
      <c r="AQ4696" t="e">
        <v>#N/A</v>
      </c>
      <c r="AR4696" t="e">
        <v>#N/A</v>
      </c>
      <c r="AS4696" t="e">
        <v>#N/A</v>
      </c>
      <c r="AT4696" t="e">
        <v>#N/A</v>
      </c>
    </row>
    <row r="4697" spans="42:46">
      <c r="AP4697">
        <v>307850</v>
      </c>
      <c r="AQ4697" t="e">
        <v>#N/A</v>
      </c>
      <c r="AR4697" t="e">
        <v>#N/A</v>
      </c>
      <c r="AS4697" t="e">
        <v>#N/A</v>
      </c>
      <c r="AT4697" t="e">
        <v>#N/A</v>
      </c>
    </row>
    <row r="4698" spans="42:46">
      <c r="AP4698">
        <v>307900</v>
      </c>
      <c r="AQ4698" t="e">
        <v>#N/A</v>
      </c>
      <c r="AR4698" t="e">
        <v>#N/A</v>
      </c>
      <c r="AS4698" t="e">
        <v>#N/A</v>
      </c>
      <c r="AT4698" t="e">
        <v>#N/A</v>
      </c>
    </row>
    <row r="4699" spans="42:46">
      <c r="AP4699">
        <v>307950</v>
      </c>
      <c r="AQ4699" t="e">
        <v>#N/A</v>
      </c>
      <c r="AR4699" t="e">
        <v>#N/A</v>
      </c>
      <c r="AS4699" t="e">
        <v>#N/A</v>
      </c>
      <c r="AT4699" t="e">
        <v>#N/A</v>
      </c>
    </row>
    <row r="4700" spans="42:46">
      <c r="AP4700">
        <v>308000</v>
      </c>
      <c r="AQ4700" t="e">
        <v>#N/A</v>
      </c>
      <c r="AR4700" t="e">
        <v>#N/A</v>
      </c>
      <c r="AS4700" t="e">
        <v>#N/A</v>
      </c>
      <c r="AT4700" t="e">
        <v>#N/A</v>
      </c>
    </row>
    <row r="4701" spans="42:46">
      <c r="AP4701">
        <v>308050</v>
      </c>
      <c r="AQ4701" t="e">
        <v>#N/A</v>
      </c>
      <c r="AR4701" t="e">
        <v>#N/A</v>
      </c>
      <c r="AS4701" t="e">
        <v>#N/A</v>
      </c>
      <c r="AT4701" t="e">
        <v>#N/A</v>
      </c>
    </row>
    <row r="4702" spans="42:46">
      <c r="AP4702">
        <v>308100</v>
      </c>
      <c r="AQ4702" t="e">
        <v>#N/A</v>
      </c>
      <c r="AR4702" t="e">
        <v>#N/A</v>
      </c>
      <c r="AS4702" t="e">
        <v>#N/A</v>
      </c>
      <c r="AT4702" t="e">
        <v>#N/A</v>
      </c>
    </row>
    <row r="4703" spans="42:46">
      <c r="AP4703">
        <v>308150</v>
      </c>
      <c r="AQ4703" t="e">
        <v>#N/A</v>
      </c>
      <c r="AR4703" t="e">
        <v>#N/A</v>
      </c>
      <c r="AS4703" t="e">
        <v>#N/A</v>
      </c>
      <c r="AT4703" t="e">
        <v>#N/A</v>
      </c>
    </row>
    <row r="4704" spans="42:46">
      <c r="AP4704">
        <v>308200</v>
      </c>
      <c r="AQ4704" t="e">
        <v>#N/A</v>
      </c>
      <c r="AR4704" t="e">
        <v>#N/A</v>
      </c>
      <c r="AS4704" t="e">
        <v>#N/A</v>
      </c>
      <c r="AT4704" t="e">
        <v>#N/A</v>
      </c>
    </row>
    <row r="4705" spans="42:46">
      <c r="AP4705">
        <v>308250</v>
      </c>
      <c r="AQ4705" t="e">
        <v>#N/A</v>
      </c>
      <c r="AR4705" t="e">
        <v>#N/A</v>
      </c>
      <c r="AS4705" t="e">
        <v>#N/A</v>
      </c>
      <c r="AT4705" t="e">
        <v>#N/A</v>
      </c>
    </row>
    <row r="4706" spans="42:46">
      <c r="AP4706">
        <v>308300</v>
      </c>
      <c r="AQ4706" t="e">
        <v>#N/A</v>
      </c>
      <c r="AR4706" t="e">
        <v>#N/A</v>
      </c>
      <c r="AS4706" t="e">
        <v>#N/A</v>
      </c>
      <c r="AT4706" t="e">
        <v>#N/A</v>
      </c>
    </row>
    <row r="4707" spans="42:46">
      <c r="AP4707">
        <v>308350</v>
      </c>
      <c r="AQ4707" t="e">
        <v>#N/A</v>
      </c>
      <c r="AR4707" t="e">
        <v>#N/A</v>
      </c>
      <c r="AS4707" t="e">
        <v>#N/A</v>
      </c>
      <c r="AT4707" t="e">
        <v>#N/A</v>
      </c>
    </row>
    <row r="4708" spans="42:46">
      <c r="AP4708">
        <v>308400</v>
      </c>
      <c r="AQ4708" t="e">
        <v>#N/A</v>
      </c>
      <c r="AR4708" t="e">
        <v>#N/A</v>
      </c>
      <c r="AS4708" t="e">
        <v>#N/A</v>
      </c>
      <c r="AT4708" t="e">
        <v>#N/A</v>
      </c>
    </row>
    <row r="4709" spans="42:46">
      <c r="AP4709">
        <v>308450</v>
      </c>
      <c r="AQ4709" t="e">
        <v>#N/A</v>
      </c>
      <c r="AR4709" t="e">
        <v>#N/A</v>
      </c>
      <c r="AS4709" t="e">
        <v>#N/A</v>
      </c>
      <c r="AT4709" t="e">
        <v>#N/A</v>
      </c>
    </row>
    <row r="4710" spans="42:46">
      <c r="AP4710">
        <v>308500</v>
      </c>
      <c r="AQ4710" t="e">
        <v>#N/A</v>
      </c>
      <c r="AR4710" t="e">
        <v>#N/A</v>
      </c>
      <c r="AS4710" t="e">
        <v>#N/A</v>
      </c>
      <c r="AT4710" t="e">
        <v>#N/A</v>
      </c>
    </row>
    <row r="4711" spans="42:46">
      <c r="AP4711">
        <v>308550</v>
      </c>
      <c r="AQ4711" t="e">
        <v>#N/A</v>
      </c>
      <c r="AR4711" t="e">
        <v>#N/A</v>
      </c>
      <c r="AS4711" t="e">
        <v>#N/A</v>
      </c>
      <c r="AT4711" t="e">
        <v>#N/A</v>
      </c>
    </row>
    <row r="4712" spans="42:46">
      <c r="AP4712">
        <v>308600</v>
      </c>
      <c r="AQ4712" t="e">
        <v>#N/A</v>
      </c>
      <c r="AR4712" t="e">
        <v>#N/A</v>
      </c>
      <c r="AS4712" t="e">
        <v>#N/A</v>
      </c>
      <c r="AT4712" t="e">
        <v>#N/A</v>
      </c>
    </row>
    <row r="4713" spans="42:46">
      <c r="AP4713">
        <v>308650</v>
      </c>
      <c r="AQ4713" t="e">
        <v>#N/A</v>
      </c>
      <c r="AR4713" t="e">
        <v>#N/A</v>
      </c>
      <c r="AS4713" t="e">
        <v>#N/A</v>
      </c>
      <c r="AT4713" t="e">
        <v>#N/A</v>
      </c>
    </row>
    <row r="4714" spans="42:46">
      <c r="AP4714">
        <v>308700</v>
      </c>
      <c r="AQ4714" t="e">
        <v>#N/A</v>
      </c>
      <c r="AR4714" t="e">
        <v>#N/A</v>
      </c>
      <c r="AS4714" t="e">
        <v>#N/A</v>
      </c>
      <c r="AT4714" t="e">
        <v>#N/A</v>
      </c>
    </row>
    <row r="4715" spans="42:46">
      <c r="AP4715">
        <v>308750</v>
      </c>
      <c r="AQ4715" t="e">
        <v>#N/A</v>
      </c>
      <c r="AR4715" t="e">
        <v>#N/A</v>
      </c>
      <c r="AS4715" t="e">
        <v>#N/A</v>
      </c>
      <c r="AT4715" t="e">
        <v>#N/A</v>
      </c>
    </row>
    <row r="4716" spans="42:46">
      <c r="AP4716">
        <v>308800</v>
      </c>
      <c r="AQ4716" t="e">
        <v>#N/A</v>
      </c>
      <c r="AR4716" t="e">
        <v>#N/A</v>
      </c>
      <c r="AS4716" t="e">
        <v>#N/A</v>
      </c>
      <c r="AT4716" t="e">
        <v>#N/A</v>
      </c>
    </row>
    <row r="4717" spans="42:46">
      <c r="AP4717">
        <v>308850</v>
      </c>
      <c r="AQ4717" t="e">
        <v>#N/A</v>
      </c>
      <c r="AR4717" t="e">
        <v>#N/A</v>
      </c>
      <c r="AS4717" t="e">
        <v>#N/A</v>
      </c>
      <c r="AT4717" t="e">
        <v>#N/A</v>
      </c>
    </row>
    <row r="4718" spans="42:46">
      <c r="AP4718">
        <v>308900</v>
      </c>
      <c r="AQ4718" t="e">
        <v>#N/A</v>
      </c>
      <c r="AR4718" t="e">
        <v>#N/A</v>
      </c>
      <c r="AS4718" t="e">
        <v>#N/A</v>
      </c>
      <c r="AT4718" t="e">
        <v>#N/A</v>
      </c>
    </row>
    <row r="4719" spans="42:46">
      <c r="AP4719">
        <v>308950</v>
      </c>
      <c r="AQ4719" t="e">
        <v>#N/A</v>
      </c>
      <c r="AR4719" t="e">
        <v>#N/A</v>
      </c>
      <c r="AS4719" t="e">
        <v>#N/A</v>
      </c>
      <c r="AT4719" t="e">
        <v>#N/A</v>
      </c>
    </row>
    <row r="4720" spans="42:46">
      <c r="AP4720">
        <v>309000</v>
      </c>
      <c r="AQ4720" t="e">
        <v>#N/A</v>
      </c>
      <c r="AR4720" t="e">
        <v>#N/A</v>
      </c>
      <c r="AS4720" t="e">
        <v>#N/A</v>
      </c>
      <c r="AT4720" t="e">
        <v>#N/A</v>
      </c>
    </row>
    <row r="4721" spans="42:46">
      <c r="AP4721">
        <v>309050</v>
      </c>
      <c r="AQ4721" t="e">
        <v>#N/A</v>
      </c>
      <c r="AR4721" t="e">
        <v>#N/A</v>
      </c>
      <c r="AS4721" t="e">
        <v>#N/A</v>
      </c>
      <c r="AT4721" t="e">
        <v>#N/A</v>
      </c>
    </row>
    <row r="4722" spans="42:46">
      <c r="AP4722">
        <v>309100</v>
      </c>
      <c r="AQ4722" t="e">
        <v>#N/A</v>
      </c>
      <c r="AR4722" t="e">
        <v>#N/A</v>
      </c>
      <c r="AS4722" t="e">
        <v>#N/A</v>
      </c>
      <c r="AT4722" t="e">
        <v>#N/A</v>
      </c>
    </row>
    <row r="4723" spans="42:46">
      <c r="AP4723">
        <v>309150</v>
      </c>
      <c r="AQ4723" t="e">
        <v>#N/A</v>
      </c>
      <c r="AR4723" t="e">
        <v>#N/A</v>
      </c>
      <c r="AS4723" t="e">
        <v>#N/A</v>
      </c>
      <c r="AT4723" t="e">
        <v>#N/A</v>
      </c>
    </row>
    <row r="4724" spans="42:46">
      <c r="AP4724">
        <v>309200</v>
      </c>
      <c r="AQ4724" t="e">
        <v>#N/A</v>
      </c>
      <c r="AR4724" t="e">
        <v>#N/A</v>
      </c>
      <c r="AS4724" t="e">
        <v>#N/A</v>
      </c>
      <c r="AT4724" t="e">
        <v>#N/A</v>
      </c>
    </row>
    <row r="4725" spans="42:46">
      <c r="AP4725">
        <v>309250</v>
      </c>
      <c r="AQ4725" t="e">
        <v>#N/A</v>
      </c>
      <c r="AR4725" t="e">
        <v>#N/A</v>
      </c>
      <c r="AS4725" t="e">
        <v>#N/A</v>
      </c>
      <c r="AT4725" t="e">
        <v>#N/A</v>
      </c>
    </row>
    <row r="4726" spans="42:46">
      <c r="AP4726">
        <v>309300</v>
      </c>
      <c r="AQ4726" t="e">
        <v>#N/A</v>
      </c>
      <c r="AR4726" t="e">
        <v>#N/A</v>
      </c>
      <c r="AS4726" t="e">
        <v>#N/A</v>
      </c>
      <c r="AT4726" t="e">
        <v>#N/A</v>
      </c>
    </row>
    <row r="4727" spans="42:46">
      <c r="AP4727">
        <v>309350</v>
      </c>
      <c r="AQ4727" t="e">
        <v>#N/A</v>
      </c>
      <c r="AR4727" t="e">
        <v>#N/A</v>
      </c>
      <c r="AS4727" t="e">
        <v>#N/A</v>
      </c>
      <c r="AT4727" t="e">
        <v>#N/A</v>
      </c>
    </row>
    <row r="4728" spans="42:46">
      <c r="AP4728">
        <v>309400</v>
      </c>
      <c r="AQ4728" t="e">
        <v>#N/A</v>
      </c>
      <c r="AR4728" t="e">
        <v>#N/A</v>
      </c>
      <c r="AS4728" t="e">
        <v>#N/A</v>
      </c>
      <c r="AT4728" t="e">
        <v>#N/A</v>
      </c>
    </row>
    <row r="4729" spans="42:46">
      <c r="AP4729">
        <v>309450</v>
      </c>
      <c r="AQ4729" t="e">
        <v>#N/A</v>
      </c>
      <c r="AR4729" t="e">
        <v>#N/A</v>
      </c>
      <c r="AS4729" t="e">
        <v>#N/A</v>
      </c>
      <c r="AT4729" t="e">
        <v>#N/A</v>
      </c>
    </row>
    <row r="4730" spans="42:46">
      <c r="AP4730">
        <v>309500</v>
      </c>
      <c r="AQ4730" t="e">
        <v>#N/A</v>
      </c>
      <c r="AR4730" t="e">
        <v>#N/A</v>
      </c>
      <c r="AS4730" t="e">
        <v>#N/A</v>
      </c>
      <c r="AT4730" t="e">
        <v>#N/A</v>
      </c>
    </row>
    <row r="4731" spans="42:46">
      <c r="AP4731">
        <v>309550</v>
      </c>
      <c r="AQ4731" t="e">
        <v>#N/A</v>
      </c>
      <c r="AR4731" t="e">
        <v>#N/A</v>
      </c>
      <c r="AS4731" t="e">
        <v>#N/A</v>
      </c>
      <c r="AT4731" t="e">
        <v>#N/A</v>
      </c>
    </row>
    <row r="4732" spans="42:46">
      <c r="AP4732">
        <v>309600</v>
      </c>
      <c r="AQ4732" t="e">
        <v>#N/A</v>
      </c>
      <c r="AR4732" t="e">
        <v>#N/A</v>
      </c>
      <c r="AS4732" t="e">
        <v>#N/A</v>
      </c>
      <c r="AT4732" t="e">
        <v>#N/A</v>
      </c>
    </row>
    <row r="4733" spans="42:46">
      <c r="AP4733">
        <v>309650</v>
      </c>
      <c r="AQ4733" t="e">
        <v>#N/A</v>
      </c>
      <c r="AR4733" t="e">
        <v>#N/A</v>
      </c>
      <c r="AS4733" t="e">
        <v>#N/A</v>
      </c>
      <c r="AT4733" t="e">
        <v>#N/A</v>
      </c>
    </row>
    <row r="4734" spans="42:46">
      <c r="AP4734">
        <v>309700</v>
      </c>
      <c r="AQ4734" t="e">
        <v>#N/A</v>
      </c>
      <c r="AR4734" t="e">
        <v>#N/A</v>
      </c>
      <c r="AS4734" t="e">
        <v>#N/A</v>
      </c>
      <c r="AT4734" t="e">
        <v>#N/A</v>
      </c>
    </row>
    <row r="4735" spans="42:46">
      <c r="AP4735">
        <v>309750</v>
      </c>
      <c r="AQ4735" t="e">
        <v>#N/A</v>
      </c>
      <c r="AR4735" t="e">
        <v>#N/A</v>
      </c>
      <c r="AS4735" t="e">
        <v>#N/A</v>
      </c>
      <c r="AT4735" t="e">
        <v>#N/A</v>
      </c>
    </row>
    <row r="4736" spans="42:46">
      <c r="AP4736">
        <v>309800</v>
      </c>
      <c r="AQ4736" t="e">
        <v>#N/A</v>
      </c>
      <c r="AR4736" t="e">
        <v>#N/A</v>
      </c>
      <c r="AS4736" t="e">
        <v>#N/A</v>
      </c>
      <c r="AT4736" t="e">
        <v>#N/A</v>
      </c>
    </row>
    <row r="4737" spans="42:46">
      <c r="AP4737">
        <v>309850</v>
      </c>
      <c r="AQ4737" t="e">
        <v>#N/A</v>
      </c>
      <c r="AR4737" t="e">
        <v>#N/A</v>
      </c>
      <c r="AS4737" t="e">
        <v>#N/A</v>
      </c>
      <c r="AT4737" t="e">
        <v>#N/A</v>
      </c>
    </row>
    <row r="4738" spans="42:46">
      <c r="AP4738">
        <v>309900</v>
      </c>
      <c r="AQ4738" t="e">
        <v>#N/A</v>
      </c>
      <c r="AR4738" t="e">
        <v>#N/A</v>
      </c>
      <c r="AS4738" t="e">
        <v>#N/A</v>
      </c>
      <c r="AT4738" t="e">
        <v>#N/A</v>
      </c>
    </row>
    <row r="4739" spans="42:46">
      <c r="AP4739">
        <v>309950</v>
      </c>
      <c r="AQ4739" t="e">
        <v>#N/A</v>
      </c>
      <c r="AR4739" t="e">
        <v>#N/A</v>
      </c>
      <c r="AS4739" t="e">
        <v>#N/A</v>
      </c>
      <c r="AT4739" t="e">
        <v>#N/A</v>
      </c>
    </row>
    <row r="4740" spans="42:46">
      <c r="AP4740">
        <v>310000</v>
      </c>
      <c r="AQ4740" t="e">
        <v>#N/A</v>
      </c>
      <c r="AR4740" t="e">
        <v>#N/A</v>
      </c>
      <c r="AS4740" t="e">
        <v>#N/A</v>
      </c>
      <c r="AT4740" t="e">
        <v>#N/A</v>
      </c>
    </row>
    <row r="4741" spans="42:46">
      <c r="AP4741">
        <v>310050</v>
      </c>
      <c r="AQ4741" t="e">
        <v>#N/A</v>
      </c>
      <c r="AR4741" t="e">
        <v>#N/A</v>
      </c>
      <c r="AS4741" t="e">
        <v>#N/A</v>
      </c>
      <c r="AT4741" t="e">
        <v>#N/A</v>
      </c>
    </row>
    <row r="4742" spans="42:46">
      <c r="AP4742">
        <v>310100</v>
      </c>
      <c r="AQ4742" t="e">
        <v>#N/A</v>
      </c>
      <c r="AR4742" t="e">
        <v>#N/A</v>
      </c>
      <c r="AS4742" t="e">
        <v>#N/A</v>
      </c>
      <c r="AT4742" t="e">
        <v>#N/A</v>
      </c>
    </row>
    <row r="4743" spans="42:46">
      <c r="AP4743">
        <v>310150</v>
      </c>
      <c r="AQ4743" t="e">
        <v>#N/A</v>
      </c>
      <c r="AR4743" t="e">
        <v>#N/A</v>
      </c>
      <c r="AS4743" t="e">
        <v>#N/A</v>
      </c>
      <c r="AT4743" t="e">
        <v>#N/A</v>
      </c>
    </row>
    <row r="4744" spans="42:46">
      <c r="AP4744">
        <v>310200</v>
      </c>
      <c r="AQ4744" t="e">
        <v>#N/A</v>
      </c>
      <c r="AR4744" t="e">
        <v>#N/A</v>
      </c>
      <c r="AS4744" t="e">
        <v>#N/A</v>
      </c>
      <c r="AT4744" t="e">
        <v>#N/A</v>
      </c>
    </row>
    <row r="4745" spans="42:46">
      <c r="AP4745">
        <v>310250</v>
      </c>
      <c r="AQ4745" t="e">
        <v>#N/A</v>
      </c>
      <c r="AR4745" t="e">
        <v>#N/A</v>
      </c>
      <c r="AS4745" t="e">
        <v>#N/A</v>
      </c>
      <c r="AT4745" t="e">
        <v>#N/A</v>
      </c>
    </row>
    <row r="4746" spans="42:46">
      <c r="AP4746">
        <v>310300</v>
      </c>
      <c r="AQ4746" t="e">
        <v>#N/A</v>
      </c>
      <c r="AR4746" t="e">
        <v>#N/A</v>
      </c>
      <c r="AS4746" t="e">
        <v>#N/A</v>
      </c>
      <c r="AT4746" t="e">
        <v>#N/A</v>
      </c>
    </row>
    <row r="4747" spans="42:46">
      <c r="AP4747">
        <v>310350</v>
      </c>
      <c r="AQ4747" t="e">
        <v>#N/A</v>
      </c>
      <c r="AR4747" t="e">
        <v>#N/A</v>
      </c>
      <c r="AS4747" t="e">
        <v>#N/A</v>
      </c>
      <c r="AT4747" t="e">
        <v>#N/A</v>
      </c>
    </row>
    <row r="4748" spans="42:46">
      <c r="AP4748">
        <v>310400</v>
      </c>
      <c r="AQ4748" t="e">
        <v>#N/A</v>
      </c>
      <c r="AR4748" t="e">
        <v>#N/A</v>
      </c>
      <c r="AS4748" t="e">
        <v>#N/A</v>
      </c>
      <c r="AT4748" t="e">
        <v>#N/A</v>
      </c>
    </row>
    <row r="4749" spans="42:46">
      <c r="AP4749">
        <v>310450</v>
      </c>
      <c r="AQ4749" t="e">
        <v>#N/A</v>
      </c>
      <c r="AR4749" t="e">
        <v>#N/A</v>
      </c>
      <c r="AS4749" t="e">
        <v>#N/A</v>
      </c>
      <c r="AT4749" t="e">
        <v>#N/A</v>
      </c>
    </row>
    <row r="4750" spans="42:46">
      <c r="AP4750">
        <v>310500</v>
      </c>
      <c r="AQ4750" t="e">
        <v>#N/A</v>
      </c>
      <c r="AR4750" t="e">
        <v>#N/A</v>
      </c>
      <c r="AS4750" t="e">
        <v>#N/A</v>
      </c>
      <c r="AT4750" t="e">
        <v>#N/A</v>
      </c>
    </row>
    <row r="4751" spans="42:46">
      <c r="AP4751">
        <v>310550</v>
      </c>
      <c r="AQ4751" t="e">
        <v>#N/A</v>
      </c>
      <c r="AR4751" t="e">
        <v>#N/A</v>
      </c>
      <c r="AS4751" t="e">
        <v>#N/A</v>
      </c>
      <c r="AT4751" t="e">
        <v>#N/A</v>
      </c>
    </row>
    <row r="4752" spans="42:46">
      <c r="AP4752">
        <v>310600</v>
      </c>
      <c r="AQ4752" t="e">
        <v>#N/A</v>
      </c>
      <c r="AR4752" t="e">
        <v>#N/A</v>
      </c>
      <c r="AS4752" t="e">
        <v>#N/A</v>
      </c>
      <c r="AT4752" t="e">
        <v>#N/A</v>
      </c>
    </row>
    <row r="4753" spans="42:46">
      <c r="AP4753">
        <v>310650</v>
      </c>
      <c r="AQ4753" t="e">
        <v>#N/A</v>
      </c>
      <c r="AR4753" t="e">
        <v>#N/A</v>
      </c>
      <c r="AS4753" t="e">
        <v>#N/A</v>
      </c>
      <c r="AT4753" t="e">
        <v>#N/A</v>
      </c>
    </row>
    <row r="4754" spans="42:46">
      <c r="AP4754">
        <v>310700</v>
      </c>
      <c r="AQ4754" t="e">
        <v>#N/A</v>
      </c>
      <c r="AR4754" t="e">
        <v>#N/A</v>
      </c>
      <c r="AS4754" t="e">
        <v>#N/A</v>
      </c>
      <c r="AT4754" t="e">
        <v>#N/A</v>
      </c>
    </row>
    <row r="4755" spans="42:46">
      <c r="AP4755">
        <v>310750</v>
      </c>
      <c r="AQ4755" t="e">
        <v>#N/A</v>
      </c>
      <c r="AR4755" t="e">
        <v>#N/A</v>
      </c>
      <c r="AS4755" t="e">
        <v>#N/A</v>
      </c>
      <c r="AT4755" t="e">
        <v>#N/A</v>
      </c>
    </row>
    <row r="4756" spans="42:46">
      <c r="AP4756">
        <v>310800</v>
      </c>
      <c r="AQ4756" t="e">
        <v>#N/A</v>
      </c>
      <c r="AR4756" t="e">
        <v>#N/A</v>
      </c>
      <c r="AS4756" t="e">
        <v>#N/A</v>
      </c>
      <c r="AT4756" t="e">
        <v>#N/A</v>
      </c>
    </row>
    <row r="4757" spans="42:46">
      <c r="AP4757">
        <v>310850</v>
      </c>
      <c r="AQ4757" t="e">
        <v>#N/A</v>
      </c>
      <c r="AR4757" t="e">
        <v>#N/A</v>
      </c>
      <c r="AS4757" t="e">
        <v>#N/A</v>
      </c>
      <c r="AT4757" t="e">
        <v>#N/A</v>
      </c>
    </row>
    <row r="4758" spans="42:46">
      <c r="AP4758">
        <v>310900</v>
      </c>
      <c r="AQ4758" t="e">
        <v>#N/A</v>
      </c>
      <c r="AR4758" t="e">
        <v>#N/A</v>
      </c>
      <c r="AS4758" t="e">
        <v>#N/A</v>
      </c>
      <c r="AT4758" t="e">
        <v>#N/A</v>
      </c>
    </row>
    <row r="4759" spans="42:46">
      <c r="AP4759">
        <v>310950</v>
      </c>
      <c r="AQ4759" t="e">
        <v>#N/A</v>
      </c>
      <c r="AR4759" t="e">
        <v>#N/A</v>
      </c>
      <c r="AS4759" t="e">
        <v>#N/A</v>
      </c>
      <c r="AT4759" t="e">
        <v>#N/A</v>
      </c>
    </row>
    <row r="4760" spans="42:46">
      <c r="AP4760">
        <v>311000</v>
      </c>
      <c r="AQ4760" t="e">
        <v>#N/A</v>
      </c>
      <c r="AR4760" t="e">
        <v>#N/A</v>
      </c>
      <c r="AS4760" t="e">
        <v>#N/A</v>
      </c>
      <c r="AT4760" t="e">
        <v>#N/A</v>
      </c>
    </row>
    <row r="4761" spans="42:46">
      <c r="AP4761">
        <v>311050</v>
      </c>
      <c r="AQ4761" t="e">
        <v>#N/A</v>
      </c>
      <c r="AR4761" t="e">
        <v>#N/A</v>
      </c>
      <c r="AS4761" t="e">
        <v>#N/A</v>
      </c>
      <c r="AT4761" t="e">
        <v>#N/A</v>
      </c>
    </row>
    <row r="4762" spans="42:46">
      <c r="AP4762">
        <v>311100</v>
      </c>
      <c r="AQ4762" t="e">
        <v>#N/A</v>
      </c>
      <c r="AR4762" t="e">
        <v>#N/A</v>
      </c>
      <c r="AS4762" t="e">
        <v>#N/A</v>
      </c>
      <c r="AT4762" t="e">
        <v>#N/A</v>
      </c>
    </row>
    <row r="4763" spans="42:46">
      <c r="AP4763">
        <v>311150</v>
      </c>
      <c r="AQ4763" t="e">
        <v>#N/A</v>
      </c>
      <c r="AR4763" t="e">
        <v>#N/A</v>
      </c>
      <c r="AS4763" t="e">
        <v>#N/A</v>
      </c>
      <c r="AT4763" t="e">
        <v>#N/A</v>
      </c>
    </row>
    <row r="4764" spans="42:46">
      <c r="AP4764">
        <v>311200</v>
      </c>
      <c r="AQ4764" t="e">
        <v>#N/A</v>
      </c>
      <c r="AR4764" t="e">
        <v>#N/A</v>
      </c>
      <c r="AS4764" t="e">
        <v>#N/A</v>
      </c>
      <c r="AT4764" t="e">
        <v>#N/A</v>
      </c>
    </row>
    <row r="4765" spans="42:46">
      <c r="AP4765">
        <v>311250</v>
      </c>
      <c r="AQ4765" t="e">
        <v>#N/A</v>
      </c>
      <c r="AR4765" t="e">
        <v>#N/A</v>
      </c>
      <c r="AS4765" t="e">
        <v>#N/A</v>
      </c>
      <c r="AT4765" t="e">
        <v>#N/A</v>
      </c>
    </row>
    <row r="4766" spans="42:46">
      <c r="AP4766">
        <v>311300</v>
      </c>
      <c r="AQ4766" t="e">
        <v>#N/A</v>
      </c>
      <c r="AR4766" t="e">
        <v>#N/A</v>
      </c>
      <c r="AS4766" t="e">
        <v>#N/A</v>
      </c>
      <c r="AT4766" t="e">
        <v>#N/A</v>
      </c>
    </row>
    <row r="4767" spans="42:46">
      <c r="AP4767">
        <v>311350</v>
      </c>
      <c r="AQ4767" t="e">
        <v>#N/A</v>
      </c>
      <c r="AR4767" t="e">
        <v>#N/A</v>
      </c>
      <c r="AS4767" t="e">
        <v>#N/A</v>
      </c>
      <c r="AT4767" t="e">
        <v>#N/A</v>
      </c>
    </row>
    <row r="4768" spans="42:46">
      <c r="AP4768">
        <v>311400</v>
      </c>
      <c r="AQ4768" t="e">
        <v>#N/A</v>
      </c>
      <c r="AR4768" t="e">
        <v>#N/A</v>
      </c>
      <c r="AS4768" t="e">
        <v>#N/A</v>
      </c>
      <c r="AT4768" t="e">
        <v>#N/A</v>
      </c>
    </row>
    <row r="4769" spans="42:46">
      <c r="AP4769">
        <v>311450</v>
      </c>
      <c r="AQ4769" t="e">
        <v>#N/A</v>
      </c>
      <c r="AR4769" t="e">
        <v>#N/A</v>
      </c>
      <c r="AS4769" t="e">
        <v>#N/A</v>
      </c>
      <c r="AT4769" t="e">
        <v>#N/A</v>
      </c>
    </row>
    <row r="4770" spans="42:46">
      <c r="AP4770">
        <v>311500</v>
      </c>
      <c r="AQ4770" t="e">
        <v>#N/A</v>
      </c>
      <c r="AR4770" t="e">
        <v>#N/A</v>
      </c>
      <c r="AS4770" t="e">
        <v>#N/A</v>
      </c>
      <c r="AT4770" t="e">
        <v>#N/A</v>
      </c>
    </row>
    <row r="4771" spans="42:46">
      <c r="AP4771">
        <v>311550</v>
      </c>
      <c r="AQ4771" t="e">
        <v>#N/A</v>
      </c>
      <c r="AR4771" t="e">
        <v>#N/A</v>
      </c>
      <c r="AS4771" t="e">
        <v>#N/A</v>
      </c>
      <c r="AT4771" t="e">
        <v>#N/A</v>
      </c>
    </row>
    <row r="4772" spans="42:46">
      <c r="AP4772">
        <v>311600</v>
      </c>
      <c r="AQ4772" t="e">
        <v>#N/A</v>
      </c>
      <c r="AR4772" t="e">
        <v>#N/A</v>
      </c>
      <c r="AS4772" t="e">
        <v>#N/A</v>
      </c>
      <c r="AT4772" t="e">
        <v>#N/A</v>
      </c>
    </row>
    <row r="4773" spans="42:46">
      <c r="AP4773">
        <v>311650</v>
      </c>
      <c r="AQ4773" t="e">
        <v>#N/A</v>
      </c>
      <c r="AR4773" t="e">
        <v>#N/A</v>
      </c>
      <c r="AS4773" t="e">
        <v>#N/A</v>
      </c>
      <c r="AT4773" t="e">
        <v>#N/A</v>
      </c>
    </row>
    <row r="4774" spans="42:46">
      <c r="AP4774">
        <v>311700</v>
      </c>
      <c r="AQ4774" t="e">
        <v>#N/A</v>
      </c>
      <c r="AR4774" t="e">
        <v>#N/A</v>
      </c>
      <c r="AS4774" t="e">
        <v>#N/A</v>
      </c>
      <c r="AT4774" t="e">
        <v>#N/A</v>
      </c>
    </row>
    <row r="4775" spans="42:46">
      <c r="AP4775">
        <v>311750</v>
      </c>
      <c r="AQ4775" t="e">
        <v>#N/A</v>
      </c>
      <c r="AR4775" t="e">
        <v>#N/A</v>
      </c>
      <c r="AS4775" t="e">
        <v>#N/A</v>
      </c>
      <c r="AT4775" t="e">
        <v>#N/A</v>
      </c>
    </row>
    <row r="4776" spans="42:46">
      <c r="AP4776">
        <v>311800</v>
      </c>
      <c r="AQ4776" t="e">
        <v>#N/A</v>
      </c>
      <c r="AR4776" t="e">
        <v>#N/A</v>
      </c>
      <c r="AS4776" t="e">
        <v>#N/A</v>
      </c>
      <c r="AT4776" t="e">
        <v>#N/A</v>
      </c>
    </row>
    <row r="4777" spans="42:46">
      <c r="AP4777">
        <v>311850</v>
      </c>
      <c r="AQ4777" t="e">
        <v>#N/A</v>
      </c>
      <c r="AR4777" t="e">
        <v>#N/A</v>
      </c>
      <c r="AS4777" t="e">
        <v>#N/A</v>
      </c>
      <c r="AT4777" t="e">
        <v>#N/A</v>
      </c>
    </row>
    <row r="4778" spans="42:46">
      <c r="AP4778">
        <v>311900</v>
      </c>
      <c r="AQ4778" t="e">
        <v>#N/A</v>
      </c>
      <c r="AR4778" t="e">
        <v>#N/A</v>
      </c>
      <c r="AS4778" t="e">
        <v>#N/A</v>
      </c>
      <c r="AT4778" t="e">
        <v>#N/A</v>
      </c>
    </row>
    <row r="4779" spans="42:46">
      <c r="AP4779">
        <v>311950</v>
      </c>
      <c r="AQ4779" t="e">
        <v>#N/A</v>
      </c>
      <c r="AR4779" t="e">
        <v>#N/A</v>
      </c>
      <c r="AS4779" t="e">
        <v>#N/A</v>
      </c>
      <c r="AT4779" t="e">
        <v>#N/A</v>
      </c>
    </row>
    <row r="4780" spans="42:46">
      <c r="AP4780">
        <v>312000</v>
      </c>
      <c r="AQ4780" t="e">
        <v>#N/A</v>
      </c>
      <c r="AR4780" t="e">
        <v>#N/A</v>
      </c>
      <c r="AS4780" t="e">
        <v>#N/A</v>
      </c>
      <c r="AT4780" t="e">
        <v>#N/A</v>
      </c>
    </row>
    <row r="4781" spans="42:46">
      <c r="AP4781">
        <v>312050</v>
      </c>
      <c r="AQ4781" t="e">
        <v>#N/A</v>
      </c>
      <c r="AR4781" t="e">
        <v>#N/A</v>
      </c>
      <c r="AS4781" t="e">
        <v>#N/A</v>
      </c>
      <c r="AT4781" t="e">
        <v>#N/A</v>
      </c>
    </row>
    <row r="4782" spans="42:46">
      <c r="AP4782">
        <v>312100</v>
      </c>
      <c r="AQ4782" t="e">
        <v>#N/A</v>
      </c>
      <c r="AR4782" t="e">
        <v>#N/A</v>
      </c>
      <c r="AS4782" t="e">
        <v>#N/A</v>
      </c>
      <c r="AT4782" t="e">
        <v>#N/A</v>
      </c>
    </row>
    <row r="4783" spans="42:46">
      <c r="AP4783">
        <v>312150</v>
      </c>
      <c r="AQ4783" t="e">
        <v>#N/A</v>
      </c>
      <c r="AR4783" t="e">
        <v>#N/A</v>
      </c>
      <c r="AS4783" t="e">
        <v>#N/A</v>
      </c>
      <c r="AT4783" t="e">
        <v>#N/A</v>
      </c>
    </row>
    <row r="4784" spans="42:46">
      <c r="AP4784">
        <v>312200</v>
      </c>
      <c r="AQ4784" t="e">
        <v>#N/A</v>
      </c>
      <c r="AR4784" t="e">
        <v>#N/A</v>
      </c>
      <c r="AS4784" t="e">
        <v>#N/A</v>
      </c>
      <c r="AT4784" t="e">
        <v>#N/A</v>
      </c>
    </row>
    <row r="4785" spans="42:46">
      <c r="AP4785">
        <v>312250</v>
      </c>
      <c r="AQ4785" t="e">
        <v>#N/A</v>
      </c>
      <c r="AR4785" t="e">
        <v>#N/A</v>
      </c>
      <c r="AS4785" t="e">
        <v>#N/A</v>
      </c>
      <c r="AT4785" t="e">
        <v>#N/A</v>
      </c>
    </row>
    <row r="4786" spans="42:46">
      <c r="AP4786">
        <v>312300</v>
      </c>
      <c r="AQ4786" t="e">
        <v>#N/A</v>
      </c>
      <c r="AR4786" t="e">
        <v>#N/A</v>
      </c>
      <c r="AS4786" t="e">
        <v>#N/A</v>
      </c>
      <c r="AT4786" t="e">
        <v>#N/A</v>
      </c>
    </row>
    <row r="4787" spans="42:46">
      <c r="AP4787">
        <v>312350</v>
      </c>
      <c r="AQ4787" t="e">
        <v>#N/A</v>
      </c>
      <c r="AR4787" t="e">
        <v>#N/A</v>
      </c>
      <c r="AS4787" t="e">
        <v>#N/A</v>
      </c>
      <c r="AT4787" t="e">
        <v>#N/A</v>
      </c>
    </row>
    <row r="4788" spans="42:46">
      <c r="AP4788">
        <v>312400</v>
      </c>
      <c r="AQ4788" t="e">
        <v>#N/A</v>
      </c>
      <c r="AR4788" t="e">
        <v>#N/A</v>
      </c>
      <c r="AS4788" t="e">
        <v>#N/A</v>
      </c>
      <c r="AT4788" t="e">
        <v>#N/A</v>
      </c>
    </row>
    <row r="4789" spans="42:46">
      <c r="AP4789">
        <v>312450</v>
      </c>
      <c r="AQ4789" t="e">
        <v>#N/A</v>
      </c>
      <c r="AR4789" t="e">
        <v>#N/A</v>
      </c>
      <c r="AS4789" t="e">
        <v>#N/A</v>
      </c>
      <c r="AT4789" t="e">
        <v>#N/A</v>
      </c>
    </row>
    <row r="4790" spans="42:46">
      <c r="AP4790">
        <v>312500</v>
      </c>
      <c r="AQ4790" t="e">
        <v>#N/A</v>
      </c>
      <c r="AR4790" t="e">
        <v>#N/A</v>
      </c>
      <c r="AS4790" t="e">
        <v>#N/A</v>
      </c>
      <c r="AT4790" t="e">
        <v>#N/A</v>
      </c>
    </row>
    <row r="4791" spans="42:46">
      <c r="AP4791">
        <v>312550</v>
      </c>
      <c r="AQ4791" t="e">
        <v>#N/A</v>
      </c>
      <c r="AR4791" t="e">
        <v>#N/A</v>
      </c>
      <c r="AS4791" t="e">
        <v>#N/A</v>
      </c>
      <c r="AT4791" t="e">
        <v>#N/A</v>
      </c>
    </row>
    <row r="4792" spans="42:46">
      <c r="AP4792">
        <v>312600</v>
      </c>
      <c r="AQ4792" t="e">
        <v>#N/A</v>
      </c>
      <c r="AR4792" t="e">
        <v>#N/A</v>
      </c>
      <c r="AS4792" t="e">
        <v>#N/A</v>
      </c>
      <c r="AT4792" t="e">
        <v>#N/A</v>
      </c>
    </row>
    <row r="4793" spans="42:46">
      <c r="AP4793">
        <v>312650</v>
      </c>
      <c r="AQ4793" t="e">
        <v>#N/A</v>
      </c>
      <c r="AR4793" t="e">
        <v>#N/A</v>
      </c>
      <c r="AS4793" t="e">
        <v>#N/A</v>
      </c>
      <c r="AT4793" t="e">
        <v>#N/A</v>
      </c>
    </row>
    <row r="4794" spans="42:46">
      <c r="AP4794">
        <v>312700</v>
      </c>
      <c r="AQ4794" t="e">
        <v>#N/A</v>
      </c>
      <c r="AR4794" t="e">
        <v>#N/A</v>
      </c>
      <c r="AS4794" t="e">
        <v>#N/A</v>
      </c>
      <c r="AT4794" t="e">
        <v>#N/A</v>
      </c>
    </row>
    <row r="4795" spans="42:46">
      <c r="AP4795">
        <v>312750</v>
      </c>
      <c r="AQ4795" t="e">
        <v>#N/A</v>
      </c>
      <c r="AR4795" t="e">
        <v>#N/A</v>
      </c>
      <c r="AS4795" t="e">
        <v>#N/A</v>
      </c>
      <c r="AT4795" t="e">
        <v>#N/A</v>
      </c>
    </row>
    <row r="4796" spans="42:46">
      <c r="AP4796">
        <v>312800</v>
      </c>
      <c r="AQ4796" t="e">
        <v>#N/A</v>
      </c>
      <c r="AR4796" t="e">
        <v>#N/A</v>
      </c>
      <c r="AS4796" t="e">
        <v>#N/A</v>
      </c>
      <c r="AT4796" t="e">
        <v>#N/A</v>
      </c>
    </row>
    <row r="4797" spans="42:46">
      <c r="AP4797">
        <v>312850</v>
      </c>
      <c r="AQ4797" t="e">
        <v>#N/A</v>
      </c>
      <c r="AR4797" t="e">
        <v>#N/A</v>
      </c>
      <c r="AS4797" t="e">
        <v>#N/A</v>
      </c>
      <c r="AT4797" t="e">
        <v>#N/A</v>
      </c>
    </row>
    <row r="4798" spans="42:46">
      <c r="AP4798">
        <v>312900</v>
      </c>
      <c r="AQ4798" t="e">
        <v>#N/A</v>
      </c>
      <c r="AR4798" t="e">
        <v>#N/A</v>
      </c>
      <c r="AS4798" t="e">
        <v>#N/A</v>
      </c>
      <c r="AT4798" t="e">
        <v>#N/A</v>
      </c>
    </row>
    <row r="4799" spans="42:46">
      <c r="AP4799">
        <v>312950</v>
      </c>
      <c r="AQ4799" t="e">
        <v>#N/A</v>
      </c>
      <c r="AR4799" t="e">
        <v>#N/A</v>
      </c>
      <c r="AS4799" t="e">
        <v>#N/A</v>
      </c>
      <c r="AT4799" t="e">
        <v>#N/A</v>
      </c>
    </row>
    <row r="4800" spans="42:46">
      <c r="AP4800">
        <v>313000</v>
      </c>
      <c r="AQ4800" t="e">
        <v>#N/A</v>
      </c>
      <c r="AR4800" t="e">
        <v>#N/A</v>
      </c>
      <c r="AS4800" t="e">
        <v>#N/A</v>
      </c>
      <c r="AT4800" t="e">
        <v>#N/A</v>
      </c>
    </row>
    <row r="4801" spans="42:46">
      <c r="AP4801">
        <v>313050</v>
      </c>
      <c r="AQ4801" t="e">
        <v>#N/A</v>
      </c>
      <c r="AR4801" t="e">
        <v>#N/A</v>
      </c>
      <c r="AS4801" t="e">
        <v>#N/A</v>
      </c>
      <c r="AT4801" t="e">
        <v>#N/A</v>
      </c>
    </row>
    <row r="4802" spans="42:46">
      <c r="AP4802">
        <v>313100</v>
      </c>
      <c r="AQ4802" t="e">
        <v>#N/A</v>
      </c>
      <c r="AR4802" t="e">
        <v>#N/A</v>
      </c>
      <c r="AS4802" t="e">
        <v>#N/A</v>
      </c>
      <c r="AT4802" t="e">
        <v>#N/A</v>
      </c>
    </row>
    <row r="4803" spans="42:46">
      <c r="AP4803">
        <v>313150</v>
      </c>
      <c r="AQ4803" t="e">
        <v>#N/A</v>
      </c>
      <c r="AR4803" t="e">
        <v>#N/A</v>
      </c>
      <c r="AS4803" t="e">
        <v>#N/A</v>
      </c>
      <c r="AT4803" t="e">
        <v>#N/A</v>
      </c>
    </row>
    <row r="4804" spans="42:46">
      <c r="AP4804">
        <v>313200</v>
      </c>
      <c r="AQ4804" t="e">
        <v>#N/A</v>
      </c>
      <c r="AR4804" t="e">
        <v>#N/A</v>
      </c>
      <c r="AS4804" t="e">
        <v>#N/A</v>
      </c>
      <c r="AT4804" t="e">
        <v>#N/A</v>
      </c>
    </row>
    <row r="4805" spans="42:46">
      <c r="AP4805">
        <v>313250</v>
      </c>
      <c r="AQ4805" t="e">
        <v>#N/A</v>
      </c>
      <c r="AR4805" t="e">
        <v>#N/A</v>
      </c>
      <c r="AS4805" t="e">
        <v>#N/A</v>
      </c>
      <c r="AT4805" t="e">
        <v>#N/A</v>
      </c>
    </row>
    <row r="4806" spans="42:46">
      <c r="AP4806">
        <v>313300</v>
      </c>
      <c r="AQ4806" t="e">
        <v>#N/A</v>
      </c>
      <c r="AR4806" t="e">
        <v>#N/A</v>
      </c>
      <c r="AS4806" t="e">
        <v>#N/A</v>
      </c>
      <c r="AT4806" t="e">
        <v>#N/A</v>
      </c>
    </row>
    <row r="4807" spans="42:46">
      <c r="AP4807">
        <v>313350</v>
      </c>
      <c r="AQ4807" t="e">
        <v>#N/A</v>
      </c>
      <c r="AR4807" t="e">
        <v>#N/A</v>
      </c>
      <c r="AS4807" t="e">
        <v>#N/A</v>
      </c>
      <c r="AT4807" t="e">
        <v>#N/A</v>
      </c>
    </row>
    <row r="4808" spans="42:46">
      <c r="AP4808">
        <v>313400</v>
      </c>
      <c r="AQ4808" t="e">
        <v>#N/A</v>
      </c>
      <c r="AR4808" t="e">
        <v>#N/A</v>
      </c>
      <c r="AS4808" t="e">
        <v>#N/A</v>
      </c>
      <c r="AT4808" t="e">
        <v>#N/A</v>
      </c>
    </row>
    <row r="4809" spans="42:46">
      <c r="AP4809">
        <v>313450</v>
      </c>
      <c r="AQ4809" t="e">
        <v>#N/A</v>
      </c>
      <c r="AR4809" t="e">
        <v>#N/A</v>
      </c>
      <c r="AS4809" t="e">
        <v>#N/A</v>
      </c>
      <c r="AT4809" t="e">
        <v>#N/A</v>
      </c>
    </row>
    <row r="4810" spans="42:46">
      <c r="AP4810">
        <v>313500</v>
      </c>
      <c r="AQ4810" t="e">
        <v>#N/A</v>
      </c>
      <c r="AR4810" t="e">
        <v>#N/A</v>
      </c>
      <c r="AS4810" t="e">
        <v>#N/A</v>
      </c>
      <c r="AT4810" t="e">
        <v>#N/A</v>
      </c>
    </row>
    <row r="4811" spans="42:46">
      <c r="AP4811">
        <v>313550</v>
      </c>
      <c r="AQ4811" t="e">
        <v>#N/A</v>
      </c>
      <c r="AR4811" t="e">
        <v>#N/A</v>
      </c>
      <c r="AS4811" t="e">
        <v>#N/A</v>
      </c>
      <c r="AT4811" t="e">
        <v>#N/A</v>
      </c>
    </row>
    <row r="4812" spans="42:46">
      <c r="AP4812">
        <v>313600</v>
      </c>
      <c r="AQ4812" t="e">
        <v>#N/A</v>
      </c>
      <c r="AR4812" t="e">
        <v>#N/A</v>
      </c>
      <c r="AS4812" t="e">
        <v>#N/A</v>
      </c>
      <c r="AT4812" t="e">
        <v>#N/A</v>
      </c>
    </row>
    <row r="4813" spans="42:46">
      <c r="AP4813">
        <v>313650</v>
      </c>
      <c r="AQ4813" t="e">
        <v>#N/A</v>
      </c>
      <c r="AR4813" t="e">
        <v>#N/A</v>
      </c>
      <c r="AS4813" t="e">
        <v>#N/A</v>
      </c>
      <c r="AT4813" t="e">
        <v>#N/A</v>
      </c>
    </row>
    <row r="4814" spans="42:46">
      <c r="AP4814">
        <v>313700</v>
      </c>
      <c r="AQ4814" t="e">
        <v>#N/A</v>
      </c>
      <c r="AR4814" t="e">
        <v>#N/A</v>
      </c>
      <c r="AS4814" t="e">
        <v>#N/A</v>
      </c>
      <c r="AT4814" t="e">
        <v>#N/A</v>
      </c>
    </row>
    <row r="4815" spans="42:46">
      <c r="AP4815">
        <v>313750</v>
      </c>
      <c r="AQ4815" t="e">
        <v>#N/A</v>
      </c>
      <c r="AR4815" t="e">
        <v>#N/A</v>
      </c>
      <c r="AS4815" t="e">
        <v>#N/A</v>
      </c>
      <c r="AT4815" t="e">
        <v>#N/A</v>
      </c>
    </row>
    <row r="4816" spans="42:46">
      <c r="AP4816">
        <v>313800</v>
      </c>
      <c r="AQ4816" t="e">
        <v>#N/A</v>
      </c>
      <c r="AR4816" t="e">
        <v>#N/A</v>
      </c>
      <c r="AS4816" t="e">
        <v>#N/A</v>
      </c>
      <c r="AT4816" t="e">
        <v>#N/A</v>
      </c>
    </row>
    <row r="4817" spans="42:46">
      <c r="AP4817">
        <v>313850</v>
      </c>
      <c r="AQ4817" t="e">
        <v>#N/A</v>
      </c>
      <c r="AR4817" t="e">
        <v>#N/A</v>
      </c>
      <c r="AS4817" t="e">
        <v>#N/A</v>
      </c>
      <c r="AT4817" t="e">
        <v>#N/A</v>
      </c>
    </row>
    <row r="4818" spans="42:46">
      <c r="AP4818">
        <v>313900</v>
      </c>
      <c r="AQ4818" t="e">
        <v>#N/A</v>
      </c>
      <c r="AR4818" t="e">
        <v>#N/A</v>
      </c>
      <c r="AS4818" t="e">
        <v>#N/A</v>
      </c>
      <c r="AT4818" t="e">
        <v>#N/A</v>
      </c>
    </row>
    <row r="4819" spans="42:46">
      <c r="AP4819">
        <v>313950</v>
      </c>
      <c r="AQ4819" t="e">
        <v>#N/A</v>
      </c>
      <c r="AR4819" t="e">
        <v>#N/A</v>
      </c>
      <c r="AS4819" t="e">
        <v>#N/A</v>
      </c>
      <c r="AT4819" t="e">
        <v>#N/A</v>
      </c>
    </row>
    <row r="4820" spans="42:46">
      <c r="AP4820">
        <v>314000</v>
      </c>
      <c r="AQ4820" t="e">
        <v>#N/A</v>
      </c>
      <c r="AR4820" t="e">
        <v>#N/A</v>
      </c>
      <c r="AS4820" t="e">
        <v>#N/A</v>
      </c>
      <c r="AT4820" t="e">
        <v>#N/A</v>
      </c>
    </row>
    <row r="4821" spans="42:46">
      <c r="AP4821">
        <v>314050</v>
      </c>
      <c r="AQ4821" t="e">
        <v>#N/A</v>
      </c>
      <c r="AR4821" t="e">
        <v>#N/A</v>
      </c>
      <c r="AS4821" t="e">
        <v>#N/A</v>
      </c>
      <c r="AT4821" t="e">
        <v>#N/A</v>
      </c>
    </row>
    <row r="4822" spans="42:46">
      <c r="AP4822">
        <v>314100</v>
      </c>
      <c r="AQ4822" t="e">
        <v>#N/A</v>
      </c>
      <c r="AR4822" t="e">
        <v>#N/A</v>
      </c>
      <c r="AS4822" t="e">
        <v>#N/A</v>
      </c>
      <c r="AT4822" t="e">
        <v>#N/A</v>
      </c>
    </row>
    <row r="4823" spans="42:46">
      <c r="AP4823">
        <v>314150</v>
      </c>
      <c r="AQ4823" t="e">
        <v>#N/A</v>
      </c>
      <c r="AR4823" t="e">
        <v>#N/A</v>
      </c>
      <c r="AS4823" t="e">
        <v>#N/A</v>
      </c>
      <c r="AT4823" t="e">
        <v>#N/A</v>
      </c>
    </row>
    <row r="4824" spans="42:46">
      <c r="AP4824">
        <v>314200</v>
      </c>
      <c r="AQ4824" t="e">
        <v>#N/A</v>
      </c>
      <c r="AR4824" t="e">
        <v>#N/A</v>
      </c>
      <c r="AS4824" t="e">
        <v>#N/A</v>
      </c>
      <c r="AT4824" t="e">
        <v>#N/A</v>
      </c>
    </row>
    <row r="4825" spans="42:46">
      <c r="AP4825">
        <v>314250</v>
      </c>
      <c r="AQ4825" t="e">
        <v>#N/A</v>
      </c>
      <c r="AR4825" t="e">
        <v>#N/A</v>
      </c>
      <c r="AS4825" t="e">
        <v>#N/A</v>
      </c>
      <c r="AT4825" t="e">
        <v>#N/A</v>
      </c>
    </row>
    <row r="4826" spans="42:46">
      <c r="AP4826">
        <v>314300</v>
      </c>
      <c r="AQ4826" t="e">
        <v>#N/A</v>
      </c>
      <c r="AR4826" t="e">
        <v>#N/A</v>
      </c>
      <c r="AS4826" t="e">
        <v>#N/A</v>
      </c>
      <c r="AT4826" t="e">
        <v>#N/A</v>
      </c>
    </row>
    <row r="4827" spans="42:46">
      <c r="AP4827">
        <v>314350</v>
      </c>
      <c r="AQ4827" t="e">
        <v>#N/A</v>
      </c>
      <c r="AR4827" t="e">
        <v>#N/A</v>
      </c>
      <c r="AS4827" t="e">
        <v>#N/A</v>
      </c>
      <c r="AT4827" t="e">
        <v>#N/A</v>
      </c>
    </row>
    <row r="4828" spans="42:46">
      <c r="AP4828">
        <v>314400</v>
      </c>
      <c r="AQ4828" t="e">
        <v>#N/A</v>
      </c>
      <c r="AR4828" t="e">
        <v>#N/A</v>
      </c>
      <c r="AS4828" t="e">
        <v>#N/A</v>
      </c>
      <c r="AT4828" t="e">
        <v>#N/A</v>
      </c>
    </row>
    <row r="4829" spans="42:46">
      <c r="AP4829">
        <v>314450</v>
      </c>
      <c r="AQ4829" t="e">
        <v>#N/A</v>
      </c>
      <c r="AR4829" t="e">
        <v>#N/A</v>
      </c>
      <c r="AS4829" t="e">
        <v>#N/A</v>
      </c>
      <c r="AT4829" t="e">
        <v>#N/A</v>
      </c>
    </row>
    <row r="4830" spans="42:46">
      <c r="AP4830">
        <v>314500</v>
      </c>
      <c r="AQ4830" t="e">
        <v>#N/A</v>
      </c>
      <c r="AR4830" t="e">
        <v>#N/A</v>
      </c>
      <c r="AS4830" t="e">
        <v>#N/A</v>
      </c>
      <c r="AT4830" t="e">
        <v>#N/A</v>
      </c>
    </row>
    <row r="4831" spans="42:46">
      <c r="AP4831">
        <v>314550</v>
      </c>
      <c r="AQ4831" t="e">
        <v>#N/A</v>
      </c>
      <c r="AR4831" t="e">
        <v>#N/A</v>
      </c>
      <c r="AS4831" t="e">
        <v>#N/A</v>
      </c>
      <c r="AT4831" t="e">
        <v>#N/A</v>
      </c>
    </row>
    <row r="4832" spans="42:46">
      <c r="AP4832">
        <v>314600</v>
      </c>
      <c r="AQ4832" t="e">
        <v>#N/A</v>
      </c>
      <c r="AR4832" t="e">
        <v>#N/A</v>
      </c>
      <c r="AS4832" t="e">
        <v>#N/A</v>
      </c>
      <c r="AT4832" t="e">
        <v>#N/A</v>
      </c>
    </row>
    <row r="4833" spans="42:46">
      <c r="AP4833">
        <v>314650</v>
      </c>
      <c r="AQ4833" t="e">
        <v>#N/A</v>
      </c>
      <c r="AR4833" t="e">
        <v>#N/A</v>
      </c>
      <c r="AS4833" t="e">
        <v>#N/A</v>
      </c>
      <c r="AT4833" t="e">
        <v>#N/A</v>
      </c>
    </row>
    <row r="4834" spans="42:46">
      <c r="AP4834">
        <v>314700</v>
      </c>
      <c r="AQ4834" t="e">
        <v>#N/A</v>
      </c>
      <c r="AR4834" t="e">
        <v>#N/A</v>
      </c>
      <c r="AS4834" t="e">
        <v>#N/A</v>
      </c>
      <c r="AT4834" t="e">
        <v>#N/A</v>
      </c>
    </row>
    <row r="4835" spans="42:46">
      <c r="AP4835">
        <v>314750</v>
      </c>
      <c r="AQ4835" t="e">
        <v>#N/A</v>
      </c>
      <c r="AR4835" t="e">
        <v>#N/A</v>
      </c>
      <c r="AS4835" t="e">
        <v>#N/A</v>
      </c>
      <c r="AT4835" t="e">
        <v>#N/A</v>
      </c>
    </row>
    <row r="4836" spans="42:46">
      <c r="AP4836">
        <v>314800</v>
      </c>
      <c r="AQ4836" t="e">
        <v>#N/A</v>
      </c>
      <c r="AR4836" t="e">
        <v>#N/A</v>
      </c>
      <c r="AS4836" t="e">
        <v>#N/A</v>
      </c>
      <c r="AT4836" t="e">
        <v>#N/A</v>
      </c>
    </row>
    <row r="4837" spans="42:46">
      <c r="AP4837">
        <v>314850</v>
      </c>
      <c r="AQ4837" t="e">
        <v>#N/A</v>
      </c>
      <c r="AR4837" t="e">
        <v>#N/A</v>
      </c>
      <c r="AS4837" t="e">
        <v>#N/A</v>
      </c>
      <c r="AT4837" t="e">
        <v>#N/A</v>
      </c>
    </row>
    <row r="4838" spans="42:46">
      <c r="AP4838">
        <v>314900</v>
      </c>
      <c r="AQ4838" t="e">
        <v>#N/A</v>
      </c>
      <c r="AR4838" t="e">
        <v>#N/A</v>
      </c>
      <c r="AS4838" t="e">
        <v>#N/A</v>
      </c>
      <c r="AT4838" t="e">
        <v>#N/A</v>
      </c>
    </row>
    <row r="4839" spans="42:46">
      <c r="AP4839">
        <v>314950</v>
      </c>
      <c r="AQ4839" t="e">
        <v>#N/A</v>
      </c>
      <c r="AR4839" t="e">
        <v>#N/A</v>
      </c>
      <c r="AS4839" t="e">
        <v>#N/A</v>
      </c>
      <c r="AT4839" t="e">
        <v>#N/A</v>
      </c>
    </row>
    <row r="4840" spans="42:46">
      <c r="AP4840">
        <v>315000</v>
      </c>
      <c r="AQ4840" t="e">
        <v>#N/A</v>
      </c>
      <c r="AR4840" t="e">
        <v>#N/A</v>
      </c>
      <c r="AS4840" t="e">
        <v>#N/A</v>
      </c>
      <c r="AT4840" t="e">
        <v>#N/A</v>
      </c>
    </row>
    <row r="4841" spans="42:46">
      <c r="AP4841">
        <v>315050</v>
      </c>
      <c r="AQ4841" t="e">
        <v>#N/A</v>
      </c>
      <c r="AR4841" t="e">
        <v>#N/A</v>
      </c>
      <c r="AS4841" t="e">
        <v>#N/A</v>
      </c>
      <c r="AT4841" t="e">
        <v>#N/A</v>
      </c>
    </row>
    <row r="4842" spans="42:46">
      <c r="AP4842">
        <v>315100</v>
      </c>
      <c r="AQ4842" t="e">
        <v>#N/A</v>
      </c>
      <c r="AR4842" t="e">
        <v>#N/A</v>
      </c>
      <c r="AS4842" t="e">
        <v>#N/A</v>
      </c>
      <c r="AT4842" t="e">
        <v>#N/A</v>
      </c>
    </row>
    <row r="4843" spans="42:46">
      <c r="AP4843">
        <v>315150</v>
      </c>
      <c r="AQ4843" t="e">
        <v>#N/A</v>
      </c>
      <c r="AR4843" t="e">
        <v>#N/A</v>
      </c>
      <c r="AS4843" t="e">
        <v>#N/A</v>
      </c>
      <c r="AT4843" t="e">
        <v>#N/A</v>
      </c>
    </row>
    <row r="4844" spans="42:46">
      <c r="AP4844">
        <v>315200</v>
      </c>
      <c r="AQ4844" t="e">
        <v>#N/A</v>
      </c>
      <c r="AR4844" t="e">
        <v>#N/A</v>
      </c>
      <c r="AS4844" t="e">
        <v>#N/A</v>
      </c>
      <c r="AT4844" t="e">
        <v>#N/A</v>
      </c>
    </row>
    <row r="4845" spans="42:46">
      <c r="AP4845">
        <v>315250</v>
      </c>
      <c r="AQ4845" t="e">
        <v>#N/A</v>
      </c>
      <c r="AR4845" t="e">
        <v>#N/A</v>
      </c>
      <c r="AS4845" t="e">
        <v>#N/A</v>
      </c>
      <c r="AT4845" t="e">
        <v>#N/A</v>
      </c>
    </row>
    <row r="4846" spans="42:46">
      <c r="AP4846">
        <v>315300</v>
      </c>
      <c r="AQ4846" t="e">
        <v>#N/A</v>
      </c>
      <c r="AR4846" t="e">
        <v>#N/A</v>
      </c>
      <c r="AS4846" t="e">
        <v>#N/A</v>
      </c>
      <c r="AT4846" t="e">
        <v>#N/A</v>
      </c>
    </row>
    <row r="4847" spans="42:46">
      <c r="AP4847">
        <v>315350</v>
      </c>
      <c r="AQ4847" t="e">
        <v>#N/A</v>
      </c>
      <c r="AR4847" t="e">
        <v>#N/A</v>
      </c>
      <c r="AS4847" t="e">
        <v>#N/A</v>
      </c>
      <c r="AT4847" t="e">
        <v>#N/A</v>
      </c>
    </row>
    <row r="4848" spans="42:46">
      <c r="AP4848">
        <v>315400</v>
      </c>
      <c r="AQ4848" t="e">
        <v>#N/A</v>
      </c>
      <c r="AR4848" t="e">
        <v>#N/A</v>
      </c>
      <c r="AS4848" t="e">
        <v>#N/A</v>
      </c>
      <c r="AT4848" t="e">
        <v>#N/A</v>
      </c>
    </row>
    <row r="4849" spans="42:46">
      <c r="AP4849">
        <v>315450</v>
      </c>
      <c r="AQ4849" t="e">
        <v>#N/A</v>
      </c>
      <c r="AR4849" t="e">
        <v>#N/A</v>
      </c>
      <c r="AS4849" t="e">
        <v>#N/A</v>
      </c>
      <c r="AT4849" t="e">
        <v>#N/A</v>
      </c>
    </row>
    <row r="4850" spans="42:46">
      <c r="AP4850">
        <v>315500</v>
      </c>
      <c r="AQ4850" t="e">
        <v>#N/A</v>
      </c>
      <c r="AR4850" t="e">
        <v>#N/A</v>
      </c>
      <c r="AS4850" t="e">
        <v>#N/A</v>
      </c>
      <c r="AT4850" t="e">
        <v>#N/A</v>
      </c>
    </row>
    <row r="4851" spans="42:46">
      <c r="AP4851">
        <v>315550</v>
      </c>
      <c r="AQ4851" t="e">
        <v>#N/A</v>
      </c>
      <c r="AR4851" t="e">
        <v>#N/A</v>
      </c>
      <c r="AS4851" t="e">
        <v>#N/A</v>
      </c>
      <c r="AT4851" t="e">
        <v>#N/A</v>
      </c>
    </row>
    <row r="4852" spans="42:46">
      <c r="AP4852">
        <v>315600</v>
      </c>
      <c r="AQ4852" t="e">
        <v>#N/A</v>
      </c>
      <c r="AR4852" t="e">
        <v>#N/A</v>
      </c>
      <c r="AS4852" t="e">
        <v>#N/A</v>
      </c>
      <c r="AT4852" t="e">
        <v>#N/A</v>
      </c>
    </row>
    <row r="4853" spans="42:46">
      <c r="AP4853">
        <v>315650</v>
      </c>
      <c r="AQ4853" t="e">
        <v>#N/A</v>
      </c>
      <c r="AR4853" t="e">
        <v>#N/A</v>
      </c>
      <c r="AS4853" t="e">
        <v>#N/A</v>
      </c>
      <c r="AT4853" t="e">
        <v>#N/A</v>
      </c>
    </row>
    <row r="4854" spans="42:46">
      <c r="AP4854">
        <v>315700</v>
      </c>
      <c r="AQ4854" t="e">
        <v>#N/A</v>
      </c>
      <c r="AR4854" t="e">
        <v>#N/A</v>
      </c>
      <c r="AS4854" t="e">
        <v>#N/A</v>
      </c>
      <c r="AT4854" t="e">
        <v>#N/A</v>
      </c>
    </row>
    <row r="4855" spans="42:46">
      <c r="AP4855">
        <v>315750</v>
      </c>
      <c r="AQ4855" t="e">
        <v>#N/A</v>
      </c>
      <c r="AR4855" t="e">
        <v>#N/A</v>
      </c>
      <c r="AS4855" t="e">
        <v>#N/A</v>
      </c>
      <c r="AT4855" t="e">
        <v>#N/A</v>
      </c>
    </row>
    <row r="4856" spans="42:46">
      <c r="AP4856">
        <v>315800</v>
      </c>
      <c r="AQ4856" t="e">
        <v>#N/A</v>
      </c>
      <c r="AR4856" t="e">
        <v>#N/A</v>
      </c>
      <c r="AS4856" t="e">
        <v>#N/A</v>
      </c>
      <c r="AT4856" t="e">
        <v>#N/A</v>
      </c>
    </row>
    <row r="4857" spans="42:46">
      <c r="AP4857">
        <v>315850</v>
      </c>
      <c r="AQ4857" t="e">
        <v>#N/A</v>
      </c>
      <c r="AR4857" t="e">
        <v>#N/A</v>
      </c>
      <c r="AS4857" t="e">
        <v>#N/A</v>
      </c>
      <c r="AT4857" t="e">
        <v>#N/A</v>
      </c>
    </row>
    <row r="4858" spans="42:46">
      <c r="AP4858">
        <v>315900</v>
      </c>
      <c r="AQ4858" t="e">
        <v>#N/A</v>
      </c>
      <c r="AR4858" t="e">
        <v>#N/A</v>
      </c>
      <c r="AS4858" t="e">
        <v>#N/A</v>
      </c>
      <c r="AT4858" t="e">
        <v>#N/A</v>
      </c>
    </row>
    <row r="4859" spans="42:46">
      <c r="AP4859">
        <v>315950</v>
      </c>
      <c r="AQ4859" t="e">
        <v>#N/A</v>
      </c>
      <c r="AR4859" t="e">
        <v>#N/A</v>
      </c>
      <c r="AS4859" t="e">
        <v>#N/A</v>
      </c>
      <c r="AT4859" t="e">
        <v>#N/A</v>
      </c>
    </row>
    <row r="4860" spans="42:46">
      <c r="AP4860">
        <v>316000</v>
      </c>
      <c r="AQ4860" t="e">
        <v>#N/A</v>
      </c>
      <c r="AR4860" t="e">
        <v>#N/A</v>
      </c>
      <c r="AS4860" t="e">
        <v>#N/A</v>
      </c>
      <c r="AT4860" t="e">
        <v>#N/A</v>
      </c>
    </row>
    <row r="4861" spans="42:46">
      <c r="AP4861">
        <v>316050</v>
      </c>
      <c r="AQ4861" t="e">
        <v>#N/A</v>
      </c>
      <c r="AR4861" t="e">
        <v>#N/A</v>
      </c>
      <c r="AS4861" t="e">
        <v>#N/A</v>
      </c>
      <c r="AT4861" t="e">
        <v>#N/A</v>
      </c>
    </row>
    <row r="4862" spans="42:46">
      <c r="AP4862">
        <v>316100</v>
      </c>
      <c r="AQ4862" t="e">
        <v>#N/A</v>
      </c>
      <c r="AR4862" t="e">
        <v>#N/A</v>
      </c>
      <c r="AS4862" t="e">
        <v>#N/A</v>
      </c>
      <c r="AT4862" t="e">
        <v>#N/A</v>
      </c>
    </row>
    <row r="4863" spans="42:46">
      <c r="AP4863">
        <v>316150</v>
      </c>
      <c r="AQ4863" t="e">
        <v>#N/A</v>
      </c>
      <c r="AR4863" t="e">
        <v>#N/A</v>
      </c>
      <c r="AS4863" t="e">
        <v>#N/A</v>
      </c>
      <c r="AT4863" t="e">
        <v>#N/A</v>
      </c>
    </row>
    <row r="4864" spans="42:46">
      <c r="AP4864">
        <v>316200</v>
      </c>
      <c r="AQ4864" t="e">
        <v>#N/A</v>
      </c>
      <c r="AR4864" t="e">
        <v>#N/A</v>
      </c>
      <c r="AS4864" t="e">
        <v>#N/A</v>
      </c>
      <c r="AT4864" t="e">
        <v>#N/A</v>
      </c>
    </row>
    <row r="4865" spans="42:46">
      <c r="AP4865">
        <v>316250</v>
      </c>
      <c r="AQ4865" t="e">
        <v>#N/A</v>
      </c>
      <c r="AR4865" t="e">
        <v>#N/A</v>
      </c>
      <c r="AS4865" t="e">
        <v>#N/A</v>
      </c>
      <c r="AT4865" t="e">
        <v>#N/A</v>
      </c>
    </row>
    <row r="4866" spans="42:46">
      <c r="AP4866">
        <v>316300</v>
      </c>
      <c r="AQ4866" t="e">
        <v>#N/A</v>
      </c>
      <c r="AR4866" t="e">
        <v>#N/A</v>
      </c>
      <c r="AS4866" t="e">
        <v>#N/A</v>
      </c>
      <c r="AT4866" t="e">
        <v>#N/A</v>
      </c>
    </row>
    <row r="4867" spans="42:46">
      <c r="AP4867">
        <v>316350</v>
      </c>
      <c r="AQ4867" t="e">
        <v>#N/A</v>
      </c>
      <c r="AR4867" t="e">
        <v>#N/A</v>
      </c>
      <c r="AS4867" t="e">
        <v>#N/A</v>
      </c>
      <c r="AT4867" t="e">
        <v>#N/A</v>
      </c>
    </row>
    <row r="4868" spans="42:46">
      <c r="AP4868">
        <v>316400</v>
      </c>
      <c r="AQ4868" t="e">
        <v>#N/A</v>
      </c>
      <c r="AR4868" t="e">
        <v>#N/A</v>
      </c>
      <c r="AS4868" t="e">
        <v>#N/A</v>
      </c>
      <c r="AT4868" t="e">
        <v>#N/A</v>
      </c>
    </row>
    <row r="4869" spans="42:46">
      <c r="AP4869">
        <v>316450</v>
      </c>
      <c r="AQ4869" t="e">
        <v>#N/A</v>
      </c>
      <c r="AR4869" t="e">
        <v>#N/A</v>
      </c>
      <c r="AS4869" t="e">
        <v>#N/A</v>
      </c>
      <c r="AT4869" t="e">
        <v>#N/A</v>
      </c>
    </row>
    <row r="4870" spans="42:46">
      <c r="AP4870">
        <v>316500</v>
      </c>
      <c r="AQ4870" t="e">
        <v>#N/A</v>
      </c>
      <c r="AR4870" t="e">
        <v>#N/A</v>
      </c>
      <c r="AS4870" t="e">
        <v>#N/A</v>
      </c>
      <c r="AT4870" t="e">
        <v>#N/A</v>
      </c>
    </row>
    <row r="4871" spans="42:46">
      <c r="AP4871">
        <v>316550</v>
      </c>
      <c r="AQ4871" t="e">
        <v>#N/A</v>
      </c>
      <c r="AR4871" t="e">
        <v>#N/A</v>
      </c>
      <c r="AS4871" t="e">
        <v>#N/A</v>
      </c>
      <c r="AT4871" t="e">
        <v>#N/A</v>
      </c>
    </row>
    <row r="4872" spans="42:46">
      <c r="AP4872">
        <v>316600</v>
      </c>
      <c r="AQ4872" t="e">
        <v>#N/A</v>
      </c>
      <c r="AR4872" t="e">
        <v>#N/A</v>
      </c>
      <c r="AS4872" t="e">
        <v>#N/A</v>
      </c>
      <c r="AT4872" t="e">
        <v>#N/A</v>
      </c>
    </row>
    <row r="4873" spans="42:46">
      <c r="AP4873">
        <v>316650</v>
      </c>
      <c r="AQ4873" t="e">
        <v>#N/A</v>
      </c>
      <c r="AR4873" t="e">
        <v>#N/A</v>
      </c>
      <c r="AS4873" t="e">
        <v>#N/A</v>
      </c>
      <c r="AT4873" t="e">
        <v>#N/A</v>
      </c>
    </row>
    <row r="4874" spans="42:46">
      <c r="AP4874">
        <v>316700</v>
      </c>
      <c r="AQ4874" t="e">
        <v>#N/A</v>
      </c>
      <c r="AR4874" t="e">
        <v>#N/A</v>
      </c>
      <c r="AS4874" t="e">
        <v>#N/A</v>
      </c>
      <c r="AT4874" t="e">
        <v>#N/A</v>
      </c>
    </row>
    <row r="4875" spans="42:46">
      <c r="AP4875">
        <v>316750</v>
      </c>
      <c r="AQ4875" t="e">
        <v>#N/A</v>
      </c>
      <c r="AR4875" t="e">
        <v>#N/A</v>
      </c>
      <c r="AS4875" t="e">
        <v>#N/A</v>
      </c>
      <c r="AT4875" t="e">
        <v>#N/A</v>
      </c>
    </row>
    <row r="4876" spans="42:46">
      <c r="AP4876">
        <v>316800</v>
      </c>
      <c r="AQ4876" t="e">
        <v>#N/A</v>
      </c>
      <c r="AR4876" t="e">
        <v>#N/A</v>
      </c>
      <c r="AS4876" t="e">
        <v>#N/A</v>
      </c>
      <c r="AT4876" t="e">
        <v>#N/A</v>
      </c>
    </row>
    <row r="4877" spans="42:46">
      <c r="AP4877">
        <v>316850</v>
      </c>
      <c r="AQ4877" t="e">
        <v>#N/A</v>
      </c>
      <c r="AR4877" t="e">
        <v>#N/A</v>
      </c>
      <c r="AS4877" t="e">
        <v>#N/A</v>
      </c>
      <c r="AT4877" t="e">
        <v>#N/A</v>
      </c>
    </row>
    <row r="4878" spans="42:46">
      <c r="AP4878">
        <v>316900</v>
      </c>
      <c r="AQ4878" t="e">
        <v>#N/A</v>
      </c>
      <c r="AR4878" t="e">
        <v>#N/A</v>
      </c>
      <c r="AS4878" t="e">
        <v>#N/A</v>
      </c>
      <c r="AT4878" t="e">
        <v>#N/A</v>
      </c>
    </row>
    <row r="4879" spans="42:46">
      <c r="AP4879">
        <v>316950</v>
      </c>
      <c r="AQ4879" t="e">
        <v>#N/A</v>
      </c>
      <c r="AR4879" t="e">
        <v>#N/A</v>
      </c>
      <c r="AS4879" t="e">
        <v>#N/A</v>
      </c>
      <c r="AT4879" t="e">
        <v>#N/A</v>
      </c>
    </row>
    <row r="4880" spans="42:46">
      <c r="AP4880">
        <v>317000</v>
      </c>
      <c r="AQ4880" t="e">
        <v>#N/A</v>
      </c>
      <c r="AR4880" t="e">
        <v>#N/A</v>
      </c>
      <c r="AS4880" t="e">
        <v>#N/A</v>
      </c>
      <c r="AT4880" t="e">
        <v>#N/A</v>
      </c>
    </row>
    <row r="4881" spans="42:46">
      <c r="AP4881">
        <v>317050</v>
      </c>
      <c r="AQ4881" t="e">
        <v>#N/A</v>
      </c>
      <c r="AR4881" t="e">
        <v>#N/A</v>
      </c>
      <c r="AS4881" t="e">
        <v>#N/A</v>
      </c>
      <c r="AT4881" t="e">
        <v>#N/A</v>
      </c>
    </row>
    <row r="4882" spans="42:46">
      <c r="AP4882">
        <v>317100</v>
      </c>
      <c r="AQ4882" t="e">
        <v>#N/A</v>
      </c>
      <c r="AR4882" t="e">
        <v>#N/A</v>
      </c>
      <c r="AS4882" t="e">
        <v>#N/A</v>
      </c>
      <c r="AT4882" t="e">
        <v>#N/A</v>
      </c>
    </row>
    <row r="4883" spans="42:46">
      <c r="AP4883">
        <v>317150</v>
      </c>
      <c r="AQ4883" t="e">
        <v>#N/A</v>
      </c>
      <c r="AR4883" t="e">
        <v>#N/A</v>
      </c>
      <c r="AS4883" t="e">
        <v>#N/A</v>
      </c>
      <c r="AT4883" t="e">
        <v>#N/A</v>
      </c>
    </row>
    <row r="4884" spans="42:46">
      <c r="AP4884">
        <v>317200</v>
      </c>
      <c r="AQ4884" t="e">
        <v>#N/A</v>
      </c>
      <c r="AR4884" t="e">
        <v>#N/A</v>
      </c>
      <c r="AS4884" t="e">
        <v>#N/A</v>
      </c>
      <c r="AT4884" t="e">
        <v>#N/A</v>
      </c>
    </row>
    <row r="4885" spans="42:46">
      <c r="AP4885">
        <v>317250</v>
      </c>
      <c r="AQ4885" t="e">
        <v>#N/A</v>
      </c>
      <c r="AR4885" t="e">
        <v>#N/A</v>
      </c>
      <c r="AS4885" t="e">
        <v>#N/A</v>
      </c>
      <c r="AT4885" t="e">
        <v>#N/A</v>
      </c>
    </row>
    <row r="4886" spans="42:46">
      <c r="AP4886">
        <v>317300</v>
      </c>
      <c r="AQ4886" t="e">
        <v>#N/A</v>
      </c>
      <c r="AR4886" t="e">
        <v>#N/A</v>
      </c>
      <c r="AS4886" t="e">
        <v>#N/A</v>
      </c>
      <c r="AT4886" t="e">
        <v>#N/A</v>
      </c>
    </row>
    <row r="4887" spans="42:46">
      <c r="AP4887">
        <v>317350</v>
      </c>
      <c r="AQ4887" t="e">
        <v>#N/A</v>
      </c>
      <c r="AR4887" t="e">
        <v>#N/A</v>
      </c>
      <c r="AS4887" t="e">
        <v>#N/A</v>
      </c>
      <c r="AT4887" t="e">
        <v>#N/A</v>
      </c>
    </row>
    <row r="4888" spans="42:46">
      <c r="AP4888">
        <v>317400</v>
      </c>
      <c r="AQ4888" t="e">
        <v>#N/A</v>
      </c>
      <c r="AR4888" t="e">
        <v>#N/A</v>
      </c>
      <c r="AS4888" t="e">
        <v>#N/A</v>
      </c>
      <c r="AT4888" t="e">
        <v>#N/A</v>
      </c>
    </row>
    <row r="4889" spans="42:46">
      <c r="AP4889">
        <v>317450</v>
      </c>
      <c r="AQ4889" t="e">
        <v>#N/A</v>
      </c>
      <c r="AR4889" t="e">
        <v>#N/A</v>
      </c>
      <c r="AS4889" t="e">
        <v>#N/A</v>
      </c>
      <c r="AT4889" t="e">
        <v>#N/A</v>
      </c>
    </row>
    <row r="4890" spans="42:46">
      <c r="AP4890">
        <v>317500</v>
      </c>
      <c r="AQ4890" t="e">
        <v>#N/A</v>
      </c>
      <c r="AR4890" t="e">
        <v>#N/A</v>
      </c>
      <c r="AS4890" t="e">
        <v>#N/A</v>
      </c>
      <c r="AT4890" t="e">
        <v>#N/A</v>
      </c>
    </row>
    <row r="4891" spans="42:46">
      <c r="AP4891">
        <v>317550</v>
      </c>
      <c r="AQ4891" t="e">
        <v>#N/A</v>
      </c>
      <c r="AR4891" t="e">
        <v>#N/A</v>
      </c>
      <c r="AS4891" t="e">
        <v>#N/A</v>
      </c>
      <c r="AT4891" t="e">
        <v>#N/A</v>
      </c>
    </row>
    <row r="4892" spans="42:46">
      <c r="AP4892">
        <v>317600</v>
      </c>
      <c r="AQ4892" t="e">
        <v>#N/A</v>
      </c>
      <c r="AR4892" t="e">
        <v>#N/A</v>
      </c>
      <c r="AS4892" t="e">
        <v>#N/A</v>
      </c>
      <c r="AT4892" t="e">
        <v>#N/A</v>
      </c>
    </row>
    <row r="4893" spans="42:46">
      <c r="AP4893">
        <v>317650</v>
      </c>
      <c r="AQ4893" t="e">
        <v>#N/A</v>
      </c>
      <c r="AR4893" t="e">
        <v>#N/A</v>
      </c>
      <c r="AS4893" t="e">
        <v>#N/A</v>
      </c>
      <c r="AT4893" t="e">
        <v>#N/A</v>
      </c>
    </row>
    <row r="4894" spans="42:46">
      <c r="AP4894">
        <v>317700</v>
      </c>
      <c r="AQ4894" t="e">
        <v>#N/A</v>
      </c>
      <c r="AR4894" t="e">
        <v>#N/A</v>
      </c>
      <c r="AS4894" t="e">
        <v>#N/A</v>
      </c>
      <c r="AT4894" t="e">
        <v>#N/A</v>
      </c>
    </row>
    <row r="4895" spans="42:46">
      <c r="AP4895">
        <v>317750</v>
      </c>
      <c r="AQ4895" t="e">
        <v>#N/A</v>
      </c>
      <c r="AR4895" t="e">
        <v>#N/A</v>
      </c>
      <c r="AS4895" t="e">
        <v>#N/A</v>
      </c>
      <c r="AT4895" t="e">
        <v>#N/A</v>
      </c>
    </row>
    <row r="4896" spans="42:46">
      <c r="AP4896">
        <v>317800</v>
      </c>
      <c r="AQ4896" t="e">
        <v>#N/A</v>
      </c>
      <c r="AR4896" t="e">
        <v>#N/A</v>
      </c>
      <c r="AS4896" t="e">
        <v>#N/A</v>
      </c>
      <c r="AT4896" t="e">
        <v>#N/A</v>
      </c>
    </row>
    <row r="4897" spans="42:46">
      <c r="AP4897">
        <v>317850</v>
      </c>
      <c r="AQ4897" t="e">
        <v>#N/A</v>
      </c>
      <c r="AR4897" t="e">
        <v>#N/A</v>
      </c>
      <c r="AS4897" t="e">
        <v>#N/A</v>
      </c>
      <c r="AT4897" t="e">
        <v>#N/A</v>
      </c>
    </row>
    <row r="4898" spans="42:46">
      <c r="AP4898">
        <v>317900</v>
      </c>
      <c r="AQ4898" t="e">
        <v>#N/A</v>
      </c>
      <c r="AR4898" t="e">
        <v>#N/A</v>
      </c>
      <c r="AS4898" t="e">
        <v>#N/A</v>
      </c>
      <c r="AT4898" t="e">
        <v>#N/A</v>
      </c>
    </row>
    <row r="4899" spans="42:46">
      <c r="AP4899">
        <v>317950</v>
      </c>
      <c r="AQ4899" t="e">
        <v>#N/A</v>
      </c>
      <c r="AR4899" t="e">
        <v>#N/A</v>
      </c>
      <c r="AS4899" t="e">
        <v>#N/A</v>
      </c>
      <c r="AT4899" t="e">
        <v>#N/A</v>
      </c>
    </row>
    <row r="4900" spans="42:46">
      <c r="AP4900">
        <v>318000</v>
      </c>
      <c r="AQ4900" t="e">
        <v>#N/A</v>
      </c>
      <c r="AR4900" t="e">
        <v>#N/A</v>
      </c>
      <c r="AS4900" t="e">
        <v>#N/A</v>
      </c>
      <c r="AT4900" t="e">
        <v>#N/A</v>
      </c>
    </row>
    <row r="4901" spans="42:46">
      <c r="AP4901">
        <v>318050</v>
      </c>
      <c r="AQ4901" t="e">
        <v>#N/A</v>
      </c>
      <c r="AR4901" t="e">
        <v>#N/A</v>
      </c>
      <c r="AS4901" t="e">
        <v>#N/A</v>
      </c>
      <c r="AT4901" t="e">
        <v>#N/A</v>
      </c>
    </row>
    <row r="4902" spans="42:46">
      <c r="AP4902">
        <v>318100</v>
      </c>
      <c r="AQ4902" t="e">
        <v>#N/A</v>
      </c>
      <c r="AR4902" t="e">
        <v>#N/A</v>
      </c>
      <c r="AS4902" t="e">
        <v>#N/A</v>
      </c>
      <c r="AT4902" t="e">
        <v>#N/A</v>
      </c>
    </row>
    <row r="4903" spans="42:46">
      <c r="AP4903">
        <v>318150</v>
      </c>
      <c r="AQ4903" t="e">
        <v>#N/A</v>
      </c>
      <c r="AR4903" t="e">
        <v>#N/A</v>
      </c>
      <c r="AS4903" t="e">
        <v>#N/A</v>
      </c>
      <c r="AT4903" t="e">
        <v>#N/A</v>
      </c>
    </row>
    <row r="4904" spans="42:46">
      <c r="AP4904">
        <v>318200</v>
      </c>
      <c r="AQ4904" t="e">
        <v>#N/A</v>
      </c>
      <c r="AR4904" t="e">
        <v>#N/A</v>
      </c>
      <c r="AS4904" t="e">
        <v>#N/A</v>
      </c>
      <c r="AT4904" t="e">
        <v>#N/A</v>
      </c>
    </row>
    <row r="4905" spans="42:46">
      <c r="AP4905">
        <v>318250</v>
      </c>
      <c r="AQ4905" t="e">
        <v>#N/A</v>
      </c>
      <c r="AR4905" t="e">
        <v>#N/A</v>
      </c>
      <c r="AS4905" t="e">
        <v>#N/A</v>
      </c>
      <c r="AT4905" t="e">
        <v>#N/A</v>
      </c>
    </row>
    <row r="4906" spans="42:46">
      <c r="AP4906">
        <v>318300</v>
      </c>
      <c r="AQ4906" t="e">
        <v>#N/A</v>
      </c>
      <c r="AR4906" t="e">
        <v>#N/A</v>
      </c>
      <c r="AS4906" t="e">
        <v>#N/A</v>
      </c>
      <c r="AT4906" t="e">
        <v>#N/A</v>
      </c>
    </row>
    <row r="4907" spans="42:46">
      <c r="AP4907">
        <v>318350</v>
      </c>
      <c r="AQ4907" t="e">
        <v>#N/A</v>
      </c>
      <c r="AR4907" t="e">
        <v>#N/A</v>
      </c>
      <c r="AS4907" t="e">
        <v>#N/A</v>
      </c>
      <c r="AT4907" t="e">
        <v>#N/A</v>
      </c>
    </row>
    <row r="4908" spans="42:46">
      <c r="AP4908">
        <v>318400</v>
      </c>
      <c r="AQ4908" t="e">
        <v>#N/A</v>
      </c>
      <c r="AR4908" t="e">
        <v>#N/A</v>
      </c>
      <c r="AS4908" t="e">
        <v>#N/A</v>
      </c>
      <c r="AT4908" t="e">
        <v>#N/A</v>
      </c>
    </row>
    <row r="4909" spans="42:46">
      <c r="AP4909">
        <v>318450</v>
      </c>
      <c r="AQ4909" t="e">
        <v>#N/A</v>
      </c>
      <c r="AR4909" t="e">
        <v>#N/A</v>
      </c>
      <c r="AS4909" t="e">
        <v>#N/A</v>
      </c>
      <c r="AT4909" t="e">
        <v>#N/A</v>
      </c>
    </row>
    <row r="4910" spans="42:46">
      <c r="AP4910">
        <v>318500</v>
      </c>
      <c r="AQ4910" t="e">
        <v>#N/A</v>
      </c>
      <c r="AR4910" t="e">
        <v>#N/A</v>
      </c>
      <c r="AS4910" t="e">
        <v>#N/A</v>
      </c>
      <c r="AT4910" t="e">
        <v>#N/A</v>
      </c>
    </row>
    <row r="4911" spans="42:46">
      <c r="AP4911">
        <v>318550</v>
      </c>
      <c r="AQ4911" t="e">
        <v>#N/A</v>
      </c>
      <c r="AR4911" t="e">
        <v>#N/A</v>
      </c>
      <c r="AS4911" t="e">
        <v>#N/A</v>
      </c>
      <c r="AT4911" t="e">
        <v>#N/A</v>
      </c>
    </row>
    <row r="4912" spans="42:46">
      <c r="AP4912">
        <v>318600</v>
      </c>
      <c r="AQ4912" t="e">
        <v>#N/A</v>
      </c>
      <c r="AR4912" t="e">
        <v>#N/A</v>
      </c>
      <c r="AS4912" t="e">
        <v>#N/A</v>
      </c>
      <c r="AT4912" t="e">
        <v>#N/A</v>
      </c>
    </row>
    <row r="4913" spans="42:46">
      <c r="AP4913">
        <v>318650</v>
      </c>
      <c r="AQ4913" t="e">
        <v>#N/A</v>
      </c>
      <c r="AR4913" t="e">
        <v>#N/A</v>
      </c>
      <c r="AS4913" t="e">
        <v>#N/A</v>
      </c>
      <c r="AT4913" t="e">
        <v>#N/A</v>
      </c>
    </row>
    <row r="4914" spans="42:46">
      <c r="AP4914">
        <v>318700</v>
      </c>
      <c r="AQ4914" t="e">
        <v>#N/A</v>
      </c>
      <c r="AR4914" t="e">
        <v>#N/A</v>
      </c>
      <c r="AS4914" t="e">
        <v>#N/A</v>
      </c>
      <c r="AT4914" t="e">
        <v>#N/A</v>
      </c>
    </row>
    <row r="4915" spans="42:46">
      <c r="AP4915">
        <v>318750</v>
      </c>
      <c r="AQ4915" t="e">
        <v>#N/A</v>
      </c>
      <c r="AR4915" t="e">
        <v>#N/A</v>
      </c>
      <c r="AS4915" t="e">
        <v>#N/A</v>
      </c>
      <c r="AT4915" t="e">
        <v>#N/A</v>
      </c>
    </row>
    <row r="4916" spans="42:46">
      <c r="AP4916">
        <v>318800</v>
      </c>
      <c r="AQ4916" t="e">
        <v>#N/A</v>
      </c>
      <c r="AR4916" t="e">
        <v>#N/A</v>
      </c>
      <c r="AS4916" t="e">
        <v>#N/A</v>
      </c>
      <c r="AT4916" t="e">
        <v>#N/A</v>
      </c>
    </row>
    <row r="4917" spans="42:46">
      <c r="AP4917">
        <v>318850</v>
      </c>
      <c r="AQ4917" t="e">
        <v>#N/A</v>
      </c>
      <c r="AR4917" t="e">
        <v>#N/A</v>
      </c>
      <c r="AS4917" t="e">
        <v>#N/A</v>
      </c>
      <c r="AT4917" t="e">
        <v>#N/A</v>
      </c>
    </row>
    <row r="4918" spans="42:46">
      <c r="AP4918">
        <v>318900</v>
      </c>
      <c r="AQ4918" t="e">
        <v>#N/A</v>
      </c>
      <c r="AR4918" t="e">
        <v>#N/A</v>
      </c>
      <c r="AS4918" t="e">
        <v>#N/A</v>
      </c>
      <c r="AT4918" t="e">
        <v>#N/A</v>
      </c>
    </row>
    <row r="4919" spans="42:46">
      <c r="AP4919">
        <v>318950</v>
      </c>
      <c r="AQ4919" t="e">
        <v>#N/A</v>
      </c>
      <c r="AR4919" t="e">
        <v>#N/A</v>
      </c>
      <c r="AS4919" t="e">
        <v>#N/A</v>
      </c>
      <c r="AT4919" t="e">
        <v>#N/A</v>
      </c>
    </row>
    <row r="4920" spans="42:46">
      <c r="AP4920">
        <v>319000</v>
      </c>
      <c r="AQ4920" t="e">
        <v>#N/A</v>
      </c>
      <c r="AR4920" t="e">
        <v>#N/A</v>
      </c>
      <c r="AS4920" t="e">
        <v>#N/A</v>
      </c>
      <c r="AT4920" t="e">
        <v>#N/A</v>
      </c>
    </row>
    <row r="4921" spans="42:46">
      <c r="AP4921">
        <v>319050</v>
      </c>
      <c r="AQ4921" t="e">
        <v>#N/A</v>
      </c>
      <c r="AR4921" t="e">
        <v>#N/A</v>
      </c>
      <c r="AS4921" t="e">
        <v>#N/A</v>
      </c>
      <c r="AT4921" t="e">
        <v>#N/A</v>
      </c>
    </row>
    <row r="4922" spans="42:46">
      <c r="AP4922">
        <v>319100</v>
      </c>
      <c r="AQ4922" t="e">
        <v>#N/A</v>
      </c>
      <c r="AR4922" t="e">
        <v>#N/A</v>
      </c>
      <c r="AS4922" t="e">
        <v>#N/A</v>
      </c>
      <c r="AT4922" t="e">
        <v>#N/A</v>
      </c>
    </row>
    <row r="4923" spans="42:46">
      <c r="AP4923">
        <v>319150</v>
      </c>
      <c r="AQ4923" t="e">
        <v>#N/A</v>
      </c>
      <c r="AR4923" t="e">
        <v>#N/A</v>
      </c>
      <c r="AS4923" t="e">
        <v>#N/A</v>
      </c>
      <c r="AT4923" t="e">
        <v>#N/A</v>
      </c>
    </row>
    <row r="4924" spans="42:46">
      <c r="AP4924">
        <v>319200</v>
      </c>
      <c r="AQ4924" t="e">
        <v>#N/A</v>
      </c>
      <c r="AR4924" t="e">
        <v>#N/A</v>
      </c>
      <c r="AS4924" t="e">
        <v>#N/A</v>
      </c>
      <c r="AT4924" t="e">
        <v>#N/A</v>
      </c>
    </row>
    <row r="4925" spans="42:46">
      <c r="AP4925">
        <v>319250</v>
      </c>
      <c r="AQ4925" t="e">
        <v>#N/A</v>
      </c>
      <c r="AR4925" t="e">
        <v>#N/A</v>
      </c>
      <c r="AS4925" t="e">
        <v>#N/A</v>
      </c>
      <c r="AT4925" t="e">
        <v>#N/A</v>
      </c>
    </row>
    <row r="4926" spans="42:46">
      <c r="AP4926">
        <v>319300</v>
      </c>
      <c r="AQ4926" t="e">
        <v>#N/A</v>
      </c>
      <c r="AR4926" t="e">
        <v>#N/A</v>
      </c>
      <c r="AS4926" t="e">
        <v>#N/A</v>
      </c>
      <c r="AT4926" t="e">
        <v>#N/A</v>
      </c>
    </row>
    <row r="4927" spans="42:46">
      <c r="AP4927">
        <v>319350</v>
      </c>
      <c r="AQ4927" t="e">
        <v>#N/A</v>
      </c>
      <c r="AR4927" t="e">
        <v>#N/A</v>
      </c>
      <c r="AS4927" t="e">
        <v>#N/A</v>
      </c>
      <c r="AT4927" t="e">
        <v>#N/A</v>
      </c>
    </row>
    <row r="4928" spans="42:46">
      <c r="AP4928">
        <v>319400</v>
      </c>
      <c r="AQ4928" t="e">
        <v>#N/A</v>
      </c>
      <c r="AR4928" t="e">
        <v>#N/A</v>
      </c>
      <c r="AS4928" t="e">
        <v>#N/A</v>
      </c>
      <c r="AT4928" t="e">
        <v>#N/A</v>
      </c>
    </row>
    <row r="4929" spans="42:46">
      <c r="AP4929">
        <v>319450</v>
      </c>
      <c r="AQ4929" t="e">
        <v>#N/A</v>
      </c>
      <c r="AR4929" t="e">
        <v>#N/A</v>
      </c>
      <c r="AS4929" t="e">
        <v>#N/A</v>
      </c>
      <c r="AT4929" t="e">
        <v>#N/A</v>
      </c>
    </row>
    <row r="4930" spans="42:46">
      <c r="AP4930">
        <v>319500</v>
      </c>
      <c r="AQ4930" t="e">
        <v>#N/A</v>
      </c>
      <c r="AR4930" t="e">
        <v>#N/A</v>
      </c>
      <c r="AS4930" t="e">
        <v>#N/A</v>
      </c>
      <c r="AT4930" t="e">
        <v>#N/A</v>
      </c>
    </row>
    <row r="4931" spans="42:46">
      <c r="AP4931">
        <v>319550</v>
      </c>
      <c r="AQ4931" t="e">
        <v>#N/A</v>
      </c>
      <c r="AR4931" t="e">
        <v>#N/A</v>
      </c>
      <c r="AS4931" t="e">
        <v>#N/A</v>
      </c>
      <c r="AT4931" t="e">
        <v>#N/A</v>
      </c>
    </row>
    <row r="4932" spans="42:46">
      <c r="AP4932">
        <v>319600</v>
      </c>
      <c r="AQ4932" t="e">
        <v>#N/A</v>
      </c>
      <c r="AR4932" t="e">
        <v>#N/A</v>
      </c>
      <c r="AS4932" t="e">
        <v>#N/A</v>
      </c>
      <c r="AT4932" t="e">
        <v>#N/A</v>
      </c>
    </row>
    <row r="4933" spans="42:46">
      <c r="AP4933">
        <v>319650</v>
      </c>
      <c r="AQ4933" t="e">
        <v>#N/A</v>
      </c>
      <c r="AR4933" t="e">
        <v>#N/A</v>
      </c>
      <c r="AS4933" t="e">
        <v>#N/A</v>
      </c>
      <c r="AT4933" t="e">
        <v>#N/A</v>
      </c>
    </row>
    <row r="4934" spans="42:46">
      <c r="AP4934">
        <v>319700</v>
      </c>
      <c r="AQ4934" t="e">
        <v>#N/A</v>
      </c>
      <c r="AR4934" t="e">
        <v>#N/A</v>
      </c>
      <c r="AS4934" t="e">
        <v>#N/A</v>
      </c>
      <c r="AT4934" t="e">
        <v>#N/A</v>
      </c>
    </row>
    <row r="4935" spans="42:46">
      <c r="AP4935">
        <v>319750</v>
      </c>
      <c r="AQ4935" t="e">
        <v>#N/A</v>
      </c>
      <c r="AR4935" t="e">
        <v>#N/A</v>
      </c>
      <c r="AS4935" t="e">
        <v>#N/A</v>
      </c>
      <c r="AT4935" t="e">
        <v>#N/A</v>
      </c>
    </row>
    <row r="4936" spans="42:46">
      <c r="AP4936">
        <v>319800</v>
      </c>
      <c r="AQ4936" t="e">
        <v>#N/A</v>
      </c>
      <c r="AR4936" t="e">
        <v>#N/A</v>
      </c>
      <c r="AS4936" t="e">
        <v>#N/A</v>
      </c>
      <c r="AT4936" t="e">
        <v>#N/A</v>
      </c>
    </row>
    <row r="4937" spans="42:46">
      <c r="AP4937">
        <v>319850</v>
      </c>
      <c r="AQ4937" t="e">
        <v>#N/A</v>
      </c>
      <c r="AR4937" t="e">
        <v>#N/A</v>
      </c>
      <c r="AS4937" t="e">
        <v>#N/A</v>
      </c>
      <c r="AT4937" t="e">
        <v>#N/A</v>
      </c>
    </row>
    <row r="4938" spans="42:46">
      <c r="AP4938">
        <v>319900</v>
      </c>
      <c r="AQ4938" t="e">
        <v>#N/A</v>
      </c>
      <c r="AR4938" t="e">
        <v>#N/A</v>
      </c>
      <c r="AS4938" t="e">
        <v>#N/A</v>
      </c>
      <c r="AT4938" t="e">
        <v>#N/A</v>
      </c>
    </row>
    <row r="4939" spans="42:46">
      <c r="AP4939">
        <v>319950</v>
      </c>
      <c r="AQ4939" t="e">
        <v>#N/A</v>
      </c>
      <c r="AR4939" t="e">
        <v>#N/A</v>
      </c>
      <c r="AS4939" t="e">
        <v>#N/A</v>
      </c>
      <c r="AT4939" t="e">
        <v>#N/A</v>
      </c>
    </row>
    <row r="4940" spans="42:46">
      <c r="AP4940">
        <v>320000</v>
      </c>
      <c r="AQ4940" t="e">
        <v>#N/A</v>
      </c>
      <c r="AR4940" t="e">
        <v>#N/A</v>
      </c>
      <c r="AS4940" t="e">
        <v>#N/A</v>
      </c>
      <c r="AT4940" t="e">
        <v>#N/A</v>
      </c>
    </row>
    <row r="4941" spans="42:46">
      <c r="AP4941">
        <v>320050</v>
      </c>
      <c r="AQ4941" t="e">
        <v>#N/A</v>
      </c>
      <c r="AR4941" t="e">
        <v>#N/A</v>
      </c>
      <c r="AS4941" t="e">
        <v>#N/A</v>
      </c>
      <c r="AT4941" t="e">
        <v>#N/A</v>
      </c>
    </row>
    <row r="4942" spans="42:46">
      <c r="AP4942">
        <v>320100</v>
      </c>
      <c r="AQ4942" t="e">
        <v>#N/A</v>
      </c>
      <c r="AR4942" t="e">
        <v>#N/A</v>
      </c>
      <c r="AS4942" t="e">
        <v>#N/A</v>
      </c>
      <c r="AT4942" t="e">
        <v>#N/A</v>
      </c>
    </row>
    <row r="4943" spans="42:46">
      <c r="AP4943">
        <v>320150</v>
      </c>
      <c r="AQ4943" t="e">
        <v>#N/A</v>
      </c>
      <c r="AR4943" t="e">
        <v>#N/A</v>
      </c>
      <c r="AS4943" t="e">
        <v>#N/A</v>
      </c>
      <c r="AT4943" t="e">
        <v>#N/A</v>
      </c>
    </row>
    <row r="4944" spans="42:46">
      <c r="AP4944">
        <v>320200</v>
      </c>
      <c r="AQ4944" t="e">
        <v>#N/A</v>
      </c>
      <c r="AR4944" t="e">
        <v>#N/A</v>
      </c>
      <c r="AS4944" t="e">
        <v>#N/A</v>
      </c>
      <c r="AT4944" t="e">
        <v>#N/A</v>
      </c>
    </row>
    <row r="4945" spans="42:46">
      <c r="AP4945">
        <v>320250</v>
      </c>
      <c r="AQ4945" t="e">
        <v>#N/A</v>
      </c>
      <c r="AR4945" t="e">
        <v>#N/A</v>
      </c>
      <c r="AS4945" t="e">
        <v>#N/A</v>
      </c>
      <c r="AT4945" t="e">
        <v>#N/A</v>
      </c>
    </row>
    <row r="4946" spans="42:46">
      <c r="AP4946">
        <v>320300</v>
      </c>
      <c r="AQ4946" t="e">
        <v>#N/A</v>
      </c>
      <c r="AR4946" t="e">
        <v>#N/A</v>
      </c>
      <c r="AS4946" t="e">
        <v>#N/A</v>
      </c>
      <c r="AT4946" t="e">
        <v>#N/A</v>
      </c>
    </row>
    <row r="4947" spans="42:46">
      <c r="AP4947">
        <v>320350</v>
      </c>
      <c r="AQ4947" t="e">
        <v>#N/A</v>
      </c>
      <c r="AR4947" t="e">
        <v>#N/A</v>
      </c>
      <c r="AS4947" t="e">
        <v>#N/A</v>
      </c>
      <c r="AT4947" t="e">
        <v>#N/A</v>
      </c>
    </row>
    <row r="4948" spans="42:46">
      <c r="AP4948">
        <v>320400</v>
      </c>
      <c r="AQ4948" t="e">
        <v>#N/A</v>
      </c>
      <c r="AR4948" t="e">
        <v>#N/A</v>
      </c>
      <c r="AS4948" t="e">
        <v>#N/A</v>
      </c>
      <c r="AT4948" t="e">
        <v>#N/A</v>
      </c>
    </row>
    <row r="4949" spans="42:46">
      <c r="AP4949">
        <v>320450</v>
      </c>
      <c r="AQ4949" t="e">
        <v>#N/A</v>
      </c>
      <c r="AR4949" t="e">
        <v>#N/A</v>
      </c>
      <c r="AS4949" t="e">
        <v>#N/A</v>
      </c>
      <c r="AT4949" t="e">
        <v>#N/A</v>
      </c>
    </row>
    <row r="4950" spans="42:46">
      <c r="AP4950">
        <v>320500</v>
      </c>
      <c r="AQ4950" t="e">
        <v>#N/A</v>
      </c>
      <c r="AR4950" t="e">
        <v>#N/A</v>
      </c>
      <c r="AS4950" t="e">
        <v>#N/A</v>
      </c>
      <c r="AT4950" t="e">
        <v>#N/A</v>
      </c>
    </row>
    <row r="4951" spans="42:46">
      <c r="AP4951">
        <v>320550</v>
      </c>
      <c r="AQ4951" t="e">
        <v>#N/A</v>
      </c>
      <c r="AR4951" t="e">
        <v>#N/A</v>
      </c>
      <c r="AS4951" t="e">
        <v>#N/A</v>
      </c>
      <c r="AT4951" t="e">
        <v>#N/A</v>
      </c>
    </row>
    <row r="4952" spans="42:46">
      <c r="AP4952">
        <v>320600</v>
      </c>
      <c r="AQ4952" t="e">
        <v>#N/A</v>
      </c>
      <c r="AR4952" t="e">
        <v>#N/A</v>
      </c>
      <c r="AS4952" t="e">
        <v>#N/A</v>
      </c>
      <c r="AT4952" t="e">
        <v>#N/A</v>
      </c>
    </row>
    <row r="4953" spans="42:46">
      <c r="AP4953">
        <v>320650</v>
      </c>
      <c r="AQ4953" t="e">
        <v>#N/A</v>
      </c>
      <c r="AR4953" t="e">
        <v>#N/A</v>
      </c>
      <c r="AS4953" t="e">
        <v>#N/A</v>
      </c>
      <c r="AT4953" t="e">
        <v>#N/A</v>
      </c>
    </row>
    <row r="4954" spans="42:46">
      <c r="AP4954">
        <v>320700</v>
      </c>
      <c r="AQ4954" t="e">
        <v>#N/A</v>
      </c>
      <c r="AR4954" t="e">
        <v>#N/A</v>
      </c>
      <c r="AS4954" t="e">
        <v>#N/A</v>
      </c>
      <c r="AT4954" t="e">
        <v>#N/A</v>
      </c>
    </row>
    <row r="4955" spans="42:46">
      <c r="AP4955">
        <v>320750</v>
      </c>
      <c r="AQ4955" t="e">
        <v>#N/A</v>
      </c>
      <c r="AR4955" t="e">
        <v>#N/A</v>
      </c>
      <c r="AS4955" t="e">
        <v>#N/A</v>
      </c>
      <c r="AT4955" t="e">
        <v>#N/A</v>
      </c>
    </row>
    <row r="4956" spans="42:46">
      <c r="AP4956">
        <v>320800</v>
      </c>
      <c r="AQ4956" t="e">
        <v>#N/A</v>
      </c>
      <c r="AR4956" t="e">
        <v>#N/A</v>
      </c>
      <c r="AS4956" t="e">
        <v>#N/A</v>
      </c>
      <c r="AT4956" t="e">
        <v>#N/A</v>
      </c>
    </row>
    <row r="4957" spans="42:46">
      <c r="AP4957">
        <v>320850</v>
      </c>
      <c r="AQ4957" t="e">
        <v>#N/A</v>
      </c>
      <c r="AR4957" t="e">
        <v>#N/A</v>
      </c>
      <c r="AS4957" t="e">
        <v>#N/A</v>
      </c>
      <c r="AT4957" t="e">
        <v>#N/A</v>
      </c>
    </row>
    <row r="4958" spans="42:46">
      <c r="AP4958">
        <v>320900</v>
      </c>
      <c r="AQ4958" t="e">
        <v>#N/A</v>
      </c>
      <c r="AR4958" t="e">
        <v>#N/A</v>
      </c>
      <c r="AS4958" t="e">
        <v>#N/A</v>
      </c>
      <c r="AT4958" t="e">
        <v>#N/A</v>
      </c>
    </row>
    <row r="4959" spans="42:46">
      <c r="AP4959">
        <v>320950</v>
      </c>
      <c r="AQ4959" t="e">
        <v>#N/A</v>
      </c>
      <c r="AR4959" t="e">
        <v>#N/A</v>
      </c>
      <c r="AS4959" t="e">
        <v>#N/A</v>
      </c>
      <c r="AT4959" t="e">
        <v>#N/A</v>
      </c>
    </row>
    <row r="4960" spans="42:46">
      <c r="AP4960">
        <v>321000</v>
      </c>
      <c r="AQ4960" t="e">
        <v>#N/A</v>
      </c>
      <c r="AR4960" t="e">
        <v>#N/A</v>
      </c>
      <c r="AS4960" t="e">
        <v>#N/A</v>
      </c>
      <c r="AT4960" t="e">
        <v>#N/A</v>
      </c>
    </row>
    <row r="4961" spans="42:46">
      <c r="AP4961">
        <v>321050</v>
      </c>
      <c r="AQ4961" t="e">
        <v>#N/A</v>
      </c>
      <c r="AR4961" t="e">
        <v>#N/A</v>
      </c>
      <c r="AS4961" t="e">
        <v>#N/A</v>
      </c>
      <c r="AT4961" t="e">
        <v>#N/A</v>
      </c>
    </row>
    <row r="4962" spans="42:46">
      <c r="AP4962">
        <v>321100</v>
      </c>
      <c r="AQ4962" t="e">
        <v>#N/A</v>
      </c>
      <c r="AR4962" t="e">
        <v>#N/A</v>
      </c>
      <c r="AS4962" t="e">
        <v>#N/A</v>
      </c>
      <c r="AT4962" t="e">
        <v>#N/A</v>
      </c>
    </row>
    <row r="4963" spans="42:46">
      <c r="AP4963">
        <v>321150</v>
      </c>
      <c r="AQ4963" t="e">
        <v>#N/A</v>
      </c>
      <c r="AR4963" t="e">
        <v>#N/A</v>
      </c>
      <c r="AS4963" t="e">
        <v>#N/A</v>
      </c>
      <c r="AT4963" t="e">
        <v>#N/A</v>
      </c>
    </row>
    <row r="4964" spans="42:46">
      <c r="AP4964">
        <v>321200</v>
      </c>
      <c r="AQ4964" t="e">
        <v>#N/A</v>
      </c>
      <c r="AR4964" t="e">
        <v>#N/A</v>
      </c>
      <c r="AS4964" t="e">
        <v>#N/A</v>
      </c>
      <c r="AT4964" t="e">
        <v>#N/A</v>
      </c>
    </row>
    <row r="4965" spans="42:46">
      <c r="AP4965">
        <v>321250</v>
      </c>
      <c r="AQ4965" t="e">
        <v>#N/A</v>
      </c>
      <c r="AR4965" t="e">
        <v>#N/A</v>
      </c>
      <c r="AS4965" t="e">
        <v>#N/A</v>
      </c>
      <c r="AT4965" t="e">
        <v>#N/A</v>
      </c>
    </row>
    <row r="4966" spans="42:46">
      <c r="AP4966">
        <v>321300</v>
      </c>
      <c r="AQ4966" t="e">
        <v>#N/A</v>
      </c>
      <c r="AR4966" t="e">
        <v>#N/A</v>
      </c>
      <c r="AS4966" t="e">
        <v>#N/A</v>
      </c>
      <c r="AT4966" t="e">
        <v>#N/A</v>
      </c>
    </row>
    <row r="4967" spans="42:46">
      <c r="AP4967">
        <v>321350</v>
      </c>
      <c r="AQ4967" t="e">
        <v>#N/A</v>
      </c>
      <c r="AR4967" t="e">
        <v>#N/A</v>
      </c>
      <c r="AS4967" t="e">
        <v>#N/A</v>
      </c>
      <c r="AT4967" t="e">
        <v>#N/A</v>
      </c>
    </row>
    <row r="4968" spans="42:46">
      <c r="AP4968">
        <v>321400</v>
      </c>
      <c r="AQ4968" t="e">
        <v>#N/A</v>
      </c>
      <c r="AR4968" t="e">
        <v>#N/A</v>
      </c>
      <c r="AS4968" t="e">
        <v>#N/A</v>
      </c>
      <c r="AT4968" t="e">
        <v>#N/A</v>
      </c>
    </row>
    <row r="4969" spans="42:46">
      <c r="AP4969">
        <v>321450</v>
      </c>
      <c r="AQ4969" t="e">
        <v>#N/A</v>
      </c>
      <c r="AR4969" t="e">
        <v>#N/A</v>
      </c>
      <c r="AS4969" t="e">
        <v>#N/A</v>
      </c>
      <c r="AT4969" t="e">
        <v>#N/A</v>
      </c>
    </row>
    <row r="4970" spans="42:46">
      <c r="AP4970">
        <v>321500</v>
      </c>
      <c r="AQ4970" t="e">
        <v>#N/A</v>
      </c>
      <c r="AR4970" t="e">
        <v>#N/A</v>
      </c>
      <c r="AS4970" t="e">
        <v>#N/A</v>
      </c>
      <c r="AT4970" t="e">
        <v>#N/A</v>
      </c>
    </row>
    <row r="4971" spans="42:46">
      <c r="AP4971">
        <v>321550</v>
      </c>
      <c r="AQ4971" t="e">
        <v>#N/A</v>
      </c>
      <c r="AR4971" t="e">
        <v>#N/A</v>
      </c>
      <c r="AS4971" t="e">
        <v>#N/A</v>
      </c>
      <c r="AT4971" t="e">
        <v>#N/A</v>
      </c>
    </row>
    <row r="4972" spans="42:46">
      <c r="AP4972">
        <v>321600</v>
      </c>
      <c r="AQ4972" t="e">
        <v>#N/A</v>
      </c>
      <c r="AR4972" t="e">
        <v>#N/A</v>
      </c>
      <c r="AS4972" t="e">
        <v>#N/A</v>
      </c>
      <c r="AT4972" t="e">
        <v>#N/A</v>
      </c>
    </row>
    <row r="4973" spans="42:46">
      <c r="AP4973">
        <v>321650</v>
      </c>
      <c r="AQ4973" t="e">
        <v>#N/A</v>
      </c>
      <c r="AR4973" t="e">
        <v>#N/A</v>
      </c>
      <c r="AS4973" t="e">
        <v>#N/A</v>
      </c>
      <c r="AT4973" t="e">
        <v>#N/A</v>
      </c>
    </row>
    <row r="4974" spans="42:46">
      <c r="AP4974">
        <v>321700</v>
      </c>
      <c r="AQ4974" t="e">
        <v>#N/A</v>
      </c>
      <c r="AR4974" t="e">
        <v>#N/A</v>
      </c>
      <c r="AS4974" t="e">
        <v>#N/A</v>
      </c>
      <c r="AT4974" t="e">
        <v>#N/A</v>
      </c>
    </row>
    <row r="4975" spans="42:46">
      <c r="AP4975">
        <v>321750</v>
      </c>
      <c r="AQ4975" t="e">
        <v>#N/A</v>
      </c>
      <c r="AR4975" t="e">
        <v>#N/A</v>
      </c>
      <c r="AS4975" t="e">
        <v>#N/A</v>
      </c>
      <c r="AT4975" t="e">
        <v>#N/A</v>
      </c>
    </row>
    <row r="4976" spans="42:46">
      <c r="AP4976">
        <v>321800</v>
      </c>
      <c r="AQ4976" t="e">
        <v>#N/A</v>
      </c>
      <c r="AR4976" t="e">
        <v>#N/A</v>
      </c>
      <c r="AS4976" t="e">
        <v>#N/A</v>
      </c>
      <c r="AT4976" t="e">
        <v>#N/A</v>
      </c>
    </row>
    <row r="4977" spans="42:46">
      <c r="AP4977">
        <v>321850</v>
      </c>
      <c r="AQ4977" t="e">
        <v>#N/A</v>
      </c>
      <c r="AR4977" t="e">
        <v>#N/A</v>
      </c>
      <c r="AS4977" t="e">
        <v>#N/A</v>
      </c>
      <c r="AT4977" t="e">
        <v>#N/A</v>
      </c>
    </row>
    <row r="4978" spans="42:46">
      <c r="AP4978">
        <v>321900</v>
      </c>
      <c r="AQ4978" t="e">
        <v>#N/A</v>
      </c>
      <c r="AR4978" t="e">
        <v>#N/A</v>
      </c>
      <c r="AS4978" t="e">
        <v>#N/A</v>
      </c>
      <c r="AT4978" t="e">
        <v>#N/A</v>
      </c>
    </row>
    <row r="4979" spans="42:46">
      <c r="AP4979">
        <v>321950</v>
      </c>
      <c r="AQ4979" t="e">
        <v>#N/A</v>
      </c>
      <c r="AR4979" t="e">
        <v>#N/A</v>
      </c>
      <c r="AS4979" t="e">
        <v>#N/A</v>
      </c>
      <c r="AT4979" t="e">
        <v>#N/A</v>
      </c>
    </row>
    <row r="4980" spans="42:46">
      <c r="AP4980">
        <v>322000</v>
      </c>
      <c r="AQ4980" t="e">
        <v>#N/A</v>
      </c>
      <c r="AR4980" t="e">
        <v>#N/A</v>
      </c>
      <c r="AS4980" t="e">
        <v>#N/A</v>
      </c>
      <c r="AT4980" t="e">
        <v>#N/A</v>
      </c>
    </row>
    <row r="4981" spans="42:46">
      <c r="AP4981">
        <v>322050</v>
      </c>
      <c r="AQ4981" t="e">
        <v>#N/A</v>
      </c>
      <c r="AR4981" t="e">
        <v>#N/A</v>
      </c>
      <c r="AS4981" t="e">
        <v>#N/A</v>
      </c>
      <c r="AT4981" t="e">
        <v>#N/A</v>
      </c>
    </row>
    <row r="4982" spans="42:46">
      <c r="AP4982">
        <v>322100</v>
      </c>
      <c r="AQ4982" t="e">
        <v>#N/A</v>
      </c>
      <c r="AR4982" t="e">
        <v>#N/A</v>
      </c>
      <c r="AS4982" t="e">
        <v>#N/A</v>
      </c>
      <c r="AT4982" t="e">
        <v>#N/A</v>
      </c>
    </row>
    <row r="4983" spans="42:46">
      <c r="AP4983">
        <v>322150</v>
      </c>
      <c r="AQ4983" t="e">
        <v>#N/A</v>
      </c>
      <c r="AR4983" t="e">
        <v>#N/A</v>
      </c>
      <c r="AS4983" t="e">
        <v>#N/A</v>
      </c>
      <c r="AT4983" t="e">
        <v>#N/A</v>
      </c>
    </row>
    <row r="4984" spans="42:46">
      <c r="AP4984">
        <v>322200</v>
      </c>
      <c r="AQ4984" t="e">
        <v>#N/A</v>
      </c>
      <c r="AR4984" t="e">
        <v>#N/A</v>
      </c>
      <c r="AS4984" t="e">
        <v>#N/A</v>
      </c>
      <c r="AT4984" t="e">
        <v>#N/A</v>
      </c>
    </row>
    <row r="4985" spans="42:46">
      <c r="AP4985">
        <v>322250</v>
      </c>
      <c r="AQ4985" t="e">
        <v>#N/A</v>
      </c>
      <c r="AR4985" t="e">
        <v>#N/A</v>
      </c>
      <c r="AS4985" t="e">
        <v>#N/A</v>
      </c>
      <c r="AT4985" t="e">
        <v>#N/A</v>
      </c>
    </row>
    <row r="4986" spans="42:46">
      <c r="AP4986">
        <v>322300</v>
      </c>
      <c r="AQ4986" t="e">
        <v>#N/A</v>
      </c>
      <c r="AR4986" t="e">
        <v>#N/A</v>
      </c>
      <c r="AS4986" t="e">
        <v>#N/A</v>
      </c>
      <c r="AT4986" t="e">
        <v>#N/A</v>
      </c>
    </row>
    <row r="4987" spans="42:46">
      <c r="AP4987">
        <v>322350</v>
      </c>
      <c r="AQ4987" t="e">
        <v>#N/A</v>
      </c>
      <c r="AR4987" t="e">
        <v>#N/A</v>
      </c>
      <c r="AS4987" t="e">
        <v>#N/A</v>
      </c>
      <c r="AT4987" t="e">
        <v>#N/A</v>
      </c>
    </row>
    <row r="4988" spans="42:46">
      <c r="AP4988">
        <v>322400</v>
      </c>
      <c r="AQ4988" t="e">
        <v>#N/A</v>
      </c>
      <c r="AR4988" t="e">
        <v>#N/A</v>
      </c>
      <c r="AS4988" t="e">
        <v>#N/A</v>
      </c>
      <c r="AT4988" t="e">
        <v>#N/A</v>
      </c>
    </row>
    <row r="4989" spans="42:46">
      <c r="AP4989">
        <v>322450</v>
      </c>
      <c r="AQ4989" t="e">
        <v>#N/A</v>
      </c>
      <c r="AR4989" t="e">
        <v>#N/A</v>
      </c>
      <c r="AS4989" t="e">
        <v>#N/A</v>
      </c>
      <c r="AT4989" t="e">
        <v>#N/A</v>
      </c>
    </row>
    <row r="4990" spans="42:46">
      <c r="AP4990">
        <v>322500</v>
      </c>
      <c r="AQ4990" t="e">
        <v>#N/A</v>
      </c>
      <c r="AR4990" t="e">
        <v>#N/A</v>
      </c>
      <c r="AS4990" t="e">
        <v>#N/A</v>
      </c>
      <c r="AT4990" t="e">
        <v>#N/A</v>
      </c>
    </row>
    <row r="4991" spans="42:46">
      <c r="AP4991">
        <v>322550</v>
      </c>
      <c r="AQ4991" t="e">
        <v>#N/A</v>
      </c>
      <c r="AR4991" t="e">
        <v>#N/A</v>
      </c>
      <c r="AS4991" t="e">
        <v>#N/A</v>
      </c>
      <c r="AT4991" t="e">
        <v>#N/A</v>
      </c>
    </row>
    <row r="4992" spans="42:46">
      <c r="AP4992">
        <v>322600</v>
      </c>
      <c r="AQ4992" t="e">
        <v>#N/A</v>
      </c>
      <c r="AR4992" t="e">
        <v>#N/A</v>
      </c>
      <c r="AS4992" t="e">
        <v>#N/A</v>
      </c>
      <c r="AT4992" t="e">
        <v>#N/A</v>
      </c>
    </row>
    <row r="4993" spans="42:46">
      <c r="AP4993">
        <v>322650</v>
      </c>
      <c r="AQ4993" t="e">
        <v>#N/A</v>
      </c>
      <c r="AR4993" t="e">
        <v>#N/A</v>
      </c>
      <c r="AS4993" t="e">
        <v>#N/A</v>
      </c>
      <c r="AT4993" t="e">
        <v>#N/A</v>
      </c>
    </row>
    <row r="4994" spans="42:46">
      <c r="AP4994">
        <v>322700</v>
      </c>
      <c r="AQ4994" t="e">
        <v>#N/A</v>
      </c>
      <c r="AR4994" t="e">
        <v>#N/A</v>
      </c>
      <c r="AS4994" t="e">
        <v>#N/A</v>
      </c>
      <c r="AT4994" t="e">
        <v>#N/A</v>
      </c>
    </row>
    <row r="4995" spans="42:46">
      <c r="AP4995">
        <v>322750</v>
      </c>
      <c r="AQ4995" t="e">
        <v>#N/A</v>
      </c>
      <c r="AR4995" t="e">
        <v>#N/A</v>
      </c>
      <c r="AS4995" t="e">
        <v>#N/A</v>
      </c>
      <c r="AT4995" t="e">
        <v>#N/A</v>
      </c>
    </row>
    <row r="4996" spans="42:46">
      <c r="AP4996">
        <v>322800</v>
      </c>
      <c r="AQ4996" t="e">
        <v>#N/A</v>
      </c>
      <c r="AR4996" t="e">
        <v>#N/A</v>
      </c>
      <c r="AS4996" t="e">
        <v>#N/A</v>
      </c>
      <c r="AT4996" t="e">
        <v>#N/A</v>
      </c>
    </row>
    <row r="4997" spans="42:46">
      <c r="AP4997">
        <v>322850</v>
      </c>
      <c r="AQ4997" t="e">
        <v>#N/A</v>
      </c>
      <c r="AR4997" t="e">
        <v>#N/A</v>
      </c>
      <c r="AS4997" t="e">
        <v>#N/A</v>
      </c>
      <c r="AT4997" t="e">
        <v>#N/A</v>
      </c>
    </row>
    <row r="4998" spans="42:46">
      <c r="AP4998">
        <v>322900</v>
      </c>
      <c r="AQ4998" t="e">
        <v>#N/A</v>
      </c>
      <c r="AR4998" t="e">
        <v>#N/A</v>
      </c>
      <c r="AS4998" t="e">
        <v>#N/A</v>
      </c>
      <c r="AT4998" t="e">
        <v>#N/A</v>
      </c>
    </row>
    <row r="4999" spans="42:46">
      <c r="AP4999">
        <v>322950</v>
      </c>
      <c r="AQ4999" t="e">
        <v>#N/A</v>
      </c>
      <c r="AR4999" t="e">
        <v>#N/A</v>
      </c>
      <c r="AS4999" t="e">
        <v>#N/A</v>
      </c>
      <c r="AT4999" t="e">
        <v>#N/A</v>
      </c>
    </row>
    <row r="5000" spans="42:46">
      <c r="AP5000">
        <v>323000</v>
      </c>
      <c r="AQ5000" t="e">
        <v>#N/A</v>
      </c>
      <c r="AR5000" t="e">
        <v>#N/A</v>
      </c>
      <c r="AS5000" t="e">
        <v>#N/A</v>
      </c>
      <c r="AT5000" t="e">
        <v>#N/A</v>
      </c>
    </row>
    <row r="5001" spans="42:46">
      <c r="AP5001">
        <v>323050</v>
      </c>
      <c r="AQ5001" t="e">
        <v>#N/A</v>
      </c>
      <c r="AR5001" t="e">
        <v>#N/A</v>
      </c>
      <c r="AS5001" t="e">
        <v>#N/A</v>
      </c>
      <c r="AT5001" t="e">
        <v>#N/A</v>
      </c>
    </row>
    <row r="5002" spans="42:46">
      <c r="AP5002">
        <v>323100</v>
      </c>
      <c r="AQ5002" t="e">
        <v>#N/A</v>
      </c>
      <c r="AR5002" t="e">
        <v>#N/A</v>
      </c>
      <c r="AS5002" t="e">
        <v>#N/A</v>
      </c>
      <c r="AT5002" t="e">
        <v>#N/A</v>
      </c>
    </row>
    <row r="5003" spans="42:46">
      <c r="AP5003">
        <v>323150</v>
      </c>
      <c r="AQ5003" t="e">
        <v>#N/A</v>
      </c>
      <c r="AR5003" t="e">
        <v>#N/A</v>
      </c>
      <c r="AS5003" t="e">
        <v>#N/A</v>
      </c>
      <c r="AT5003" t="e">
        <v>#N/A</v>
      </c>
    </row>
    <row r="5004" spans="42:46">
      <c r="AP5004">
        <v>323200</v>
      </c>
      <c r="AQ5004" t="e">
        <v>#N/A</v>
      </c>
      <c r="AR5004" t="e">
        <v>#N/A</v>
      </c>
      <c r="AS5004" t="e">
        <v>#N/A</v>
      </c>
      <c r="AT5004" t="e">
        <v>#N/A</v>
      </c>
    </row>
    <row r="5005" spans="42:46">
      <c r="AP5005">
        <v>323250</v>
      </c>
      <c r="AQ5005" t="e">
        <v>#N/A</v>
      </c>
      <c r="AR5005" t="e">
        <v>#N/A</v>
      </c>
      <c r="AS5005" t="e">
        <v>#N/A</v>
      </c>
      <c r="AT5005" t="e">
        <v>#N/A</v>
      </c>
    </row>
    <row r="5006" spans="42:46">
      <c r="AP5006">
        <v>323300</v>
      </c>
      <c r="AQ5006" t="e">
        <v>#N/A</v>
      </c>
      <c r="AR5006" t="e">
        <v>#N/A</v>
      </c>
      <c r="AS5006" t="e">
        <v>#N/A</v>
      </c>
      <c r="AT5006" t="e">
        <v>#N/A</v>
      </c>
    </row>
    <row r="5007" spans="42:46">
      <c r="AP5007">
        <v>323350</v>
      </c>
      <c r="AQ5007" t="e">
        <v>#N/A</v>
      </c>
      <c r="AR5007" t="e">
        <v>#N/A</v>
      </c>
      <c r="AS5007" t="e">
        <v>#N/A</v>
      </c>
      <c r="AT5007" t="e">
        <v>#N/A</v>
      </c>
    </row>
    <row r="5008" spans="42:46">
      <c r="AP5008">
        <v>323400</v>
      </c>
      <c r="AQ5008" t="e">
        <v>#N/A</v>
      </c>
      <c r="AR5008" t="e">
        <v>#N/A</v>
      </c>
      <c r="AS5008" t="e">
        <v>#N/A</v>
      </c>
      <c r="AT5008" t="e">
        <v>#N/A</v>
      </c>
    </row>
    <row r="5009" spans="42:46">
      <c r="AP5009">
        <v>323450</v>
      </c>
      <c r="AQ5009" t="e">
        <v>#N/A</v>
      </c>
      <c r="AR5009" t="e">
        <v>#N/A</v>
      </c>
      <c r="AS5009" t="e">
        <v>#N/A</v>
      </c>
      <c r="AT5009" t="e">
        <v>#N/A</v>
      </c>
    </row>
    <row r="5010" spans="42:46">
      <c r="AP5010">
        <v>323500</v>
      </c>
      <c r="AQ5010" t="e">
        <v>#N/A</v>
      </c>
      <c r="AR5010" t="e">
        <v>#N/A</v>
      </c>
      <c r="AS5010" t="e">
        <v>#N/A</v>
      </c>
      <c r="AT5010" t="e">
        <v>#N/A</v>
      </c>
    </row>
    <row r="5011" spans="42:46">
      <c r="AP5011">
        <v>323550</v>
      </c>
      <c r="AQ5011" t="e">
        <v>#N/A</v>
      </c>
      <c r="AR5011" t="e">
        <v>#N/A</v>
      </c>
      <c r="AS5011" t="e">
        <v>#N/A</v>
      </c>
      <c r="AT5011" t="e">
        <v>#N/A</v>
      </c>
    </row>
    <row r="5012" spans="42:46">
      <c r="AP5012">
        <v>323600</v>
      </c>
      <c r="AQ5012" t="e">
        <v>#N/A</v>
      </c>
      <c r="AR5012" t="e">
        <v>#N/A</v>
      </c>
      <c r="AS5012" t="e">
        <v>#N/A</v>
      </c>
      <c r="AT5012" t="e">
        <v>#N/A</v>
      </c>
    </row>
    <row r="5013" spans="42:46">
      <c r="AP5013">
        <v>323650</v>
      </c>
      <c r="AQ5013" t="e">
        <v>#N/A</v>
      </c>
      <c r="AR5013" t="e">
        <v>#N/A</v>
      </c>
      <c r="AS5013" t="e">
        <v>#N/A</v>
      </c>
      <c r="AT5013" t="e">
        <v>#N/A</v>
      </c>
    </row>
    <row r="5014" spans="42:46">
      <c r="AP5014">
        <v>323700</v>
      </c>
      <c r="AQ5014" t="e">
        <v>#N/A</v>
      </c>
      <c r="AR5014" t="e">
        <v>#N/A</v>
      </c>
      <c r="AS5014" t="e">
        <v>#N/A</v>
      </c>
      <c r="AT5014" t="e">
        <v>#N/A</v>
      </c>
    </row>
    <row r="5015" spans="42:46">
      <c r="AP5015">
        <v>323750</v>
      </c>
      <c r="AQ5015" t="e">
        <v>#N/A</v>
      </c>
      <c r="AR5015" t="e">
        <v>#N/A</v>
      </c>
      <c r="AS5015" t="e">
        <v>#N/A</v>
      </c>
      <c r="AT5015" t="e">
        <v>#N/A</v>
      </c>
    </row>
    <row r="5016" spans="42:46">
      <c r="AP5016">
        <v>323800</v>
      </c>
      <c r="AQ5016" t="e">
        <v>#N/A</v>
      </c>
      <c r="AR5016" t="e">
        <v>#N/A</v>
      </c>
      <c r="AS5016" t="e">
        <v>#N/A</v>
      </c>
      <c r="AT5016" t="e">
        <v>#N/A</v>
      </c>
    </row>
    <row r="5017" spans="42:46">
      <c r="AP5017">
        <v>323850</v>
      </c>
      <c r="AQ5017" t="e">
        <v>#N/A</v>
      </c>
      <c r="AR5017" t="e">
        <v>#N/A</v>
      </c>
      <c r="AS5017" t="e">
        <v>#N/A</v>
      </c>
      <c r="AT5017" t="e">
        <v>#N/A</v>
      </c>
    </row>
    <row r="5018" spans="42:46">
      <c r="AP5018">
        <v>323900</v>
      </c>
      <c r="AQ5018" t="e">
        <v>#N/A</v>
      </c>
      <c r="AR5018" t="e">
        <v>#N/A</v>
      </c>
      <c r="AS5018" t="e">
        <v>#N/A</v>
      </c>
      <c r="AT5018" t="e">
        <v>#N/A</v>
      </c>
    </row>
    <row r="5019" spans="42:46">
      <c r="AP5019">
        <v>323950</v>
      </c>
      <c r="AQ5019" t="e">
        <v>#N/A</v>
      </c>
      <c r="AR5019" t="e">
        <v>#N/A</v>
      </c>
      <c r="AS5019" t="e">
        <v>#N/A</v>
      </c>
      <c r="AT5019" t="e">
        <v>#N/A</v>
      </c>
    </row>
    <row r="5020" spans="42:46"/>
    <row r="5021" spans="42:46"/>
    <row r="5022" spans="42:46"/>
    <row r="5023" spans="42:46"/>
    <row r="5024" spans="42:46"/>
    <row r="5025"/>
    <row r="5026"/>
    <row r="5027"/>
    <row r="5028"/>
    <row r="5029"/>
    <row r="5030"/>
  </sheetData>
  <hyperlinks>
    <hyperlink ref="AZ59" r:id="rId7" xr:uid="{18D9E5CF-D4DC-4B44-A0B4-C9EE9BCC5316}"/>
    <hyperlink ref="AZ63" r:id="rId8" xr:uid="{752828FA-98F6-4415-A5C8-7697D8382B0C}"/>
    <hyperlink ref="AZ65" r:id="rId9" xr:uid="{0FC6DE11-95A5-474D-83AD-6D6EB6FBB96B}"/>
    <hyperlink ref="AZ67" r:id="rId10" xr:uid="{3C0EAE5E-59CA-4571-AF32-B7413BEE2D95}"/>
    <hyperlink ref="AZ57" r:id="rId11" xr:uid="{55A7F22A-9075-493F-AC9C-9DCDDC2A8F26}"/>
  </hyperlinks>
  <pageMargins left="0.7" right="0.7" top="0.75" bottom="0.75" header="0.3" footer="0.3"/>
  <pageSetup orientation="portrait" horizontalDpi="4294967293" verticalDpi="0" r:id="rId12"/>
  <drawing r:id="rId13"/>
  <tableParts count="1">
    <tablePart r:id="rId14"/>
  </tableParts>
  <extLst>
    <ext xmlns:x14="http://schemas.microsoft.com/office/spreadsheetml/2009/9/main" uri="{A8765BA9-456A-4dab-B4F3-ACF838C121DE}">
      <x14:slicerList>
        <x14:slicer r:id="rId1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3B82-BB0A-4723-ACDE-E966855B3688}">
  <sheetPr codeName="Sheet3"/>
  <dimension ref="A1:L34"/>
  <sheetViews>
    <sheetView showGridLines="0" tabSelected="1" zoomScale="80" zoomScaleNormal="80" workbookViewId="0"/>
  </sheetViews>
  <sheetFormatPr defaultColWidth="0" defaultRowHeight="14.4" customHeight="1" zeroHeight="1"/>
  <cols>
    <col min="1" max="2" width="14.85546875" style="1" customWidth="1"/>
    <col min="3" max="3" width="8.7109375" style="1" customWidth="1"/>
    <col min="4" max="12" width="14.85546875" style="1" customWidth="1"/>
    <col min="13" max="16384" width="14.85546875" style="1" hidden="1"/>
  </cols>
  <sheetData>
    <row r="1" ht="14.4" customHeight="1"/>
    <row r="2" ht="14.4" customHeight="1"/>
    <row r="3" ht="14.4" customHeight="1"/>
    <row r="4"/>
    <row r="5"/>
    <row r="6"/>
    <row r="7"/>
    <row r="8"/>
    <row r="9"/>
    <row r="10"/>
    <row r="11"/>
    <row r="12"/>
    <row r="13"/>
    <row r="14"/>
    <row r="15"/>
    <row r="16"/>
    <row r="17" spans="6:7"/>
    <row r="18" spans="6:7"/>
    <row r="19" spans="6:7"/>
    <row r="20" spans="6:7"/>
    <row r="21" spans="6:7"/>
    <row r="22" spans="6:7"/>
    <row r="23" spans="6:7"/>
    <row r="24" spans="6:7"/>
    <row r="25" spans="6:7"/>
    <row r="26" spans="6:7"/>
    <row r="27" spans="6:7"/>
    <row r="28" spans="6:7"/>
    <row r="29" spans="6:7">
      <c r="F29" s="2" t="s">
        <v>0</v>
      </c>
      <c r="G29" s="3" t="s">
        <v>1</v>
      </c>
    </row>
    <row r="30" spans="6:7">
      <c r="F30" s="2"/>
      <c r="G30" s="3"/>
    </row>
    <row r="31" spans="6:7">
      <c r="F31" s="2"/>
      <c r="G31" s="4"/>
    </row>
    <row r="32" spans="6:7">
      <c r="F32" s="2"/>
      <c r="G32" s="5"/>
    </row>
    <row r="33" spans="6:7">
      <c r="F33" s="2"/>
      <c r="G33" s="6"/>
    </row>
    <row r="34" spans="6:7"/>
  </sheetData>
  <hyperlinks>
    <hyperlink ref="G29" r:id="rId1" display="https://www.linkedin.com/in/ca-bc" xr:uid="{27241813-A17A-4C22-8014-AA8BB3EAA628}"/>
  </hyperlinks>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inspiration</vt:lpstr>
      <vt:lpstr>example</vt:lpstr>
      <vt:lpstr>thank you!</vt:lpstr>
    </vt:vector>
  </TitlesOfParts>
  <Company>xlor.la</Company>
  <LinksUpToDate>false</LinksUpToDate>
  <SharedDoc>false</SharedDoc>
  <HyperlinkBase>https://www.linkedin.com/in/merod/</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Excel Charts with Dynamic Arrays</dc:subject>
  <dc:creator>cabc</dc:creator>
  <cp:lastModifiedBy>Carlos Barboza</cp:lastModifiedBy>
  <dcterms:created xsi:type="dcterms:W3CDTF">2021-04-16T01:17:48Z</dcterms:created>
  <dcterms:modified xsi:type="dcterms:W3CDTF">2023-01-22T21:20:13Z</dcterms:modified>
  <cp:category>Charting</cp:category>
  <cp:contentStatus>completed</cp:contentStatus>
</cp:coreProperties>
</file>