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cabc\OneDrive\xlor.la\01._xlorla_courses\01._excel_basico\09._graficas_avanzadas\04._published\"/>
    </mc:Choice>
  </mc:AlternateContent>
  <xr:revisionPtr revIDLastSave="0" documentId="13_ncr:1_{225BADE0-EE68-41F2-9F75-88CE9500D058}" xr6:coauthVersionLast="47" xr6:coauthVersionMax="47" xr10:uidLastSave="{00000000-0000-0000-0000-000000000000}"/>
  <bookViews>
    <workbookView xWindow="-96" yWindow="-96" windowWidth="23232" windowHeight="13872" activeTab="1" xr2:uid="{34B87F71-98EA-4DA2-9FEA-F8F5A6F8DF02}"/>
  </bookViews>
  <sheets>
    <sheet name="example" sheetId="4" r:id="rId1"/>
    <sheet name="thank you!" sheetId="1" r:id="rId2"/>
  </sheets>
  <functionGroups builtInGroupCount="19"/>
  <definedNames>
    <definedName name="_02_years">_xlfn.ANCHORARRAY(example!$H$13)</definedName>
    <definedName name="_03_years_slicer">#N/A</definedName>
    <definedName name="_04_continents">_xlfn.ANCHORARRAY(example!$J$13)</definedName>
    <definedName name="_05_continents_slicer">#N/A</definedName>
    <definedName name="_06_metrics">_xlfn.ANCHORARRAY(example!$L$13)</definedName>
    <definedName name="_07_metrics_slicer">#N/A</definedName>
    <definedName name="_08_country_x_axis">_xlfn.ANCHORARRAY(example!$S$12)</definedName>
    <definedName name="_09_x_values">_xlfn.ANCHORARRAY(example!$T$12)</definedName>
    <definedName name="_10_y_values">_xlfn.ANCHORARRAY(example!$U$12)</definedName>
    <definedName name="_11_filtered_countries">_xlfn.ANCHORARRAY(example!$P$29)</definedName>
    <definedName name="_12_sort_order_slicer">#N/A</definedName>
    <definedName name="_xlpm.calculo" hidden="1" xlm="1">#NAME?</definedName>
    <definedName name="_xlpm.countries" hidden="1" xlm="1">#NAME?</definedName>
    <definedName name="_xlpm.filteredcountries" hidden="1" xlm="1">#NAME?</definedName>
    <definedName name="_xlpm.filteredvalues" hidden="1" xlm="1">#NAME?</definedName>
    <definedName name="_xlpm.max" hidden="1" xlm="1">#NAME?</definedName>
    <definedName name="_xlpm.min" hidden="1" xlm="1">#NAME?</definedName>
    <definedName name="_xlpm.Rows" hidden="1" xlm="1">#NAME?</definedName>
    <definedName name="_xlpm.sortedcountries" hidden="1" xlm="1">#NAME?</definedName>
    <definedName name="_xlpm.SUL" hidden="1" xlm="1">#NAME?</definedName>
    <definedName name="_xlpm.values" hidden="1" xlm="1">#NAME?</definedName>
  </definedNames>
  <calcPr calcId="191029"/>
  <pivotCaches>
    <pivotCache cacheId="0" r:id="rId3"/>
    <pivotCache cacheId="1" r:id="rId4"/>
    <pivotCache cacheId="2" r:id="rId5"/>
    <pivotCache cacheId="3" r:id="rId6"/>
  </pivotCaches>
  <extLst>
    <ext xmlns:x14="http://schemas.microsoft.com/office/spreadsheetml/2009/9/main" uri="{BBE1A952-AA13-448e-AADC-164F8A28A991}">
      <x14:slicerCaches>
        <x14:slicerCache r:id="rId7"/>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9" i="4" l="1" a="1"/>
  <c r="P29" i="4" s="1"/>
  <c r="S12" i="4" a="1"/>
  <c r="S12" i="4" s="1"/>
  <c r="T12" i="4" s="1" a="1"/>
  <c r="T12" i="4" s="1"/>
  <c r="N12" i="4"/>
  <c r="I32" i="4" l="1" a="1"/>
  <c r="I32" i="4" s="1"/>
  <c r="K32" i="4" l="1" a="1"/>
  <c r="J32" i="4" a="1"/>
  <c r="L37" i="4" s="1"/>
  <c r="I45" i="4" a="1"/>
  <c r="I45" i="4" s="1"/>
  <c r="P12" i="4" a="1"/>
  <c r="P12" i="4" s="1"/>
  <c r="U12" i="4" a="1"/>
  <c r="U12" i="4" s="1"/>
  <c r="L13" i="4" a="1"/>
  <c r="L13" i="4" s="1"/>
  <c r="J13" i="4" a="1"/>
  <c r="J13" i="4" s="1"/>
  <c r="M39" i="4" l="1"/>
  <c r="M38" i="4"/>
  <c r="M34" i="4"/>
  <c r="M35" i="4"/>
  <c r="L40" i="4"/>
  <c r="L35" i="4"/>
  <c r="M36" i="4"/>
  <c r="L38" i="4"/>
  <c r="L34" i="4"/>
  <c r="L33" i="4"/>
  <c r="M33" i="4"/>
  <c r="J32" i="4"/>
  <c r="L32" i="4" s="1"/>
  <c r="K32" i="4"/>
  <c r="M32" i="4" s="1"/>
  <c r="M37" i="4"/>
  <c r="L36" i="4"/>
  <c r="L39" i="4"/>
  <c r="M40" i="4"/>
  <c r="P16" i="4" a="1"/>
  <c r="P16" i="4" s="1"/>
  <c r="P18" i="4" a="1"/>
  <c r="P18" i="4" s="1"/>
  <c r="H13" i="4" a="1"/>
  <c r="H13" i="4" s="1"/>
  <c r="I44" i="4" l="1" a="1"/>
  <c r="I44" i="4" s="1"/>
  <c r="P22" i="4"/>
  <c r="P26" i="4"/>
  <c r="P21" i="4"/>
  <c r="P25" i="4"/>
  <c r="I43" i="4" a="1"/>
  <c r="I43" i="4" s="1"/>
  <c r="K46" i="4" a="1"/>
  <c r="K43" i="4" a="1"/>
  <c r="K43" i="4" l="1"/>
  <c r="K46"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<sst xmlns="http://schemas.openxmlformats.org/spreadsheetml/2006/main" count="51573" uniqueCount="221">
  <si>
    <t>LinkedIn:</t>
  </si>
  <si>
    <t>https://www.linkedin.com/in/merod/</t>
  </si>
  <si>
    <t>year</t>
  </si>
  <si>
    <t>country</t>
  </si>
  <si>
    <t>metric</t>
  </si>
  <si>
    <t>value</t>
  </si>
  <si>
    <t>Afghanistan</t>
  </si>
  <si>
    <t>Life Ladder</t>
  </si>
  <si>
    <t>Log GDP per capita</t>
  </si>
  <si>
    <t>Social support</t>
  </si>
  <si>
    <t>Healthy life expectancy at birth</t>
  </si>
  <si>
    <t>Freedom to make life choices</t>
  </si>
  <si>
    <t>Generosity</t>
  </si>
  <si>
    <t>Perceptions of corruption</t>
  </si>
  <si>
    <t>Positive affect</t>
  </si>
  <si>
    <t>Negative affect</t>
  </si>
  <si>
    <t>Albania</t>
  </si>
  <si>
    <t>Algeria</t>
  </si>
  <si>
    <t>Angola</t>
  </si>
  <si>
    <t>Argentina</t>
  </si>
  <si>
    <t>Armenia</t>
  </si>
  <si>
    <t>Australia</t>
  </si>
  <si>
    <t>Austria</t>
  </si>
  <si>
    <t>Azerbaijan</t>
  </si>
  <si>
    <t>Bahrain</t>
  </si>
  <si>
    <t>Bangladesh</t>
  </si>
  <si>
    <t>Belarus</t>
  </si>
  <si>
    <t>Belgium</t>
  </si>
  <si>
    <t>Belize</t>
  </si>
  <si>
    <t>Benin</t>
  </si>
  <si>
    <t>Bhutan</t>
  </si>
  <si>
    <t>Bolivia</t>
  </si>
  <si>
    <t>Bosnia and Herzegovina</t>
  </si>
  <si>
    <t>Botswana</t>
  </si>
  <si>
    <t>Brazil</t>
  </si>
  <si>
    <t>Bulgaria</t>
  </si>
  <si>
    <t>Burkina Faso</t>
  </si>
  <si>
    <t>Burundi</t>
  </si>
  <si>
    <t>Cambodia</t>
  </si>
  <si>
    <t>Cameroon</t>
  </si>
  <si>
    <t>Canada</t>
  </si>
  <si>
    <t>Central African Republic</t>
  </si>
  <si>
    <t>Chad</t>
  </si>
  <si>
    <t>Chile</t>
  </si>
  <si>
    <t>China</t>
  </si>
  <si>
    <t>Colombia</t>
  </si>
  <si>
    <t>Comoros</t>
  </si>
  <si>
    <t>Congo (Brazzaville)</t>
  </si>
  <si>
    <t>Congo (Kinshasa)</t>
  </si>
  <si>
    <t>Costa Rica</t>
  </si>
  <si>
    <t>Croatia</t>
  </si>
  <si>
    <t>Cuba</t>
  </si>
  <si>
    <t>Cyprus</t>
  </si>
  <si>
    <t>Czech Republic</t>
  </si>
  <si>
    <t>Denmark</t>
  </si>
  <si>
    <t>Djibouti</t>
  </si>
  <si>
    <t>Dominican Republic</t>
  </si>
  <si>
    <t>Ecuador</t>
  </si>
  <si>
    <t>Egypt</t>
  </si>
  <si>
    <t>El Salvador</t>
  </si>
  <si>
    <t>Estonia</t>
  </si>
  <si>
    <t>Ethiopia</t>
  </si>
  <si>
    <t>Finland</t>
  </si>
  <si>
    <t>France</t>
  </si>
  <si>
    <t>Gabon</t>
  </si>
  <si>
    <t>Gambia</t>
  </si>
  <si>
    <t>Georgia</t>
  </si>
  <si>
    <t>Germany</t>
  </si>
  <si>
    <t>Ghana</t>
  </si>
  <si>
    <t>Greece</t>
  </si>
  <si>
    <t>Guatemala</t>
  </si>
  <si>
    <t>Guinea</t>
  </si>
  <si>
    <t>Guyana</t>
  </si>
  <si>
    <t>Haiti</t>
  </si>
  <si>
    <t>Honduras</t>
  </si>
  <si>
    <t>Hong Kong S.A.R. of China</t>
  </si>
  <si>
    <t>Hungary</t>
  </si>
  <si>
    <t>Iceland</t>
  </si>
  <si>
    <t>India</t>
  </si>
  <si>
    <t>Indonesia</t>
  </si>
  <si>
    <t>Iran</t>
  </si>
  <si>
    <t>Iraq</t>
  </si>
  <si>
    <t>Ireland</t>
  </si>
  <si>
    <t>Israel</t>
  </si>
  <si>
    <t>Italy</t>
  </si>
  <si>
    <t>Ivory Coast</t>
  </si>
  <si>
    <t>Jamaica</t>
  </si>
  <si>
    <t>Japan</t>
  </si>
  <si>
    <t>Jordan</t>
  </si>
  <si>
    <t>Kazakhstan</t>
  </si>
  <si>
    <t>Kenya</t>
  </si>
  <si>
    <t>Kosovo</t>
  </si>
  <si>
    <t>Kuwait</t>
  </si>
  <si>
    <t>Kyrgyzstan</t>
  </si>
  <si>
    <t>Laos</t>
  </si>
  <si>
    <t>Latvia</t>
  </si>
  <si>
    <t>Lebanon</t>
  </si>
  <si>
    <t>Lesotho</t>
  </si>
  <si>
    <t>Liberia</t>
  </si>
  <si>
    <t>Libya</t>
  </si>
  <si>
    <t>Lithuania</t>
  </si>
  <si>
    <t>Luxembourg</t>
  </si>
  <si>
    <t>Madagascar</t>
  </si>
  <si>
    <t>Malawi</t>
  </si>
  <si>
    <t>Malaysia</t>
  </si>
  <si>
    <t>Maldives</t>
  </si>
  <si>
    <t>Mali</t>
  </si>
  <si>
    <t>Malta</t>
  </si>
  <si>
    <t>Mauritania</t>
  </si>
  <si>
    <t>Mauritius</t>
  </si>
  <si>
    <t>Mexico</t>
  </si>
  <si>
    <t>Moldova</t>
  </si>
  <si>
    <t>Mongolia</t>
  </si>
  <si>
    <t>Montenegro</t>
  </si>
  <si>
    <t>Morocco</t>
  </si>
  <si>
    <t>Mozambique</t>
  </si>
  <si>
    <t>Myanmar</t>
  </si>
  <si>
    <t>Namibia</t>
  </si>
  <si>
    <t>Nepal</t>
  </si>
  <si>
    <t>Netherlands</t>
  </si>
  <si>
    <t>New Zealand</t>
  </si>
  <si>
    <t>Nicaragua</t>
  </si>
  <si>
    <t>Niger</t>
  </si>
  <si>
    <t>Nigeria</t>
  </si>
  <si>
    <t>North Cyprus</t>
  </si>
  <si>
    <t>North Macedonia</t>
  </si>
  <si>
    <t>Norway</t>
  </si>
  <si>
    <t>Oman</t>
  </si>
  <si>
    <t>Pakistan</t>
  </si>
  <si>
    <t>Palestinian Territories</t>
  </si>
  <si>
    <t>Panama</t>
  </si>
  <si>
    <t>Paraguay</t>
  </si>
  <si>
    <t>Peru</t>
  </si>
  <si>
    <t>Philippines</t>
  </si>
  <si>
    <t>Poland</t>
  </si>
  <si>
    <t>Portugal</t>
  </si>
  <si>
    <t>Qatar</t>
  </si>
  <si>
    <t>Romania</t>
  </si>
  <si>
    <t>Russia</t>
  </si>
  <si>
    <t>Rwanda</t>
  </si>
  <si>
    <t>Saudi Arabia</t>
  </si>
  <si>
    <t>Senegal</t>
  </si>
  <si>
    <t>Serbia</t>
  </si>
  <si>
    <t>Sierra Leone</t>
  </si>
  <si>
    <t>Singapore</t>
  </si>
  <si>
    <t>Slovakia</t>
  </si>
  <si>
    <t>Slovenia</t>
  </si>
  <si>
    <t>Somalia</t>
  </si>
  <si>
    <t>Somaliland region</t>
  </si>
  <si>
    <t>South Africa</t>
  </si>
  <si>
    <t>South Korea</t>
  </si>
  <si>
    <t>South Sudan</t>
  </si>
  <si>
    <t>Spain</t>
  </si>
  <si>
    <t>Sri Lanka</t>
  </si>
  <si>
    <t>Sudan</t>
  </si>
  <si>
    <t>Suriname</t>
  </si>
  <si>
    <t>Swaziland</t>
  </si>
  <si>
    <t>Sweden</t>
  </si>
  <si>
    <t>Switzerland</t>
  </si>
  <si>
    <t>Syria</t>
  </si>
  <si>
    <t>Taiwan Province of China</t>
  </si>
  <si>
    <t>Tajikistan</t>
  </si>
  <si>
    <t>Tanzania</t>
  </si>
  <si>
    <t>Thailand</t>
  </si>
  <si>
    <t>Togo</t>
  </si>
  <si>
    <t>Trinidad and Tobago</t>
  </si>
  <si>
    <t>Tunisia</t>
  </si>
  <si>
    <t>Turkey</t>
  </si>
  <si>
    <t>Turkmenistan</t>
  </si>
  <si>
    <t>Uganda</t>
  </si>
  <si>
    <t>Ukraine</t>
  </si>
  <si>
    <t>United Arab Emirates</t>
  </si>
  <si>
    <t>United Kingdom</t>
  </si>
  <si>
    <t>United States</t>
  </si>
  <si>
    <t>Uruguay</t>
  </si>
  <si>
    <t>Uzbekistan</t>
  </si>
  <si>
    <t>Venezuela</t>
  </si>
  <si>
    <t>Vietnam</t>
  </si>
  <si>
    <t>Yemen</t>
  </si>
  <si>
    <t>Zambia</t>
  </si>
  <si>
    <t>Zimbabwe</t>
  </si>
  <si>
    <t>continent</t>
  </si>
  <si>
    <t>Asia</t>
  </si>
  <si>
    <t>Europe</t>
  </si>
  <si>
    <t>Africa</t>
  </si>
  <si>
    <t>Americas</t>
  </si>
  <si>
    <t>Oceania</t>
  </si>
  <si>
    <t>sort order</t>
  </si>
  <si>
    <t>y- values</t>
  </si>
  <si>
    <t>Highlight</t>
  </si>
  <si>
    <t>Filtered Countries</t>
  </si>
  <si>
    <t>max</t>
  </si>
  <si>
    <t>min</t>
  </si>
  <si>
    <t>parameters</t>
  </si>
  <si>
    <t>Ascending</t>
  </si>
  <si>
    <t>Descending</t>
  </si>
  <si>
    <t>do not delete! ▼</t>
  </si>
  <si>
    <t/>
  </si>
  <si>
    <t>cell link:</t>
  </si>
  <si>
    <t>x pos ▼</t>
  </si>
  <si>
    <t>y pos ▼</t>
  </si>
  <si>
    <t>If positive</t>
  </si>
  <si>
    <t>If negative</t>
  </si>
  <si>
    <t>x-values</t>
  </si>
  <si>
    <t>x:</t>
  </si>
  <si>
    <t>y:</t>
  </si>
  <si>
    <t>chart title:</t>
  </si>
  <si>
    <t>Scores by country on metric selected:</t>
  </si>
  <si>
    <t>Link to Mark Proctor's UDF:</t>
  </si>
  <si>
    <t>https://exceloffthegrid.com/chart-axis-min-mix/</t>
  </si>
  <si>
    <t>Link to Jon Peltier's UDF:</t>
  </si>
  <si>
    <t>https://peltiertech.com/chart-udf-control-axis-scale/</t>
  </si>
  <si>
    <t>Link to Hicham' Dot plot post</t>
  </si>
  <si>
    <t>https://simplexct.com/how-to-create-a-dot-plot-in-excel</t>
  </si>
  <si>
    <t>http://dailydoseofexcel.com/archives/2004/12/22/functions-that-do-things/</t>
  </si>
  <si>
    <t>http://dailydoseofexcel.com/archives/2006/02/05/in-cell-charting/</t>
  </si>
  <si>
    <t>http://dailydoseofexcel.com/archives/2007/01/12/modifying-shapes-and-charts-with-udfs/</t>
  </si>
  <si>
    <t>Functions That Do Things</t>
  </si>
  <si>
    <t>In Cell Charting</t>
  </si>
  <si>
    <t>Modifying Shapes (And Charts) With UDFs</t>
  </si>
  <si>
    <t>The links below were provided by Jon Peltier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</si>
</sst>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Major: &quot;0.00"/>
    <numFmt numFmtId="165" formatCode="&quot;Min: &quot;0.00"/>
    <numFmt numFmtId="166" formatCode="&quot;Max: &quot;0.00"/>
  </numFmts>
  <fonts count="9">
    <font>
      <sz val="8"/>
      <color theme="1"/>
      <name val="Calibri"/>
      <family val="2"/>
      <scheme val="minor"/>
    </font>
    <font>
      <sz val="8"/>
      <color theme="1"/>
      <name val="Body Font"/>
      <family val="2"/>
    </font>
    <font>
      <u/>
      <sz val="8"/>
      <color theme="10"/>
      <name val="Calibri"/>
      <family val="2"/>
      <scheme val="minor"/>
    </font>
    <font>
      <sz val="11"/>
      <color theme="1"/>
      <name val="Calibri"/>
      <family val="2"/>
      <scheme val="minor"/>
    </font>
    <font>
      <u/>
      <sz val="11"/>
      <color theme="10"/>
      <name val="Calibri"/>
      <family val="2"/>
      <scheme val="minor"/>
    </font>
    <font>
      <sz val="11"/>
      <color theme="10"/>
      <name val="Calibri"/>
      <family val="2"/>
      <scheme val="minor"/>
    </font>
    <font>
      <sz val="8"/>
      <color theme="1"/>
      <name val="Arial"/>
      <family val="2"/>
    </font>
    <font>
      <sz val="6"/>
      <color theme="1"/>
      <name val="Calibri"/>
      <family val="2"/>
      <scheme val="minor"/>
    </font>
    <font>
      <i/>
      <sz val="8"/>
      <color theme="1"/>
      <name val="Calibri"/>
      <family val="2"/>
      <scheme val="minor"/>
    </font>
  </fonts>
  <fills count="5">
    <fill>
      <patternFill patternType="none"/>
    </fill>
    <fill>
      <patternFill patternType="gray125"/>
    </fill>
    <fill>
      <patternFill patternType="solid">
        <fgColor theme="0" tint="-4.9989318521683403E-2"/>
        <bgColor indexed="64"/>
      </patternFill>
    </fill>
    <fill>
      <patternFill patternType="solid">
        <fgColor rgb="FFF5F5F5"/>
        <bgColor indexed="64"/>
      </patternFill>
    </fill>
    <fill>
      <patternFill patternType="solid">
        <fgColor rgb="FFFFFF00"/>
        <bgColor indexed="64"/>
      </patternFill>
    </fill>
  </fills>
  <borders count="1">
    <border>
      <left/>
      <right/>
      <top/>
      <bottom/>
      <diagonal/>
    </border>
  </borders>
  <cellStyleXfs count="9">
    <xf numFmtId="0" fontId="0" fillId="0" borderId="0"/>
    <xf numFmtId="0" fontId="3" fillId="0" borderId="0"/>
    <xf numFmtId="0" fontId="4" fillId="0" borderId="0" applyNumberFormat="0" applyFill="0" applyBorder="0" applyAlignment="0" applyProtection="0"/>
    <xf numFmtId="0" fontId="2" fillId="0" borderId="0" applyNumberFormat="0" applyFill="0" applyBorder="0" applyAlignment="0" applyProtection="0"/>
    <xf numFmtId="0" fontId="6" fillId="0" borderId="0"/>
    <xf numFmtId="0" fontId="3" fillId="0" borderId="0"/>
    <xf numFmtId="0" fontId="7" fillId="0" borderId="0"/>
    <xf numFmtId="0" fontId="1" fillId="0" borderId="0"/>
    <xf numFmtId="0" fontId="2" fillId="0" borderId="0" applyNumberFormat="0" applyFill="0" applyBorder="0" applyAlignment="0" applyProtection="0"/>
  </cellStyleXfs>
  <cellXfs count="23">
    <xf numFmtId="0" fontId="0" fillId="0" borderId="0" xfId="0"/>
    <xf numFmtId="0" fontId="3" fillId="0" borderId="0" xfId="1"/>
    <xf numFmtId="0" fontId="3" fillId="0" borderId="0" xfId="1" applyAlignment="1">
      <alignment horizontal="right"/>
    </xf>
    <xf numFmtId="0" fontId="5" fillId="0" borderId="0" xfId="2" applyFont="1"/>
    <xf numFmtId="0" fontId="2" fillId="0" borderId="0" xfId="3"/>
    <xf numFmtId="0" fontId="4" fillId="0" borderId="0" xfId="2"/>
    <xf numFmtId="0" fontId="3" fillId="0" borderId="0" xfId="1" quotePrefix="1"/>
    <xf numFmtId="0" fontId="0" fillId="2" borderId="0" xfId="0" applyFill="1"/>
    <xf numFmtId="0" fontId="0" fillId="0" borderId="0" xfId="0" quotePrefix="1"/>
    <xf numFmtId="2" fontId="0" fillId="0" borderId="0" xfId="0" applyNumberFormat="1"/>
    <xf numFmtId="0" fontId="8" fillId="0" borderId="0" xfId="0" applyFont="1" applyAlignment="1">
      <alignment horizontal="right"/>
    </xf>
    <xf numFmtId="0" fontId="0" fillId="0" borderId="0" xfId="0" pivotButton="1"/>
    <xf numFmtId="0" fontId="0" fillId="0" borderId="0" xfId="0" applyAlignment="1">
      <alignment horizontal="center"/>
    </xf>
    <xf numFmtId="0" fontId="0" fillId="0" borderId="0" xfId="0" applyAlignment="1">
      <alignment horizontal="right"/>
    </xf>
    <xf numFmtId="0" fontId="0" fillId="0" borderId="0" xfId="0" applyAlignment="1">
      <alignment horizontal="left" indent="3"/>
    </xf>
    <xf numFmtId="4" fontId="0" fillId="0" borderId="0" xfId="0" applyNumberFormat="1"/>
    <xf numFmtId="0" fontId="0" fillId="3" borderId="0" xfId="0" applyFill="1"/>
    <xf numFmtId="164" fontId="0" fillId="0" borderId="0" xfId="0" applyNumberFormat="1"/>
    <xf numFmtId="165" fontId="0" fillId="0" borderId="0" xfId="0" applyNumberFormat="1"/>
    <xf numFmtId="166" fontId="0" fillId="0" borderId="0" xfId="0" applyNumberFormat="1"/>
    <xf numFmtId="0" fontId="2" fillId="0" borderId="0" xfId="8" applyAlignment="1"/>
    <xf numFmtId="0" fontId="2" fillId="0" borderId="0" xfId="8"/>
    <xf numFmtId="0" fontId="0" fillId="4" borderId="0" xfId="0" applyFill="1"/>
  </cellXfs>
  <cellStyles count="9">
    <cellStyle name="Hipervínculo 2" xfId="2" xr:uid="{89F00235-83E1-4C35-940D-EE8C3B134EA7}"/>
    <cellStyle name="Hyperlink" xfId="8" builtinId="8"/>
    <cellStyle name="Hyperlink 2" xfId="3" xr:uid="{6F5D9744-6C19-44FA-85B0-DCA646D28E0D}"/>
    <cellStyle name="Normal" xfId="0" builtinId="0"/>
    <cellStyle name="Normal 2" xfId="6" xr:uid="{73C8518C-FE5B-4B51-9E91-E5AC2E83E113}"/>
    <cellStyle name="Normal 2 2" xfId="1" xr:uid="{FDCBB484-6B02-4DA7-941D-45E22EC783D3}"/>
    <cellStyle name="Normal 3" xfId="5" xr:uid="{5FB8A2BA-9E6C-47AF-8DB3-8568132137C9}"/>
    <cellStyle name="Normal 3 2" xfId="4" xr:uid="{F1026B24-507A-4FD2-93AA-C09DD61C35D4}"/>
    <cellStyle name="Normal 4" xfId="7" xr:uid="{A3626A2D-836B-41C7-AC8A-4AD41A867F8E}"/>
  </cellStyles>
  <dxfs count="7">
    <dxf>
      <numFmt numFmtId="0" formatCode="General"/>
    </dxf>
    <dxf>
      <font>
        <sz val="8"/>
        <color theme="1" tint="0.34998626667073579"/>
        <name val="Arial"/>
        <family val="2"/>
        <scheme val="none"/>
      </font>
      <border diagonalUp="0" diagonalDown="0">
        <left/>
        <right/>
        <top/>
        <bottom/>
        <vertical/>
        <horizontal/>
      </border>
    </dxf>
    <dxf>
      <font>
        <sz val="8"/>
        <color theme="1" tint="0.34998626667073579"/>
        <name val="Arial"/>
        <family val="2"/>
        <scheme val="none"/>
      </font>
      <border diagonalUp="0" diagonalDown="0">
        <left/>
        <right/>
        <top/>
        <bottom/>
        <vertical/>
        <horizontal/>
      </border>
    </dxf>
    <dxf>
      <fill>
        <patternFill>
          <bgColor rgb="FFFAFAFA"/>
        </patternFill>
      </fill>
    </dxf>
    <dxf>
      <fill>
        <patternFill patternType="none">
          <bgColor indexed="65"/>
        </patternFill>
      </fill>
    </dxf>
    <dxf>
      <fill>
        <patternFill>
          <bgColor rgb="FFE6E6E6"/>
        </patternFill>
      </fill>
      <border>
        <bottom style="thin">
          <color rgb="FF939393"/>
        </bottom>
        <vertical style="thin">
          <color rgb="FFBFBFBF"/>
        </vertical>
      </border>
    </dxf>
    <dxf>
      <border>
        <left style="thin">
          <color theme="0" tint="-0.14996795556505021"/>
        </left>
        <right style="thin">
          <color theme="0" tint="-0.14996795556505021"/>
        </right>
        <top style="thin">
          <color theme="0" tint="-0.14996795556505021"/>
        </top>
        <bottom style="thin">
          <color theme="0" tint="-0.14996795556505021"/>
        </bottom>
        <vertical style="thin">
          <color rgb="FFEAEAEA"/>
        </vertical>
        <horizontal style="thin">
          <color rgb="FFEAEAEA"/>
        </horizontal>
      </border>
    </dxf>
  </dxfs>
  <tableStyles count="2" defaultTableStyle="Peltier Tech Minimal Table" defaultPivotStyle="PivotStyleLight16">
    <tableStyle name="Peltier Tech Minimal Table" pivot="0" count="4" xr9:uid="{CE42418B-AA05-4C09-AF3D-159388DDE07F}">
      <tableStyleElement type="wholeTable" dxfId="6"/>
      <tableStyleElement type="headerRow" dxfId="5"/>
      <tableStyleElement type="firstRowStripe" dxfId="4"/>
      <tableStyleElement type="secondRowStripe" dxfId="3"/>
    </tableStyle>
    <tableStyle name="xlorla" pivot="0" table="0" count="10" xr9:uid="{63DCA711-BD1D-42B0-AF07-9BBE7A8033C2}">
      <tableStyleElement type="wholeTable" dxfId="2"/>
      <tableStyleElement type="headerRow" dxfId="1"/>
    </tableStyle>
  </tableStyles>
  <colors>
    <mruColors>
      <color rgb="FFFFFFCC"/>
      <color rgb="FFF5F5F5"/>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6"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xlorla">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aredStrings" Target="sharedStrings.xml"/><Relationship Id="rId3" Type="http://schemas.openxmlformats.org/officeDocument/2006/relationships/pivotCacheDefinition" Target="pivotCache/pivotCacheDefinition1.xml"/><Relationship Id="rId7" Type="http://schemas.microsoft.com/office/2007/relationships/slicerCache" Target="slicerCaches/slicerCache1.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4.xml"/><Relationship Id="rId11" Type="http://schemas.openxmlformats.org/officeDocument/2006/relationships/theme" Target="theme/theme1.xml"/><Relationship Id="rId5" Type="http://schemas.openxmlformats.org/officeDocument/2006/relationships/pivotCacheDefinition" Target="pivotCache/pivotCacheDefinition3.xml"/><Relationship Id="rId15" Type="http://schemas.openxmlformats.org/officeDocument/2006/relationships/calcChain" Target="calcChain.xml"/><Relationship Id="rId10" Type="http://schemas.microsoft.com/office/2007/relationships/slicerCache" Target="slicerCaches/slicerCache4.xml"/><Relationship Id="rId4" Type="http://schemas.openxmlformats.org/officeDocument/2006/relationships/pivotCacheDefinition" Target="pivotCache/pivotCacheDefinition2.xml"/><Relationship Id="rId9" Type="http://schemas.microsoft.com/office/2007/relationships/slicerCache" Target="slicerCaches/slicerCache3.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2952039665816418"/>
          <c:y val="9.4702842377260982E-2"/>
          <c:w val="0.59417396769065844"/>
          <c:h val="0.85796726959517655"/>
        </c:manualLayout>
      </c:layout>
      <c:barChart>
        <c:barDir val="bar"/>
        <c:grouping val="clustered"/>
        <c:varyColors val="0"/>
        <c:ser>
          <c:idx val="0"/>
          <c:order val="0"/>
          <c:tx>
            <c:v>bar values</c:v>
          </c:tx>
          <c:spPr>
            <a:noFill/>
            <a:ln>
              <a:noFill/>
            </a:ln>
            <a:effectLst/>
          </c:spPr>
          <c:invertIfNegative val="0"/>
          <c:cat>
            <c:strRef>
              <c:f>[0]!_08_country_x_axis</c:f>
              <c:strCache>
                <c:ptCount val="47"/>
                <c:pt idx="1">
                  <c:v>Greece</c:v>
                </c:pt>
                <c:pt idx="2">
                  <c:v>Bosnia and Herzegovina</c:v>
                </c:pt>
                <c:pt idx="3">
                  <c:v>Serbia</c:v>
                </c:pt>
                <c:pt idx="4">
                  <c:v>Montenegro</c:v>
                </c:pt>
                <c:pt idx="5">
                  <c:v>Turkey</c:v>
                </c:pt>
                <c:pt idx="6">
                  <c:v>Armenia</c:v>
                </c:pt>
                <c:pt idx="7">
                  <c:v>Lithuania</c:v>
                </c:pt>
                <c:pt idx="8">
                  <c:v>Croatia</c:v>
                </c:pt>
                <c:pt idx="9">
                  <c:v>Ukraine</c:v>
                </c:pt>
                <c:pt idx="10">
                  <c:v>Latvia</c:v>
                </c:pt>
                <c:pt idx="11">
                  <c:v>Hungary</c:v>
                </c:pt>
                <c:pt idx="12">
                  <c:v>Italy</c:v>
                </c:pt>
                <c:pt idx="13">
                  <c:v>Azerbaijan</c:v>
                </c:pt>
                <c:pt idx="14">
                  <c:v>Albania</c:v>
                </c:pt>
                <c:pt idx="15">
                  <c:v>Moldova</c:v>
                </c:pt>
                <c:pt idx="16">
                  <c:v>Russia</c:v>
                </c:pt>
                <c:pt idx="17">
                  <c:v>North Macedonia</c:v>
                </c:pt>
                <c:pt idx="18">
                  <c:v>Slovakia</c:v>
                </c:pt>
                <c:pt idx="19">
                  <c:v>Kosovo</c:v>
                </c:pt>
                <c:pt idx="20">
                  <c:v>Bulgaria</c:v>
                </c:pt>
                <c:pt idx="21">
                  <c:v>Romania</c:v>
                </c:pt>
                <c:pt idx="22">
                  <c:v>Belarus</c:v>
                </c:pt>
                <c:pt idx="23">
                  <c:v>Georgia</c:v>
                </c:pt>
                <c:pt idx="24">
                  <c:v>North Cyprus</c:v>
                </c:pt>
                <c:pt idx="25">
                  <c:v>Estonia</c:v>
                </c:pt>
                <c:pt idx="26">
                  <c:v>Cyprus</c:v>
                </c:pt>
                <c:pt idx="27">
                  <c:v>Czech Republic</c:v>
                </c:pt>
                <c:pt idx="28">
                  <c:v>Spain</c:v>
                </c:pt>
                <c:pt idx="29">
                  <c:v>Portugal</c:v>
                </c:pt>
                <c:pt idx="30">
                  <c:v>Poland</c:v>
                </c:pt>
                <c:pt idx="31">
                  <c:v>France</c:v>
                </c:pt>
                <c:pt idx="32">
                  <c:v>Belgium</c:v>
                </c:pt>
                <c:pt idx="33">
                  <c:v>Malta</c:v>
                </c:pt>
                <c:pt idx="34">
                  <c:v>Netherlands</c:v>
                </c:pt>
                <c:pt idx="35">
                  <c:v>United Kingdom</c:v>
                </c:pt>
                <c:pt idx="36">
                  <c:v>Ireland</c:v>
                </c:pt>
                <c:pt idx="37">
                  <c:v>Slovenia</c:v>
                </c:pt>
                <c:pt idx="38">
                  <c:v>Germany</c:v>
                </c:pt>
                <c:pt idx="39">
                  <c:v>Iceland</c:v>
                </c:pt>
                <c:pt idx="40">
                  <c:v>Luxembourg</c:v>
                </c:pt>
                <c:pt idx="41">
                  <c:v>Austria</c:v>
                </c:pt>
                <c:pt idx="42">
                  <c:v>Finland</c:v>
                </c:pt>
                <c:pt idx="43">
                  <c:v>Denmark</c:v>
                </c:pt>
                <c:pt idx="44">
                  <c:v>Sweden</c:v>
                </c:pt>
                <c:pt idx="45">
                  <c:v>Switzerland</c:v>
                </c:pt>
                <c:pt idx="46">
                  <c:v>Norway</c:v>
                </c:pt>
              </c:strCache>
            </c:strRef>
          </c:cat>
          <c:val>
            <c:numRef>
              <c:f>[0]!_09_x_values</c:f>
              <c:numCache>
                <c:formatCode>General</c:formatCode>
                <c:ptCount val="48"/>
                <c:pt idx="0">
                  <c:v>#N/A</c:v>
                </c:pt>
                <c:pt idx="1">
                  <c:v>0.3726104199886322</c:v>
                </c:pt>
                <c:pt idx="2">
                  <c:v>0.41978931427001953</c:v>
                </c:pt>
                <c:pt idx="3">
                  <c:v>0.4605746865272522</c:v>
                </c:pt>
                <c:pt idx="4">
                  <c:v>0.46170637011528015</c:v>
                </c:pt>
                <c:pt idx="5">
                  <c:v>0.47090321779251099</c:v>
                </c:pt>
                <c:pt idx="6">
                  <c:v>0.50186377763748169</c:v>
                </c:pt>
                <c:pt idx="7">
                  <c:v>0.50302714109420776</c:v>
                </c:pt>
                <c:pt idx="8">
                  <c:v>0.54190975427627563</c:v>
                </c:pt>
                <c:pt idx="9">
                  <c:v>0.56364977359771729</c:v>
                </c:pt>
                <c:pt idx="10">
                  <c:v>0.5638117790222168</c:v>
                </c:pt>
                <c:pt idx="11">
                  <c:v>0.56923151016235352</c:v>
                </c:pt>
                <c:pt idx="12">
                  <c:v>0.57009494304656982</c:v>
                </c:pt>
                <c:pt idx="13">
                  <c:v>0.59885907173156738</c:v>
                </c:pt>
                <c:pt idx="14">
                  <c:v>0.60151213407516479</c:v>
                </c:pt>
                <c:pt idx="15">
                  <c:v>0.60241854190826416</c:v>
                </c:pt>
                <c:pt idx="16">
                  <c:v>0.60910415649414063</c:v>
                </c:pt>
                <c:pt idx="17">
                  <c:v>0.61305570602416992</c:v>
                </c:pt>
                <c:pt idx="18">
                  <c:v>0.62000429630279541</c:v>
                </c:pt>
                <c:pt idx="19">
                  <c:v>0.63579338788986206</c:v>
                </c:pt>
                <c:pt idx="20">
                  <c:v>0.64125645160675049</c:v>
                </c:pt>
                <c:pt idx="21">
                  <c:v>0.64453613758087158</c:v>
                </c:pt>
                <c:pt idx="22">
                  <c:v>0.64524883031845093</c:v>
                </c:pt>
                <c:pt idx="23">
                  <c:v>0.65872400999069214</c:v>
                </c:pt>
                <c:pt idx="24">
                  <c:v>0.69256764650344849</c:v>
                </c:pt>
                <c:pt idx="25">
                  <c:v>0.69682574272155762</c:v>
                </c:pt>
                <c:pt idx="26">
                  <c:v>0.72462958097457886</c:v>
                </c:pt>
                <c:pt idx="27">
                  <c:v>0.73980873823165894</c:v>
                </c:pt>
                <c:pt idx="28">
                  <c:v>0.75458610057830811</c:v>
                </c:pt>
                <c:pt idx="29">
                  <c:v>0.77382141351699829</c:v>
                </c:pt>
                <c:pt idx="30">
                  <c:v>0.81130170822143555</c:v>
                </c:pt>
                <c:pt idx="31">
                  <c:v>0.84132033586502075</c:v>
                </c:pt>
                <c:pt idx="32">
                  <c:v>0.85526663064956665</c:v>
                </c:pt>
                <c:pt idx="33">
                  <c:v>0.86068987846374512</c:v>
                </c:pt>
                <c:pt idx="34">
                  <c:v>0.87711864709854126</c:v>
                </c:pt>
                <c:pt idx="35">
                  <c:v>0.88897049427032471</c:v>
                </c:pt>
                <c:pt idx="36">
                  <c:v>0.9021945595741272</c:v>
                </c:pt>
                <c:pt idx="37">
                  <c:v>0.90438628196716309</c:v>
                </c:pt>
                <c:pt idx="38">
                  <c:v>0.90444046258926392</c:v>
                </c:pt>
                <c:pt idx="39">
                  <c:v>0.90465450286865234</c:v>
                </c:pt>
                <c:pt idx="40">
                  <c:v>0.91652095317840576</c:v>
                </c:pt>
                <c:pt idx="41">
                  <c:v>0.9197039008140564</c:v>
                </c:pt>
                <c:pt idx="42">
                  <c:v>0.92096811532974243</c:v>
                </c:pt>
                <c:pt idx="43">
                  <c:v>0.93262791633605957</c:v>
                </c:pt>
                <c:pt idx="44">
                  <c:v>0.9443821907043457</c:v>
                </c:pt>
                <c:pt idx="45">
                  <c:v>0.94542801380157471</c:v>
                </c:pt>
                <c:pt idx="46">
                  <c:v>0.94656586647033691</c:v>
                </c:pt>
                <c:pt idx="47">
                  <c:v>#N/A</c:v>
                </c:pt>
              </c:numCache>
            </c:numRef>
          </c:val>
          <c:extLst>
            <c:ext xmlns:c16="http://schemas.microsoft.com/office/drawing/2014/chart" uri="{C3380CC4-5D6E-409C-BE32-E72D297353CC}">
              <c16:uniqueId val="{00000000-1BD9-4D75-A750-C48D4A3B6B40}"/>
            </c:ext>
          </c:extLst>
        </c:ser>
        <c:dLbls>
          <c:showLegendKey val="0"/>
          <c:showVal val="0"/>
          <c:showCatName val="0"/>
          <c:showSerName val="0"/>
          <c:showPercent val="0"/>
          <c:showBubbleSize val="0"/>
        </c:dLbls>
        <c:gapWidth val="182"/>
        <c:axId val="772677423"/>
        <c:axId val="772654127"/>
      </c:barChart>
      <c:scatterChart>
        <c:scatterStyle val="lineMarker"/>
        <c:varyColors val="0"/>
        <c:ser>
          <c:idx val="1"/>
          <c:order val="1"/>
          <c:tx>
            <c:v>plotted</c:v>
          </c:tx>
          <c:spPr>
            <a:ln w="25400" cap="rnd">
              <a:noFill/>
              <a:round/>
            </a:ln>
            <a:effectLst/>
          </c:spPr>
          <c:marker>
            <c:symbol val="circle"/>
            <c:size val="6"/>
            <c:spPr>
              <a:solidFill>
                <a:schemeClr val="bg1">
                  <a:lumMod val="85000"/>
                </a:schemeClr>
              </a:solidFill>
              <a:ln w="9525">
                <a:solidFill>
                  <a:schemeClr val="accent6">
                    <a:lumMod val="50000"/>
                  </a:schemeClr>
                </a:solidFill>
              </a:ln>
              <a:effectLst/>
            </c:spPr>
          </c:marker>
          <c:xVal>
            <c:numRef>
              <c:f>[0]!_09_x_values</c:f>
              <c:numCache>
                <c:formatCode>General</c:formatCode>
                <c:ptCount val="48"/>
                <c:pt idx="0">
                  <c:v>#N/A</c:v>
                </c:pt>
                <c:pt idx="1">
                  <c:v>0.3726104199886322</c:v>
                </c:pt>
                <c:pt idx="2">
                  <c:v>0.41978931427001953</c:v>
                </c:pt>
                <c:pt idx="3">
                  <c:v>0.4605746865272522</c:v>
                </c:pt>
                <c:pt idx="4">
                  <c:v>0.46170637011528015</c:v>
                </c:pt>
                <c:pt idx="5">
                  <c:v>0.47090321779251099</c:v>
                </c:pt>
                <c:pt idx="6">
                  <c:v>0.50186377763748169</c:v>
                </c:pt>
                <c:pt idx="7">
                  <c:v>0.50302714109420776</c:v>
                </c:pt>
                <c:pt idx="8">
                  <c:v>0.54190975427627563</c:v>
                </c:pt>
                <c:pt idx="9">
                  <c:v>0.56364977359771729</c:v>
                </c:pt>
                <c:pt idx="10">
                  <c:v>0.5638117790222168</c:v>
                </c:pt>
                <c:pt idx="11">
                  <c:v>0.56923151016235352</c:v>
                </c:pt>
                <c:pt idx="12">
                  <c:v>0.57009494304656982</c:v>
                </c:pt>
                <c:pt idx="13">
                  <c:v>0.59885907173156738</c:v>
                </c:pt>
                <c:pt idx="14">
                  <c:v>0.60151213407516479</c:v>
                </c:pt>
                <c:pt idx="15">
                  <c:v>0.60241854190826416</c:v>
                </c:pt>
                <c:pt idx="16">
                  <c:v>0.60910415649414063</c:v>
                </c:pt>
                <c:pt idx="17">
                  <c:v>0.61305570602416992</c:v>
                </c:pt>
                <c:pt idx="18">
                  <c:v>0.62000429630279541</c:v>
                </c:pt>
                <c:pt idx="19">
                  <c:v>0.63579338788986206</c:v>
                </c:pt>
                <c:pt idx="20">
                  <c:v>0.64125645160675049</c:v>
                </c:pt>
                <c:pt idx="21">
                  <c:v>0.64453613758087158</c:v>
                </c:pt>
                <c:pt idx="22">
                  <c:v>0.64524883031845093</c:v>
                </c:pt>
                <c:pt idx="23">
                  <c:v>0.65872400999069214</c:v>
                </c:pt>
                <c:pt idx="24">
                  <c:v>0.69256764650344849</c:v>
                </c:pt>
                <c:pt idx="25">
                  <c:v>0.69682574272155762</c:v>
                </c:pt>
                <c:pt idx="26">
                  <c:v>0.72462958097457886</c:v>
                </c:pt>
                <c:pt idx="27">
                  <c:v>0.73980873823165894</c:v>
                </c:pt>
                <c:pt idx="28">
                  <c:v>0.75458610057830811</c:v>
                </c:pt>
                <c:pt idx="29">
                  <c:v>0.77382141351699829</c:v>
                </c:pt>
                <c:pt idx="30">
                  <c:v>0.81130170822143555</c:v>
                </c:pt>
                <c:pt idx="31">
                  <c:v>0.84132033586502075</c:v>
                </c:pt>
                <c:pt idx="32">
                  <c:v>0.85526663064956665</c:v>
                </c:pt>
                <c:pt idx="33">
                  <c:v>0.86068987846374512</c:v>
                </c:pt>
                <c:pt idx="34">
                  <c:v>0.87711864709854126</c:v>
                </c:pt>
                <c:pt idx="35">
                  <c:v>0.88897049427032471</c:v>
                </c:pt>
                <c:pt idx="36">
                  <c:v>0.9021945595741272</c:v>
                </c:pt>
                <c:pt idx="37">
                  <c:v>0.90438628196716309</c:v>
                </c:pt>
                <c:pt idx="38">
                  <c:v>0.90444046258926392</c:v>
                </c:pt>
                <c:pt idx="39">
                  <c:v>0.90465450286865234</c:v>
                </c:pt>
                <c:pt idx="40">
                  <c:v>0.91652095317840576</c:v>
                </c:pt>
                <c:pt idx="41">
                  <c:v>0.9197039008140564</c:v>
                </c:pt>
                <c:pt idx="42">
                  <c:v>0.92096811532974243</c:v>
                </c:pt>
                <c:pt idx="43">
                  <c:v>0.93262791633605957</c:v>
                </c:pt>
                <c:pt idx="44">
                  <c:v>0.9443821907043457</c:v>
                </c:pt>
                <c:pt idx="45">
                  <c:v>0.94542801380157471</c:v>
                </c:pt>
                <c:pt idx="46">
                  <c:v>0.94656586647033691</c:v>
                </c:pt>
                <c:pt idx="47">
                  <c:v>#N/A</c:v>
                </c:pt>
              </c:numCache>
            </c:numRef>
          </c:xVal>
          <c:yVal>
            <c:numRef>
              <c:f>[0]!_10_y_values</c:f>
              <c:numCache>
                <c:formatCode>General</c:formatCode>
                <c:ptCount val="48"/>
                <c:pt idx="0">
                  <c:v>0</c:v>
                </c:pt>
                <c:pt idx="1">
                  <c:v>2.1276595744680851E-2</c:v>
                </c:pt>
                <c:pt idx="2">
                  <c:v>4.2553191489361701E-2</c:v>
                </c:pt>
                <c:pt idx="3">
                  <c:v>6.3829787234042548E-2</c:v>
                </c:pt>
                <c:pt idx="4">
                  <c:v>8.5106382978723402E-2</c:v>
                </c:pt>
                <c:pt idx="5">
                  <c:v>0.10638297872340426</c:v>
                </c:pt>
                <c:pt idx="6">
                  <c:v>0.1276595744680851</c:v>
                </c:pt>
                <c:pt idx="7">
                  <c:v>0.14893617021276595</c:v>
                </c:pt>
                <c:pt idx="8">
                  <c:v>0.1702127659574468</c:v>
                </c:pt>
                <c:pt idx="9">
                  <c:v>0.19148936170212766</c:v>
                </c:pt>
                <c:pt idx="10">
                  <c:v>0.21276595744680851</c:v>
                </c:pt>
                <c:pt idx="11">
                  <c:v>0.23404255319148937</c:v>
                </c:pt>
                <c:pt idx="12">
                  <c:v>0.25531914893617019</c:v>
                </c:pt>
                <c:pt idx="13">
                  <c:v>0.27659574468085107</c:v>
                </c:pt>
                <c:pt idx="14">
                  <c:v>0.2978723404255319</c:v>
                </c:pt>
                <c:pt idx="15">
                  <c:v>0.31914893617021278</c:v>
                </c:pt>
                <c:pt idx="16">
                  <c:v>0.34042553191489361</c:v>
                </c:pt>
                <c:pt idx="17">
                  <c:v>0.36170212765957449</c:v>
                </c:pt>
                <c:pt idx="18">
                  <c:v>0.38297872340425532</c:v>
                </c:pt>
                <c:pt idx="19">
                  <c:v>0.40425531914893614</c:v>
                </c:pt>
                <c:pt idx="20">
                  <c:v>0.42553191489361702</c:v>
                </c:pt>
                <c:pt idx="21">
                  <c:v>0.44680851063829785</c:v>
                </c:pt>
                <c:pt idx="22">
                  <c:v>0.46808510638297873</c:v>
                </c:pt>
                <c:pt idx="23">
                  <c:v>0.48936170212765956</c:v>
                </c:pt>
                <c:pt idx="24">
                  <c:v>0.51063829787234039</c:v>
                </c:pt>
                <c:pt idx="25">
                  <c:v>0.53191489361702127</c:v>
                </c:pt>
                <c:pt idx="26">
                  <c:v>0.55319148936170215</c:v>
                </c:pt>
                <c:pt idx="27">
                  <c:v>0.57446808510638303</c:v>
                </c:pt>
                <c:pt idx="28">
                  <c:v>0.5957446808510638</c:v>
                </c:pt>
                <c:pt idx="29">
                  <c:v>0.61702127659574468</c:v>
                </c:pt>
                <c:pt idx="30">
                  <c:v>0.63829787234042556</c:v>
                </c:pt>
                <c:pt idx="31">
                  <c:v>0.65957446808510634</c:v>
                </c:pt>
                <c:pt idx="32">
                  <c:v>0.68085106382978722</c:v>
                </c:pt>
                <c:pt idx="33">
                  <c:v>0.7021276595744681</c:v>
                </c:pt>
                <c:pt idx="34">
                  <c:v>0.72340425531914898</c:v>
                </c:pt>
                <c:pt idx="35">
                  <c:v>0.74468085106382975</c:v>
                </c:pt>
                <c:pt idx="36">
                  <c:v>0.76595744680851063</c:v>
                </c:pt>
                <c:pt idx="37">
                  <c:v>0.78723404255319152</c:v>
                </c:pt>
                <c:pt idx="38">
                  <c:v>0.80851063829787229</c:v>
                </c:pt>
                <c:pt idx="39">
                  <c:v>0.82978723404255317</c:v>
                </c:pt>
                <c:pt idx="40">
                  <c:v>0.85106382978723405</c:v>
                </c:pt>
                <c:pt idx="41">
                  <c:v>0.87234042553191493</c:v>
                </c:pt>
                <c:pt idx="42">
                  <c:v>0.8936170212765957</c:v>
                </c:pt>
                <c:pt idx="43">
                  <c:v>0.91489361702127658</c:v>
                </c:pt>
                <c:pt idx="44">
                  <c:v>0.93617021276595747</c:v>
                </c:pt>
                <c:pt idx="45">
                  <c:v>0.95744680851063835</c:v>
                </c:pt>
                <c:pt idx="46">
                  <c:v>0.97872340425531912</c:v>
                </c:pt>
                <c:pt idx="47">
                  <c:v>1</c:v>
                </c:pt>
              </c:numCache>
            </c:numRef>
          </c:yVal>
          <c:smooth val="0"/>
          <c:extLst>
            <c:ext xmlns:c16="http://schemas.microsoft.com/office/drawing/2014/chart" uri="{C3380CC4-5D6E-409C-BE32-E72D297353CC}">
              <c16:uniqueId val="{00000002-1BD9-4D75-A750-C48D4A3B6B40}"/>
            </c:ext>
          </c:extLst>
        </c:ser>
        <c:ser>
          <c:idx val="2"/>
          <c:order val="2"/>
          <c:tx>
            <c:strRef>
              <c:f>example!$P$11</c:f>
              <c:strCache>
                <c:ptCount val="1"/>
                <c:pt idx="0">
                  <c:v>Highlight</c:v>
                </c:pt>
              </c:strCache>
            </c:strRef>
          </c:tx>
          <c:spPr>
            <a:ln w="25400" cap="rnd">
              <a:noFill/>
              <a:round/>
            </a:ln>
            <a:effectLst/>
          </c:spPr>
          <c:marker>
            <c:symbol val="circle"/>
            <c:size val="7"/>
            <c:spPr>
              <a:solidFill>
                <a:schemeClr val="tx1"/>
              </a:solidFill>
              <a:ln w="9525">
                <a:noFill/>
              </a:ln>
              <a:effectLst/>
            </c:spPr>
          </c:marker>
          <c:errBars>
            <c:errDir val="x"/>
            <c:errBarType val="minus"/>
            <c:errValType val="percentage"/>
            <c:noEndCap val="1"/>
            <c:val val="100"/>
            <c:spPr>
              <a:noFill/>
              <a:ln w="12700" cap="flat" cmpd="sng" algn="ctr">
                <a:solidFill>
                  <a:schemeClr val="tx1">
                    <a:lumMod val="65000"/>
                    <a:lumOff val="35000"/>
                  </a:schemeClr>
                </a:solidFill>
                <a:round/>
              </a:ln>
              <a:effectLst/>
            </c:spPr>
          </c:errBars>
          <c:xVal>
            <c:numRef>
              <c:f>example!$P$16</c:f>
              <c:numCache>
                <c:formatCode>General</c:formatCode>
                <c:ptCount val="1"/>
                <c:pt idx="0">
                  <c:v>#N/A</c:v>
                </c:pt>
              </c:numCache>
            </c:numRef>
          </c:xVal>
          <c:yVal>
            <c:numRef>
              <c:f>example!$P$18</c:f>
              <c:numCache>
                <c:formatCode>General</c:formatCode>
                <c:ptCount val="1"/>
                <c:pt idx="0">
                  <c:v>#N/A</c:v>
                </c:pt>
              </c:numCache>
            </c:numRef>
          </c:yVal>
          <c:smooth val="0"/>
          <c:extLst>
            <c:ext xmlns:c16="http://schemas.microsoft.com/office/drawing/2014/chart" uri="{C3380CC4-5D6E-409C-BE32-E72D297353CC}">
              <c16:uniqueId val="{00000003-1BD9-4D75-A750-C48D4A3B6B40}"/>
            </c:ext>
          </c:extLst>
        </c:ser>
        <c:ser>
          <c:idx val="3"/>
          <c:order val="3"/>
          <c:tx>
            <c:strRef>
              <c:f>example!$P$20</c:f>
              <c:strCache>
                <c:ptCount val="1"/>
                <c:pt idx="0">
                  <c:v>If positive</c:v>
                </c:pt>
              </c:strCache>
            </c:strRef>
          </c:tx>
          <c:spPr>
            <a:ln w="2540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example!$P$21</c:f>
              <c:numCache>
                <c:formatCode>#,##0.00</c:formatCode>
                <c:ptCount val="1"/>
                <c:pt idx="0">
                  <c:v>#N/A</c:v>
                </c:pt>
              </c:numCache>
            </c:numRef>
          </c:xVal>
          <c:yVal>
            <c:numRef>
              <c:f>example!$P$22</c:f>
              <c:numCache>
                <c:formatCode>#,##0.00</c:formatCode>
                <c:ptCount val="1"/>
                <c:pt idx="0">
                  <c:v>#N/A</c:v>
                </c:pt>
              </c:numCache>
            </c:numRef>
          </c:yVal>
          <c:smooth val="0"/>
          <c:extLst>
            <c:ext xmlns:c16="http://schemas.microsoft.com/office/drawing/2014/chart" uri="{C3380CC4-5D6E-409C-BE32-E72D297353CC}">
              <c16:uniqueId val="{00000001-9EE0-4B63-BD8F-C319F9501F02}"/>
            </c:ext>
          </c:extLst>
        </c:ser>
        <c:ser>
          <c:idx val="4"/>
          <c:order val="4"/>
          <c:tx>
            <c:strRef>
              <c:f>example!$P$24</c:f>
              <c:strCache>
                <c:ptCount val="1"/>
                <c:pt idx="0">
                  <c:v>If negative</c:v>
                </c:pt>
              </c:strCache>
            </c:strRef>
          </c:tx>
          <c:spPr>
            <a:ln w="25400" cap="rnd">
              <a:noFill/>
              <a:round/>
            </a:ln>
            <a:effectLst/>
          </c:spPr>
          <c:marker>
            <c:symbol val="none"/>
          </c:marker>
          <c:dLbls>
            <c:spPr>
              <a:noFill/>
              <a:ln>
                <a:noFill/>
              </a:ln>
              <a:effectLst/>
            </c:spPr>
            <c:txPr>
              <a:bodyPr rot="0" spcFirstLastPara="1" vertOverflow="ellipsis" horzOverflow="clip" vert="horz" wrap="non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xVal>
            <c:numRef>
              <c:f>example!$P$25</c:f>
              <c:numCache>
                <c:formatCode>#,##0.00</c:formatCode>
                <c:ptCount val="1"/>
                <c:pt idx="0">
                  <c:v>#N/A</c:v>
                </c:pt>
              </c:numCache>
            </c:numRef>
          </c:xVal>
          <c:yVal>
            <c:numRef>
              <c:f>example!$P$26</c:f>
              <c:numCache>
                <c:formatCode>#,##0.00</c:formatCode>
                <c:ptCount val="1"/>
                <c:pt idx="0">
                  <c:v>#N/A</c:v>
                </c:pt>
              </c:numCache>
            </c:numRef>
          </c:yVal>
          <c:smooth val="0"/>
          <c:extLst>
            <c:ext xmlns:c16="http://schemas.microsoft.com/office/drawing/2014/chart" uri="{C3380CC4-5D6E-409C-BE32-E72D297353CC}">
              <c16:uniqueId val="{00000002-9EE0-4B63-BD8F-C319F9501F02}"/>
            </c:ext>
          </c:extLst>
        </c:ser>
        <c:dLbls>
          <c:showLegendKey val="0"/>
          <c:showVal val="0"/>
          <c:showCatName val="0"/>
          <c:showSerName val="0"/>
          <c:showPercent val="0"/>
          <c:showBubbleSize val="0"/>
        </c:dLbls>
        <c:axId val="1433528703"/>
        <c:axId val="1433529535"/>
      </c:scatterChart>
      <c:catAx>
        <c:axId val="772677423"/>
        <c:scaling>
          <c:orientation val="minMax"/>
        </c:scaling>
        <c:delete val="0"/>
        <c:axPos val="l"/>
        <c:majorGridlines>
          <c:spPr>
            <a:ln w="9525" cap="flat" cmpd="sng" algn="ctr">
              <a:solidFill>
                <a:schemeClr val="accent3">
                  <a:lumMod val="40000"/>
                  <a:lumOff val="60000"/>
                </a:schemeClr>
              </a:solidFill>
              <a:prstDash val="sysDash"/>
              <a:round/>
            </a:ln>
            <a:effectLst/>
          </c:spPr>
        </c:majorGridlines>
        <c:numFmt formatCode="General" sourceLinked="1"/>
        <c:majorTickMark val="none"/>
        <c:minorTickMark val="none"/>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772654127"/>
        <c:crosses val="autoZero"/>
        <c:auto val="1"/>
        <c:lblAlgn val="ctr"/>
        <c:lblOffset val="100"/>
        <c:tickLblSkip val="1"/>
        <c:noMultiLvlLbl val="0"/>
      </c:catAx>
      <c:valAx>
        <c:axId val="772654127"/>
        <c:scaling>
          <c:orientation val="minMax"/>
          <c:max val="1"/>
          <c:min val="0.30000000000000004"/>
        </c:scaling>
        <c:delete val="0"/>
        <c:axPos val="b"/>
        <c:majorGridlines>
          <c:spPr>
            <a:ln w="9525" cap="flat" cmpd="sng" algn="ctr">
              <a:solidFill>
                <a:schemeClr val="accent3">
                  <a:lumMod val="40000"/>
                  <a:lumOff val="60000"/>
                </a:schemeClr>
              </a:solidFill>
              <a:prstDash val="sys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772677423"/>
        <c:crosses val="autoZero"/>
        <c:crossBetween val="midCat"/>
        <c:majorUnit val="0.1"/>
      </c:valAx>
      <c:valAx>
        <c:axId val="1433529535"/>
        <c:scaling>
          <c:orientation val="minMax"/>
          <c:max val="1"/>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433528703"/>
        <c:crosses val="max"/>
        <c:crossBetween val="midCat"/>
      </c:valAx>
      <c:valAx>
        <c:axId val="1433528703"/>
        <c:scaling>
          <c:orientation val="minMax"/>
          <c:max val="1"/>
          <c:min val="0.30000000000000004"/>
        </c:scaling>
        <c:delete val="0"/>
        <c:axPos val="t"/>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433529535"/>
        <c:crosses val="max"/>
        <c:crossBetween val="midCat"/>
        <c:majorUnit val="0.1"/>
      </c:valAx>
      <c:spPr>
        <a:noFill/>
        <a:ln>
          <a:solidFill>
            <a:schemeClr val="bg1">
              <a:lumMod val="8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ist" dx="26" fmlaLink="P14" fmlaRange="_11_filtered_countries" sel="1" val="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23</xdr:col>
      <xdr:colOff>0</xdr:colOff>
      <xdr:row>1</xdr:row>
      <xdr:rowOff>0</xdr:rowOff>
    </xdr:from>
    <xdr:to>
      <xdr:col>31</xdr:col>
      <xdr:colOff>426720</xdr:colOff>
      <xdr:row>46</xdr:row>
      <xdr:rowOff>68580</xdr:rowOff>
    </xdr:to>
    <xdr:graphicFrame macro="">
      <xdr:nvGraphicFramePr>
        <xdr:cNvPr id="18" name="Chart 1">
          <a:extLst>
            <a:ext uri="{FF2B5EF4-FFF2-40B4-BE49-F238E27FC236}">
              <a16:creationId xmlns:a16="http://schemas.microsoft.com/office/drawing/2014/main" id="{00000000-0008-0000-00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xdr:col>
      <xdr:colOff>131973</xdr:colOff>
      <xdr:row>4</xdr:row>
      <xdr:rowOff>5080</xdr:rowOff>
    </xdr:from>
    <xdr:to>
      <xdr:col>4</xdr:col>
      <xdr:colOff>1082041</xdr:colOff>
      <xdr:row>7</xdr:row>
      <xdr:rowOff>121727</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419753" y="523240"/>
          <a:ext cx="1590148" cy="5052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800">
              <a:solidFill>
                <a:schemeClr val="bg1">
                  <a:lumMod val="65000"/>
                </a:schemeClr>
              </a:solidFill>
              <a:latin typeface="Arial" panose="020B0604020202020204" pitchFamily="34" charset="0"/>
              <a:cs typeface="Arial" panose="020B0604020202020204" pitchFamily="34" charset="0"/>
            </a:rPr>
            <a:t>the data</a:t>
          </a:r>
        </a:p>
      </xdr:txBody>
    </xdr:sp>
    <xdr:clientData/>
  </xdr:twoCellAnchor>
  <xdr:twoCellAnchor editAs="absolute">
    <xdr:from>
      <xdr:col>0</xdr:col>
      <xdr:colOff>178646</xdr:colOff>
      <xdr:row>7</xdr:row>
      <xdr:rowOff>44248</xdr:rowOff>
    </xdr:from>
    <xdr:to>
      <xdr:col>5</xdr:col>
      <xdr:colOff>632462</xdr:colOff>
      <xdr:row>9</xdr:row>
      <xdr:rowOff>56304</xdr:rowOff>
    </xdr:to>
    <xdr:sp macro="" textlink="">
      <xdr:nvSpPr>
        <xdr:cNvPr id="3" name="Left Brace 2">
          <a:extLst>
            <a:ext uri="{FF2B5EF4-FFF2-40B4-BE49-F238E27FC236}">
              <a16:creationId xmlns:a16="http://schemas.microsoft.com/office/drawing/2014/main" id="{00000000-0008-0000-0000-000003000000}"/>
            </a:ext>
          </a:extLst>
        </xdr:cNvPr>
        <xdr:cNvSpPr/>
      </xdr:nvSpPr>
      <xdr:spPr>
        <a:xfrm rot="5400000">
          <a:off x="1927336" y="-797662"/>
          <a:ext cx="271136" cy="3768516"/>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0</xdr:col>
      <xdr:colOff>121920</xdr:colOff>
      <xdr:row>2</xdr:row>
      <xdr:rowOff>30480</xdr:rowOff>
    </xdr:from>
    <xdr:to>
      <xdr:col>2</xdr:col>
      <xdr:colOff>417091</xdr:colOff>
      <xdr:row>5</xdr:row>
      <xdr:rowOff>29146</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21920" y="289560"/>
          <a:ext cx="942871"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a:solidFill>
                <a:schemeClr val="tx1">
                  <a:lumMod val="75000"/>
                  <a:lumOff val="25000"/>
                </a:schemeClr>
              </a:solidFill>
              <a:latin typeface="Arial" panose="020B0604020202020204" pitchFamily="34" charset="0"/>
              <a:cs typeface="Arial" panose="020B0604020202020204" pitchFamily="34" charset="0"/>
            </a:rPr>
            <a:t>Steps:</a:t>
          </a:r>
        </a:p>
      </xdr:txBody>
    </xdr:sp>
    <xdr:clientData/>
  </xdr:twoCellAnchor>
  <xdr:twoCellAnchor editAs="absolute">
    <xdr:from>
      <xdr:col>2</xdr:col>
      <xdr:colOff>356871</xdr:colOff>
      <xdr:row>4</xdr:row>
      <xdr:rowOff>15240</xdr:rowOff>
    </xdr:from>
    <xdr:to>
      <xdr:col>3</xdr:col>
      <xdr:colOff>121709</xdr:colOff>
      <xdr:row>7</xdr:row>
      <xdr:rowOff>80010</xdr:rowOff>
    </xdr:to>
    <xdr:sp macro="" textlink="">
      <xdr:nvSpPr>
        <xdr:cNvPr id="5" name="Oval 7">
          <a:extLst>
            <a:ext uri="{FF2B5EF4-FFF2-40B4-BE49-F238E27FC236}">
              <a16:creationId xmlns:a16="http://schemas.microsoft.com/office/drawing/2014/main" id="{00000000-0008-0000-0000-000005000000}"/>
            </a:ext>
          </a:extLst>
        </xdr:cNvPr>
        <xdr:cNvSpPr/>
      </xdr:nvSpPr>
      <xdr:spPr>
        <a:xfrm>
          <a:off x="1004571" y="533400"/>
          <a:ext cx="404918" cy="45339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1</a:t>
          </a:r>
        </a:p>
      </xdr:txBody>
    </xdr:sp>
    <xdr:clientData/>
  </xdr:twoCellAnchor>
  <xdr:twoCellAnchor editAs="absolute">
    <xdr:from>
      <xdr:col>10</xdr:col>
      <xdr:colOff>71966</xdr:colOff>
      <xdr:row>3</xdr:row>
      <xdr:rowOff>106680</xdr:rowOff>
    </xdr:from>
    <xdr:to>
      <xdr:col>10</xdr:col>
      <xdr:colOff>470534</xdr:colOff>
      <xdr:row>7</xdr:row>
      <xdr:rowOff>48260</xdr:rowOff>
    </xdr:to>
    <xdr:sp macro="" textlink="">
      <xdr:nvSpPr>
        <xdr:cNvPr id="6" name="Oval 5">
          <a:extLst>
            <a:ext uri="{FF2B5EF4-FFF2-40B4-BE49-F238E27FC236}">
              <a16:creationId xmlns:a16="http://schemas.microsoft.com/office/drawing/2014/main" id="{00000000-0008-0000-0000-000006000000}"/>
            </a:ext>
          </a:extLst>
        </xdr:cNvPr>
        <xdr:cNvSpPr/>
      </xdr:nvSpPr>
      <xdr:spPr>
        <a:xfrm>
          <a:off x="5817446" y="495300"/>
          <a:ext cx="398568" cy="4597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2</a:t>
          </a:r>
        </a:p>
      </xdr:txBody>
    </xdr:sp>
    <xdr:clientData/>
  </xdr:twoCellAnchor>
  <xdr:twoCellAnchor editAs="absolute">
    <xdr:from>
      <xdr:col>36</xdr:col>
      <xdr:colOff>200236</xdr:colOff>
      <xdr:row>16</xdr:row>
      <xdr:rowOff>99060</xdr:rowOff>
    </xdr:from>
    <xdr:to>
      <xdr:col>36</xdr:col>
      <xdr:colOff>598804</xdr:colOff>
      <xdr:row>20</xdr:row>
      <xdr:rowOff>34290</xdr:rowOff>
    </xdr:to>
    <xdr:sp macro="" textlink="">
      <xdr:nvSpPr>
        <xdr:cNvPr id="7" name="Oval 6">
          <a:extLst>
            <a:ext uri="{FF2B5EF4-FFF2-40B4-BE49-F238E27FC236}">
              <a16:creationId xmlns:a16="http://schemas.microsoft.com/office/drawing/2014/main" id="{00000000-0008-0000-0000-000007000000}"/>
            </a:ext>
          </a:extLst>
        </xdr:cNvPr>
        <xdr:cNvSpPr/>
      </xdr:nvSpPr>
      <xdr:spPr>
        <a:xfrm>
          <a:off x="17276656" y="2171700"/>
          <a:ext cx="398568" cy="45339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3</a:t>
          </a:r>
        </a:p>
      </xdr:txBody>
    </xdr:sp>
    <xdr:clientData/>
  </xdr:twoCellAnchor>
  <xdr:twoCellAnchor editAs="absolute">
    <xdr:from>
      <xdr:col>21</xdr:col>
      <xdr:colOff>55879</xdr:colOff>
      <xdr:row>0</xdr:row>
      <xdr:rowOff>45720</xdr:rowOff>
    </xdr:from>
    <xdr:to>
      <xdr:col>23</xdr:col>
      <xdr:colOff>24552</xdr:colOff>
      <xdr:row>3</xdr:row>
      <xdr:rowOff>106680</xdr:rowOff>
    </xdr:to>
    <xdr:sp macro="" textlink="">
      <xdr:nvSpPr>
        <xdr:cNvPr id="8" name="Oval 7">
          <a:extLst>
            <a:ext uri="{FF2B5EF4-FFF2-40B4-BE49-F238E27FC236}">
              <a16:creationId xmlns:a16="http://schemas.microsoft.com/office/drawing/2014/main" id="{00000000-0008-0000-0000-000008000000}"/>
            </a:ext>
          </a:extLst>
        </xdr:cNvPr>
        <xdr:cNvSpPr/>
      </xdr:nvSpPr>
      <xdr:spPr>
        <a:xfrm>
          <a:off x="10586719" y="45720"/>
          <a:ext cx="395393" cy="44958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5</a:t>
          </a:r>
        </a:p>
      </xdr:txBody>
    </xdr:sp>
    <xdr:clientData/>
  </xdr:twoCellAnchor>
  <xdr:twoCellAnchor editAs="absolute">
    <xdr:from>
      <xdr:col>13</xdr:col>
      <xdr:colOff>32597</xdr:colOff>
      <xdr:row>22</xdr:row>
      <xdr:rowOff>99060</xdr:rowOff>
    </xdr:from>
    <xdr:to>
      <xdr:col>13</xdr:col>
      <xdr:colOff>431166</xdr:colOff>
      <xdr:row>26</xdr:row>
      <xdr:rowOff>40640</xdr:rowOff>
    </xdr:to>
    <xdr:sp macro="" textlink="">
      <xdr:nvSpPr>
        <xdr:cNvPr id="9" name="Oval 8">
          <a:extLst>
            <a:ext uri="{FF2B5EF4-FFF2-40B4-BE49-F238E27FC236}">
              <a16:creationId xmlns:a16="http://schemas.microsoft.com/office/drawing/2014/main" id="{00000000-0008-0000-0000-000009000000}"/>
            </a:ext>
          </a:extLst>
        </xdr:cNvPr>
        <xdr:cNvSpPr/>
      </xdr:nvSpPr>
      <xdr:spPr>
        <a:xfrm>
          <a:off x="7279217" y="2948940"/>
          <a:ext cx="398569" cy="4597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6</a:t>
          </a:r>
        </a:p>
      </xdr:txBody>
    </xdr:sp>
    <xdr:clientData/>
  </xdr:twoCellAnchor>
  <xdr:twoCellAnchor editAs="absolute">
    <xdr:from>
      <xdr:col>34</xdr:col>
      <xdr:colOff>160020</xdr:colOff>
      <xdr:row>37</xdr:row>
      <xdr:rowOff>15240</xdr:rowOff>
    </xdr:from>
    <xdr:to>
      <xdr:col>35</xdr:col>
      <xdr:colOff>71966</xdr:colOff>
      <xdr:row>40</xdr:row>
      <xdr:rowOff>86360</xdr:rowOff>
    </xdr:to>
    <xdr:sp macro="" textlink="">
      <xdr:nvSpPr>
        <xdr:cNvPr id="10" name="Oval 9">
          <a:extLst>
            <a:ext uri="{FF2B5EF4-FFF2-40B4-BE49-F238E27FC236}">
              <a16:creationId xmlns:a16="http://schemas.microsoft.com/office/drawing/2014/main" id="{00000000-0008-0000-0000-00000A000000}"/>
            </a:ext>
          </a:extLst>
        </xdr:cNvPr>
        <xdr:cNvSpPr/>
      </xdr:nvSpPr>
      <xdr:spPr>
        <a:xfrm>
          <a:off x="16482060" y="4808220"/>
          <a:ext cx="399626" cy="4597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7</a:t>
          </a:r>
        </a:p>
      </xdr:txBody>
    </xdr:sp>
    <xdr:clientData/>
  </xdr:twoCellAnchor>
  <xdr:twoCellAnchor editAs="absolute">
    <xdr:from>
      <xdr:col>10</xdr:col>
      <xdr:colOff>428835</xdr:colOff>
      <xdr:row>24</xdr:row>
      <xdr:rowOff>22860</xdr:rowOff>
    </xdr:from>
    <xdr:to>
      <xdr:col>11</xdr:col>
      <xdr:colOff>302681</xdr:colOff>
      <xdr:row>27</xdr:row>
      <xdr:rowOff>93980</xdr:rowOff>
    </xdr:to>
    <xdr:sp macro="" textlink="">
      <xdr:nvSpPr>
        <xdr:cNvPr id="12" name="Oval 11">
          <a:extLst>
            <a:ext uri="{FF2B5EF4-FFF2-40B4-BE49-F238E27FC236}">
              <a16:creationId xmlns:a16="http://schemas.microsoft.com/office/drawing/2014/main" id="{00000000-0008-0000-0000-00000C000000}"/>
            </a:ext>
          </a:extLst>
        </xdr:cNvPr>
        <xdr:cNvSpPr/>
      </xdr:nvSpPr>
      <xdr:spPr>
        <a:xfrm>
          <a:off x="6174315" y="3131820"/>
          <a:ext cx="399626" cy="4597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8</a:t>
          </a:r>
        </a:p>
      </xdr:txBody>
    </xdr:sp>
    <xdr:clientData/>
  </xdr:twoCellAnchor>
  <xdr:twoCellAnchor editAs="absolute">
    <xdr:from>
      <xdr:col>8</xdr:col>
      <xdr:colOff>560067</xdr:colOff>
      <xdr:row>20</xdr:row>
      <xdr:rowOff>91440</xdr:rowOff>
    </xdr:from>
    <xdr:to>
      <xdr:col>9</xdr:col>
      <xdr:colOff>395813</xdr:colOff>
      <xdr:row>24</xdr:row>
      <xdr:rowOff>33020</xdr:rowOff>
    </xdr:to>
    <xdr:sp macro="" textlink="">
      <xdr:nvSpPr>
        <xdr:cNvPr id="13" name="Oval 12">
          <a:extLst>
            <a:ext uri="{FF2B5EF4-FFF2-40B4-BE49-F238E27FC236}">
              <a16:creationId xmlns:a16="http://schemas.microsoft.com/office/drawing/2014/main" id="{00000000-0008-0000-0000-00000D000000}"/>
            </a:ext>
          </a:extLst>
        </xdr:cNvPr>
        <xdr:cNvSpPr/>
      </xdr:nvSpPr>
      <xdr:spPr>
        <a:xfrm>
          <a:off x="5253987" y="2682240"/>
          <a:ext cx="399626" cy="4597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9</a:t>
          </a:r>
        </a:p>
      </xdr:txBody>
    </xdr:sp>
    <xdr:clientData/>
  </xdr:twoCellAnchor>
  <xdr:twoCellAnchor editAs="absolute">
    <xdr:from>
      <xdr:col>16</xdr:col>
      <xdr:colOff>185397</xdr:colOff>
      <xdr:row>10</xdr:row>
      <xdr:rowOff>21866</xdr:rowOff>
    </xdr:from>
    <xdr:to>
      <xdr:col>18</xdr:col>
      <xdr:colOff>58188</xdr:colOff>
      <xdr:row>11</xdr:row>
      <xdr:rowOff>99089</xdr:rowOff>
    </xdr:to>
    <xdr:sp macro="" textlink="">
      <xdr:nvSpPr>
        <xdr:cNvPr id="14" name="Arrow: Down 13">
          <a:extLst>
            <a:ext uri="{FF2B5EF4-FFF2-40B4-BE49-F238E27FC236}">
              <a16:creationId xmlns:a16="http://schemas.microsoft.com/office/drawing/2014/main" id="{00000000-0008-0000-0000-00000E000000}"/>
            </a:ext>
          </a:extLst>
        </xdr:cNvPr>
        <xdr:cNvSpPr/>
      </xdr:nvSpPr>
      <xdr:spPr>
        <a:xfrm rot="18269548">
          <a:off x="8827131" y="1225172"/>
          <a:ext cx="206763" cy="390951"/>
        </a:xfrm>
        <a:prstGeom prst="down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clientData/>
  </xdr:twoCellAnchor>
  <xdr:twoCellAnchor editAs="absolute">
    <xdr:from>
      <xdr:col>16</xdr:col>
      <xdr:colOff>95674</xdr:colOff>
      <xdr:row>8</xdr:row>
      <xdr:rowOff>15240</xdr:rowOff>
    </xdr:from>
    <xdr:to>
      <xdr:col>19</xdr:col>
      <xdr:colOff>320235</xdr:colOff>
      <xdr:row>10</xdr:row>
      <xdr:rowOff>5011</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8645314" y="1051560"/>
          <a:ext cx="1230401"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419" sz="1000" i="1">
              <a:solidFill>
                <a:schemeClr val="accent2"/>
              </a:solidFill>
            </a:rPr>
            <a:t>"backbone</a:t>
          </a:r>
          <a:r>
            <a:rPr lang="es-419" sz="1000" i="1" baseline="0">
              <a:solidFill>
                <a:schemeClr val="accent2"/>
              </a:solidFill>
            </a:rPr>
            <a:t> formula"</a:t>
          </a:r>
          <a:endParaRPr lang="es-419" sz="1000" i="1">
            <a:solidFill>
              <a:schemeClr val="accent2"/>
            </a:solidFill>
          </a:endParaRPr>
        </a:p>
      </xdr:txBody>
    </xdr:sp>
    <xdr:clientData/>
  </xdr:twoCellAnchor>
  <xdr:twoCellAnchor editAs="absolute">
    <xdr:from>
      <xdr:col>16</xdr:col>
      <xdr:colOff>114300</xdr:colOff>
      <xdr:row>6</xdr:row>
      <xdr:rowOff>91440</xdr:rowOff>
    </xdr:from>
    <xdr:to>
      <xdr:col>21</xdr:col>
      <xdr:colOff>15242</xdr:colOff>
      <xdr:row>8</xdr:row>
      <xdr:rowOff>99063</xdr:rowOff>
    </xdr:to>
    <xdr:sp macro="" textlink="">
      <xdr:nvSpPr>
        <xdr:cNvPr id="16" name="Left Brace 15">
          <a:extLst>
            <a:ext uri="{FF2B5EF4-FFF2-40B4-BE49-F238E27FC236}">
              <a16:creationId xmlns:a16="http://schemas.microsoft.com/office/drawing/2014/main" id="{00000000-0008-0000-0000-000010000000}"/>
            </a:ext>
          </a:extLst>
        </xdr:cNvPr>
        <xdr:cNvSpPr/>
      </xdr:nvSpPr>
      <xdr:spPr>
        <a:xfrm rot="5400000">
          <a:off x="9471659" y="60961"/>
          <a:ext cx="266703" cy="1882142"/>
        </a:xfrm>
        <a:prstGeom prst="leftBrace">
          <a:avLst>
            <a:gd name="adj1" fmla="val 73039"/>
            <a:gd name="adj2" fmla="val 40283"/>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32</xdr:col>
          <xdr:colOff>38100</xdr:colOff>
          <xdr:row>36</xdr:row>
          <xdr:rowOff>76200</xdr:rowOff>
        </xdr:from>
        <xdr:to>
          <xdr:col>34</xdr:col>
          <xdr:colOff>91440</xdr:colOff>
          <xdr:row>46</xdr:row>
          <xdr:rowOff>106680</xdr:rowOff>
        </xdr:to>
        <xdr:sp macro="" textlink="">
          <xdr:nvSpPr>
            <xdr:cNvPr id="1026" name="List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31</xdr:col>
      <xdr:colOff>449580</xdr:colOff>
      <xdr:row>1</xdr:row>
      <xdr:rowOff>99060</xdr:rowOff>
    </xdr:from>
    <xdr:to>
      <xdr:col>35</xdr:col>
      <xdr:colOff>167640</xdr:colOff>
      <xdr:row>11</xdr:row>
      <xdr:rowOff>15240</xdr:rowOff>
    </xdr:to>
    <mc:AlternateContent xmlns:mc="http://schemas.openxmlformats.org/markup-compatibility/2006" xmlns:a14="http://schemas.microsoft.com/office/drawing/2010/main">
      <mc:Choice Requires="a14">
        <xdr:graphicFrame macro="">
          <xdr:nvGraphicFramePr>
            <xdr:cNvPr id="19" name="year">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5621000" y="228600"/>
              <a:ext cx="1668780" cy="12115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31</xdr:col>
      <xdr:colOff>449580</xdr:colOff>
      <xdr:row>12</xdr:row>
      <xdr:rowOff>45720</xdr:rowOff>
    </xdr:from>
    <xdr:to>
      <xdr:col>35</xdr:col>
      <xdr:colOff>198120</xdr:colOff>
      <xdr:row>17</xdr:row>
      <xdr:rowOff>83820</xdr:rowOff>
    </xdr:to>
    <mc:AlternateContent xmlns:mc="http://schemas.openxmlformats.org/markup-compatibility/2006" xmlns:a14="http://schemas.microsoft.com/office/drawing/2010/main">
      <mc:Choice Requires="a14">
        <xdr:graphicFrame macro="">
          <xdr:nvGraphicFramePr>
            <xdr:cNvPr id="17" name="continent">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microsoft.com/office/drawing/2010/slicer">
              <sle:slicer xmlns:sle="http://schemas.microsoft.com/office/drawing/2010/slicer" name="continent"/>
            </a:graphicData>
          </a:graphic>
        </xdr:graphicFrame>
      </mc:Choice>
      <mc:Fallback xmlns="">
        <xdr:sp macro="" textlink="">
          <xdr:nvSpPr>
            <xdr:cNvPr id="0" name=""/>
            <xdr:cNvSpPr>
              <a:spLocks noTextEdit="1"/>
            </xdr:cNvSpPr>
          </xdr:nvSpPr>
          <xdr:spPr>
            <a:xfrm>
              <a:off x="15621000" y="1600200"/>
              <a:ext cx="1699260" cy="685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31</xdr:col>
      <xdr:colOff>449580</xdr:colOff>
      <xdr:row>18</xdr:row>
      <xdr:rowOff>76200</xdr:rowOff>
    </xdr:from>
    <xdr:to>
      <xdr:col>35</xdr:col>
      <xdr:colOff>213360</xdr:colOff>
      <xdr:row>31</xdr:row>
      <xdr:rowOff>114300</xdr:rowOff>
    </xdr:to>
    <mc:AlternateContent xmlns:mc="http://schemas.openxmlformats.org/markup-compatibility/2006" xmlns:a14="http://schemas.microsoft.com/office/drawing/2010/main">
      <mc:Choice Requires="a14">
        <xdr:graphicFrame macro="">
          <xdr:nvGraphicFramePr>
            <xdr:cNvPr id="20" name="metric">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metric"/>
            </a:graphicData>
          </a:graphic>
        </xdr:graphicFrame>
      </mc:Choice>
      <mc:Fallback xmlns="">
        <xdr:sp macro="" textlink="">
          <xdr:nvSpPr>
            <xdr:cNvPr id="0" name=""/>
            <xdr:cNvSpPr>
              <a:spLocks noTextEdit="1"/>
            </xdr:cNvSpPr>
          </xdr:nvSpPr>
          <xdr:spPr>
            <a:xfrm>
              <a:off x="15621000" y="2407920"/>
              <a:ext cx="1714500" cy="17221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31</xdr:col>
      <xdr:colOff>449580</xdr:colOff>
      <xdr:row>32</xdr:row>
      <xdr:rowOff>68580</xdr:rowOff>
    </xdr:from>
    <xdr:to>
      <xdr:col>35</xdr:col>
      <xdr:colOff>205740</xdr:colOff>
      <xdr:row>35</xdr:row>
      <xdr:rowOff>7620</xdr:rowOff>
    </xdr:to>
    <mc:AlternateContent xmlns:mc="http://schemas.openxmlformats.org/markup-compatibility/2006" xmlns:a14="http://schemas.microsoft.com/office/drawing/2010/main">
      <mc:Choice Requires="a14">
        <xdr:graphicFrame macro="">
          <xdr:nvGraphicFramePr>
            <xdr:cNvPr id="21" name="sort order">
              <a:extLst>
                <a:ext uri="{FF2B5EF4-FFF2-40B4-BE49-F238E27FC236}">
                  <a16:creationId xmlns:a16="http://schemas.microsoft.com/office/drawing/2014/main" id="{00000000-0008-0000-0000-000015000000}"/>
                </a:ext>
              </a:extLst>
            </xdr:cNvPr>
            <xdr:cNvGraphicFramePr/>
          </xdr:nvGraphicFramePr>
          <xdr:xfrm>
            <a:off x="0" y="0"/>
            <a:ext cx="0" cy="0"/>
          </xdr:xfrm>
          <a:graphic>
            <a:graphicData uri="http://schemas.microsoft.com/office/drawing/2010/slicer">
              <sle:slicer xmlns:sle="http://schemas.microsoft.com/office/drawing/2010/slicer" name="sort order"/>
            </a:graphicData>
          </a:graphic>
        </xdr:graphicFrame>
      </mc:Choice>
      <mc:Fallback xmlns="">
        <xdr:sp macro="" textlink="">
          <xdr:nvSpPr>
            <xdr:cNvPr id="0" name=""/>
            <xdr:cNvSpPr>
              <a:spLocks noTextEdit="1"/>
            </xdr:cNvSpPr>
          </xdr:nvSpPr>
          <xdr:spPr>
            <a:xfrm>
              <a:off x="15621000" y="4213860"/>
              <a:ext cx="1706880" cy="3276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31</xdr:col>
      <xdr:colOff>449580</xdr:colOff>
      <xdr:row>0</xdr:row>
      <xdr:rowOff>68580</xdr:rowOff>
    </xdr:from>
    <xdr:ext cx="464230" cy="210250"/>
    <xdr:sp macro="" textlink="">
      <xdr:nvSpPr>
        <xdr:cNvPr id="22" name="TextBox 21">
          <a:extLst>
            <a:ext uri="{FF2B5EF4-FFF2-40B4-BE49-F238E27FC236}">
              <a16:creationId xmlns:a16="http://schemas.microsoft.com/office/drawing/2014/main" id="{00000000-0008-0000-0000-000016000000}"/>
            </a:ext>
          </a:extLst>
        </xdr:cNvPr>
        <xdr:cNvSpPr txBox="1"/>
      </xdr:nvSpPr>
      <xdr:spPr>
        <a:xfrm>
          <a:off x="16322040" y="68580"/>
          <a:ext cx="464230" cy="210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b="1">
              <a:latin typeface="Arial" panose="020B0604020202020204" pitchFamily="34" charset="0"/>
              <a:cs typeface="Arial" panose="020B0604020202020204" pitchFamily="34" charset="0"/>
            </a:rPr>
            <a:t>Years</a:t>
          </a:r>
        </a:p>
      </xdr:txBody>
    </xdr:sp>
    <xdr:clientData/>
  </xdr:oneCellAnchor>
  <xdr:oneCellAnchor>
    <xdr:from>
      <xdr:col>31</xdr:col>
      <xdr:colOff>449580</xdr:colOff>
      <xdr:row>11</xdr:row>
      <xdr:rowOff>7620</xdr:rowOff>
    </xdr:from>
    <xdr:ext cx="663258" cy="210250"/>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6322040" y="1432560"/>
          <a:ext cx="663258" cy="210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b="1">
              <a:latin typeface="Arial" panose="020B0604020202020204" pitchFamily="34" charset="0"/>
              <a:cs typeface="Arial" panose="020B0604020202020204" pitchFamily="34" charset="0"/>
            </a:rPr>
            <a:t>Continent</a:t>
          </a:r>
        </a:p>
      </xdr:txBody>
    </xdr:sp>
    <xdr:clientData/>
  </xdr:oneCellAnchor>
  <xdr:oneCellAnchor>
    <xdr:from>
      <xdr:col>31</xdr:col>
      <xdr:colOff>449580</xdr:colOff>
      <xdr:row>17</xdr:row>
      <xdr:rowOff>45720</xdr:rowOff>
    </xdr:from>
    <xdr:ext cx="486928" cy="210250"/>
    <xdr:sp macro="" textlink="">
      <xdr:nvSpPr>
        <xdr:cNvPr id="25" name="TextBox 24">
          <a:extLst>
            <a:ext uri="{FF2B5EF4-FFF2-40B4-BE49-F238E27FC236}">
              <a16:creationId xmlns:a16="http://schemas.microsoft.com/office/drawing/2014/main" id="{00000000-0008-0000-0000-000019000000}"/>
            </a:ext>
          </a:extLst>
        </xdr:cNvPr>
        <xdr:cNvSpPr txBox="1"/>
      </xdr:nvSpPr>
      <xdr:spPr>
        <a:xfrm>
          <a:off x="16322040" y="2247900"/>
          <a:ext cx="486928" cy="210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b="1">
              <a:latin typeface="Arial" panose="020B0604020202020204" pitchFamily="34" charset="0"/>
              <a:cs typeface="Arial" panose="020B0604020202020204" pitchFamily="34" charset="0"/>
            </a:rPr>
            <a:t>Metric</a:t>
          </a:r>
        </a:p>
      </xdr:txBody>
    </xdr:sp>
    <xdr:clientData/>
  </xdr:oneCellAnchor>
  <xdr:oneCellAnchor>
    <xdr:from>
      <xdr:col>31</xdr:col>
      <xdr:colOff>449580</xdr:colOff>
      <xdr:row>31</xdr:row>
      <xdr:rowOff>45720</xdr:rowOff>
    </xdr:from>
    <xdr:ext cx="680636" cy="210250"/>
    <xdr:sp macro="" textlink="">
      <xdr:nvSpPr>
        <xdr:cNvPr id="26" name="TextBox 25">
          <a:extLst>
            <a:ext uri="{FF2B5EF4-FFF2-40B4-BE49-F238E27FC236}">
              <a16:creationId xmlns:a16="http://schemas.microsoft.com/office/drawing/2014/main" id="{00000000-0008-0000-0000-00001A000000}"/>
            </a:ext>
          </a:extLst>
        </xdr:cNvPr>
        <xdr:cNvSpPr txBox="1"/>
      </xdr:nvSpPr>
      <xdr:spPr>
        <a:xfrm>
          <a:off x="16322040" y="4061460"/>
          <a:ext cx="680636" cy="210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b="1">
              <a:latin typeface="Arial" panose="020B0604020202020204" pitchFamily="34" charset="0"/>
              <a:cs typeface="Arial" panose="020B0604020202020204" pitchFamily="34" charset="0"/>
            </a:rPr>
            <a:t>Sort order</a:t>
          </a:r>
        </a:p>
      </xdr:txBody>
    </xdr:sp>
    <xdr:clientData/>
  </xdr:oneCellAnchor>
  <xdr:oneCellAnchor>
    <xdr:from>
      <xdr:col>31</xdr:col>
      <xdr:colOff>464820</xdr:colOff>
      <xdr:row>34</xdr:row>
      <xdr:rowOff>106680</xdr:rowOff>
    </xdr:from>
    <xdr:ext cx="1033809" cy="210250"/>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6337280" y="4511040"/>
          <a:ext cx="1033809" cy="210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b="1">
              <a:latin typeface="Arial" panose="020B0604020202020204" pitchFamily="34" charset="0"/>
              <a:cs typeface="Arial" panose="020B0604020202020204" pitchFamily="34" charset="0"/>
            </a:rPr>
            <a:t>Highlight</a:t>
          </a:r>
          <a:r>
            <a:rPr lang="en-US" sz="800" b="1" baseline="0">
              <a:latin typeface="Arial" panose="020B0604020202020204" pitchFamily="34" charset="0"/>
              <a:cs typeface="Arial" panose="020B0604020202020204" pitchFamily="34" charset="0"/>
            </a:rPr>
            <a:t> country</a:t>
          </a:r>
          <a:endParaRPr lang="en-US" sz="800" b="1">
            <a:latin typeface="Arial" panose="020B0604020202020204" pitchFamily="34" charset="0"/>
            <a:cs typeface="Arial" panose="020B0604020202020204" pitchFamily="34" charset="0"/>
          </a:endParaRPr>
        </a:p>
      </xdr:txBody>
    </xdr:sp>
    <xdr:clientData/>
  </xdr:oneCellAnchor>
  <xdr:oneCellAnchor>
    <xdr:from>
      <xdr:col>22</xdr:col>
      <xdr:colOff>205740</xdr:colOff>
      <xdr:row>1</xdr:row>
      <xdr:rowOff>83820</xdr:rowOff>
    </xdr:from>
    <xdr:ext cx="2446020" cy="247184"/>
    <xdr:sp macro="" textlink="$J$27">
      <xdr:nvSpPr>
        <xdr:cNvPr id="23" name="TextBox 22">
          <a:extLst>
            <a:ext uri="{FF2B5EF4-FFF2-40B4-BE49-F238E27FC236}">
              <a16:creationId xmlns:a16="http://schemas.microsoft.com/office/drawing/2014/main" id="{00000000-0008-0000-0000-000017000000}"/>
            </a:ext>
          </a:extLst>
        </xdr:cNvPr>
        <xdr:cNvSpPr txBox="1"/>
      </xdr:nvSpPr>
      <xdr:spPr>
        <a:xfrm>
          <a:off x="11262360" y="213360"/>
          <a:ext cx="2446020" cy="2471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AE60DBBC-2923-4C49-8876-D8DBA2204AE8}" type="TxLink">
            <a:rPr lang="en-US" sz="1050" b="0" i="0" u="none" strike="noStrike">
              <a:solidFill>
                <a:schemeClr val="tx1">
                  <a:lumMod val="65000"/>
                  <a:lumOff val="35000"/>
                </a:schemeClr>
              </a:solidFill>
              <a:latin typeface="Arial" panose="020B0604020202020204" pitchFamily="34" charset="0"/>
              <a:cs typeface="Arial" panose="020B0604020202020204" pitchFamily="34" charset="0"/>
            </a:rPr>
            <a:pPr/>
            <a:t>Scores by country on metric selected:</a:t>
          </a:fld>
          <a:endParaRPr lang="en-US" sz="1600">
            <a:solidFill>
              <a:schemeClr val="tx1">
                <a:lumMod val="65000"/>
                <a:lumOff val="35000"/>
              </a:schemeClr>
            </a:solidFill>
            <a:latin typeface="Arial" panose="020B0604020202020204" pitchFamily="34" charset="0"/>
            <a:cs typeface="Arial" panose="020B0604020202020204" pitchFamily="34" charset="0"/>
          </a:endParaRPr>
        </a:p>
      </xdr:txBody>
    </xdr:sp>
    <xdr:clientData/>
  </xdr:oneCellAnchor>
  <xdr:twoCellAnchor editAs="absolute">
    <xdr:from>
      <xdr:col>15</xdr:col>
      <xdr:colOff>124352</xdr:colOff>
      <xdr:row>3</xdr:row>
      <xdr:rowOff>35560</xdr:rowOff>
    </xdr:from>
    <xdr:to>
      <xdr:col>23</xdr:col>
      <xdr:colOff>213360</xdr:colOff>
      <xdr:row>7</xdr:row>
      <xdr:rowOff>22667</xdr:rowOff>
    </xdr:to>
    <xdr:sp macro="" textlink="">
      <xdr:nvSpPr>
        <xdr:cNvPr id="29" name="TextBox 28">
          <a:extLst>
            <a:ext uri="{FF2B5EF4-FFF2-40B4-BE49-F238E27FC236}">
              <a16:creationId xmlns:a16="http://schemas.microsoft.com/office/drawing/2014/main" id="{00000000-0008-0000-0000-00001D000000}"/>
            </a:ext>
          </a:extLst>
        </xdr:cNvPr>
        <xdr:cNvSpPr txBox="1"/>
      </xdr:nvSpPr>
      <xdr:spPr>
        <a:xfrm>
          <a:off x="8186312" y="424180"/>
          <a:ext cx="2984608" cy="5052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800" b="1">
              <a:solidFill>
                <a:schemeClr val="bg1">
                  <a:lumMod val="65000"/>
                </a:schemeClr>
              </a:solidFill>
              <a:latin typeface="Arial" panose="020B0604020202020204" pitchFamily="34" charset="0"/>
              <a:cs typeface="Arial" panose="020B0604020202020204" pitchFamily="34" charset="0"/>
            </a:rPr>
            <a:t>dynamic arrays</a:t>
          </a:r>
        </a:p>
      </xdr:txBody>
    </xdr:sp>
    <xdr:clientData/>
  </xdr:twoCellAnchor>
  <xdr:twoCellAnchor editAs="absolute">
    <xdr:from>
      <xdr:col>6</xdr:col>
      <xdr:colOff>140546</xdr:colOff>
      <xdr:row>7</xdr:row>
      <xdr:rowOff>105208</xdr:rowOff>
    </xdr:from>
    <xdr:to>
      <xdr:col>14</xdr:col>
      <xdr:colOff>121922</xdr:colOff>
      <xdr:row>9</xdr:row>
      <xdr:rowOff>117264</xdr:rowOff>
    </xdr:to>
    <xdr:sp macro="" textlink="">
      <xdr:nvSpPr>
        <xdr:cNvPr id="30" name="Left Brace 29">
          <a:extLst>
            <a:ext uri="{FF2B5EF4-FFF2-40B4-BE49-F238E27FC236}">
              <a16:creationId xmlns:a16="http://schemas.microsoft.com/office/drawing/2014/main" id="{00000000-0008-0000-0000-00001E000000}"/>
            </a:ext>
          </a:extLst>
        </xdr:cNvPr>
        <xdr:cNvSpPr/>
      </xdr:nvSpPr>
      <xdr:spPr>
        <a:xfrm rot="5400000">
          <a:off x="5874496" y="-736702"/>
          <a:ext cx="271136" cy="3768516"/>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14</xdr:col>
      <xdr:colOff>31749</xdr:colOff>
      <xdr:row>3</xdr:row>
      <xdr:rowOff>91440</xdr:rowOff>
    </xdr:from>
    <xdr:to>
      <xdr:col>15</xdr:col>
      <xdr:colOff>141816</xdr:colOff>
      <xdr:row>7</xdr:row>
      <xdr:rowOff>26670</xdr:rowOff>
    </xdr:to>
    <xdr:sp macro="" textlink="">
      <xdr:nvSpPr>
        <xdr:cNvPr id="11" name="Oval 10">
          <a:extLst>
            <a:ext uri="{FF2B5EF4-FFF2-40B4-BE49-F238E27FC236}">
              <a16:creationId xmlns:a16="http://schemas.microsoft.com/office/drawing/2014/main" id="{00000000-0008-0000-0000-00000B000000}"/>
            </a:ext>
          </a:extLst>
        </xdr:cNvPr>
        <xdr:cNvSpPr/>
      </xdr:nvSpPr>
      <xdr:spPr>
        <a:xfrm>
          <a:off x="7804149" y="480060"/>
          <a:ext cx="399627" cy="45339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4</a:t>
          </a:r>
        </a:p>
      </xdr:txBody>
    </xdr:sp>
    <xdr:clientData/>
  </xdr:twoCellAnchor>
  <xdr:twoCellAnchor editAs="absolute">
    <xdr:from>
      <xdr:col>35</xdr:col>
      <xdr:colOff>136636</xdr:colOff>
      <xdr:row>1</xdr:row>
      <xdr:rowOff>71018</xdr:rowOff>
    </xdr:from>
    <xdr:to>
      <xdr:col>36</xdr:col>
      <xdr:colOff>141072</xdr:colOff>
      <xdr:row>35</xdr:row>
      <xdr:rowOff>106680</xdr:rowOff>
    </xdr:to>
    <xdr:sp macro="" textlink="">
      <xdr:nvSpPr>
        <xdr:cNvPr id="31" name="Left Brace 30">
          <a:extLst>
            <a:ext uri="{FF2B5EF4-FFF2-40B4-BE49-F238E27FC236}">
              <a16:creationId xmlns:a16="http://schemas.microsoft.com/office/drawing/2014/main" id="{00000000-0008-0000-0000-00001F000000}"/>
            </a:ext>
          </a:extLst>
        </xdr:cNvPr>
        <xdr:cNvSpPr/>
      </xdr:nvSpPr>
      <xdr:spPr>
        <a:xfrm rot="10800000">
          <a:off x="16946356" y="200558"/>
          <a:ext cx="271136" cy="4440022"/>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13</xdr:col>
      <xdr:colOff>487681</xdr:colOff>
      <xdr:row>9</xdr:row>
      <xdr:rowOff>116738</xdr:rowOff>
    </xdr:from>
    <xdr:to>
      <xdr:col>14</xdr:col>
      <xdr:colOff>281941</xdr:colOff>
      <xdr:row>31</xdr:row>
      <xdr:rowOff>91439</xdr:rowOff>
    </xdr:to>
    <xdr:sp macro="" textlink="">
      <xdr:nvSpPr>
        <xdr:cNvPr id="32" name="Left Brace 31">
          <a:extLst>
            <a:ext uri="{FF2B5EF4-FFF2-40B4-BE49-F238E27FC236}">
              <a16:creationId xmlns:a16="http://schemas.microsoft.com/office/drawing/2014/main" id="{00000000-0008-0000-0000-000020000000}"/>
            </a:ext>
          </a:extLst>
        </xdr:cNvPr>
        <xdr:cNvSpPr/>
      </xdr:nvSpPr>
      <xdr:spPr>
        <a:xfrm>
          <a:off x="7734301" y="1282598"/>
          <a:ext cx="320040" cy="2824581"/>
        </a:xfrm>
        <a:prstGeom prst="leftBrace">
          <a:avLst>
            <a:gd name="adj1" fmla="val 73039"/>
            <a:gd name="adj2" fmla="val 67266"/>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7</xdr:col>
      <xdr:colOff>439371</xdr:colOff>
      <xdr:row>28</xdr:row>
      <xdr:rowOff>12650</xdr:rowOff>
    </xdr:from>
    <xdr:to>
      <xdr:col>14</xdr:col>
      <xdr:colOff>53339</xdr:colOff>
      <xdr:row>30</xdr:row>
      <xdr:rowOff>73610</xdr:rowOff>
    </xdr:to>
    <xdr:sp macro="" textlink="">
      <xdr:nvSpPr>
        <xdr:cNvPr id="33" name="Left Brace 32">
          <a:extLst>
            <a:ext uri="{FF2B5EF4-FFF2-40B4-BE49-F238E27FC236}">
              <a16:creationId xmlns:a16="http://schemas.microsoft.com/office/drawing/2014/main" id="{00000000-0008-0000-0000-000021000000}"/>
            </a:ext>
          </a:extLst>
        </xdr:cNvPr>
        <xdr:cNvSpPr/>
      </xdr:nvSpPr>
      <xdr:spPr>
        <a:xfrm rot="5400000">
          <a:off x="6075655" y="2209726"/>
          <a:ext cx="320040" cy="3180128"/>
        </a:xfrm>
        <a:prstGeom prst="leftBrace">
          <a:avLst>
            <a:gd name="adj1" fmla="val 175420"/>
            <a:gd name="adj2" fmla="val 45701"/>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7</xdr:col>
      <xdr:colOff>381000</xdr:colOff>
      <xdr:row>29</xdr:row>
      <xdr:rowOff>45720</xdr:rowOff>
    </xdr:from>
    <xdr:to>
      <xdr:col>14</xdr:col>
      <xdr:colOff>114300</xdr:colOff>
      <xdr:row>47</xdr:row>
      <xdr:rowOff>0</xdr:rowOff>
    </xdr:to>
    <xdr:sp macro="" textlink="">
      <xdr:nvSpPr>
        <xdr:cNvPr id="28" name="Rectangle: Rounded Corners 27">
          <a:extLst>
            <a:ext uri="{FF2B5EF4-FFF2-40B4-BE49-F238E27FC236}">
              <a16:creationId xmlns:a16="http://schemas.microsoft.com/office/drawing/2014/main" id="{00000000-0008-0000-0000-00001C000000}"/>
            </a:ext>
          </a:extLst>
        </xdr:cNvPr>
        <xdr:cNvSpPr/>
      </xdr:nvSpPr>
      <xdr:spPr>
        <a:xfrm>
          <a:off x="4587240" y="3802380"/>
          <a:ext cx="3299460" cy="2286000"/>
        </a:xfrm>
        <a:prstGeom prst="roundRect">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419100</xdr:colOff>
      <xdr:row>48</xdr:row>
      <xdr:rowOff>0</xdr:rowOff>
    </xdr:from>
    <xdr:to>
      <xdr:col>13</xdr:col>
      <xdr:colOff>518160</xdr:colOff>
      <xdr:row>56</xdr:row>
      <xdr:rowOff>7620</xdr:rowOff>
    </xdr:to>
    <xdr:sp macro="" textlink="">
      <xdr:nvSpPr>
        <xdr:cNvPr id="36" name="Rectangle: Rounded Corners 35">
          <a:extLst>
            <a:ext uri="{FF2B5EF4-FFF2-40B4-BE49-F238E27FC236}">
              <a16:creationId xmlns:a16="http://schemas.microsoft.com/office/drawing/2014/main" id="{00000000-0008-0000-0000-000024000000}"/>
            </a:ext>
          </a:extLst>
        </xdr:cNvPr>
        <xdr:cNvSpPr/>
      </xdr:nvSpPr>
      <xdr:spPr>
        <a:xfrm>
          <a:off x="4625340" y="6217920"/>
          <a:ext cx="3139440" cy="1043940"/>
        </a:xfrm>
        <a:prstGeom prst="roundRect">
          <a:avLst/>
        </a:prstGeom>
        <a:solidFill>
          <a:srgbClr val="FFFF00"/>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ysClr val="windowText" lastClr="000000"/>
              </a:solidFill>
              <a:latin typeface="Arial" panose="020B0604020202020204" pitchFamily="34" charset="0"/>
              <a:cs typeface="Arial" panose="020B0604020202020204" pitchFamily="34" charset="0"/>
            </a:rPr>
            <a:t>Huge thanks to:</a:t>
          </a:r>
          <a:br>
            <a:rPr lang="en-US" sz="1100">
              <a:solidFill>
                <a:sysClr val="windowText" lastClr="000000"/>
              </a:solidFill>
              <a:latin typeface="Arial" panose="020B0604020202020204" pitchFamily="34" charset="0"/>
              <a:cs typeface="Arial" panose="020B0604020202020204" pitchFamily="34" charset="0"/>
            </a:rPr>
          </a:br>
          <a:r>
            <a:rPr lang="en-US" sz="1100">
              <a:solidFill>
                <a:sysClr val="windowText" lastClr="000000"/>
              </a:solidFill>
              <a:latin typeface="Arial" panose="020B0604020202020204" pitchFamily="34" charset="0"/>
              <a:cs typeface="Arial" panose="020B0604020202020204" pitchFamily="34" charset="0"/>
            </a:rPr>
            <a:t>Jon</a:t>
          </a:r>
          <a:r>
            <a:rPr lang="en-US" sz="1100" baseline="0">
              <a:solidFill>
                <a:sysClr val="windowText" lastClr="000000"/>
              </a:solidFill>
              <a:latin typeface="Arial" panose="020B0604020202020204" pitchFamily="34" charset="0"/>
              <a:cs typeface="Arial" panose="020B0604020202020204" pitchFamily="34" charset="0"/>
            </a:rPr>
            <a:t> Peltier &amp; Mark Proctor for User Defined Function (UDF) for setting the Min and Max of the chart axis and Hicham Bou Habib for the inspiration to produce this dot plot.</a:t>
          </a:r>
          <a:endParaRPr lang="en-US" sz="1100">
            <a:solidFill>
              <a:sysClr val="windowText" lastClr="000000"/>
            </a:solidFill>
            <a:latin typeface="Arial" panose="020B0604020202020204" pitchFamily="34" charset="0"/>
            <a:cs typeface="Arial" panose="020B0604020202020204" pitchFamily="34" charset="0"/>
          </a:endParaRPr>
        </a:p>
      </xdr:txBody>
    </xdr:sp>
    <xdr:clientData/>
  </xdr:twoCellAnchor>
</xdr:wsDr>
</file>

<file path=xl/drawings/drawing2.xml><?xml version="1.0" encoding="utf-8"?>
<c:userShapes xmlns:c="http://schemas.openxmlformats.org/drawingml/2006/chart">
  <cdr:relSizeAnchor xmlns:cdr="http://schemas.openxmlformats.org/drawingml/2006/chartDrawing">
    <cdr:from>
      <cdr:x>0.52289</cdr:x>
      <cdr:y>0.01292</cdr:y>
    </cdr:from>
    <cdr:to>
      <cdr:x>1</cdr:x>
      <cdr:y>0.05556</cdr:y>
    </cdr:to>
    <cdr:sp macro="" textlink="example!$L$12">
      <cdr:nvSpPr>
        <cdr:cNvPr id="2" name="TextBox 1">
          <a:extLst xmlns:a="http://schemas.openxmlformats.org/drawingml/2006/main">
            <a:ext uri="{FF2B5EF4-FFF2-40B4-BE49-F238E27FC236}">
              <a16:creationId xmlns:a16="http://schemas.microsoft.com/office/drawing/2014/main" id="{81D7BCFE-D463-2B14-D3BF-7A0E566F828B}"/>
            </a:ext>
          </a:extLst>
        </cdr:cNvPr>
        <cdr:cNvSpPr txBox="1"/>
      </cdr:nvSpPr>
      <cdr:spPr>
        <a:xfrm xmlns:a="http://schemas.openxmlformats.org/drawingml/2006/main">
          <a:off x="2263140" y="76200"/>
          <a:ext cx="2065020" cy="2514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B14A2261-6DDE-454F-A20A-710DB64A2CCA}" type="TxLink">
            <a:rPr lang="en-US" sz="1000" b="1" i="0" u="none" strike="noStrike">
              <a:solidFill>
                <a:srgbClr val="000000"/>
              </a:solidFill>
              <a:latin typeface="Arial" panose="020B0604020202020204" pitchFamily="34" charset="0"/>
              <a:cs typeface="Arial" panose="020B0604020202020204" pitchFamily="34" charset="0"/>
            </a:rPr>
            <a:pPr/>
            <a:t>Freedom to make life choices</a:t>
          </a:fld>
          <a:endParaRPr lang="en-US" sz="1400" b="1">
            <a:latin typeface="Arial" panose="020B0604020202020204" pitchFamily="34" charset="0"/>
            <a:cs typeface="Arial" panose="020B0604020202020204" pitchFamily="34" charset="0"/>
          </a:endParaRPr>
        </a:p>
      </cdr:txBody>
    </cdr:sp>
  </cdr:relSizeAnchor>
</c:userShapes>
</file>

<file path=xl/drawings/drawing3.xml><?xml version="1.0" encoding="utf-8"?>
<xdr:wsDr xmlns:xdr="http://schemas.openxmlformats.org/drawingml/2006/spreadsheetDrawing" xmlns:a="http://schemas.openxmlformats.org/drawingml/2006/main">
  <xdr:twoCellAnchor>
    <xdr:from>
      <xdr:col>2</xdr:col>
      <xdr:colOff>226695</xdr:colOff>
      <xdr:row>0</xdr:row>
      <xdr:rowOff>0</xdr:rowOff>
    </xdr:from>
    <xdr:to>
      <xdr:col>8</xdr:col>
      <xdr:colOff>600075</xdr:colOff>
      <xdr:row>14</xdr:row>
      <xdr:rowOff>72044</xdr:rowOff>
    </xdr:to>
    <xdr:grpSp>
      <xdr:nvGrpSpPr>
        <xdr:cNvPr id="2" name="Grupo 1" descr="Logo de xlor.la">
          <a:extLst>
            <a:ext uri="{FF2B5EF4-FFF2-40B4-BE49-F238E27FC236}">
              <a16:creationId xmlns:a16="http://schemas.microsoft.com/office/drawing/2014/main" id="{00000000-0008-0000-0100-000002000000}"/>
            </a:ext>
          </a:extLst>
        </xdr:cNvPr>
        <xdr:cNvGrpSpPr/>
      </xdr:nvGrpSpPr>
      <xdr:grpSpPr>
        <a:xfrm>
          <a:off x="1807845" y="0"/>
          <a:ext cx="4792980" cy="2605694"/>
          <a:chOff x="1432560" y="807720"/>
          <a:chExt cx="4800600" cy="2590800"/>
        </a:xfrm>
      </xdr:grpSpPr>
      <xdr:sp macro="" textlink="">
        <xdr:nvSpPr>
          <xdr:cNvPr id="3" name="Rectángulo 2">
            <a:extLst>
              <a:ext uri="{FF2B5EF4-FFF2-40B4-BE49-F238E27FC236}">
                <a16:creationId xmlns:a16="http://schemas.microsoft.com/office/drawing/2014/main" id="{00000000-0008-0000-0100-000003000000}"/>
              </a:ext>
            </a:extLst>
          </xdr:cNvPr>
          <xdr:cNvSpPr/>
        </xdr:nvSpPr>
        <xdr:spPr>
          <a:xfrm>
            <a:off x="1432560" y="807720"/>
            <a:ext cx="4800600" cy="25908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4" name="CuadroTexto 3">
            <a:extLst>
              <a:ext uri="{FF2B5EF4-FFF2-40B4-BE49-F238E27FC236}">
                <a16:creationId xmlns:a16="http://schemas.microsoft.com/office/drawing/2014/main" id="{00000000-0008-0000-0100-000004000000}"/>
              </a:ext>
            </a:extLst>
          </xdr:cNvPr>
          <xdr:cNvSpPr txBox="1"/>
        </xdr:nvSpPr>
        <xdr:spPr>
          <a:xfrm>
            <a:off x="3543300" y="1094575"/>
            <a:ext cx="1005840" cy="1163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6600">
                <a:solidFill>
                  <a:schemeClr val="bg1">
                    <a:lumMod val="75000"/>
                  </a:schemeClr>
                </a:solidFill>
                <a:latin typeface="Segoe MDL2 Assets" panose="050A0102010101010101" pitchFamily="18" charset="0"/>
                <a:sym typeface="Wingdings" panose="05000000000000000000" pitchFamily="2" charset="2"/>
              </a:rPr>
              <a:t></a:t>
            </a:r>
            <a:endParaRPr lang="es-PE" sz="6600">
              <a:solidFill>
                <a:schemeClr val="bg1">
                  <a:lumMod val="75000"/>
                </a:schemeClr>
              </a:solidFill>
            </a:endParaRPr>
          </a:p>
        </xdr:txBody>
      </xdr:sp>
      <xdr:grpSp>
        <xdr:nvGrpSpPr>
          <xdr:cNvPr id="5" name="Grupo 4">
            <a:extLst>
              <a:ext uri="{FF2B5EF4-FFF2-40B4-BE49-F238E27FC236}">
                <a16:creationId xmlns:a16="http://schemas.microsoft.com/office/drawing/2014/main" id="{00000000-0008-0000-0100-000005000000}"/>
              </a:ext>
            </a:extLst>
          </xdr:cNvPr>
          <xdr:cNvGrpSpPr/>
        </xdr:nvGrpSpPr>
        <xdr:grpSpPr>
          <a:xfrm>
            <a:off x="1653540" y="1649600"/>
            <a:ext cx="4519987" cy="1658751"/>
            <a:chOff x="767310" y="1789715"/>
            <a:chExt cx="7353300" cy="2113035"/>
          </a:xfrm>
        </xdr:grpSpPr>
        <xdr:sp macro="" textlink="">
          <xdr:nvSpPr>
            <xdr:cNvPr id="12" name="CuadroTexto 11">
              <a:extLst>
                <a:ext uri="{FF2B5EF4-FFF2-40B4-BE49-F238E27FC236}">
                  <a16:creationId xmlns:a16="http://schemas.microsoft.com/office/drawing/2014/main" id="{00000000-0008-0000-0100-00000C000000}"/>
                </a:ext>
              </a:extLst>
            </xdr:cNvPr>
            <xdr:cNvSpPr txBox="1"/>
          </xdr:nvSpPr>
          <xdr:spPr>
            <a:xfrm>
              <a:off x="808893" y="1789715"/>
              <a:ext cx="7258323" cy="13401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6900">
                  <a:solidFill>
                    <a:srgbClr val="00B050"/>
                  </a:solidFill>
                  <a:latin typeface="Arial Black" panose="020B0A04020102020204" pitchFamily="34" charset="0"/>
                </a:rPr>
                <a:t>XL</a:t>
              </a:r>
              <a:r>
                <a:rPr lang="es-MX" sz="6900">
                  <a:solidFill>
                    <a:schemeClr val="bg1">
                      <a:lumMod val="85000"/>
                    </a:schemeClr>
                  </a:solidFill>
                  <a:latin typeface="Arial Black" panose="020B0A04020102020204" pitchFamily="34" charset="0"/>
                </a:rPr>
                <a:t>OR.LA</a:t>
              </a:r>
            </a:p>
          </xdr:txBody>
        </xdr:sp>
        <xdr:sp macro="" textlink="">
          <xdr:nvSpPr>
            <xdr:cNvPr id="13" name="CuadroTexto 12">
              <a:extLst>
                <a:ext uri="{FF2B5EF4-FFF2-40B4-BE49-F238E27FC236}">
                  <a16:creationId xmlns:a16="http://schemas.microsoft.com/office/drawing/2014/main" id="{00000000-0008-0000-0100-00000D000000}"/>
                </a:ext>
              </a:extLst>
            </xdr:cNvPr>
            <xdr:cNvSpPr txBox="1"/>
          </xdr:nvSpPr>
          <xdr:spPr>
            <a:xfrm>
              <a:off x="767310" y="3086423"/>
              <a:ext cx="7353300" cy="8163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s-MX" sz="3100">
                  <a:solidFill>
                    <a:schemeClr val="bg1">
                      <a:lumMod val="85000"/>
                    </a:schemeClr>
                  </a:solidFill>
                  <a:latin typeface="Arial" panose="020B0604020202020204" pitchFamily="34" charset="0"/>
                  <a:cs typeface="Arial" panose="020B0604020202020204" pitchFamily="34" charset="0"/>
                </a:rPr>
                <a:t>EVANGELIZING EXCEL</a:t>
              </a:r>
            </a:p>
          </xdr:txBody>
        </xdr:sp>
      </xdr:grpSp>
      <xdr:sp macro="" textlink="">
        <xdr:nvSpPr>
          <xdr:cNvPr id="6" name="CuadroTexto 5">
            <a:extLst>
              <a:ext uri="{FF2B5EF4-FFF2-40B4-BE49-F238E27FC236}">
                <a16:creationId xmlns:a16="http://schemas.microsoft.com/office/drawing/2014/main" id="{00000000-0008-0000-0100-000006000000}"/>
              </a:ext>
            </a:extLst>
          </xdr:cNvPr>
          <xdr:cNvSpPr txBox="1"/>
        </xdr:nvSpPr>
        <xdr:spPr>
          <a:xfrm>
            <a:off x="2529840" y="1094575"/>
            <a:ext cx="1005840" cy="1260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7200">
                <a:solidFill>
                  <a:schemeClr val="bg1">
                    <a:lumMod val="75000"/>
                  </a:schemeClr>
                </a:solidFill>
                <a:latin typeface="Segoe MDL2 Assets" panose="050A0102010101010101" pitchFamily="18" charset="0"/>
                <a:sym typeface="Webdings" panose="05030102010509060703" pitchFamily="18" charset="2"/>
              </a:rPr>
              <a:t></a:t>
            </a:r>
            <a:endParaRPr lang="es-PE" sz="7200">
              <a:solidFill>
                <a:schemeClr val="bg1">
                  <a:lumMod val="75000"/>
                </a:schemeClr>
              </a:solidFill>
            </a:endParaRPr>
          </a:p>
        </xdr:txBody>
      </xdr:sp>
      <xdr:sp macro="" textlink="">
        <xdr:nvSpPr>
          <xdr:cNvPr id="7" name="CuadroTexto 6">
            <a:extLst>
              <a:ext uri="{FF2B5EF4-FFF2-40B4-BE49-F238E27FC236}">
                <a16:creationId xmlns:a16="http://schemas.microsoft.com/office/drawing/2014/main" id="{00000000-0008-0000-0100-000007000000}"/>
              </a:ext>
            </a:extLst>
          </xdr:cNvPr>
          <xdr:cNvSpPr txBox="1"/>
        </xdr:nvSpPr>
        <xdr:spPr>
          <a:xfrm>
            <a:off x="1615440" y="1102178"/>
            <a:ext cx="1005840" cy="1163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6600">
                <a:solidFill>
                  <a:schemeClr val="bg1">
                    <a:lumMod val="75000"/>
                  </a:schemeClr>
                </a:solidFill>
                <a:latin typeface="Segoe MDL2 Assets" panose="050A0102010101010101" pitchFamily="18" charset="0"/>
                <a:sym typeface="Webdings" panose="05030102010509060703" pitchFamily="18" charset="2"/>
              </a:rPr>
              <a:t></a:t>
            </a:r>
            <a:endParaRPr lang="es-PE" sz="6600">
              <a:solidFill>
                <a:schemeClr val="bg1">
                  <a:lumMod val="75000"/>
                </a:schemeClr>
              </a:solidFill>
            </a:endParaRPr>
          </a:p>
        </xdr:txBody>
      </xdr:sp>
      <xdr:sp macro="" textlink="">
        <xdr:nvSpPr>
          <xdr:cNvPr id="8" name="CuadroTexto 7">
            <a:extLst>
              <a:ext uri="{FF2B5EF4-FFF2-40B4-BE49-F238E27FC236}">
                <a16:creationId xmlns:a16="http://schemas.microsoft.com/office/drawing/2014/main" id="{00000000-0008-0000-0100-000008000000}"/>
              </a:ext>
            </a:extLst>
          </xdr:cNvPr>
          <xdr:cNvSpPr txBox="1"/>
        </xdr:nvSpPr>
        <xdr:spPr>
          <a:xfrm>
            <a:off x="4427220" y="1143000"/>
            <a:ext cx="1005840" cy="970779"/>
          </a:xfrm>
          <a:prstGeom prst="rect">
            <a:avLst/>
          </a:prstGeom>
          <a:noFill/>
          <a:ln w="9525"/>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s-PE" sz="5400">
                <a:solidFill>
                  <a:schemeClr val="bg1">
                    <a:lumMod val="75000"/>
                  </a:schemeClr>
                </a:solidFill>
                <a:latin typeface="HoloLens MDL2 Assets" panose="050A0102010101010101" pitchFamily="18" charset="0"/>
                <a:sym typeface="Webdings" panose="05030102010509060703" pitchFamily="18" charset="2"/>
              </a:rPr>
              <a:t></a:t>
            </a:r>
            <a:endParaRPr lang="es-PE" sz="5400">
              <a:solidFill>
                <a:schemeClr val="bg1">
                  <a:lumMod val="75000"/>
                </a:schemeClr>
              </a:solidFill>
            </a:endParaRPr>
          </a:p>
        </xdr:txBody>
      </xdr:sp>
      <xdr:grpSp>
        <xdr:nvGrpSpPr>
          <xdr:cNvPr id="9" name="Grupo 8">
            <a:extLst>
              <a:ext uri="{FF2B5EF4-FFF2-40B4-BE49-F238E27FC236}">
                <a16:creationId xmlns:a16="http://schemas.microsoft.com/office/drawing/2014/main" id="{00000000-0008-0000-0100-000009000000}"/>
              </a:ext>
            </a:extLst>
          </xdr:cNvPr>
          <xdr:cNvGrpSpPr/>
        </xdr:nvGrpSpPr>
        <xdr:grpSpPr>
          <a:xfrm>
            <a:off x="5113019" y="1226820"/>
            <a:ext cx="1101122" cy="617220"/>
            <a:chOff x="5113019" y="1310640"/>
            <a:chExt cx="1101122" cy="617220"/>
          </a:xfrm>
        </xdr:grpSpPr>
        <xdr:sp macro="" textlink="">
          <xdr:nvSpPr>
            <xdr:cNvPr id="10" name="CuadroTexto 9">
              <a:extLst>
                <a:ext uri="{FF2B5EF4-FFF2-40B4-BE49-F238E27FC236}">
                  <a16:creationId xmlns:a16="http://schemas.microsoft.com/office/drawing/2014/main" id="{00000000-0008-0000-0100-00000A000000}"/>
                </a:ext>
              </a:extLst>
            </xdr:cNvPr>
            <xdr:cNvSpPr txBox="1"/>
          </xdr:nvSpPr>
          <xdr:spPr>
            <a:xfrm>
              <a:off x="5113019" y="1310640"/>
              <a:ext cx="975361" cy="6172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4400">
                  <a:solidFill>
                    <a:schemeClr val="bg1">
                      <a:lumMod val="75000"/>
                    </a:schemeClr>
                  </a:solidFill>
                  <a:latin typeface="HoloLens MDL2 Assets" panose="050A0102010101010101" pitchFamily="18" charset="0"/>
                  <a:sym typeface="Webdings" panose="05030102010509060703" pitchFamily="18" charset="2"/>
                </a:rPr>
                <a:t></a:t>
              </a:r>
              <a:endParaRPr lang="es-PE" sz="4400">
                <a:solidFill>
                  <a:schemeClr val="bg1">
                    <a:lumMod val="75000"/>
                  </a:schemeClr>
                </a:solidFill>
              </a:endParaRPr>
            </a:p>
          </xdr:txBody>
        </xdr:sp>
        <xdr:sp macro="" textlink="">
          <xdr:nvSpPr>
            <xdr:cNvPr id="11" name="CuadroTexto 10">
              <a:extLst>
                <a:ext uri="{FF2B5EF4-FFF2-40B4-BE49-F238E27FC236}">
                  <a16:creationId xmlns:a16="http://schemas.microsoft.com/office/drawing/2014/main" id="{00000000-0008-0000-0100-00000B000000}"/>
                </a:ext>
              </a:extLst>
            </xdr:cNvPr>
            <xdr:cNvSpPr txBox="1"/>
          </xdr:nvSpPr>
          <xdr:spPr>
            <a:xfrm>
              <a:off x="5982347" y="1455419"/>
              <a:ext cx="231794" cy="335282"/>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PE" sz="1100">
                <a:ln>
                  <a:noFill/>
                </a:ln>
                <a:solidFill>
                  <a:schemeClr val="bg1">
                    <a:lumMod val="75000"/>
                  </a:schemeClr>
                </a:solidFill>
              </a:endParaRPr>
            </a:p>
          </xdr:txBody>
        </xdr:sp>
      </xdr:grpSp>
    </xdr:grpSp>
    <xdr:clientData/>
  </xdr:twoCellAnchor>
  <xdr:oneCellAnchor>
    <xdr:from>
      <xdr:col>4</xdr:col>
      <xdr:colOff>262889</xdr:colOff>
      <xdr:row>16</xdr:row>
      <xdr:rowOff>76200</xdr:rowOff>
    </xdr:from>
    <xdr:ext cx="4718685" cy="2038350"/>
    <xdr:sp macro="" textlink="">
      <xdr:nvSpPr>
        <xdr:cNvPr id="14" name="CuadroTexto 14">
          <a:extLst>
            <a:ext uri="{FF2B5EF4-FFF2-40B4-BE49-F238E27FC236}">
              <a16:creationId xmlns:a16="http://schemas.microsoft.com/office/drawing/2014/main" id="{00000000-0008-0000-0100-00000E000000}"/>
            </a:ext>
          </a:extLst>
        </xdr:cNvPr>
        <xdr:cNvSpPr txBox="1"/>
      </xdr:nvSpPr>
      <xdr:spPr>
        <a:xfrm>
          <a:off x="3105149" y="3002280"/>
          <a:ext cx="4718685" cy="20383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1100">
              <a:latin typeface="Arial" panose="020B0604020202020204" pitchFamily="34" charset="0"/>
              <a:cs typeface="Arial" panose="020B0604020202020204" pitchFamily="34" charset="0"/>
            </a:rPr>
            <a:t>Thank</a:t>
          </a:r>
          <a:r>
            <a:rPr lang="es-PE" sz="1100" baseline="0">
              <a:latin typeface="Arial" panose="020B0604020202020204" pitchFamily="34" charset="0"/>
              <a:cs typeface="Arial" panose="020B0604020202020204" pitchFamily="34" charset="0"/>
            </a:rPr>
            <a:t> you for downloading in this video-tutorial of Excel!</a:t>
          </a:r>
          <a:br>
            <a:rPr lang="es-PE" sz="1100">
              <a:latin typeface="Arial" panose="020B0604020202020204" pitchFamily="34" charset="0"/>
              <a:cs typeface="Arial" panose="020B0604020202020204" pitchFamily="34" charset="0"/>
            </a:rPr>
          </a:br>
          <a:endParaRPr lang="es-PE" sz="1100">
            <a:latin typeface="Arial" panose="020B0604020202020204" pitchFamily="34" charset="0"/>
            <a:cs typeface="Arial" panose="020B0604020202020204" pitchFamily="34" charset="0"/>
          </a:endParaRPr>
        </a:p>
        <a:p>
          <a:r>
            <a:rPr lang="es-PE" sz="1100" b="1">
              <a:latin typeface="Arial" panose="020B0604020202020204" pitchFamily="34" charset="0"/>
              <a:cs typeface="Arial" panose="020B0604020202020204" pitchFamily="34" charset="0"/>
            </a:rPr>
            <a:t>Mission</a:t>
          </a:r>
          <a:r>
            <a:rPr lang="es-PE" sz="1100" b="1" baseline="0">
              <a:latin typeface="Arial" panose="020B0604020202020204" pitchFamily="34" charset="0"/>
              <a:cs typeface="Arial" panose="020B0604020202020204" pitchFamily="34" charset="0"/>
            </a:rPr>
            <a:t>: </a:t>
          </a:r>
          <a:r>
            <a:rPr lang="es-PE" sz="1100" baseline="0">
              <a:latin typeface="Arial" panose="020B0604020202020204" pitchFamily="34" charset="0"/>
              <a:cs typeface="Arial" panose="020B0604020202020204" pitchFamily="34" charset="0"/>
            </a:rPr>
            <a:t>to evangelize the efficient use of Microsoft Excel so we can transform data into valuable information.</a:t>
          </a:r>
        </a:p>
        <a:p>
          <a:endParaRPr lang="es-PE" sz="1100" baseline="0">
            <a:latin typeface="Arial" panose="020B0604020202020204" pitchFamily="34" charset="0"/>
            <a:cs typeface="Arial" panose="020B0604020202020204" pitchFamily="34" charset="0"/>
          </a:endParaRPr>
        </a:p>
        <a:p>
          <a:r>
            <a:rPr lang="es-PE" sz="1100" b="1" baseline="0">
              <a:latin typeface="Arial" panose="020B0604020202020204" pitchFamily="34" charset="0"/>
              <a:cs typeface="Arial" panose="020B0604020202020204" pitchFamily="34" charset="0"/>
            </a:rPr>
            <a:t>Vision: </a:t>
          </a:r>
          <a:r>
            <a:rPr lang="es-PE" sz="1100" baseline="0">
              <a:latin typeface="Arial" panose="020B0604020202020204" pitchFamily="34" charset="0"/>
              <a:cs typeface="Arial" panose="020B0604020202020204" pitchFamily="34" charset="0"/>
            </a:rPr>
            <a:t>to empower a more productive Latino America so more professionals can add value to their careers, their organizations, and consequently; a better quality of life.</a:t>
          </a:r>
        </a:p>
        <a:p>
          <a:endParaRPr lang="es-PE" sz="1100" baseline="0">
            <a:latin typeface="Arial" panose="020B0604020202020204" pitchFamily="34" charset="0"/>
            <a:cs typeface="Arial" panose="020B0604020202020204" pitchFamily="34" charset="0"/>
          </a:endParaRPr>
        </a:p>
        <a:p>
          <a:r>
            <a:rPr lang="es-PE" sz="1100" baseline="0">
              <a:latin typeface="Arial" panose="020B0604020202020204" pitchFamily="34" charset="0"/>
              <a:cs typeface="Arial" panose="020B0604020202020204" pitchFamily="34" charset="0"/>
            </a:rPr>
            <a:t>If you have any questions, or have noticed an error, please let me know,</a:t>
          </a:r>
          <a:r>
            <a:rPr lang="es-PE" sz="1100" b="1" baseline="0">
              <a:latin typeface="Arial" panose="020B0604020202020204" pitchFamily="34" charset="0"/>
              <a:cs typeface="Arial" panose="020B0604020202020204" pitchFamily="34" charset="0"/>
            </a:rPr>
            <a:t> I would like to know about it.</a:t>
          </a:r>
        </a:p>
        <a:p>
          <a:endParaRPr lang="es-PE" sz="1100">
            <a:latin typeface="Arial" panose="020B0604020202020204" pitchFamily="34" charset="0"/>
            <a:cs typeface="Arial" panose="020B0604020202020204" pitchFamily="34" charset="0"/>
          </a:endParaRPr>
        </a:p>
      </xdr:txBody>
    </xdr:sp>
    <xdr:clientData/>
  </xdr:oneCellAnchor>
  <xdr:twoCellAnchor>
    <xdr:from>
      <xdr:col>0</xdr:col>
      <xdr:colOff>689610</xdr:colOff>
      <xdr:row>14</xdr:row>
      <xdr:rowOff>20955</xdr:rowOff>
    </xdr:from>
    <xdr:to>
      <xdr:col>3</xdr:col>
      <xdr:colOff>736743</xdr:colOff>
      <xdr:row>29</xdr:row>
      <xdr:rowOff>23533</xdr:rowOff>
    </xdr:to>
    <xdr:grpSp>
      <xdr:nvGrpSpPr>
        <xdr:cNvPr id="15" name="Grupo 20">
          <a:extLst>
            <a:ext uri="{FF2B5EF4-FFF2-40B4-BE49-F238E27FC236}">
              <a16:creationId xmlns:a16="http://schemas.microsoft.com/office/drawing/2014/main" id="{00000000-0008-0000-0100-00000F000000}"/>
            </a:ext>
          </a:extLst>
        </xdr:cNvPr>
        <xdr:cNvGrpSpPr/>
      </xdr:nvGrpSpPr>
      <xdr:grpSpPr>
        <a:xfrm>
          <a:off x="689610" y="2554605"/>
          <a:ext cx="2095008" cy="2717203"/>
          <a:chOff x="679525" y="3046879"/>
          <a:chExt cx="2078984" cy="2719108"/>
        </a:xfrm>
      </xdr:grpSpPr>
      <xdr:pic>
        <xdr:nvPicPr>
          <xdr:cNvPr id="16" name="Imagen 13" descr="Fotografia de Carlos Barboza">
            <a:extLst>
              <a:ext uri="{FF2B5EF4-FFF2-40B4-BE49-F238E27FC236}">
                <a16:creationId xmlns:a16="http://schemas.microsoft.com/office/drawing/2014/main" id="{00000000-0008-0000-0100-000010000000}"/>
              </a:ext>
              <a:ext uri="{C183D7F6-B498-43B3-948B-1728B52AA6E4}">
                <adec:decorative xmlns:adec="http://schemas.microsoft.com/office/drawing/2017/decorative" val="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8300"/>
          <a:stretch/>
        </xdr:blipFill>
        <xdr:spPr>
          <a:xfrm>
            <a:off x="679525" y="4775947"/>
            <a:ext cx="2078984" cy="990040"/>
          </a:xfrm>
          <a:prstGeom prst="ellipse">
            <a:avLst/>
          </a:prstGeom>
          <a:ln w="63500" cap="rnd">
            <a:noFill/>
          </a:ln>
          <a:effectLst/>
        </xdr:spPr>
      </xdr:pic>
      <xdr:pic>
        <xdr:nvPicPr>
          <xdr:cNvPr id="17" name="Imagen 15">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2883" r="22357" b="29715"/>
          <a:stretch/>
        </xdr:blipFill>
        <xdr:spPr>
          <a:xfrm>
            <a:off x="1079759" y="3046879"/>
            <a:ext cx="1300370" cy="1709058"/>
          </a:xfrm>
          <a:prstGeom prst="ellipse">
            <a:avLst/>
          </a:prstGeom>
        </xdr:spPr>
      </xdr:pic>
      <xdr:pic>
        <xdr:nvPicPr>
          <xdr:cNvPr id="18" name="Imagen 16">
            <a:extLst>
              <a:ext uri="{FF2B5EF4-FFF2-40B4-BE49-F238E27FC236}">
                <a16:creationId xmlns:a16="http://schemas.microsoft.com/office/drawing/2014/main" id="{00000000-0008-0000-0100-000012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r="62209"/>
          <a:stretch/>
        </xdr:blipFill>
        <xdr:spPr>
          <a:xfrm>
            <a:off x="1435432" y="3226024"/>
            <a:ext cx="627058" cy="600774"/>
          </a:xfrm>
          <a:prstGeom prst="rect">
            <a:avLst/>
          </a:prstGeom>
        </xdr:spPr>
      </xdr:pic>
      <xdr:sp macro="" textlink="">
        <xdr:nvSpPr>
          <xdr:cNvPr id="19" name="Forma libre: forma 19">
            <a:extLst>
              <a:ext uri="{FF2B5EF4-FFF2-40B4-BE49-F238E27FC236}">
                <a16:creationId xmlns:a16="http://schemas.microsoft.com/office/drawing/2014/main" id="{00000000-0008-0000-0100-000013000000}"/>
              </a:ext>
            </a:extLst>
          </xdr:cNvPr>
          <xdr:cNvSpPr/>
        </xdr:nvSpPr>
        <xdr:spPr>
          <a:xfrm>
            <a:off x="1331438" y="4756135"/>
            <a:ext cx="807003" cy="401260"/>
          </a:xfrm>
          <a:custGeom>
            <a:avLst/>
            <a:gdLst>
              <a:gd name="connsiteX0" fmla="*/ 0 w 752856"/>
              <a:gd name="connsiteY0" fmla="*/ 30480 h 381000"/>
              <a:gd name="connsiteX1" fmla="*/ 91440 w 752856"/>
              <a:gd name="connsiteY1" fmla="*/ 158496 h 381000"/>
              <a:gd name="connsiteX2" fmla="*/ 335280 w 752856"/>
              <a:gd name="connsiteY2" fmla="*/ 377952 h 381000"/>
              <a:gd name="connsiteX3" fmla="*/ 390144 w 752856"/>
              <a:gd name="connsiteY3" fmla="*/ 381000 h 381000"/>
              <a:gd name="connsiteX4" fmla="*/ 673608 w 752856"/>
              <a:gd name="connsiteY4" fmla="*/ 164592 h 381000"/>
              <a:gd name="connsiteX5" fmla="*/ 752856 w 752856"/>
              <a:gd name="connsiteY5" fmla="*/ 45720 h 381000"/>
              <a:gd name="connsiteX6" fmla="*/ 362712 w 752856"/>
              <a:gd name="connsiteY6" fmla="*/ 0 h 381000"/>
              <a:gd name="connsiteX7" fmla="*/ 0 w 752856"/>
              <a:gd name="connsiteY7" fmla="*/ 30480 h 381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752856" h="381000">
                <a:moveTo>
                  <a:pt x="0" y="30480"/>
                </a:moveTo>
                <a:lnTo>
                  <a:pt x="91440" y="158496"/>
                </a:lnTo>
                <a:lnTo>
                  <a:pt x="335280" y="377952"/>
                </a:lnTo>
                <a:lnTo>
                  <a:pt x="390144" y="381000"/>
                </a:lnTo>
                <a:lnTo>
                  <a:pt x="673608" y="164592"/>
                </a:lnTo>
                <a:lnTo>
                  <a:pt x="752856" y="45720"/>
                </a:lnTo>
                <a:lnTo>
                  <a:pt x="362712" y="0"/>
                </a:lnTo>
                <a:lnTo>
                  <a:pt x="0" y="30480"/>
                </a:lnTo>
                <a:close/>
              </a:path>
            </a:pathLst>
          </a:custGeom>
          <a:solidFill>
            <a:sysClr val="window" lastClr="FFFFFF"/>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bc" refreshedDate="44662.49742777778" createdVersion="7" refreshedVersion="7" minRefreshableVersion="3" recordCount="16" xr:uid="{296630C6-46B1-4BD1-B1A2-4256071C0B0A}">
  <cacheSource type="worksheet">
    <worksheetSource name="_02_years"/>
  </cacheSource>
  <cacheFields count="1">
    <cacheField name="year" numFmtId="0">
      <sharedItems containsSemiMixedTypes="0" containsString="0" containsNumber="1" containsInteger="1" minValue="2005" maxValue="2020" count="16">
        <n v="2008"/>
        <n v="2009"/>
        <n v="2010"/>
        <n v="2011"/>
        <n v="2012"/>
        <n v="2013"/>
        <n v="2014"/>
        <n v="2015"/>
        <n v="2016"/>
        <n v="2017"/>
        <n v="2018"/>
        <n v="2019"/>
        <n v="2007"/>
        <n v="2020"/>
        <n v="2006"/>
        <n v="2005"/>
      </sharedItems>
    </cacheField>
  </cacheFields>
  <extLst>
    <ext xmlns:x14="http://schemas.microsoft.com/office/spreadsheetml/2009/9/main" uri="{725AE2AE-9491-48be-B2B4-4EB974FC3084}">
      <x14:pivotCacheDefinition pivotCacheId="9009818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bc" refreshedDate="44662.502248958335" createdVersion="7" refreshedVersion="7" minRefreshableVersion="3" recordCount="5" xr:uid="{32AFB44A-52D9-457F-8CBB-5B49FA8EB98C}">
  <cacheSource type="worksheet">
    <worksheetSource name="_04_continents"/>
  </cacheSource>
  <cacheFields count="1">
    <cacheField name="continent" numFmtId="0">
      <sharedItems count="5">
        <s v="Africa"/>
        <s v="Americas"/>
        <s v="Asia"/>
        <s v="Europe"/>
        <s v="Oceania"/>
      </sharedItems>
    </cacheField>
  </cacheFields>
  <extLst>
    <ext xmlns:x14="http://schemas.microsoft.com/office/spreadsheetml/2009/9/main" uri="{725AE2AE-9491-48be-B2B4-4EB974FC3084}">
      <x14:pivotCacheDefinition pivotCacheId="388013890"/>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bc" refreshedDate="44662.504073495373" createdVersion="7" refreshedVersion="7" minRefreshableVersion="3" recordCount="9" xr:uid="{A550DC83-3F03-4F69-B97E-8B7D6268F712}">
  <cacheSource type="worksheet">
    <worksheetSource name="_06_metrics"/>
  </cacheSource>
  <cacheFields count="1">
    <cacheField name="metric" numFmtId="0">
      <sharedItems count="9">
        <s v="Freedom to make life choices"/>
        <s v="Generosity"/>
        <s v="Healthy life expectancy at birth"/>
        <s v="Life Ladder"/>
        <s v="Log GDP per capita"/>
        <s v="Negative affect"/>
        <s v="Perceptions of corruption"/>
        <s v="Positive affect"/>
        <s v="Social support"/>
      </sharedItems>
    </cacheField>
  </cacheFields>
  <extLst>
    <ext xmlns:x14="http://schemas.microsoft.com/office/spreadsheetml/2009/9/main" uri="{725AE2AE-9491-48be-B2B4-4EB974FC3084}">
      <x14:pivotCacheDefinition pivotCacheId="577422212"/>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bc" refreshedDate="44662.526213773148" createdVersion="7" refreshedVersion="7" minRefreshableVersion="3" recordCount="2" xr:uid="{D55126AC-FF60-49FA-AF30-9C4B6BED9034}">
  <cacheSource type="worksheet">
    <worksheetSource ref="N15:N17" sheet="example"/>
  </cacheSource>
  <cacheFields count="1">
    <cacheField name="sort order" numFmtId="0">
      <sharedItems count="2">
        <s v="Ascending"/>
        <s v="Descending"/>
      </sharedItems>
    </cacheField>
  </cacheFields>
  <extLst>
    <ext xmlns:x14="http://schemas.microsoft.com/office/spreadsheetml/2009/9/main" uri="{725AE2AE-9491-48be-B2B4-4EB974FC3084}">
      <x14:pivotCacheDefinition pivotCacheId="176428566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
  <r>
    <x v="0"/>
  </r>
  <r>
    <x v="1"/>
  </r>
  <r>
    <x v="2"/>
  </r>
  <r>
    <x v="3"/>
  </r>
  <r>
    <x v="4"/>
  </r>
  <r>
    <x v="5"/>
  </r>
  <r>
    <x v="6"/>
  </r>
  <r>
    <x v="7"/>
  </r>
  <r>
    <x v="8"/>
  </r>
  <r>
    <x v="9"/>
  </r>
  <r>
    <x v="10"/>
  </r>
  <r>
    <x v="11"/>
  </r>
  <r>
    <x v="12"/>
  </r>
  <r>
    <x v="13"/>
  </r>
  <r>
    <x v="14"/>
  </r>
  <r>
    <x v="1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r>
  <r>
    <x v="1"/>
  </r>
  <r>
    <x v="2"/>
  </r>
  <r>
    <x v="3"/>
  </r>
  <r>
    <x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r>
  <r>
    <x v="1"/>
  </r>
  <r>
    <x v="2"/>
  </r>
  <r>
    <x v="3"/>
  </r>
  <r>
    <x v="4"/>
  </r>
  <r>
    <x v="5"/>
  </r>
  <r>
    <x v="6"/>
  </r>
  <r>
    <x v="7"/>
  </r>
  <r>
    <x v="8"/>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r>
  <r>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DBD05D5-0DD9-4CEB-80DB-891071DE9F1D}" name="pt_metrics" cacheId="2" applyNumberFormats="0" applyBorderFormats="0" applyFontFormats="0" applyPatternFormats="0" applyAlignmentFormats="0" applyWidthHeightFormats="1" dataCaption="Values" showError="1" updatedVersion="7" minRefreshableVersion="3" rowGrandTotals="0" itemPrintTitles="1" createdVersion="7" indent="0" compact="0" compactData="0" multipleFieldFilters="0">
  <location ref="L11:L12" firstHeaderRow="1" firstDataRow="1" firstDataCol="1"/>
  <pivotFields count="1">
    <pivotField axis="axisRow" compact="0" outline="0" showAll="0">
      <items count="10">
        <item x="0"/>
        <item h="1" x="1"/>
        <item h="1" x="2"/>
        <item h="1" x="3"/>
        <item h="1" x="4"/>
        <item h="1" x="5"/>
        <item h="1" x="6"/>
        <item h="1" x="7"/>
        <item h="1" x="8"/>
        <item t="default"/>
      </items>
    </pivotField>
  </pivotFields>
  <rowFields count="1">
    <field x="0"/>
  </rowFields>
  <rowItems count="1">
    <i>
      <x/>
    </i>
  </rowItems>
  <colItems count="1">
    <i/>
  </colItems>
  <pivotTableStyleInfo name="PivotStyleLight1"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34965F4-D808-47D1-A818-CC5080C279E7}" name="pt_continent" cacheId="1" applyNumberFormats="0" applyBorderFormats="0" applyFontFormats="0" applyPatternFormats="0" applyAlignmentFormats="0" applyWidthHeightFormats="1" dataCaption="Values" showError="1" updatedVersion="7" minRefreshableVersion="3" rowGrandTotals="0" itemPrintTitles="1" createdVersion="7" indent="0" compact="0" compactData="0" multipleFieldFilters="0">
  <location ref="J11:J12" firstHeaderRow="1" firstDataRow="1" firstDataCol="1"/>
  <pivotFields count="1">
    <pivotField axis="axisRow" compact="0" outline="0" showAll="0">
      <items count="6">
        <item h="1" x="0"/>
        <item h="1" x="1"/>
        <item h="1" x="2"/>
        <item x="3"/>
        <item h="1" x="4"/>
        <item t="default"/>
      </items>
    </pivotField>
  </pivotFields>
  <rowFields count="1">
    <field x="0"/>
  </rowFields>
  <rowItems count="1">
    <i>
      <x v="3"/>
    </i>
  </rowItems>
  <colItems count="1">
    <i/>
  </colItems>
  <pivotTableStyleInfo name="PivotStyleLight1"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8841522-D6CB-4D8A-854A-F104F43E340D}" name="pt_sort_order" cacheId="3" applyNumberFormats="0" applyBorderFormats="0" applyFontFormats="0" applyPatternFormats="0" applyAlignmentFormats="0" applyWidthHeightFormats="1" dataCaption="Values" showError="1" updatedVersion="7" minRefreshableVersion="3" rowGrandTotals="0" itemPrintTitles="1" createdVersion="7" indent="0" compact="0" compactData="0" multipleFieldFilters="0">
  <location ref="N13:N14" firstHeaderRow="1" firstDataRow="1" firstDataCol="1"/>
  <pivotFields count="1">
    <pivotField axis="axisRow" compact="0" outline="0" showAll="0">
      <items count="3">
        <item h="1" x="0"/>
        <item x="1"/>
        <item t="default"/>
      </items>
    </pivotField>
  </pivotFields>
  <rowFields count="1">
    <field x="0"/>
  </rowFields>
  <rowItems count="1">
    <i>
      <x v="1"/>
    </i>
  </rowItems>
  <colItems count="1">
    <i/>
  </colItems>
  <pivotTableStyleInfo name="PivotStyleLight1"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9ED479F-585B-49F2-B171-9B1524828192}" name="pt_years" cacheId="0" applyNumberFormats="0" applyBorderFormats="0" applyFontFormats="0" applyPatternFormats="0" applyAlignmentFormats="0" applyWidthHeightFormats="1" dataCaption="Values" showError="1" updatedVersion="7" minRefreshableVersion="3" rowGrandTotals="0" itemPrintTitles="1" createdVersion="7" indent="0" compact="0" compactData="0" multipleFieldFilters="0">
  <location ref="H11:H12" firstHeaderRow="1" firstDataRow="1" firstDataCol="1"/>
  <pivotFields count="1">
    <pivotField axis="axisRow" compact="0" outline="0" showAll="0">
      <items count="17">
        <item h="1" x="15"/>
        <item h="1" x="14"/>
        <item h="1" x="12"/>
        <item h="1" x="0"/>
        <item h="1" x="1"/>
        <item h="1" x="2"/>
        <item h="1" x="3"/>
        <item x="4"/>
        <item h="1" x="5"/>
        <item h="1" x="6"/>
        <item h="1" x="7"/>
        <item h="1" x="8"/>
        <item h="1" x="9"/>
        <item h="1" x="10"/>
        <item h="1" x="11"/>
        <item h="1" x="13"/>
        <item t="default"/>
      </items>
    </pivotField>
  </pivotFields>
  <rowFields count="1">
    <field x="0"/>
  </rowFields>
  <rowItems count="1">
    <i>
      <x v="7"/>
    </i>
  </rowItems>
  <colItems count="1">
    <i/>
  </colItems>
  <pivotTableStyleInfo name="PivotStyleLight1"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_03_years_slicer" xr10:uid="{CD9F3EFA-8D6D-4E2A-A894-8E1F53699854}" sourceName="year">
  <pivotTables>
    <pivotTable tabId="4" name="pt_years"/>
  </pivotTables>
  <data>
    <tabular pivotCacheId="900981834">
      <items count="16">
        <i x="15"/>
        <i x="14"/>
        <i x="12"/>
        <i x="0"/>
        <i x="1"/>
        <i x="2"/>
        <i x="3"/>
        <i x="4" s="1"/>
        <i x="5"/>
        <i x="6"/>
        <i x="7"/>
        <i x="8"/>
        <i x="9"/>
        <i x="10"/>
        <i x="11"/>
        <i x="1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_05_continents_slicer" xr10:uid="{54470642-D5EB-4620-83A0-0892CB07A228}" sourceName="continent">
  <pivotTables>
    <pivotTable tabId="4" name="pt_continent"/>
  </pivotTables>
  <data>
    <tabular pivotCacheId="388013890">
      <items count="5">
        <i x="0"/>
        <i x="1"/>
        <i x="2"/>
        <i x="3" s="1"/>
        <i x="4"/>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_07_metrics_slicer" xr10:uid="{A40EE4E5-5B1B-461A-A65F-404E718435A1}" sourceName="metric">
  <pivotTables>
    <pivotTable tabId="4" name="pt_metrics"/>
  </pivotTables>
  <data>
    <tabular pivotCacheId="577422212">
      <items count="9">
        <i x="0" s="1"/>
        <i x="1"/>
        <i x="2"/>
        <i x="3"/>
        <i x="4"/>
        <i x="5"/>
        <i x="6"/>
        <i x="7"/>
        <i x="8"/>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_12_sort_order_slicer" xr10:uid="{25C8697C-6AC8-4BA2-885C-77E95B0BE273}" sourceName="sort order">
  <pivotTables>
    <pivotTable tabId="4" name="pt_sort_order"/>
  </pivotTables>
  <data>
    <tabular pivotCacheId="1764285660">
      <items count="2">
        <i x="0"/>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2BDF0AC9-C4E8-4D59-881C-C1423BD15A71}" cache="_03_years_slicer" caption="year" columnCount="3" showCaption="0" style="xlorla" rowHeight="144000"/>
  <slicer name="continent" xr10:uid="{422F8F93-88BE-4808-B4D0-77A54BFFCDB2}" cache="_05_continents_slicer" caption="continent" columnCount="2" showCaption="0" style="xlorla" rowHeight="144000"/>
  <slicer name="metric" xr10:uid="{BED9AD90-4F40-4497-86F7-97798EEC1F3D}" cache="_07_metrics_slicer" caption="metric" showCaption="0" style="xlorla" rowHeight="144000"/>
  <slicer name="sort order" xr10:uid="{5022F446-F0D7-4BE5-827D-C6795B1609E7}" cache="_12_sort_order_slicer" caption="sort order" columnCount="2" showCaption="0" style="xlorla" rowHeight="144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1A00F07-8BAB-4A83-AFE1-6C943501F4A1}" name="_01_data" displayName="_01_data" ref="B11:F17179" totalsRowShown="0">
  <autoFilter ref="B11:F17179" xr:uid="{71A00F07-8BAB-4A83-AFE1-6C943501F4A1}"/>
  <tableColumns count="5">
    <tableColumn id="1" xr3:uid="{CFF9EA00-ADC7-4543-A7BE-CAEE09437BBC}" name="year"/>
    <tableColumn id="2" xr3:uid="{62236669-EEC7-4C9D-8358-7D6DDB253281}" name="country"/>
    <tableColumn id="5" xr3:uid="{51FA3F6E-DCFA-44A7-BEB4-AAC02A78456D}" name="continent" dataDxfId="0"/>
    <tableColumn id="3" xr3:uid="{6DB94C49-FD3C-42CD-8BC5-3EF3708A3823}" name="metric"/>
    <tableColumn id="4" xr3:uid="{6B14DFFF-9D58-4977-9E43-7DE80203DE64}" name="value"/>
  </tableColumns>
  <tableStyleInfo name="Peltier Tech Minimal Table"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dailydoseofexcel.com/archives/2004/12/22/functions-that-do-things/" TargetMode="External"/><Relationship Id="rId13" Type="http://schemas.openxmlformats.org/officeDocument/2006/relationships/vmlDrawing" Target="../drawings/vmlDrawing1.vml"/><Relationship Id="rId3" Type="http://schemas.openxmlformats.org/officeDocument/2006/relationships/pivotTable" Target="../pivotTables/pivotTable3.xml"/><Relationship Id="rId7" Type="http://schemas.openxmlformats.org/officeDocument/2006/relationships/hyperlink" Target="https://simplexct.com/how-to-create-a-dot-plot-in-excel" TargetMode="External"/><Relationship Id="rId12" Type="http://schemas.openxmlformats.org/officeDocument/2006/relationships/drawing" Target="../drawings/drawing1.xml"/><Relationship Id="rId2" Type="http://schemas.openxmlformats.org/officeDocument/2006/relationships/pivotTable" Target="../pivotTables/pivotTable2.xml"/><Relationship Id="rId16" Type="http://schemas.microsoft.com/office/2007/relationships/slicer" Target="../slicers/slicer1.xml"/><Relationship Id="rId1" Type="http://schemas.openxmlformats.org/officeDocument/2006/relationships/pivotTable" Target="../pivotTables/pivotTable1.xml"/><Relationship Id="rId6" Type="http://schemas.openxmlformats.org/officeDocument/2006/relationships/hyperlink" Target="https://peltiertech.com/chart-udf-control-axis-scale/" TargetMode="External"/><Relationship Id="rId11" Type="http://schemas.openxmlformats.org/officeDocument/2006/relationships/printerSettings" Target="../printerSettings/printerSettings1.bin"/><Relationship Id="rId5" Type="http://schemas.openxmlformats.org/officeDocument/2006/relationships/hyperlink" Target="https://exceloffthegrid.com/chart-axis-min-mix/" TargetMode="External"/><Relationship Id="rId15" Type="http://schemas.openxmlformats.org/officeDocument/2006/relationships/table" Target="../tables/table1.xml"/><Relationship Id="rId10" Type="http://schemas.openxmlformats.org/officeDocument/2006/relationships/hyperlink" Target="http://dailydoseofexcel.com/archives/2007/01/12/modifying-shapes-and-charts-with-udfs/" TargetMode="External"/><Relationship Id="rId4" Type="http://schemas.openxmlformats.org/officeDocument/2006/relationships/pivotTable" Target="../pivotTables/pivotTable4.xml"/><Relationship Id="rId9" Type="http://schemas.openxmlformats.org/officeDocument/2006/relationships/hyperlink" Target="http://dailydoseofexcel.com/archives/2006/02/05/in-cell-charting/" TargetMode="External"/><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www.linkedin.com/in/ca-b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9C0EF-BA00-42C2-BBFA-4AAA4010BE5F}">
  <sheetPr codeName="Sheet1"/>
  <dimension ref="A1:AT17190"/>
  <sheetViews>
    <sheetView showGridLines="0" topLeftCell="G1" workbookViewId="0">
      <selection activeCell="AK1" sqref="AK1"/>
    </sheetView>
  </sheetViews>
  <sheetFormatPr defaultColWidth="0" defaultRowHeight="10.5" zeroHeight="1"/>
  <cols>
    <col min="1" max="1" width="3.42578125" customWidth="1"/>
    <col min="2" max="2" width="8.7109375" customWidth="1"/>
    <col min="3" max="4" width="12" customWidth="1"/>
    <col min="5" max="5" width="26" bestFit="1" customWidth="1"/>
    <col min="6" max="6" width="12.5703125" bestFit="1" customWidth="1"/>
    <col min="7" max="7" width="4.140625" customWidth="1"/>
    <col min="8" max="8" width="9.140625" customWidth="1"/>
    <col min="9" max="9" width="10.5703125" customWidth="1"/>
    <col min="10" max="10" width="9.140625" customWidth="1"/>
    <col min="11" max="11" width="9.85546875" customWidth="1"/>
    <col min="12" max="13" width="9.140625" customWidth="1"/>
    <col min="14" max="14" width="9.85546875" customWidth="1"/>
    <col min="15" max="15" width="5.42578125" customWidth="1"/>
    <col min="16" max="16" width="9.140625" customWidth="1"/>
    <col min="17" max="18" width="4.85546875" customWidth="1"/>
    <col min="19" max="21" width="9.140625" customWidth="1"/>
    <col min="22" max="23" width="4" customWidth="1"/>
    <col min="24" max="35" width="9.140625" customWidth="1"/>
    <col min="36" max="36" width="5" customWidth="1"/>
    <col min="37" max="37" width="12.28515625" customWidth="1"/>
    <col min="38" max="38" width="4" hidden="1" customWidth="1"/>
    <col min="39" max="46" width="12" hidden="1" customWidth="1"/>
    <col min="47" max="16384" width="9.140625" hidden="1"/>
  </cols>
  <sheetData>
    <row r="1" spans="2:21">
      <c r="M1" s="8"/>
    </row>
    <row r="2" spans="2:21"/>
    <row r="3" spans="2:21"/>
    <row r="4" spans="2:21"/>
    <row r="5" spans="2:21"/>
    <row r="6" spans="2:21"/>
    <row r="7" spans="2:21"/>
    <row r="8" spans="2:21"/>
    <row r="9" spans="2:21"/>
    <row r="10" spans="2:21"/>
    <row r="11" spans="2:21">
      <c r="B11" t="s">
        <v>2</v>
      </c>
      <c r="C11" t="s">
        <v>3</v>
      </c>
      <c r="D11" t="s">
        <v>181</v>
      </c>
      <c r="E11" t="s">
        <v>4</v>
      </c>
      <c r="F11" t="s">
        <v>5</v>
      </c>
      <c r="H11" s="11" t="s">
        <v>2</v>
      </c>
      <c r="J11" s="11" t="s">
        <v>181</v>
      </c>
      <c r="L11" s="11" t="s">
        <v>4</v>
      </c>
      <c r="N11" t="s">
        <v>187</v>
      </c>
      <c r="P11" t="s">
        <v>189</v>
      </c>
      <c r="S11" t="s">
        <v>3</v>
      </c>
      <c r="T11" t="s">
        <v>203</v>
      </c>
      <c r="U11" t="s">
        <v>188</v>
      </c>
    </row>
    <row r="12" spans="2:21">
      <c r="B12">
        <v>2008</v>
      </c>
      <c r="C12" t="s">
        <v>6</v>
      </c>
      <c r="D12" t="s">
        <v>182</v>
      </c>
      <c r="E12" t="s">
        <v>7</v>
      </c>
      <c r="F12">
        <v>3.7235898971557617</v>
      </c>
      <c r="H12">
        <v>2012</v>
      </c>
      <c r="J12" t="s">
        <v>183</v>
      </c>
      <c r="L12" t="s">
        <v>11</v>
      </c>
      <c r="M12" s="8" t="s">
        <v>197</v>
      </c>
      <c r="N12" s="14">
        <f xml:space="preserve"> IF( N14 = "Ascending", -1, 1 )</f>
        <v>1</v>
      </c>
      <c r="P12" t="str" cm="1">
        <f t="array" ref="P12" xml:space="preserve"> INDEX(_xlfn.ANCHORARRAY( P29), P14 )</f>
        <v>Do not apply</v>
      </c>
      <c r="S12" s="16" t="str" cm="1">
        <f t="array" ref="S12:S59" xml:space="preserve"> _xlfn.LET( _xlpm.countries, _xlfn.UNIQUE( _01_data[country] ),
            _xlpm.values, SUMIFS( _01_data[value],
                                         _01_data[year], H12,
                                         _01_data[metric], L12,
                                         _01_data[continent], J12,
                                         _01_data[country], _xlpm.countries ),
            _xlpm.filteredcountries, _xlfn._xlws.FILTER( _xlpm.countries, _xlpm.values &lt;&gt; 0 ),
            _xlpm.filteredvalues, SUMIFS( _01_data[value],
                                                       _01_data[year], H12,
                                                       _01_data[metric], L12,
                                                       _01_data[continent], J12,
                                                       _01_data[country], _xlpm.filteredcountries ),
            _xlpm.sortedcountries, _xlfn.SORTBY( _xlpm.filteredcountries, _xlpm.filteredvalues, N12 ),
            _xlpm.Rows, _xlfn.SEQUENCE( ROWS( _xlpm.sortedcountries ) + 2, , 0 ),
            IF( ( _xlpm.Rows = 0 ) + ( _xlpm.Rows = COUNTA( _xlpm.sortedcountries ) + 1 ),
                  "",
                  INDEX( _xlpm.sortedcountries, _xlpm.Rows )
                )
           )</f>
        <v/>
      </c>
      <c r="T12" s="7" t="e" cm="1">
        <f t="array" ref="T12:T59" xml:space="preserve"> IF(_xlfn.ANCHORARRAY( S12) = "", NA(),
         SUMIFS( _01_data[value],
                         _01_data[year], H12,
                         _01_data[metric], L12,
                         _01_data[country],_xlfn.ANCHORARRAY( S12) )
         )</f>
        <v>#N/A</v>
      </c>
      <c r="U12" s="7" cm="1">
        <f t="array" ref="U12:U59" xml:space="preserve"> _xlfn.LET( _xlpm.calculo, _xlfn.SEQUENCE( COUNTA(_xlfn.ANCHORARRAY(S12) ) ),
           _xlpm.min, MIN( _xlpm.calculo ),
           _xlpm.max, MAX( _xlpm.calculo),
           IF( _xlpm.calculo = 0,
                NA(),
                ( _xlpm.calculo - _xlpm.min ) / ( _xlpm.max - _xlpm.min )
              )
           )</f>
        <v>0</v>
      </c>
    </row>
    <row r="13" spans="2:21">
      <c r="B13">
        <v>2008</v>
      </c>
      <c r="C13" t="s">
        <v>6</v>
      </c>
      <c r="D13" t="s">
        <v>182</v>
      </c>
      <c r="E13" t="s">
        <v>8</v>
      </c>
      <c r="F13">
        <v>7.3700995445251465</v>
      </c>
      <c r="H13" s="7" t="str" cm="1">
        <f t="array" ref="H13:H29" xml:space="preserve"> _xlfn.UNIQUE(_01_data[[#All],[year]] )</f>
        <v>year</v>
      </c>
      <c r="J13" s="7" t="str" cm="1">
        <f t="array" ref="J13:J18" xml:space="preserve"> _xlfn.LET( _xlpm.SUL, _xlfn._xlws.SORT( _xlfn.UNIQUE( _01_data[continent] ) ),
           _xlpm.Rows, _xlfn.SEQUENCE( ROWS( _xlpm.SUL ) + 1, , 0 ),
           IF( _xlpm.Rows = 0,
                 "continent",
                 INDEX( _xlpm.SUL, _xlpm.Rows )
                )
           )</f>
        <v>continent</v>
      </c>
      <c r="L13" s="7" t="str" cm="1">
        <f t="array" ref="L13:L22" xml:space="preserve"> _xlfn.LET( _xlpm.SUL, _xlfn._xlws.SORT( _xlfn.UNIQUE( _01_data[metric] ) ),
           _xlpm.Rows, _xlfn.SEQUENCE( ROWS( _xlpm.SUL ) + 1, , 0 ),
           IF( _xlpm.Rows = 0,
                 "metric",
                 INDEX( _xlpm.SUL, _xlpm.Rows )
                )
           )</f>
        <v>metric</v>
      </c>
      <c r="N13" s="11" t="s">
        <v>187</v>
      </c>
      <c r="P13" t="s">
        <v>198</v>
      </c>
      <c r="S13" t="str">
        <v>Greece</v>
      </c>
      <c r="T13">
        <v>0.3726104199886322</v>
      </c>
      <c r="U13">
        <v>2.1276595744680851E-2</v>
      </c>
    </row>
    <row r="14" spans="2:21">
      <c r="B14">
        <v>2008</v>
      </c>
      <c r="C14" t="s">
        <v>6</v>
      </c>
      <c r="D14" t="s">
        <v>182</v>
      </c>
      <c r="E14" t="s">
        <v>9</v>
      </c>
      <c r="F14">
        <v>0.45066231489181519</v>
      </c>
      <c r="H14">
        <v>2008</v>
      </c>
      <c r="J14" t="str">
        <v>Africa</v>
      </c>
      <c r="L14" t="str">
        <v>Freedom to make life choices</v>
      </c>
      <c r="N14" t="s">
        <v>195</v>
      </c>
      <c r="P14" s="12">
        <v>1</v>
      </c>
      <c r="S14" t="str">
        <v>Bosnia and Herzegovina</v>
      </c>
      <c r="T14">
        <v>0.41978931427001953</v>
      </c>
      <c r="U14">
        <v>4.2553191489361701E-2</v>
      </c>
    </row>
    <row r="15" spans="2:21">
      <c r="B15">
        <v>2008</v>
      </c>
      <c r="C15" t="s">
        <v>6</v>
      </c>
      <c r="D15" t="s">
        <v>182</v>
      </c>
      <c r="E15" t="s">
        <v>10</v>
      </c>
      <c r="F15">
        <v>50.799999237060547</v>
      </c>
      <c r="H15">
        <v>2009</v>
      </c>
      <c r="J15" t="str">
        <v>Americas</v>
      </c>
      <c r="L15" t="str">
        <v>Generosity</v>
      </c>
      <c r="N15" t="s">
        <v>187</v>
      </c>
      <c r="P15" t="s">
        <v>199</v>
      </c>
      <c r="S15" t="str">
        <v>Serbia</v>
      </c>
      <c r="T15">
        <v>0.4605746865272522</v>
      </c>
      <c r="U15">
        <v>6.3829787234042548E-2</v>
      </c>
    </row>
    <row r="16" spans="2:21">
      <c r="B16">
        <v>2008</v>
      </c>
      <c r="C16" t="s">
        <v>6</v>
      </c>
      <c r="D16" t="s">
        <v>182</v>
      </c>
      <c r="E16" t="s">
        <v>11</v>
      </c>
      <c r="F16">
        <v>0.71811431646347046</v>
      </c>
      <c r="H16">
        <v>2010</v>
      </c>
      <c r="J16" t="str">
        <v>Asia</v>
      </c>
      <c r="L16" t="str">
        <v>Healthy life expectancy at birth</v>
      </c>
      <c r="N16" t="s">
        <v>194</v>
      </c>
      <c r="P16" t="e" cm="1">
        <f t="array" ref="P16" xml:space="preserve"> _xlfn.XLOOKUP( P12,_xlfn.ANCHORARRAY( S12),_xlfn.ANCHORARRAY(T12))</f>
        <v>#N/A</v>
      </c>
      <c r="S16" t="str">
        <v>Montenegro</v>
      </c>
      <c r="T16">
        <v>0.46170637011528015</v>
      </c>
      <c r="U16">
        <v>8.5106382978723402E-2</v>
      </c>
    </row>
    <row r="17" spans="2:21">
      <c r="B17">
        <v>2008</v>
      </c>
      <c r="C17" t="s">
        <v>6</v>
      </c>
      <c r="D17" t="s">
        <v>182</v>
      </c>
      <c r="E17" t="s">
        <v>12</v>
      </c>
      <c r="F17">
        <v>0.16763998568058014</v>
      </c>
      <c r="H17">
        <v>2011</v>
      </c>
      <c r="J17" t="str">
        <v>Europe</v>
      </c>
      <c r="L17" t="str">
        <v>Life Ladder</v>
      </c>
      <c r="N17" t="s">
        <v>195</v>
      </c>
      <c r="P17" t="s">
        <v>200</v>
      </c>
      <c r="S17" t="str">
        <v>Turkey</v>
      </c>
      <c r="T17">
        <v>0.47090321779251099</v>
      </c>
      <c r="U17">
        <v>0.10638297872340426</v>
      </c>
    </row>
    <row r="18" spans="2:21">
      <c r="B18">
        <v>2008</v>
      </c>
      <c r="C18" t="s">
        <v>6</v>
      </c>
      <c r="D18" t="s">
        <v>182</v>
      </c>
      <c r="E18" t="s">
        <v>13</v>
      </c>
      <c r="F18">
        <v>0.88168632984161377</v>
      </c>
      <c r="H18">
        <v>2012</v>
      </c>
      <c r="J18" t="str">
        <v>Oceania</v>
      </c>
      <c r="L18" t="str">
        <v>Log GDP per capita</v>
      </c>
      <c r="P18" t="e" cm="1">
        <f t="array" ref="P18" xml:space="preserve"> _xlfn.XLOOKUP( P12,_xlfn.ANCHORARRAY( S12),_xlfn.ANCHORARRAY(U12))</f>
        <v>#N/A</v>
      </c>
      <c r="S18" t="str">
        <v>Armenia</v>
      </c>
      <c r="T18">
        <v>0.50186377763748169</v>
      </c>
      <c r="U18">
        <v>0.1276595744680851</v>
      </c>
    </row>
    <row r="19" spans="2:21">
      <c r="B19">
        <v>2008</v>
      </c>
      <c r="C19" t="s">
        <v>6</v>
      </c>
      <c r="D19" t="s">
        <v>182</v>
      </c>
      <c r="E19" t="s">
        <v>14</v>
      </c>
      <c r="F19">
        <v>0.51763719320297241</v>
      </c>
      <c r="H19">
        <v>2013</v>
      </c>
      <c r="L19" t="str">
        <v>Negative affect</v>
      </c>
      <c r="S19" t="str">
        <v>Lithuania</v>
      </c>
      <c r="T19">
        <v>0.50302714109420776</v>
      </c>
      <c r="U19">
        <v>0.14893617021276595</v>
      </c>
    </row>
    <row r="20" spans="2:21">
      <c r="B20">
        <v>2008</v>
      </c>
      <c r="C20" t="s">
        <v>6</v>
      </c>
      <c r="D20" t="s">
        <v>182</v>
      </c>
      <c r="E20" t="s">
        <v>15</v>
      </c>
      <c r="F20">
        <v>0.25819548964500427</v>
      </c>
      <c r="H20">
        <v>2014</v>
      </c>
      <c r="L20" t="str">
        <v>Perceptions of corruption</v>
      </c>
      <c r="P20" t="s">
        <v>201</v>
      </c>
      <c r="S20" t="str">
        <v>Croatia</v>
      </c>
      <c r="T20">
        <v>0.54190975427627563</v>
      </c>
      <c r="U20">
        <v>0.1702127659574468</v>
      </c>
    </row>
    <row r="21" spans="2:21">
      <c r="B21">
        <v>2009</v>
      </c>
      <c r="C21" t="s">
        <v>6</v>
      </c>
      <c r="D21" t="s">
        <v>182</v>
      </c>
      <c r="E21" t="s">
        <v>7</v>
      </c>
      <c r="F21">
        <v>4.4017782211303711</v>
      </c>
      <c r="H21">
        <v>2015</v>
      </c>
      <c r="L21" t="str">
        <v>Positive affect</v>
      </c>
      <c r="O21" s="13" t="s">
        <v>204</v>
      </c>
      <c r="P21" s="15" t="e">
        <f xml:space="preserve"> IF( P16 &gt; 0, P16, NA() )</f>
        <v>#N/A</v>
      </c>
      <c r="S21" t="str">
        <v>Ukraine</v>
      </c>
      <c r="T21">
        <v>0.56364977359771729</v>
      </c>
      <c r="U21">
        <v>0.19148936170212766</v>
      </c>
    </row>
    <row r="22" spans="2:21">
      <c r="B22">
        <v>2009</v>
      </c>
      <c r="C22" t="s">
        <v>6</v>
      </c>
      <c r="D22" t="s">
        <v>182</v>
      </c>
      <c r="E22" t="s">
        <v>8</v>
      </c>
      <c r="F22">
        <v>7.5399723052978516</v>
      </c>
      <c r="H22">
        <v>2016</v>
      </c>
      <c r="L22" t="str">
        <v>Social support</v>
      </c>
      <c r="O22" s="13" t="s">
        <v>205</v>
      </c>
      <c r="P22" s="15" t="e">
        <f xml:space="preserve"> IF( P16 &gt; 0, P18, NA() )</f>
        <v>#N/A</v>
      </c>
      <c r="S22" t="str">
        <v>Latvia</v>
      </c>
      <c r="T22">
        <v>0.5638117790222168</v>
      </c>
      <c r="U22">
        <v>0.21276595744680851</v>
      </c>
    </row>
    <row r="23" spans="2:21">
      <c r="B23">
        <v>2009</v>
      </c>
      <c r="C23" t="s">
        <v>6</v>
      </c>
      <c r="D23" t="s">
        <v>182</v>
      </c>
      <c r="E23" t="s">
        <v>9</v>
      </c>
      <c r="F23">
        <v>0.55230844020843506</v>
      </c>
      <c r="H23">
        <v>2017</v>
      </c>
      <c r="S23" t="str">
        <v>Hungary</v>
      </c>
      <c r="T23">
        <v>0.56923151016235352</v>
      </c>
      <c r="U23">
        <v>0.23404255319148937</v>
      </c>
    </row>
    <row r="24" spans="2:21">
      <c r="B24">
        <v>2009</v>
      </c>
      <c r="C24" t="s">
        <v>6</v>
      </c>
      <c r="D24" t="s">
        <v>182</v>
      </c>
      <c r="E24" t="s">
        <v>10</v>
      </c>
      <c r="F24">
        <v>51.200000762939453</v>
      </c>
      <c r="H24">
        <v>2018</v>
      </c>
      <c r="P24" t="s">
        <v>202</v>
      </c>
      <c r="S24" t="str">
        <v>Italy</v>
      </c>
      <c r="T24">
        <v>0.57009494304656982</v>
      </c>
      <c r="U24">
        <v>0.25531914893617019</v>
      </c>
    </row>
    <row r="25" spans="2:21">
      <c r="B25">
        <v>2009</v>
      </c>
      <c r="C25" t="s">
        <v>6</v>
      </c>
      <c r="D25" t="s">
        <v>182</v>
      </c>
      <c r="E25" t="s">
        <v>11</v>
      </c>
      <c r="F25">
        <v>0.67889636754989624</v>
      </c>
      <c r="H25">
        <v>2019</v>
      </c>
      <c r="O25" s="13" t="s">
        <v>204</v>
      </c>
      <c r="P25" s="15" t="e">
        <f xml:space="preserve"> IF( P16 &lt; 0, P16, NA() )</f>
        <v>#N/A</v>
      </c>
      <c r="S25" t="str">
        <v>Azerbaijan</v>
      </c>
      <c r="T25">
        <v>0.59885907173156738</v>
      </c>
      <c r="U25">
        <v>0.27659574468085107</v>
      </c>
    </row>
    <row r="26" spans="2:21">
      <c r="B26">
        <v>2009</v>
      </c>
      <c r="C26" t="s">
        <v>6</v>
      </c>
      <c r="D26" t="s">
        <v>182</v>
      </c>
      <c r="E26" t="s">
        <v>12</v>
      </c>
      <c r="F26">
        <v>0.19009919464588165</v>
      </c>
      <c r="H26">
        <v>2007</v>
      </c>
      <c r="J26" t="s">
        <v>206</v>
      </c>
      <c r="O26" s="13" t="s">
        <v>205</v>
      </c>
      <c r="P26" s="15" t="e">
        <f xml:space="preserve"> IF( P16 &lt; 0, P18, NA() )</f>
        <v>#N/A</v>
      </c>
      <c r="S26" t="str">
        <v>Albania</v>
      </c>
      <c r="T26">
        <v>0.60151213407516479</v>
      </c>
      <c r="U26">
        <v>0.2978723404255319</v>
      </c>
    </row>
    <row r="27" spans="2:21">
      <c r="B27">
        <v>2009</v>
      </c>
      <c r="C27" t="s">
        <v>6</v>
      </c>
      <c r="D27" t="s">
        <v>182</v>
      </c>
      <c r="E27" t="s">
        <v>13</v>
      </c>
      <c r="F27">
        <v>0.85003542900085449</v>
      </c>
      <c r="H27">
        <v>2020</v>
      </c>
      <c r="J27" t="s">
        <v>207</v>
      </c>
      <c r="K27" s="8" t="s">
        <v>197</v>
      </c>
      <c r="L27" s="8" t="s">
        <v>197</v>
      </c>
      <c r="S27" t="str">
        <v>Moldova</v>
      </c>
      <c r="T27">
        <v>0.60241854190826416</v>
      </c>
      <c r="U27">
        <v>0.31914893617021278</v>
      </c>
    </row>
    <row r="28" spans="2:21">
      <c r="B28">
        <v>2009</v>
      </c>
      <c r="C28" t="s">
        <v>6</v>
      </c>
      <c r="D28" t="s">
        <v>182</v>
      </c>
      <c r="E28" t="s">
        <v>14</v>
      </c>
      <c r="F28">
        <v>0.58392560482025146</v>
      </c>
      <c r="H28">
        <v>2006</v>
      </c>
      <c r="P28" t="s">
        <v>190</v>
      </c>
      <c r="S28" t="str">
        <v>Russia</v>
      </c>
      <c r="T28">
        <v>0.60910415649414063</v>
      </c>
      <c r="U28">
        <v>0.34042553191489361</v>
      </c>
    </row>
    <row r="29" spans="2:21">
      <c r="B29">
        <v>2009</v>
      </c>
      <c r="C29" t="s">
        <v>6</v>
      </c>
      <c r="D29" t="s">
        <v>182</v>
      </c>
      <c r="E29" t="s">
        <v>15</v>
      </c>
      <c r="F29">
        <v>0.23709242045879364</v>
      </c>
      <c r="H29">
        <v>2005</v>
      </c>
      <c r="P29" s="7" t="str" cm="1">
        <f t="array" ref="P29:P75" xml:space="preserve"> _xlfn.LET( _xlpm.countries, _xlfn.UNIQUE( _01_data[country] ),
            _xlpm.values, SUMIFS( _01_data[value],
                                         _01_data[year], H12,
                                         _01_data[metric], L12,
                                         _01_data[continent], J12,
                                         _01_data[country], _xlpm.countries ),
            _xlpm.filteredcountries, _xlfn._xlws.FILTER( _xlpm.countries, _xlpm.values &lt;&gt; 0 ),
            _xlpm.filteredvalues, SUMIFS( _01_data[value],
                                                       _01_data[year], H12,
                                                       _01_data[metric], L12,
                                                       _01_data[continent], J12,
                                                       _01_data[country], _xlpm.filteredcountries ),
            _xlpm.sortedcountries, _xlfn.SORTBY( _xlpm.filteredcountries, _xlpm.filteredvalues, IF( N14 = "Descending", -1, 1 ) ),
            _xlpm.Rows, _xlfn.SEQUENCE( ROWS( _xlpm.sortedcountries ) + 1, , 0 ),
            IF( _xlpm.Rows = 0,
                 "Do not apply",
                 INDEX( _xlpm.sortedcountries, _xlpm.Rows )
                )
           )</f>
        <v>Do not apply</v>
      </c>
      <c r="S29" t="str">
        <v>North Macedonia</v>
      </c>
      <c r="T29">
        <v>0.61305570602416992</v>
      </c>
      <c r="U29">
        <v>0.36170212765957449</v>
      </c>
    </row>
    <row r="30" spans="2:21">
      <c r="B30">
        <v>2010</v>
      </c>
      <c r="C30" t="s">
        <v>6</v>
      </c>
      <c r="D30" t="s">
        <v>182</v>
      </c>
      <c r="E30" t="s">
        <v>7</v>
      </c>
      <c r="F30">
        <v>4.7583808898925781</v>
      </c>
      <c r="O30" s="8" t="s">
        <v>197</v>
      </c>
      <c r="P30" t="str">
        <v>Norway</v>
      </c>
      <c r="S30" t="str">
        <v>Slovakia</v>
      </c>
      <c r="T30">
        <v>0.62000429630279541</v>
      </c>
      <c r="U30">
        <v>0.38297872340425532</v>
      </c>
    </row>
    <row r="31" spans="2:21">
      <c r="B31">
        <v>2010</v>
      </c>
      <c r="C31" t="s">
        <v>6</v>
      </c>
      <c r="D31" t="s">
        <v>182</v>
      </c>
      <c r="E31" t="s">
        <v>8</v>
      </c>
      <c r="F31">
        <v>7.6467089653015137</v>
      </c>
      <c r="I31" t="s">
        <v>4</v>
      </c>
      <c r="J31" s="13" t="s">
        <v>192</v>
      </c>
      <c r="K31" s="13" t="s">
        <v>191</v>
      </c>
      <c r="L31" s="13" t="s">
        <v>192</v>
      </c>
      <c r="M31" s="13" t="s">
        <v>191</v>
      </c>
      <c r="N31" t="s">
        <v>193</v>
      </c>
      <c r="P31" t="str">
        <v>Switzerland</v>
      </c>
      <c r="S31" t="str">
        <v>Kosovo</v>
      </c>
      <c r="T31">
        <v>0.63579338788986206</v>
      </c>
      <c r="U31">
        <v>0.40425531914893614</v>
      </c>
    </row>
    <row r="32" spans="2:21">
      <c r="B32">
        <v>2010</v>
      </c>
      <c r="C32" t="s">
        <v>6</v>
      </c>
      <c r="D32" t="s">
        <v>182</v>
      </c>
      <c r="E32" t="s">
        <v>9</v>
      </c>
      <c r="F32">
        <v>0.53907519578933716</v>
      </c>
      <c r="I32" t="str" cm="1">
        <f t="array" ref="I32:I40" xml:space="preserve"> _xlfn.UNIQUE(_01_data[metric] )</f>
        <v>Life Ladder</v>
      </c>
      <c r="J32" cm="1">
        <f t="array" ref="J32:J40" xml:space="preserve"> _xlfn.MINIFS( _01_data[value],
                  _01_data[year], H12,
                  _01_data[continent], J12,
                  _01_data[metric],_xlfn.ANCHORARRAY( I32) )</f>
        <v>4.222297191619873</v>
      </c>
      <c r="K32" cm="1">
        <f t="array" ref="K32:K40" xml:space="preserve"> _xlfn.MAXIFS( _01_data[value],
                  _01_data[year], H12,
                  _01_data[continent], J12,
                  _01_data[metric],_xlfn.ANCHORARRAY( I32) )</f>
        <v>7.7762088775634766</v>
      </c>
      <c r="L32" s="9">
        <f xml:space="preserve"> MROUND( J32, 0.1 ) - 0.5</f>
        <v>3.7</v>
      </c>
      <c r="M32" s="9">
        <f xml:space="preserve"> MROUND( K32, 0.1 ) + 0.5</f>
        <v>8.3000000000000007</v>
      </c>
      <c r="N32" s="9">
        <v>1</v>
      </c>
      <c r="O32" s="8" t="s">
        <v>197</v>
      </c>
      <c r="P32" t="str">
        <v>Sweden</v>
      </c>
      <c r="S32" t="str">
        <v>Bulgaria</v>
      </c>
      <c r="T32">
        <v>0.64125645160675049</v>
      </c>
      <c r="U32">
        <v>0.42553191489361702</v>
      </c>
    </row>
    <row r="33" spans="2:21">
      <c r="B33">
        <v>2010</v>
      </c>
      <c r="C33" t="s">
        <v>6</v>
      </c>
      <c r="D33" t="s">
        <v>182</v>
      </c>
      <c r="E33" t="s">
        <v>10</v>
      </c>
      <c r="F33">
        <v>51.599998474121094</v>
      </c>
      <c r="I33" t="str">
        <v>Log GDP per capita</v>
      </c>
      <c r="J33">
        <v>9.0856876373291016</v>
      </c>
      <c r="K33">
        <v>11.567008972167969</v>
      </c>
      <c r="L33" s="9">
        <f xml:space="preserve"> MROUND( J33, 0.5 ) - 1</f>
        <v>8</v>
      </c>
      <c r="M33" s="9">
        <f xml:space="preserve"> MROUND( K33, 0.5 ) + 1</f>
        <v>12.5</v>
      </c>
      <c r="N33" s="9">
        <v>1</v>
      </c>
      <c r="P33" t="str">
        <v>Denmark</v>
      </c>
      <c r="S33" t="str">
        <v>Romania</v>
      </c>
      <c r="T33">
        <v>0.64453613758087158</v>
      </c>
      <c r="U33">
        <v>0.44680851063829785</v>
      </c>
    </row>
    <row r="34" spans="2:21">
      <c r="B34">
        <v>2010</v>
      </c>
      <c r="C34" t="s">
        <v>6</v>
      </c>
      <c r="D34" t="s">
        <v>182</v>
      </c>
      <c r="E34" t="s">
        <v>11</v>
      </c>
      <c r="F34">
        <v>0.60012722015380859</v>
      </c>
      <c r="I34" t="str">
        <v>Social support</v>
      </c>
      <c r="J34">
        <v>0.53258645534515381</v>
      </c>
      <c r="K34">
        <v>0.97896528244018555</v>
      </c>
      <c r="L34" s="9">
        <f xml:space="preserve"> MROUND( J34, 0.1 ) - 0.05</f>
        <v>0.45</v>
      </c>
      <c r="M34" s="9">
        <f xml:space="preserve"> MROUND( K34, 0.1 ) + 0.05</f>
        <v>1.05</v>
      </c>
      <c r="N34" s="9">
        <v>0.1</v>
      </c>
      <c r="P34" t="str">
        <v>Finland</v>
      </c>
      <c r="S34" t="str">
        <v>Belarus</v>
      </c>
      <c r="T34">
        <v>0.64524883031845093</v>
      </c>
      <c r="U34">
        <v>0.46808510638297873</v>
      </c>
    </row>
    <row r="35" spans="2:21">
      <c r="B35">
        <v>2010</v>
      </c>
      <c r="C35" t="s">
        <v>6</v>
      </c>
      <c r="D35" t="s">
        <v>182</v>
      </c>
      <c r="E35" t="s">
        <v>12</v>
      </c>
      <c r="F35">
        <v>0.12058963626623154</v>
      </c>
      <c r="I35" t="str">
        <v>Healthy life expectancy at birth</v>
      </c>
      <c r="J35">
        <v>61.840000152587891</v>
      </c>
      <c r="K35">
        <v>73.139999389648438</v>
      </c>
      <c r="L35" s="9">
        <f xml:space="preserve"> ROUND( J35, 0 ) - 5</f>
        <v>57</v>
      </c>
      <c r="M35" s="9">
        <f xml:space="preserve"> ROUND( K35, 0 ) + 5</f>
        <v>78</v>
      </c>
      <c r="N35" s="9">
        <v>5</v>
      </c>
      <c r="O35" s="8"/>
      <c r="P35" t="str">
        <v>Austria</v>
      </c>
      <c r="S35" t="str">
        <v>Georgia</v>
      </c>
      <c r="T35">
        <v>0.65872400999069214</v>
      </c>
      <c r="U35">
        <v>0.48936170212765956</v>
      </c>
    </row>
    <row r="36" spans="2:21">
      <c r="B36">
        <v>2010</v>
      </c>
      <c r="C36" t="s">
        <v>6</v>
      </c>
      <c r="D36" t="s">
        <v>182</v>
      </c>
      <c r="E36" t="s">
        <v>13</v>
      </c>
      <c r="F36">
        <v>0.70676606893539429</v>
      </c>
      <c r="I36" t="str">
        <v>Freedom to make life choices</v>
      </c>
      <c r="J36">
        <v>0.3726104199886322</v>
      </c>
      <c r="K36">
        <v>0.94656586647033691</v>
      </c>
      <c r="L36" s="9">
        <f xml:space="preserve"> MROUND( J36, 0.1 ) - 0.1</f>
        <v>0.30000000000000004</v>
      </c>
      <c r="M36" s="9">
        <f xml:space="preserve"> MROUND( K36, 0.1 ) + 0.1</f>
        <v>1</v>
      </c>
      <c r="N36" s="9">
        <v>0.1</v>
      </c>
      <c r="P36" t="str">
        <v>Luxembourg</v>
      </c>
      <c r="S36" t="str">
        <v>North Cyprus</v>
      </c>
      <c r="T36">
        <v>0.69256764650344849</v>
      </c>
      <c r="U36">
        <v>0.51063829787234039</v>
      </c>
    </row>
    <row r="37" spans="2:21">
      <c r="B37">
        <v>2010</v>
      </c>
      <c r="C37" t="s">
        <v>6</v>
      </c>
      <c r="D37" t="s">
        <v>182</v>
      </c>
      <c r="E37" t="s">
        <v>14</v>
      </c>
      <c r="F37">
        <v>0.61826545000076294</v>
      </c>
      <c r="I37" t="str">
        <v>Generosity</v>
      </c>
      <c r="J37">
        <v>-0.30490773916244507</v>
      </c>
      <c r="K37">
        <v>0.37128815054893494</v>
      </c>
      <c r="L37" s="9">
        <f xml:space="preserve"> MROUND( J37, -0.05 ) - 0.1</f>
        <v>-0.4</v>
      </c>
      <c r="M37" s="9">
        <f xml:space="preserve"> MROUND( K37, 0.1 ) + 0.1</f>
        <v>0.5</v>
      </c>
      <c r="N37" s="9">
        <v>0.1</v>
      </c>
      <c r="P37" t="str">
        <v>Iceland</v>
      </c>
      <c r="S37" t="str">
        <v>Estonia</v>
      </c>
      <c r="T37">
        <v>0.69682574272155762</v>
      </c>
      <c r="U37">
        <v>0.53191489361702127</v>
      </c>
    </row>
    <row r="38" spans="2:21">
      <c r="B38">
        <v>2010</v>
      </c>
      <c r="C38" t="s">
        <v>6</v>
      </c>
      <c r="D38" t="s">
        <v>182</v>
      </c>
      <c r="E38" t="s">
        <v>15</v>
      </c>
      <c r="F38">
        <v>0.27532380819320679</v>
      </c>
      <c r="I38" t="str">
        <v>Perceptions of corruption</v>
      </c>
      <c r="J38">
        <v>0.18740761280059814</v>
      </c>
      <c r="K38">
        <v>0.95948612689971924</v>
      </c>
      <c r="L38" s="9">
        <f xml:space="preserve"> MROUND( J38, 0.1 ) - 0.1</f>
        <v>0.1</v>
      </c>
      <c r="M38" s="9">
        <f xml:space="preserve"> MROUND( K38, 0.1 ) + 0.05</f>
        <v>1.05</v>
      </c>
      <c r="N38" s="9">
        <v>0.1</v>
      </c>
      <c r="P38" t="str">
        <v>Germany</v>
      </c>
      <c r="S38" t="str">
        <v>Cyprus</v>
      </c>
      <c r="T38">
        <v>0.72462958097457886</v>
      </c>
      <c r="U38">
        <v>0.55319148936170215</v>
      </c>
    </row>
    <row r="39" spans="2:21">
      <c r="B39">
        <v>2011</v>
      </c>
      <c r="C39" t="s">
        <v>6</v>
      </c>
      <c r="D39" t="s">
        <v>182</v>
      </c>
      <c r="E39" t="s">
        <v>7</v>
      </c>
      <c r="F39">
        <v>3.8317191600799561</v>
      </c>
      <c r="I39" t="str">
        <v>Positive affect</v>
      </c>
      <c r="J39">
        <v>0.5143323540687561</v>
      </c>
      <c r="K39">
        <v>0.89971846342086792</v>
      </c>
      <c r="L39" s="9">
        <f xml:space="preserve"> MROUND( J39, 0.1 ) - 0.05</f>
        <v>0.45</v>
      </c>
      <c r="M39" s="9">
        <f xml:space="preserve"> MROUND( K39, 0.1 ) + 0.05</f>
        <v>0.95000000000000007</v>
      </c>
      <c r="N39" s="9">
        <v>0.1</v>
      </c>
      <c r="P39" t="str">
        <v>Slovenia</v>
      </c>
      <c r="S39" t="str">
        <v>Czech Republic</v>
      </c>
      <c r="T39">
        <v>0.73980873823165894</v>
      </c>
      <c r="U39">
        <v>0.57446808510638303</v>
      </c>
    </row>
    <row r="40" spans="2:21">
      <c r="B40">
        <v>2011</v>
      </c>
      <c r="C40" t="s">
        <v>6</v>
      </c>
      <c r="D40" t="s">
        <v>182</v>
      </c>
      <c r="E40" t="s">
        <v>8</v>
      </c>
      <c r="F40">
        <v>7.6195321083068848</v>
      </c>
      <c r="I40" t="str">
        <v>Negative affect</v>
      </c>
      <c r="J40">
        <v>9.9630385637283325E-2</v>
      </c>
      <c r="K40">
        <v>0.46385544538497925</v>
      </c>
      <c r="L40" s="9">
        <f xml:space="preserve"> MROUND( J40, 0.05 ) - 0.05</f>
        <v>0.05</v>
      </c>
      <c r="M40" s="9">
        <f xml:space="preserve"> MROUND( K40, 0.1 ) + 0.05</f>
        <v>0.55000000000000004</v>
      </c>
      <c r="N40" s="9">
        <v>0.1</v>
      </c>
      <c r="P40" t="str">
        <v>Ireland</v>
      </c>
      <c r="S40" t="str">
        <v>Spain</v>
      </c>
      <c r="T40">
        <v>0.75458610057830811</v>
      </c>
      <c r="U40">
        <v>0.5957446808510638</v>
      </c>
    </row>
    <row r="41" spans="2:21">
      <c r="B41">
        <v>2011</v>
      </c>
      <c r="C41" t="s">
        <v>6</v>
      </c>
      <c r="D41" t="s">
        <v>182</v>
      </c>
      <c r="E41" t="s">
        <v>9</v>
      </c>
      <c r="F41">
        <v>0.52110356092453003</v>
      </c>
      <c r="P41" t="str">
        <v>United Kingdom</v>
      </c>
      <c r="S41" t="str">
        <v>Portugal</v>
      </c>
      <c r="T41">
        <v>0.77382141351699829</v>
      </c>
      <c r="U41">
        <v>0.61702127659574468</v>
      </c>
    </row>
    <row r="42" spans="2:21">
      <c r="B42">
        <v>2011</v>
      </c>
      <c r="C42" t="s">
        <v>6</v>
      </c>
      <c r="D42" t="s">
        <v>182</v>
      </c>
      <c r="E42" t="s">
        <v>10</v>
      </c>
      <c r="F42">
        <v>51.919998168945313</v>
      </c>
      <c r="I42" t="s">
        <v>193</v>
      </c>
      <c r="K42" s="10" t="s">
        <v>196</v>
      </c>
      <c r="P42" t="str">
        <v>Netherlands</v>
      </c>
      <c r="S42" t="str">
        <v>Poland</v>
      </c>
      <c r="T42">
        <v>0.81130170822143555</v>
      </c>
      <c r="U42">
        <v>0.63829787234042556</v>
      </c>
    </row>
    <row r="43" spans="2:21">
      <c r="B43">
        <v>2011</v>
      </c>
      <c r="C43" t="s">
        <v>6</v>
      </c>
      <c r="D43" t="s">
        <v>182</v>
      </c>
      <c r="E43" t="s">
        <v>11</v>
      </c>
      <c r="F43">
        <v>0.49590140581130981</v>
      </c>
      <c r="I43" s="18" cm="1">
        <f t="array" ref="I43" xml:space="preserve"> _xlfn.XLOOKUP( L12,_xlfn.ANCHORARRAY( I32), L32:L40 )</f>
        <v>0.30000000000000004</v>
      </c>
      <c r="K43" s="22" t="str" cm="1">
        <f t="array" aca="1" ref="K43" ca="1">ScaleChartAxis("example","Chart 1","Y","Primary",I43,I44,I45 )</f>
        <v>Sheet 'example' Chart 'Chart 1' Primary Y Axis {0.3, 1, 0.1, null}</v>
      </c>
      <c r="L43" s="8" t="s">
        <v>197</v>
      </c>
      <c r="P43" t="str">
        <v>Malta</v>
      </c>
      <c r="S43" t="str">
        <v>France</v>
      </c>
      <c r="T43">
        <v>0.84132033586502075</v>
      </c>
      <c r="U43">
        <v>0.65957446808510634</v>
      </c>
    </row>
    <row r="44" spans="2:21">
      <c r="B44">
        <v>2011</v>
      </c>
      <c r="C44" t="s">
        <v>6</v>
      </c>
      <c r="D44" t="s">
        <v>182</v>
      </c>
      <c r="E44" t="s">
        <v>12</v>
      </c>
      <c r="F44">
        <v>0.16242748498916626</v>
      </c>
      <c r="I44" s="19" cm="1">
        <f t="array" ref="I44" xml:space="preserve"> _xlfn.XLOOKUP( L12,_xlfn.ANCHORARRAY( I32), M32:M40 )</f>
        <v>1</v>
      </c>
      <c r="O44" s="8"/>
      <c r="P44" t="str">
        <v>Belgium</v>
      </c>
      <c r="S44" t="str">
        <v>Belgium</v>
      </c>
      <c r="T44">
        <v>0.85526663064956665</v>
      </c>
      <c r="U44">
        <v>0.68085106382978722</v>
      </c>
    </row>
    <row r="45" spans="2:21">
      <c r="B45">
        <v>2011</v>
      </c>
      <c r="C45" t="s">
        <v>6</v>
      </c>
      <c r="D45" t="s">
        <v>182</v>
      </c>
      <c r="E45" t="s">
        <v>13</v>
      </c>
      <c r="F45">
        <v>0.73110854625701904</v>
      </c>
      <c r="I45" s="17" cm="1">
        <f t="array" ref="I45" xml:space="preserve"> _xlfn.XLOOKUP( L12,_xlfn.ANCHORARRAY( I32), N32:N40 )</f>
        <v>0.1</v>
      </c>
      <c r="K45" s="10" t="s">
        <v>196</v>
      </c>
      <c r="P45" t="str">
        <v>France</v>
      </c>
      <c r="S45" t="str">
        <v>Malta</v>
      </c>
      <c r="T45">
        <v>0.86068987846374512</v>
      </c>
      <c r="U45">
        <v>0.7021276595744681</v>
      </c>
    </row>
    <row r="46" spans="2:21">
      <c r="B46">
        <v>2011</v>
      </c>
      <c r="C46" t="s">
        <v>6</v>
      </c>
      <c r="D46" t="s">
        <v>182</v>
      </c>
      <c r="E46" t="s">
        <v>14</v>
      </c>
      <c r="F46">
        <v>0.61138731241226196</v>
      </c>
      <c r="K46" s="22" t="str" cm="1">
        <f t="array" aca="1" ref="K46" ca="1">ScaleChartAxis("example","Chart 1","X","Secondary",I43,I44,I45 )</f>
        <v>Sheet 'example' Chart 'Chart 1' Secondary X Axis {0.3, 1, 0.1, null}</v>
      </c>
      <c r="L46" s="8" t="s">
        <v>197</v>
      </c>
      <c r="P46" t="str">
        <v>Poland</v>
      </c>
      <c r="S46" t="str">
        <v>Netherlands</v>
      </c>
      <c r="T46">
        <v>0.87711864709854126</v>
      </c>
      <c r="U46">
        <v>0.72340425531914898</v>
      </c>
    </row>
    <row r="47" spans="2:21">
      <c r="B47">
        <v>2011</v>
      </c>
      <c r="C47" t="s">
        <v>6</v>
      </c>
      <c r="D47" t="s">
        <v>182</v>
      </c>
      <c r="E47" t="s">
        <v>15</v>
      </c>
      <c r="F47">
        <v>0.26717469096183777</v>
      </c>
      <c r="P47" t="str">
        <v>Portugal</v>
      </c>
      <c r="S47" t="str">
        <v>United Kingdom</v>
      </c>
      <c r="T47">
        <v>0.88897049427032471</v>
      </c>
      <c r="U47">
        <v>0.74468085106382975</v>
      </c>
    </row>
    <row r="48" spans="2:21">
      <c r="B48">
        <v>2012</v>
      </c>
      <c r="C48" t="s">
        <v>6</v>
      </c>
      <c r="D48" t="s">
        <v>182</v>
      </c>
      <c r="E48" t="s">
        <v>7</v>
      </c>
      <c r="F48">
        <v>3.7829375267028809</v>
      </c>
      <c r="P48" t="str">
        <v>Spain</v>
      </c>
      <c r="S48" t="str">
        <v>Ireland</v>
      </c>
      <c r="T48">
        <v>0.9021945595741272</v>
      </c>
      <c r="U48">
        <v>0.76595744680851063</v>
      </c>
    </row>
    <row r="49" spans="2:21">
      <c r="B49">
        <v>2012</v>
      </c>
      <c r="C49" t="s">
        <v>6</v>
      </c>
      <c r="D49" t="s">
        <v>182</v>
      </c>
      <c r="E49" t="s">
        <v>8</v>
      </c>
      <c r="F49">
        <v>7.7054791450500488</v>
      </c>
      <c r="P49" t="str">
        <v>Czech Republic</v>
      </c>
      <c r="S49" t="str">
        <v>Slovenia</v>
      </c>
      <c r="T49">
        <v>0.90438628196716309</v>
      </c>
      <c r="U49">
        <v>0.78723404255319152</v>
      </c>
    </row>
    <row r="50" spans="2:21">
      <c r="B50">
        <v>2012</v>
      </c>
      <c r="C50" t="s">
        <v>6</v>
      </c>
      <c r="D50" t="s">
        <v>182</v>
      </c>
      <c r="E50" t="s">
        <v>9</v>
      </c>
      <c r="F50">
        <v>0.52063673734664917</v>
      </c>
      <c r="P50" t="str">
        <v>Cyprus</v>
      </c>
      <c r="S50" t="str">
        <v>Germany</v>
      </c>
      <c r="T50">
        <v>0.90444046258926392</v>
      </c>
      <c r="U50">
        <v>0.80851063829787229</v>
      </c>
    </row>
    <row r="51" spans="2:21">
      <c r="B51">
        <v>2012</v>
      </c>
      <c r="C51" t="s">
        <v>6</v>
      </c>
      <c r="D51" t="s">
        <v>182</v>
      </c>
      <c r="E51" t="s">
        <v>10</v>
      </c>
      <c r="F51">
        <v>52.240001678466797</v>
      </c>
      <c r="P51" t="str">
        <v>Estonia</v>
      </c>
      <c r="S51" t="str">
        <v>Iceland</v>
      </c>
      <c r="T51">
        <v>0.90465450286865234</v>
      </c>
      <c r="U51">
        <v>0.82978723404255317</v>
      </c>
    </row>
    <row r="52" spans="2:21">
      <c r="B52">
        <v>2012</v>
      </c>
      <c r="C52" t="s">
        <v>6</v>
      </c>
      <c r="D52" t="s">
        <v>182</v>
      </c>
      <c r="E52" t="s">
        <v>11</v>
      </c>
      <c r="F52">
        <v>0.53093504905700684</v>
      </c>
      <c r="P52" t="str">
        <v>North Cyprus</v>
      </c>
      <c r="S52" t="str">
        <v>Luxembourg</v>
      </c>
      <c r="T52">
        <v>0.91652095317840576</v>
      </c>
      <c r="U52">
        <v>0.85106382978723405</v>
      </c>
    </row>
    <row r="53" spans="2:21">
      <c r="B53">
        <v>2012</v>
      </c>
      <c r="C53" t="s">
        <v>6</v>
      </c>
      <c r="D53" t="s">
        <v>182</v>
      </c>
      <c r="E53" t="s">
        <v>12</v>
      </c>
      <c r="F53">
        <v>0.23603241145610809</v>
      </c>
      <c r="P53" t="str">
        <v>Georgia</v>
      </c>
      <c r="S53" t="str">
        <v>Austria</v>
      </c>
      <c r="T53">
        <v>0.9197039008140564</v>
      </c>
      <c r="U53">
        <v>0.87234042553191493</v>
      </c>
    </row>
    <row r="54" spans="2:21">
      <c r="B54">
        <v>2012</v>
      </c>
      <c r="C54" t="s">
        <v>6</v>
      </c>
      <c r="D54" t="s">
        <v>182</v>
      </c>
      <c r="E54" t="s">
        <v>13</v>
      </c>
      <c r="F54">
        <v>0.77561980485916138</v>
      </c>
      <c r="P54" t="str">
        <v>Belarus</v>
      </c>
      <c r="S54" t="str">
        <v>Finland</v>
      </c>
      <c r="T54">
        <v>0.92096811532974243</v>
      </c>
      <c r="U54">
        <v>0.8936170212765957</v>
      </c>
    </row>
    <row r="55" spans="2:21">
      <c r="B55">
        <v>2012</v>
      </c>
      <c r="C55" t="s">
        <v>6</v>
      </c>
      <c r="D55" t="s">
        <v>182</v>
      </c>
      <c r="E55" t="s">
        <v>14</v>
      </c>
      <c r="F55">
        <v>0.71038472652435303</v>
      </c>
      <c r="P55" t="str">
        <v>Romania</v>
      </c>
      <c r="S55" t="str">
        <v>Denmark</v>
      </c>
      <c r="T55">
        <v>0.93262791633605957</v>
      </c>
      <c r="U55">
        <v>0.91489361702127658</v>
      </c>
    </row>
    <row r="56" spans="2:21">
      <c r="B56">
        <v>2012</v>
      </c>
      <c r="C56" t="s">
        <v>6</v>
      </c>
      <c r="D56" t="s">
        <v>182</v>
      </c>
      <c r="E56" t="s">
        <v>15</v>
      </c>
      <c r="F56">
        <v>0.26791912317276001</v>
      </c>
      <c r="P56" t="str">
        <v>Bulgaria</v>
      </c>
      <c r="S56" t="str">
        <v>Sweden</v>
      </c>
      <c r="T56">
        <v>0.9443821907043457</v>
      </c>
      <c r="U56">
        <v>0.93617021276595747</v>
      </c>
    </row>
    <row r="57" spans="2:21">
      <c r="B57">
        <v>2013</v>
      </c>
      <c r="C57" t="s">
        <v>6</v>
      </c>
      <c r="D57" t="s">
        <v>182</v>
      </c>
      <c r="E57" t="s">
        <v>7</v>
      </c>
      <c r="F57">
        <v>3.5721004009246826</v>
      </c>
      <c r="P57" t="str">
        <v>Kosovo</v>
      </c>
      <c r="S57" t="str">
        <v>Switzerland</v>
      </c>
      <c r="T57">
        <v>0.94542801380157471</v>
      </c>
      <c r="U57">
        <v>0.95744680851063835</v>
      </c>
    </row>
    <row r="58" spans="2:21">
      <c r="B58">
        <v>2013</v>
      </c>
      <c r="C58" t="s">
        <v>6</v>
      </c>
      <c r="D58" t="s">
        <v>182</v>
      </c>
      <c r="E58" t="s">
        <v>8</v>
      </c>
      <c r="F58">
        <v>7.7250285148620605</v>
      </c>
      <c r="K58" s="13" t="s">
        <v>208</v>
      </c>
      <c r="L58" s="20" t="s">
        <v>209</v>
      </c>
      <c r="N58" s="8" t="s">
        <v>197</v>
      </c>
      <c r="P58" t="str">
        <v>Slovakia</v>
      </c>
      <c r="S58" t="str">
        <v>Norway</v>
      </c>
      <c r="T58">
        <v>0.94656586647033691</v>
      </c>
      <c r="U58">
        <v>0.97872340425531912</v>
      </c>
    </row>
    <row r="59" spans="2:21">
      <c r="B59">
        <v>2013</v>
      </c>
      <c r="C59" t="s">
        <v>6</v>
      </c>
      <c r="D59" t="s">
        <v>182</v>
      </c>
      <c r="E59" t="s">
        <v>9</v>
      </c>
      <c r="F59">
        <v>0.48355185985565186</v>
      </c>
      <c r="P59" t="str">
        <v>North Macedonia</v>
      </c>
      <c r="S59" t="str">
        <v/>
      </c>
      <c r="T59" t="e">
        <v>#N/A</v>
      </c>
      <c r="U59">
        <v>1</v>
      </c>
    </row>
    <row r="60" spans="2:21">
      <c r="B60">
        <v>2013</v>
      </c>
      <c r="C60" t="s">
        <v>6</v>
      </c>
      <c r="D60" t="s">
        <v>182</v>
      </c>
      <c r="E60" t="s">
        <v>10</v>
      </c>
      <c r="F60">
        <v>52.560001373291016</v>
      </c>
      <c r="K60" s="13" t="s">
        <v>210</v>
      </c>
      <c r="L60" s="21" t="s">
        <v>211</v>
      </c>
      <c r="N60" s="8" t="s">
        <v>197</v>
      </c>
      <c r="P60" t="str">
        <v>Russia</v>
      </c>
    </row>
    <row r="61" spans="2:21">
      <c r="B61">
        <v>2013</v>
      </c>
      <c r="C61" t="s">
        <v>6</v>
      </c>
      <c r="D61" t="s">
        <v>182</v>
      </c>
      <c r="E61" t="s">
        <v>11</v>
      </c>
      <c r="F61">
        <v>0.57795536518096924</v>
      </c>
      <c r="P61" t="str">
        <v>Moldova</v>
      </c>
    </row>
    <row r="62" spans="2:21">
      <c r="B62">
        <v>2013</v>
      </c>
      <c r="C62" t="s">
        <v>6</v>
      </c>
      <c r="D62" t="s">
        <v>182</v>
      </c>
      <c r="E62" t="s">
        <v>12</v>
      </c>
      <c r="F62">
        <v>6.114766001701355E-2</v>
      </c>
      <c r="K62" s="13" t="s">
        <v>212</v>
      </c>
      <c r="L62" s="21" t="s">
        <v>213</v>
      </c>
      <c r="N62" s="8" t="s">
        <v>197</v>
      </c>
      <c r="P62" t="str">
        <v>Albania</v>
      </c>
    </row>
    <row r="63" spans="2:21">
      <c r="B63">
        <v>2013</v>
      </c>
      <c r="C63" t="s">
        <v>6</v>
      </c>
      <c r="D63" t="s">
        <v>182</v>
      </c>
      <c r="E63" t="s">
        <v>13</v>
      </c>
      <c r="F63">
        <v>0.82320410013198853</v>
      </c>
      <c r="P63" t="str">
        <v>Azerbaijan</v>
      </c>
    </row>
    <row r="64" spans="2:21">
      <c r="B64">
        <v>2013</v>
      </c>
      <c r="C64" t="s">
        <v>6</v>
      </c>
      <c r="D64" t="s">
        <v>182</v>
      </c>
      <c r="E64" t="s">
        <v>14</v>
      </c>
      <c r="F64">
        <v>0.62058484554290771</v>
      </c>
      <c r="J64" t="s">
        <v>220</v>
      </c>
      <c r="N64" s="8"/>
      <c r="P64" t="str">
        <v>Italy</v>
      </c>
    </row>
    <row r="65" spans="2:16">
      <c r="B65">
        <v>2013</v>
      </c>
      <c r="C65" t="s">
        <v>6</v>
      </c>
      <c r="D65" t="s">
        <v>182</v>
      </c>
      <c r="E65" t="s">
        <v>15</v>
      </c>
      <c r="F65">
        <v>0.27332809567451477</v>
      </c>
      <c r="P65" t="str">
        <v>Hungary</v>
      </c>
    </row>
    <row r="66" spans="2:16">
      <c r="B66">
        <v>2014</v>
      </c>
      <c r="C66" t="s">
        <v>6</v>
      </c>
      <c r="D66" t="s">
        <v>182</v>
      </c>
      <c r="E66" t="s">
        <v>7</v>
      </c>
      <c r="F66">
        <v>3.1308956146240234</v>
      </c>
      <c r="K66" s="13" t="s">
        <v>217</v>
      </c>
      <c r="L66" s="21" t="s">
        <v>214</v>
      </c>
      <c r="N66" s="8" t="s">
        <v>197</v>
      </c>
      <c r="P66" t="str">
        <v>Latvia</v>
      </c>
    </row>
    <row r="67" spans="2:16">
      <c r="B67">
        <v>2014</v>
      </c>
      <c r="C67" t="s">
        <v>6</v>
      </c>
      <c r="D67" t="s">
        <v>182</v>
      </c>
      <c r="E67" t="s">
        <v>8</v>
      </c>
      <c r="F67">
        <v>7.7183537483215332</v>
      </c>
      <c r="P67" t="str">
        <v>Ukraine</v>
      </c>
    </row>
    <row r="68" spans="2:16">
      <c r="B68">
        <v>2014</v>
      </c>
      <c r="C68" t="s">
        <v>6</v>
      </c>
      <c r="D68" t="s">
        <v>182</v>
      </c>
      <c r="E68" t="s">
        <v>9</v>
      </c>
      <c r="F68">
        <v>0.52556842565536499</v>
      </c>
      <c r="K68" s="13" t="s">
        <v>218</v>
      </c>
      <c r="L68" s="20" t="s">
        <v>215</v>
      </c>
      <c r="N68" s="8" t="s">
        <v>197</v>
      </c>
      <c r="P68" t="str">
        <v>Croatia</v>
      </c>
    </row>
    <row r="69" spans="2:16">
      <c r="B69">
        <v>2014</v>
      </c>
      <c r="C69" t="s">
        <v>6</v>
      </c>
      <c r="D69" t="s">
        <v>182</v>
      </c>
      <c r="E69" t="s">
        <v>10</v>
      </c>
      <c r="F69">
        <v>52.880001068115234</v>
      </c>
      <c r="P69" t="str">
        <v>Lithuania</v>
      </c>
    </row>
    <row r="70" spans="2:16">
      <c r="B70">
        <v>2014</v>
      </c>
      <c r="C70" t="s">
        <v>6</v>
      </c>
      <c r="D70" t="s">
        <v>182</v>
      </c>
      <c r="E70" t="s">
        <v>11</v>
      </c>
      <c r="F70">
        <v>0.50851404666900635</v>
      </c>
      <c r="K70" s="13" t="s">
        <v>219</v>
      </c>
      <c r="L70" s="21" t="s">
        <v>216</v>
      </c>
      <c r="N70" s="8" t="s">
        <v>197</v>
      </c>
      <c r="P70" t="str">
        <v>Armenia</v>
      </c>
    </row>
    <row r="71" spans="2:16">
      <c r="B71">
        <v>2014</v>
      </c>
      <c r="C71" t="s">
        <v>6</v>
      </c>
      <c r="D71" t="s">
        <v>182</v>
      </c>
      <c r="E71" t="s">
        <v>12</v>
      </c>
      <c r="F71">
        <v>0.10401254892349243</v>
      </c>
      <c r="P71" t="str">
        <v>Turkey</v>
      </c>
    </row>
    <row r="72" spans="2:16">
      <c r="B72">
        <v>2014</v>
      </c>
      <c r="C72" t="s">
        <v>6</v>
      </c>
      <c r="D72" t="s">
        <v>182</v>
      </c>
      <c r="E72" t="s">
        <v>13</v>
      </c>
      <c r="F72">
        <v>0.8712419867515564</v>
      </c>
      <c r="P72" t="str">
        <v>Montenegro</v>
      </c>
    </row>
    <row r="73" spans="2:16">
      <c r="B73">
        <v>2014</v>
      </c>
      <c r="C73" t="s">
        <v>6</v>
      </c>
      <c r="D73" t="s">
        <v>182</v>
      </c>
      <c r="E73" t="s">
        <v>14</v>
      </c>
      <c r="F73">
        <v>0.53169149160385132</v>
      </c>
      <c r="P73" t="str">
        <v>Serbia</v>
      </c>
    </row>
    <row r="74" spans="2:16">
      <c r="B74">
        <v>2014</v>
      </c>
      <c r="C74" t="s">
        <v>6</v>
      </c>
      <c r="D74" t="s">
        <v>182</v>
      </c>
      <c r="E74" t="s">
        <v>15</v>
      </c>
      <c r="F74">
        <v>0.3748607337474823</v>
      </c>
      <c r="P74" t="str">
        <v>Bosnia and Herzegovina</v>
      </c>
    </row>
    <row r="75" spans="2:16">
      <c r="B75">
        <v>2015</v>
      </c>
      <c r="C75" t="s">
        <v>6</v>
      </c>
      <c r="D75" t="s">
        <v>182</v>
      </c>
      <c r="E75" t="s">
        <v>7</v>
      </c>
      <c r="F75">
        <v>3.9828546047210693</v>
      </c>
      <c r="P75" t="str">
        <v>Greece</v>
      </c>
    </row>
    <row r="76" spans="2:16">
      <c r="B76">
        <v>2015</v>
      </c>
      <c r="C76" t="s">
        <v>6</v>
      </c>
      <c r="D76" t="s">
        <v>182</v>
      </c>
      <c r="E76" t="s">
        <v>8</v>
      </c>
      <c r="F76">
        <v>7.7019920349121094</v>
      </c>
    </row>
    <row r="77" spans="2:16">
      <c r="B77">
        <v>2015</v>
      </c>
      <c r="C77" t="s">
        <v>6</v>
      </c>
      <c r="D77" t="s">
        <v>182</v>
      </c>
      <c r="E77" t="s">
        <v>9</v>
      </c>
      <c r="F77">
        <v>0.52859723567962646</v>
      </c>
    </row>
    <row r="78" spans="2:16">
      <c r="B78">
        <v>2015</v>
      </c>
      <c r="C78" t="s">
        <v>6</v>
      </c>
      <c r="D78" t="s">
        <v>182</v>
      </c>
      <c r="E78" t="s">
        <v>10</v>
      </c>
      <c r="F78">
        <v>53.200000762939453</v>
      </c>
    </row>
    <row r="79" spans="2:16">
      <c r="B79">
        <v>2015</v>
      </c>
      <c r="C79" t="s">
        <v>6</v>
      </c>
      <c r="D79" t="s">
        <v>182</v>
      </c>
      <c r="E79" t="s">
        <v>11</v>
      </c>
      <c r="F79">
        <v>0.38892757892608643</v>
      </c>
    </row>
    <row r="80" spans="2:16">
      <c r="B80">
        <v>2015</v>
      </c>
      <c r="C80" t="s">
        <v>6</v>
      </c>
      <c r="D80" t="s">
        <v>182</v>
      </c>
      <c r="E80" t="s">
        <v>12</v>
      </c>
      <c r="F80">
        <v>7.9864107072353363E-2</v>
      </c>
    </row>
    <row r="81" spans="2:6">
      <c r="B81">
        <v>2015</v>
      </c>
      <c r="C81" t="s">
        <v>6</v>
      </c>
      <c r="D81" t="s">
        <v>182</v>
      </c>
      <c r="E81" t="s">
        <v>13</v>
      </c>
      <c r="F81">
        <v>0.88063830137252808</v>
      </c>
    </row>
    <row r="82" spans="2:6">
      <c r="B82">
        <v>2015</v>
      </c>
      <c r="C82" t="s">
        <v>6</v>
      </c>
      <c r="D82" t="s">
        <v>182</v>
      </c>
      <c r="E82" t="s">
        <v>14</v>
      </c>
      <c r="F82">
        <v>0.55355316400527954</v>
      </c>
    </row>
    <row r="83" spans="2:6">
      <c r="B83">
        <v>2015</v>
      </c>
      <c r="C83" t="s">
        <v>6</v>
      </c>
      <c r="D83" t="s">
        <v>182</v>
      </c>
      <c r="E83" t="s">
        <v>15</v>
      </c>
      <c r="F83">
        <v>0.33927604556083679</v>
      </c>
    </row>
    <row r="84" spans="2:6">
      <c r="B84">
        <v>2016</v>
      </c>
      <c r="C84" t="s">
        <v>6</v>
      </c>
      <c r="D84" t="s">
        <v>182</v>
      </c>
      <c r="E84" t="s">
        <v>7</v>
      </c>
      <c r="F84">
        <v>4.2201685905456543</v>
      </c>
    </row>
    <row r="85" spans="2:6">
      <c r="B85">
        <v>2016</v>
      </c>
      <c r="C85" t="s">
        <v>6</v>
      </c>
      <c r="D85" t="s">
        <v>182</v>
      </c>
      <c r="E85" t="s">
        <v>8</v>
      </c>
      <c r="F85">
        <v>7.6965599060058594</v>
      </c>
    </row>
    <row r="86" spans="2:6">
      <c r="B86">
        <v>2016</v>
      </c>
      <c r="C86" t="s">
        <v>6</v>
      </c>
      <c r="D86" t="s">
        <v>182</v>
      </c>
      <c r="E86" t="s">
        <v>9</v>
      </c>
      <c r="F86">
        <v>0.55907177925109863</v>
      </c>
    </row>
    <row r="87" spans="2:6">
      <c r="B87">
        <v>2016</v>
      </c>
      <c r="C87" t="s">
        <v>6</v>
      </c>
      <c r="D87" t="s">
        <v>182</v>
      </c>
      <c r="E87" t="s">
        <v>10</v>
      </c>
      <c r="F87">
        <v>53</v>
      </c>
    </row>
    <row r="88" spans="2:6">
      <c r="B88">
        <v>2016</v>
      </c>
      <c r="C88" t="s">
        <v>6</v>
      </c>
      <c r="D88" t="s">
        <v>182</v>
      </c>
      <c r="E88" t="s">
        <v>11</v>
      </c>
      <c r="F88">
        <v>0.52256619930267334</v>
      </c>
    </row>
    <row r="89" spans="2:6">
      <c r="B89">
        <v>2016</v>
      </c>
      <c r="C89" t="s">
        <v>6</v>
      </c>
      <c r="D89" t="s">
        <v>182</v>
      </c>
      <c r="E89" t="s">
        <v>12</v>
      </c>
      <c r="F89">
        <v>4.2265407741069794E-2</v>
      </c>
    </row>
    <row r="90" spans="2:6">
      <c r="B90">
        <v>2016</v>
      </c>
      <c r="C90" t="s">
        <v>6</v>
      </c>
      <c r="D90" t="s">
        <v>182</v>
      </c>
      <c r="E90" t="s">
        <v>13</v>
      </c>
      <c r="F90">
        <v>0.79324555397033691</v>
      </c>
    </row>
    <row r="91" spans="2:6">
      <c r="B91">
        <v>2016</v>
      </c>
      <c r="C91" t="s">
        <v>6</v>
      </c>
      <c r="D91" t="s">
        <v>182</v>
      </c>
      <c r="E91" t="s">
        <v>14</v>
      </c>
      <c r="F91">
        <v>0.56495267152786255</v>
      </c>
    </row>
    <row r="92" spans="2:6">
      <c r="B92">
        <v>2016</v>
      </c>
      <c r="C92" t="s">
        <v>6</v>
      </c>
      <c r="D92" t="s">
        <v>182</v>
      </c>
      <c r="E92" t="s">
        <v>15</v>
      </c>
      <c r="F92">
        <v>0.34833228588104248</v>
      </c>
    </row>
    <row r="93" spans="2:6">
      <c r="B93">
        <v>2017</v>
      </c>
      <c r="C93" t="s">
        <v>6</v>
      </c>
      <c r="D93" t="s">
        <v>182</v>
      </c>
      <c r="E93" t="s">
        <v>7</v>
      </c>
      <c r="F93">
        <v>2.6617181301116943</v>
      </c>
    </row>
    <row r="94" spans="2:6">
      <c r="B94">
        <v>2017</v>
      </c>
      <c r="C94" t="s">
        <v>6</v>
      </c>
      <c r="D94" t="s">
        <v>182</v>
      </c>
      <c r="E94" t="s">
        <v>8</v>
      </c>
      <c r="F94">
        <v>7.697380542755127</v>
      </c>
    </row>
    <row r="95" spans="2:6">
      <c r="B95">
        <v>2017</v>
      </c>
      <c r="C95" t="s">
        <v>6</v>
      </c>
      <c r="D95" t="s">
        <v>182</v>
      </c>
      <c r="E95" t="s">
        <v>9</v>
      </c>
      <c r="F95">
        <v>0.49088007211685181</v>
      </c>
    </row>
    <row r="96" spans="2:6">
      <c r="B96">
        <v>2017</v>
      </c>
      <c r="C96" t="s">
        <v>6</v>
      </c>
      <c r="D96" t="s">
        <v>182</v>
      </c>
      <c r="E96" t="s">
        <v>10</v>
      </c>
      <c r="F96">
        <v>52.799999237060547</v>
      </c>
    </row>
    <row r="97" spans="2:6">
      <c r="B97">
        <v>2017</v>
      </c>
      <c r="C97" t="s">
        <v>6</v>
      </c>
      <c r="D97" t="s">
        <v>182</v>
      </c>
      <c r="E97" t="s">
        <v>11</v>
      </c>
      <c r="F97">
        <v>0.42701086401939392</v>
      </c>
    </row>
    <row r="98" spans="2:6">
      <c r="B98">
        <v>2017</v>
      </c>
      <c r="C98" t="s">
        <v>6</v>
      </c>
      <c r="D98" t="s">
        <v>182</v>
      </c>
      <c r="E98" t="s">
        <v>12</v>
      </c>
      <c r="F98">
        <v>-0.12130302935838699</v>
      </c>
    </row>
    <row r="99" spans="2:6">
      <c r="B99">
        <v>2017</v>
      </c>
      <c r="C99" t="s">
        <v>6</v>
      </c>
      <c r="D99" t="s">
        <v>182</v>
      </c>
      <c r="E99" t="s">
        <v>13</v>
      </c>
      <c r="F99">
        <v>0.95439255237579346</v>
      </c>
    </row>
    <row r="100" spans="2:6">
      <c r="B100">
        <v>2017</v>
      </c>
      <c r="C100" t="s">
        <v>6</v>
      </c>
      <c r="D100" t="s">
        <v>182</v>
      </c>
      <c r="E100" t="s">
        <v>14</v>
      </c>
      <c r="F100">
        <v>0.49634855985641479</v>
      </c>
    </row>
    <row r="101" spans="2:6">
      <c r="B101">
        <v>2017</v>
      </c>
      <c r="C101" t="s">
        <v>6</v>
      </c>
      <c r="D101" t="s">
        <v>182</v>
      </c>
      <c r="E101" t="s">
        <v>15</v>
      </c>
      <c r="F101">
        <v>0.37132617831230164</v>
      </c>
    </row>
    <row r="102" spans="2:6">
      <c r="B102">
        <v>2018</v>
      </c>
      <c r="C102" t="s">
        <v>6</v>
      </c>
      <c r="D102" t="s">
        <v>182</v>
      </c>
      <c r="E102" t="s">
        <v>7</v>
      </c>
      <c r="F102">
        <v>2.6943032741546631</v>
      </c>
    </row>
    <row r="103" spans="2:6">
      <c r="B103">
        <v>2018</v>
      </c>
      <c r="C103" t="s">
        <v>6</v>
      </c>
      <c r="D103" t="s">
        <v>182</v>
      </c>
      <c r="E103" t="s">
        <v>8</v>
      </c>
      <c r="F103">
        <v>7.6917667388916016</v>
      </c>
    </row>
    <row r="104" spans="2:6">
      <c r="B104">
        <v>2018</v>
      </c>
      <c r="C104" t="s">
        <v>6</v>
      </c>
      <c r="D104" t="s">
        <v>182</v>
      </c>
      <c r="E104" t="s">
        <v>9</v>
      </c>
      <c r="F104">
        <v>0.50751584768295288</v>
      </c>
    </row>
    <row r="105" spans="2:6">
      <c r="B105">
        <v>2018</v>
      </c>
      <c r="C105" t="s">
        <v>6</v>
      </c>
      <c r="D105" t="s">
        <v>182</v>
      </c>
      <c r="E105" t="s">
        <v>10</v>
      </c>
      <c r="F105">
        <v>52.599998474121094</v>
      </c>
    </row>
    <row r="106" spans="2:6">
      <c r="B106">
        <v>2018</v>
      </c>
      <c r="C106" t="s">
        <v>6</v>
      </c>
      <c r="D106" t="s">
        <v>182</v>
      </c>
      <c r="E106" t="s">
        <v>11</v>
      </c>
      <c r="F106">
        <v>0.37353554368019104</v>
      </c>
    </row>
    <row r="107" spans="2:6">
      <c r="B107">
        <v>2018</v>
      </c>
      <c r="C107" t="s">
        <v>6</v>
      </c>
      <c r="D107" t="s">
        <v>182</v>
      </c>
      <c r="E107" t="s">
        <v>12</v>
      </c>
      <c r="F107">
        <v>-9.38277468085289E-2</v>
      </c>
    </row>
    <row r="108" spans="2:6">
      <c r="B108">
        <v>2018</v>
      </c>
      <c r="C108" t="s">
        <v>6</v>
      </c>
      <c r="D108" t="s">
        <v>182</v>
      </c>
      <c r="E108" t="s">
        <v>13</v>
      </c>
      <c r="F108">
        <v>0.92760568857192993</v>
      </c>
    </row>
    <row r="109" spans="2:6">
      <c r="B109">
        <v>2018</v>
      </c>
      <c r="C109" t="s">
        <v>6</v>
      </c>
      <c r="D109" t="s">
        <v>182</v>
      </c>
      <c r="E109" t="s">
        <v>14</v>
      </c>
      <c r="F109">
        <v>0.4241253137588501</v>
      </c>
    </row>
    <row r="110" spans="2:6">
      <c r="B110">
        <v>2018</v>
      </c>
      <c r="C110" t="s">
        <v>6</v>
      </c>
      <c r="D110" t="s">
        <v>182</v>
      </c>
      <c r="E110" t="s">
        <v>15</v>
      </c>
      <c r="F110">
        <v>0.40490439534187317</v>
      </c>
    </row>
    <row r="111" spans="2:6">
      <c r="B111">
        <v>2019</v>
      </c>
      <c r="C111" t="s">
        <v>6</v>
      </c>
      <c r="D111" t="s">
        <v>182</v>
      </c>
      <c r="E111" t="s">
        <v>7</v>
      </c>
      <c r="F111">
        <v>2.3750917911529541</v>
      </c>
    </row>
    <row r="112" spans="2:6">
      <c r="B112">
        <v>2019</v>
      </c>
      <c r="C112" t="s">
        <v>6</v>
      </c>
      <c r="D112" t="s">
        <v>182</v>
      </c>
      <c r="E112" t="s">
        <v>8</v>
      </c>
      <c r="F112">
        <v>7.6972479820251465</v>
      </c>
    </row>
    <row r="113" spans="2:6">
      <c r="B113">
        <v>2019</v>
      </c>
      <c r="C113" t="s">
        <v>6</v>
      </c>
      <c r="D113" t="s">
        <v>182</v>
      </c>
      <c r="E113" t="s">
        <v>9</v>
      </c>
      <c r="F113">
        <v>0.41997286677360535</v>
      </c>
    </row>
    <row r="114" spans="2:6">
      <c r="B114">
        <v>2019</v>
      </c>
      <c r="C114" t="s">
        <v>6</v>
      </c>
      <c r="D114" t="s">
        <v>182</v>
      </c>
      <c r="E114" t="s">
        <v>10</v>
      </c>
      <c r="F114">
        <v>52.400001525878906</v>
      </c>
    </row>
    <row r="115" spans="2:6">
      <c r="B115">
        <v>2019</v>
      </c>
      <c r="C115" t="s">
        <v>6</v>
      </c>
      <c r="D115" t="s">
        <v>182</v>
      </c>
      <c r="E115" t="s">
        <v>11</v>
      </c>
      <c r="F115">
        <v>0.3936561644077301</v>
      </c>
    </row>
    <row r="116" spans="2:6">
      <c r="B116">
        <v>2019</v>
      </c>
      <c r="C116" t="s">
        <v>6</v>
      </c>
      <c r="D116" t="s">
        <v>182</v>
      </c>
      <c r="E116" t="s">
        <v>12</v>
      </c>
      <c r="F116">
        <v>-0.10845886915922165</v>
      </c>
    </row>
    <row r="117" spans="2:6">
      <c r="B117">
        <v>2019</v>
      </c>
      <c r="C117" t="s">
        <v>6</v>
      </c>
      <c r="D117" t="s">
        <v>182</v>
      </c>
      <c r="E117" t="s">
        <v>13</v>
      </c>
      <c r="F117">
        <v>0.92384910583496094</v>
      </c>
    </row>
    <row r="118" spans="2:6">
      <c r="B118">
        <v>2019</v>
      </c>
      <c r="C118" t="s">
        <v>6</v>
      </c>
      <c r="D118" t="s">
        <v>182</v>
      </c>
      <c r="E118" t="s">
        <v>14</v>
      </c>
      <c r="F118">
        <v>0.35138705372810364</v>
      </c>
    </row>
    <row r="119" spans="2:6">
      <c r="B119">
        <v>2019</v>
      </c>
      <c r="C119" t="s">
        <v>6</v>
      </c>
      <c r="D119" t="s">
        <v>182</v>
      </c>
      <c r="E119" t="s">
        <v>15</v>
      </c>
      <c r="F119">
        <v>0.50247371196746826</v>
      </c>
    </row>
    <row r="120" spans="2:6">
      <c r="B120">
        <v>2007</v>
      </c>
      <c r="C120" t="s">
        <v>16</v>
      </c>
      <c r="D120" t="s">
        <v>183</v>
      </c>
      <c r="E120" t="s">
        <v>7</v>
      </c>
      <c r="F120">
        <v>4.634251594543457</v>
      </c>
    </row>
    <row r="121" spans="2:6">
      <c r="B121">
        <v>2007</v>
      </c>
      <c r="C121" t="s">
        <v>16</v>
      </c>
      <c r="D121" t="s">
        <v>183</v>
      </c>
      <c r="E121" t="s">
        <v>8</v>
      </c>
      <c r="F121">
        <v>9.1421833038330078</v>
      </c>
    </row>
    <row r="122" spans="2:6">
      <c r="B122">
        <v>2007</v>
      </c>
      <c r="C122" t="s">
        <v>16</v>
      </c>
      <c r="D122" t="s">
        <v>183</v>
      </c>
      <c r="E122" t="s">
        <v>9</v>
      </c>
      <c r="F122">
        <v>0.82137161493301392</v>
      </c>
    </row>
    <row r="123" spans="2:6">
      <c r="B123">
        <v>2007</v>
      </c>
      <c r="C123" t="s">
        <v>16</v>
      </c>
      <c r="D123" t="s">
        <v>183</v>
      </c>
      <c r="E123" t="s">
        <v>10</v>
      </c>
      <c r="F123">
        <v>65.800003051757813</v>
      </c>
    </row>
    <row r="124" spans="2:6">
      <c r="B124">
        <v>2007</v>
      </c>
      <c r="C124" t="s">
        <v>16</v>
      </c>
      <c r="D124" t="s">
        <v>183</v>
      </c>
      <c r="E124" t="s">
        <v>11</v>
      </c>
      <c r="F124">
        <v>0.52860474586486816</v>
      </c>
    </row>
    <row r="125" spans="2:6">
      <c r="B125">
        <v>2007</v>
      </c>
      <c r="C125" t="s">
        <v>16</v>
      </c>
      <c r="D125" t="s">
        <v>183</v>
      </c>
      <c r="E125" t="s">
        <v>12</v>
      </c>
      <c r="F125">
        <v>-8.9992675930261612E-3</v>
      </c>
    </row>
    <row r="126" spans="2:6">
      <c r="B126">
        <v>2007</v>
      </c>
      <c r="C126" t="s">
        <v>16</v>
      </c>
      <c r="D126" t="s">
        <v>183</v>
      </c>
      <c r="E126" t="s">
        <v>13</v>
      </c>
      <c r="F126">
        <v>0.87469953298568726</v>
      </c>
    </row>
    <row r="127" spans="2:6">
      <c r="B127">
        <v>2007</v>
      </c>
      <c r="C127" t="s">
        <v>16</v>
      </c>
      <c r="D127" t="s">
        <v>183</v>
      </c>
      <c r="E127" t="s">
        <v>14</v>
      </c>
      <c r="F127">
        <v>0.55267757177352905</v>
      </c>
    </row>
    <row r="128" spans="2:6">
      <c r="B128">
        <v>2007</v>
      </c>
      <c r="C128" t="s">
        <v>16</v>
      </c>
      <c r="D128" t="s">
        <v>183</v>
      </c>
      <c r="E128" t="s">
        <v>15</v>
      </c>
      <c r="F128">
        <v>0.24633502960205078</v>
      </c>
    </row>
    <row r="129" spans="2:6">
      <c r="B129">
        <v>2009</v>
      </c>
      <c r="C129" t="s">
        <v>16</v>
      </c>
      <c r="D129" t="s">
        <v>183</v>
      </c>
      <c r="E129" t="s">
        <v>7</v>
      </c>
      <c r="F129">
        <v>5.4854698181152344</v>
      </c>
    </row>
    <row r="130" spans="2:6">
      <c r="B130">
        <v>2009</v>
      </c>
      <c r="C130" t="s">
        <v>16</v>
      </c>
      <c r="D130" t="s">
        <v>183</v>
      </c>
      <c r="E130" t="s">
        <v>8</v>
      </c>
      <c r="F130">
        <v>9.2618675231933594</v>
      </c>
    </row>
    <row r="131" spans="2:6">
      <c r="B131">
        <v>2009</v>
      </c>
      <c r="C131" t="s">
        <v>16</v>
      </c>
      <c r="D131" t="s">
        <v>183</v>
      </c>
      <c r="E131" t="s">
        <v>9</v>
      </c>
      <c r="F131">
        <v>0.83304661512374878</v>
      </c>
    </row>
    <row r="132" spans="2:6">
      <c r="B132">
        <v>2009</v>
      </c>
      <c r="C132" t="s">
        <v>16</v>
      </c>
      <c r="D132" t="s">
        <v>183</v>
      </c>
      <c r="E132" t="s">
        <v>10</v>
      </c>
      <c r="F132">
        <v>66.199996948242188</v>
      </c>
    </row>
    <row r="133" spans="2:6">
      <c r="B133">
        <v>2009</v>
      </c>
      <c r="C133" t="s">
        <v>16</v>
      </c>
      <c r="D133" t="s">
        <v>183</v>
      </c>
      <c r="E133" t="s">
        <v>11</v>
      </c>
      <c r="F133">
        <v>0.5252232551574707</v>
      </c>
    </row>
    <row r="134" spans="2:6">
      <c r="B134">
        <v>2009</v>
      </c>
      <c r="C134" t="s">
        <v>16</v>
      </c>
      <c r="D134" t="s">
        <v>183</v>
      </c>
      <c r="E134" t="s">
        <v>12</v>
      </c>
      <c r="F134">
        <v>-0.15772540867328644</v>
      </c>
    </row>
    <row r="135" spans="2:6">
      <c r="B135">
        <v>2009</v>
      </c>
      <c r="C135" t="s">
        <v>16</v>
      </c>
      <c r="D135" t="s">
        <v>183</v>
      </c>
      <c r="E135" t="s">
        <v>13</v>
      </c>
      <c r="F135">
        <v>0.86366540193557739</v>
      </c>
    </row>
    <row r="136" spans="2:6">
      <c r="B136">
        <v>2009</v>
      </c>
      <c r="C136" t="s">
        <v>16</v>
      </c>
      <c r="D136" t="s">
        <v>183</v>
      </c>
      <c r="E136" t="s">
        <v>14</v>
      </c>
      <c r="F136">
        <v>0.64002376794815063</v>
      </c>
    </row>
    <row r="137" spans="2:6">
      <c r="B137">
        <v>2009</v>
      </c>
      <c r="C137" t="s">
        <v>16</v>
      </c>
      <c r="D137" t="s">
        <v>183</v>
      </c>
      <c r="E137" t="s">
        <v>15</v>
      </c>
      <c r="F137">
        <v>0.27925652265548706</v>
      </c>
    </row>
    <row r="138" spans="2:6">
      <c r="B138">
        <v>2010</v>
      </c>
      <c r="C138" t="s">
        <v>16</v>
      </c>
      <c r="D138" t="s">
        <v>183</v>
      </c>
      <c r="E138" t="s">
        <v>7</v>
      </c>
      <c r="F138">
        <v>5.2689366340637207</v>
      </c>
    </row>
    <row r="139" spans="2:6">
      <c r="B139">
        <v>2010</v>
      </c>
      <c r="C139" t="s">
        <v>16</v>
      </c>
      <c r="D139" t="s">
        <v>183</v>
      </c>
      <c r="E139" t="s">
        <v>8</v>
      </c>
      <c r="F139">
        <v>9.3032302856445313</v>
      </c>
    </row>
    <row r="140" spans="2:6">
      <c r="B140">
        <v>2010</v>
      </c>
      <c r="C140" t="s">
        <v>16</v>
      </c>
      <c r="D140" t="s">
        <v>183</v>
      </c>
      <c r="E140" t="s">
        <v>9</v>
      </c>
      <c r="F140">
        <v>0.73315227031707764</v>
      </c>
    </row>
    <row r="141" spans="2:6">
      <c r="B141">
        <v>2010</v>
      </c>
      <c r="C141" t="s">
        <v>16</v>
      </c>
      <c r="D141" t="s">
        <v>183</v>
      </c>
      <c r="E141" t="s">
        <v>10</v>
      </c>
      <c r="F141">
        <v>66.400001525878906</v>
      </c>
    </row>
    <row r="142" spans="2:6">
      <c r="B142">
        <v>2010</v>
      </c>
      <c r="C142" t="s">
        <v>16</v>
      </c>
      <c r="D142" t="s">
        <v>183</v>
      </c>
      <c r="E142" t="s">
        <v>11</v>
      </c>
      <c r="F142">
        <v>0.56895840167999268</v>
      </c>
    </row>
    <row r="143" spans="2:6">
      <c r="B143">
        <v>2010</v>
      </c>
      <c r="C143" t="s">
        <v>16</v>
      </c>
      <c r="D143" t="s">
        <v>183</v>
      </c>
      <c r="E143" t="s">
        <v>12</v>
      </c>
      <c r="F143">
        <v>-0.17210677266120911</v>
      </c>
    </row>
    <row r="144" spans="2:6">
      <c r="B144">
        <v>2010</v>
      </c>
      <c r="C144" t="s">
        <v>16</v>
      </c>
      <c r="D144" t="s">
        <v>183</v>
      </c>
      <c r="E144" t="s">
        <v>13</v>
      </c>
      <c r="F144">
        <v>0.7262616753578186</v>
      </c>
    </row>
    <row r="145" spans="2:6">
      <c r="B145">
        <v>2010</v>
      </c>
      <c r="C145" t="s">
        <v>16</v>
      </c>
      <c r="D145" t="s">
        <v>183</v>
      </c>
      <c r="E145" t="s">
        <v>14</v>
      </c>
      <c r="F145">
        <v>0.64790809154510498</v>
      </c>
    </row>
    <row r="146" spans="2:6">
      <c r="B146">
        <v>2010</v>
      </c>
      <c r="C146" t="s">
        <v>16</v>
      </c>
      <c r="D146" t="s">
        <v>183</v>
      </c>
      <c r="E146" t="s">
        <v>15</v>
      </c>
      <c r="F146">
        <v>0.30006024241447449</v>
      </c>
    </row>
    <row r="147" spans="2:6">
      <c r="B147">
        <v>2011</v>
      </c>
      <c r="C147" t="s">
        <v>16</v>
      </c>
      <c r="D147" t="s">
        <v>183</v>
      </c>
      <c r="E147" t="s">
        <v>7</v>
      </c>
      <c r="F147">
        <v>5.8674216270446777</v>
      </c>
    </row>
    <row r="148" spans="2:6">
      <c r="B148">
        <v>2011</v>
      </c>
      <c r="C148" t="s">
        <v>16</v>
      </c>
      <c r="D148" t="s">
        <v>183</v>
      </c>
      <c r="E148" t="s">
        <v>8</v>
      </c>
      <c r="F148">
        <v>9.3310556411743164</v>
      </c>
    </row>
    <row r="149" spans="2:6">
      <c r="B149">
        <v>2011</v>
      </c>
      <c r="C149" t="s">
        <v>16</v>
      </c>
      <c r="D149" t="s">
        <v>183</v>
      </c>
      <c r="E149" t="s">
        <v>9</v>
      </c>
      <c r="F149">
        <v>0.7594338059425354</v>
      </c>
    </row>
    <row r="150" spans="2:6">
      <c r="B150">
        <v>2011</v>
      </c>
      <c r="C150" t="s">
        <v>16</v>
      </c>
      <c r="D150" t="s">
        <v>183</v>
      </c>
      <c r="E150" t="s">
        <v>10</v>
      </c>
      <c r="F150">
        <v>66.680000305175781</v>
      </c>
    </row>
    <row r="151" spans="2:6">
      <c r="B151">
        <v>2011</v>
      </c>
      <c r="C151" t="s">
        <v>16</v>
      </c>
      <c r="D151" t="s">
        <v>183</v>
      </c>
      <c r="E151" t="s">
        <v>11</v>
      </c>
      <c r="F151">
        <v>0.48749625682830811</v>
      </c>
    </row>
    <row r="152" spans="2:6">
      <c r="B152">
        <v>2011</v>
      </c>
      <c r="C152" t="s">
        <v>16</v>
      </c>
      <c r="D152" t="s">
        <v>183</v>
      </c>
      <c r="E152" t="s">
        <v>12</v>
      </c>
      <c r="F152">
        <v>-0.20459394156932831</v>
      </c>
    </row>
    <row r="153" spans="2:6">
      <c r="B153">
        <v>2011</v>
      </c>
      <c r="C153" t="s">
        <v>16</v>
      </c>
      <c r="D153" t="s">
        <v>183</v>
      </c>
      <c r="E153" t="s">
        <v>13</v>
      </c>
      <c r="F153">
        <v>0.87700259685516357</v>
      </c>
    </row>
    <row r="154" spans="2:6">
      <c r="B154">
        <v>2011</v>
      </c>
      <c r="C154" t="s">
        <v>16</v>
      </c>
      <c r="D154" t="s">
        <v>183</v>
      </c>
      <c r="E154" t="s">
        <v>14</v>
      </c>
      <c r="F154">
        <v>0.62765932083129883</v>
      </c>
    </row>
    <row r="155" spans="2:6">
      <c r="B155">
        <v>2011</v>
      </c>
      <c r="C155" t="s">
        <v>16</v>
      </c>
      <c r="D155" t="s">
        <v>183</v>
      </c>
      <c r="E155" t="s">
        <v>15</v>
      </c>
      <c r="F155">
        <v>0.25657650828361511</v>
      </c>
    </row>
    <row r="156" spans="2:6">
      <c r="B156">
        <v>2012</v>
      </c>
      <c r="C156" t="s">
        <v>16</v>
      </c>
      <c r="D156" t="s">
        <v>183</v>
      </c>
      <c r="E156" t="s">
        <v>7</v>
      </c>
      <c r="F156">
        <v>5.5101242065429688</v>
      </c>
    </row>
    <row r="157" spans="2:6">
      <c r="B157">
        <v>2012</v>
      </c>
      <c r="C157" t="s">
        <v>16</v>
      </c>
      <c r="D157" t="s">
        <v>183</v>
      </c>
      <c r="E157" t="s">
        <v>8</v>
      </c>
      <c r="F157">
        <v>9.3467826843261719</v>
      </c>
    </row>
    <row r="158" spans="2:6">
      <c r="B158">
        <v>2012</v>
      </c>
      <c r="C158" t="s">
        <v>16</v>
      </c>
      <c r="D158" t="s">
        <v>183</v>
      </c>
      <c r="E158" t="s">
        <v>9</v>
      </c>
      <c r="F158">
        <v>0.78450179100036621</v>
      </c>
    </row>
    <row r="159" spans="2:6">
      <c r="B159">
        <v>2012</v>
      </c>
      <c r="C159" t="s">
        <v>16</v>
      </c>
      <c r="D159" t="s">
        <v>183</v>
      </c>
      <c r="E159" t="s">
        <v>10</v>
      </c>
      <c r="F159">
        <v>66.959999084472656</v>
      </c>
    </row>
    <row r="160" spans="2:6">
      <c r="B160">
        <v>2012</v>
      </c>
      <c r="C160" t="s">
        <v>16</v>
      </c>
      <c r="D160" t="s">
        <v>183</v>
      </c>
      <c r="E160" t="s">
        <v>11</v>
      </c>
      <c r="F160">
        <v>0.60151213407516479</v>
      </c>
    </row>
    <row r="161" spans="2:6">
      <c r="B161">
        <v>2012</v>
      </c>
      <c r="C161" t="s">
        <v>16</v>
      </c>
      <c r="D161" t="s">
        <v>183</v>
      </c>
      <c r="E161" t="s">
        <v>12</v>
      </c>
      <c r="F161">
        <v>-0.16886225342750549</v>
      </c>
    </row>
    <row r="162" spans="2:6">
      <c r="B162">
        <v>2012</v>
      </c>
      <c r="C162" t="s">
        <v>16</v>
      </c>
      <c r="D162" t="s">
        <v>183</v>
      </c>
      <c r="E162" t="s">
        <v>13</v>
      </c>
      <c r="F162">
        <v>0.84767520427703857</v>
      </c>
    </row>
    <row r="163" spans="2:6">
      <c r="B163">
        <v>2012</v>
      </c>
      <c r="C163" t="s">
        <v>16</v>
      </c>
      <c r="D163" t="s">
        <v>183</v>
      </c>
      <c r="E163" t="s">
        <v>14</v>
      </c>
      <c r="F163">
        <v>0.6066359281539917</v>
      </c>
    </row>
    <row r="164" spans="2:6">
      <c r="B164">
        <v>2012</v>
      </c>
      <c r="C164" t="s">
        <v>16</v>
      </c>
      <c r="D164" t="s">
        <v>183</v>
      </c>
      <c r="E164" t="s">
        <v>15</v>
      </c>
      <c r="F164">
        <v>0.27139323949813843</v>
      </c>
    </row>
    <row r="165" spans="2:6">
      <c r="B165">
        <v>2013</v>
      </c>
      <c r="C165" t="s">
        <v>16</v>
      </c>
      <c r="D165" t="s">
        <v>183</v>
      </c>
      <c r="E165" t="s">
        <v>7</v>
      </c>
      <c r="F165">
        <v>4.5506477355957031</v>
      </c>
    </row>
    <row r="166" spans="2:6">
      <c r="B166">
        <v>2013</v>
      </c>
      <c r="C166" t="s">
        <v>16</v>
      </c>
      <c r="D166" t="s">
        <v>183</v>
      </c>
      <c r="E166" t="s">
        <v>8</v>
      </c>
      <c r="F166">
        <v>9.3585844039916992</v>
      </c>
    </row>
    <row r="167" spans="2:6">
      <c r="B167">
        <v>2013</v>
      </c>
      <c r="C167" t="s">
        <v>16</v>
      </c>
      <c r="D167" t="s">
        <v>183</v>
      </c>
      <c r="E167" t="s">
        <v>9</v>
      </c>
      <c r="F167">
        <v>0.75947672128677368</v>
      </c>
    </row>
    <row r="168" spans="2:6">
      <c r="B168">
        <v>2013</v>
      </c>
      <c r="C168" t="s">
        <v>16</v>
      </c>
      <c r="D168" t="s">
        <v>183</v>
      </c>
      <c r="E168" t="s">
        <v>10</v>
      </c>
      <c r="F168">
        <v>67.239997863769531</v>
      </c>
    </row>
    <row r="169" spans="2:6">
      <c r="B169">
        <v>2013</v>
      </c>
      <c r="C169" t="s">
        <v>16</v>
      </c>
      <c r="D169" t="s">
        <v>183</v>
      </c>
      <c r="E169" t="s">
        <v>11</v>
      </c>
      <c r="F169">
        <v>0.63183027505874634</v>
      </c>
    </row>
    <row r="170" spans="2:6">
      <c r="B170">
        <v>2013</v>
      </c>
      <c r="C170" t="s">
        <v>16</v>
      </c>
      <c r="D170" t="s">
        <v>183</v>
      </c>
      <c r="E170" t="s">
        <v>12</v>
      </c>
      <c r="F170">
        <v>-0.12720981240272522</v>
      </c>
    </row>
    <row r="171" spans="2:6">
      <c r="B171">
        <v>2013</v>
      </c>
      <c r="C171" t="s">
        <v>16</v>
      </c>
      <c r="D171" t="s">
        <v>183</v>
      </c>
      <c r="E171" t="s">
        <v>13</v>
      </c>
      <c r="F171">
        <v>0.86290496587753296</v>
      </c>
    </row>
    <row r="172" spans="2:6">
      <c r="B172">
        <v>2013</v>
      </c>
      <c r="C172" t="s">
        <v>16</v>
      </c>
      <c r="D172" t="s">
        <v>183</v>
      </c>
      <c r="E172" t="s">
        <v>14</v>
      </c>
      <c r="F172">
        <v>0.63360887765884399</v>
      </c>
    </row>
    <row r="173" spans="2:6">
      <c r="B173">
        <v>2013</v>
      </c>
      <c r="C173" t="s">
        <v>16</v>
      </c>
      <c r="D173" t="s">
        <v>183</v>
      </c>
      <c r="E173" t="s">
        <v>15</v>
      </c>
      <c r="F173">
        <v>0.33837857842445374</v>
      </c>
    </row>
    <row r="174" spans="2:6">
      <c r="B174">
        <v>2014</v>
      </c>
      <c r="C174" t="s">
        <v>16</v>
      </c>
      <c r="D174" t="s">
        <v>183</v>
      </c>
      <c r="E174" t="s">
        <v>7</v>
      </c>
      <c r="F174">
        <v>4.8137631416320801</v>
      </c>
    </row>
    <row r="175" spans="2:6">
      <c r="B175">
        <v>2014</v>
      </c>
      <c r="C175" t="s">
        <v>16</v>
      </c>
      <c r="D175" t="s">
        <v>183</v>
      </c>
      <c r="E175" t="s">
        <v>8</v>
      </c>
      <c r="F175">
        <v>9.3782444000244141</v>
      </c>
    </row>
    <row r="176" spans="2:6">
      <c r="B176">
        <v>2014</v>
      </c>
      <c r="C176" t="s">
        <v>16</v>
      </c>
      <c r="D176" t="s">
        <v>183</v>
      </c>
      <c r="E176" t="s">
        <v>9</v>
      </c>
      <c r="F176">
        <v>0.62558692693710327</v>
      </c>
    </row>
    <row r="177" spans="2:6">
      <c r="B177">
        <v>2014</v>
      </c>
      <c r="C177" t="s">
        <v>16</v>
      </c>
      <c r="D177" t="s">
        <v>183</v>
      </c>
      <c r="E177" t="s">
        <v>10</v>
      </c>
      <c r="F177">
        <v>67.519996643066406</v>
      </c>
    </row>
    <row r="178" spans="2:6">
      <c r="B178">
        <v>2014</v>
      </c>
      <c r="C178" t="s">
        <v>16</v>
      </c>
      <c r="D178" t="s">
        <v>183</v>
      </c>
      <c r="E178" t="s">
        <v>11</v>
      </c>
      <c r="F178">
        <v>0.73464840650558472</v>
      </c>
    </row>
    <row r="179" spans="2:6">
      <c r="B179">
        <v>2014</v>
      </c>
      <c r="C179" t="s">
        <v>16</v>
      </c>
      <c r="D179" t="s">
        <v>183</v>
      </c>
      <c r="E179" t="s">
        <v>12</v>
      </c>
      <c r="F179">
        <v>-2.4665698409080505E-2</v>
      </c>
    </row>
    <row r="180" spans="2:6">
      <c r="B180">
        <v>2014</v>
      </c>
      <c r="C180" t="s">
        <v>16</v>
      </c>
      <c r="D180" t="s">
        <v>183</v>
      </c>
      <c r="E180" t="s">
        <v>13</v>
      </c>
      <c r="F180">
        <v>0.88270443677902222</v>
      </c>
    </row>
    <row r="181" spans="2:6">
      <c r="B181">
        <v>2014</v>
      </c>
      <c r="C181" t="s">
        <v>16</v>
      </c>
      <c r="D181" t="s">
        <v>183</v>
      </c>
      <c r="E181" t="s">
        <v>14</v>
      </c>
      <c r="F181">
        <v>0.68491053581237793</v>
      </c>
    </row>
    <row r="182" spans="2:6">
      <c r="B182">
        <v>2014</v>
      </c>
      <c r="C182" t="s">
        <v>16</v>
      </c>
      <c r="D182" t="s">
        <v>183</v>
      </c>
      <c r="E182" t="s">
        <v>15</v>
      </c>
      <c r="F182">
        <v>0.3345426619052887</v>
      </c>
    </row>
    <row r="183" spans="2:6">
      <c r="B183">
        <v>2015</v>
      </c>
      <c r="C183" t="s">
        <v>16</v>
      </c>
      <c r="D183" t="s">
        <v>183</v>
      </c>
      <c r="E183" t="s">
        <v>7</v>
      </c>
      <c r="F183">
        <v>4.6066508293151855</v>
      </c>
    </row>
    <row r="184" spans="2:6">
      <c r="B184">
        <v>2015</v>
      </c>
      <c r="C184" t="s">
        <v>16</v>
      </c>
      <c r="D184" t="s">
        <v>183</v>
      </c>
      <c r="E184" t="s">
        <v>8</v>
      </c>
      <c r="F184">
        <v>9.403101921081543</v>
      </c>
    </row>
    <row r="185" spans="2:6">
      <c r="B185">
        <v>2015</v>
      </c>
      <c r="C185" t="s">
        <v>16</v>
      </c>
      <c r="D185" t="s">
        <v>183</v>
      </c>
      <c r="E185" t="s">
        <v>9</v>
      </c>
      <c r="F185">
        <v>0.63935613632202148</v>
      </c>
    </row>
    <row r="186" spans="2:6">
      <c r="B186">
        <v>2015</v>
      </c>
      <c r="C186" t="s">
        <v>16</v>
      </c>
      <c r="D186" t="s">
        <v>183</v>
      </c>
      <c r="E186" t="s">
        <v>10</v>
      </c>
      <c r="F186">
        <v>67.800003051757813</v>
      </c>
    </row>
    <row r="187" spans="2:6">
      <c r="B187">
        <v>2015</v>
      </c>
      <c r="C187" t="s">
        <v>16</v>
      </c>
      <c r="D187" t="s">
        <v>183</v>
      </c>
      <c r="E187" t="s">
        <v>11</v>
      </c>
      <c r="F187">
        <v>0.70385068655014038</v>
      </c>
    </row>
    <row r="188" spans="2:6">
      <c r="B188">
        <v>2015</v>
      </c>
      <c r="C188" t="s">
        <v>16</v>
      </c>
      <c r="D188" t="s">
        <v>183</v>
      </c>
      <c r="E188" t="s">
        <v>12</v>
      </c>
      <c r="F188">
        <v>-8.0838814377784729E-2</v>
      </c>
    </row>
    <row r="189" spans="2:6">
      <c r="B189">
        <v>2015</v>
      </c>
      <c r="C189" t="s">
        <v>16</v>
      </c>
      <c r="D189" t="s">
        <v>183</v>
      </c>
      <c r="E189" t="s">
        <v>13</v>
      </c>
      <c r="F189">
        <v>0.88479304313659668</v>
      </c>
    </row>
    <row r="190" spans="2:6">
      <c r="B190">
        <v>2015</v>
      </c>
      <c r="C190" t="s">
        <v>16</v>
      </c>
      <c r="D190" t="s">
        <v>183</v>
      </c>
      <c r="E190" t="s">
        <v>14</v>
      </c>
      <c r="F190">
        <v>0.68837004899978638</v>
      </c>
    </row>
    <row r="191" spans="2:6">
      <c r="B191">
        <v>2015</v>
      </c>
      <c r="C191" t="s">
        <v>16</v>
      </c>
      <c r="D191" t="s">
        <v>183</v>
      </c>
      <c r="E191" t="s">
        <v>15</v>
      </c>
      <c r="F191">
        <v>0.35042667388916016</v>
      </c>
    </row>
    <row r="192" spans="2:6">
      <c r="B192">
        <v>2016</v>
      </c>
      <c r="C192" t="s">
        <v>16</v>
      </c>
      <c r="D192" t="s">
        <v>183</v>
      </c>
      <c r="E192" t="s">
        <v>7</v>
      </c>
      <c r="F192">
        <v>4.5111007690429688</v>
      </c>
    </row>
    <row r="193" spans="2:6">
      <c r="B193">
        <v>2016</v>
      </c>
      <c r="C193" t="s">
        <v>16</v>
      </c>
      <c r="D193" t="s">
        <v>183</v>
      </c>
      <c r="E193" t="s">
        <v>8</v>
      </c>
      <c r="F193">
        <v>9.4373111724853516</v>
      </c>
    </row>
    <row r="194" spans="2:6">
      <c r="B194">
        <v>2016</v>
      </c>
      <c r="C194" t="s">
        <v>16</v>
      </c>
      <c r="D194" t="s">
        <v>183</v>
      </c>
      <c r="E194" t="s">
        <v>9</v>
      </c>
      <c r="F194">
        <v>0.63841146230697632</v>
      </c>
    </row>
    <row r="195" spans="2:6">
      <c r="B195">
        <v>2016</v>
      </c>
      <c r="C195" t="s">
        <v>16</v>
      </c>
      <c r="D195" t="s">
        <v>183</v>
      </c>
      <c r="E195" t="s">
        <v>10</v>
      </c>
      <c r="F195">
        <v>68.099998474121094</v>
      </c>
    </row>
    <row r="196" spans="2:6">
      <c r="B196">
        <v>2016</v>
      </c>
      <c r="C196" t="s">
        <v>16</v>
      </c>
      <c r="D196" t="s">
        <v>183</v>
      </c>
      <c r="E196" t="s">
        <v>11</v>
      </c>
      <c r="F196">
        <v>0.72981894016265869</v>
      </c>
    </row>
    <row r="197" spans="2:6">
      <c r="B197">
        <v>2016</v>
      </c>
      <c r="C197" t="s">
        <v>16</v>
      </c>
      <c r="D197" t="s">
        <v>183</v>
      </c>
      <c r="E197" t="s">
        <v>12</v>
      </c>
      <c r="F197">
        <v>-1.6982201486825943E-2</v>
      </c>
    </row>
    <row r="198" spans="2:6">
      <c r="B198">
        <v>2016</v>
      </c>
      <c r="C198" t="s">
        <v>16</v>
      </c>
      <c r="D198" t="s">
        <v>183</v>
      </c>
      <c r="E198" t="s">
        <v>13</v>
      </c>
      <c r="F198">
        <v>0.90107077360153198</v>
      </c>
    </row>
    <row r="199" spans="2:6">
      <c r="B199">
        <v>2016</v>
      </c>
      <c r="C199" t="s">
        <v>16</v>
      </c>
      <c r="D199" t="s">
        <v>183</v>
      </c>
      <c r="E199" t="s">
        <v>14</v>
      </c>
      <c r="F199">
        <v>0.67524373531341553</v>
      </c>
    </row>
    <row r="200" spans="2:6">
      <c r="B200">
        <v>2016</v>
      </c>
      <c r="C200" t="s">
        <v>16</v>
      </c>
      <c r="D200" t="s">
        <v>183</v>
      </c>
      <c r="E200" t="s">
        <v>15</v>
      </c>
      <c r="F200">
        <v>0.32170599699020386</v>
      </c>
    </row>
    <row r="201" spans="2:6">
      <c r="B201">
        <v>2017</v>
      </c>
      <c r="C201" t="s">
        <v>16</v>
      </c>
      <c r="D201" t="s">
        <v>183</v>
      </c>
      <c r="E201" t="s">
        <v>7</v>
      </c>
      <c r="F201">
        <v>4.6395483016967773</v>
      </c>
    </row>
    <row r="202" spans="2:6">
      <c r="B202">
        <v>2017</v>
      </c>
      <c r="C202" t="s">
        <v>16</v>
      </c>
      <c r="D202" t="s">
        <v>183</v>
      </c>
      <c r="E202" t="s">
        <v>8</v>
      </c>
      <c r="F202">
        <v>9.4755477905273438</v>
      </c>
    </row>
    <row r="203" spans="2:6">
      <c r="B203">
        <v>2017</v>
      </c>
      <c r="C203" t="s">
        <v>16</v>
      </c>
      <c r="D203" t="s">
        <v>183</v>
      </c>
      <c r="E203" t="s">
        <v>9</v>
      </c>
      <c r="F203">
        <v>0.63769829273223877</v>
      </c>
    </row>
    <row r="204" spans="2:6">
      <c r="B204">
        <v>2017</v>
      </c>
      <c r="C204" t="s">
        <v>16</v>
      </c>
      <c r="D204" t="s">
        <v>183</v>
      </c>
      <c r="E204" t="s">
        <v>10</v>
      </c>
      <c r="F204">
        <v>68.400001525878906</v>
      </c>
    </row>
    <row r="205" spans="2:6">
      <c r="B205">
        <v>2017</v>
      </c>
      <c r="C205" t="s">
        <v>16</v>
      </c>
      <c r="D205" t="s">
        <v>183</v>
      </c>
      <c r="E205" t="s">
        <v>11</v>
      </c>
      <c r="F205">
        <v>0.7496110200881958</v>
      </c>
    </row>
    <row r="206" spans="2:6">
      <c r="B206">
        <v>2017</v>
      </c>
      <c r="C206" t="s">
        <v>16</v>
      </c>
      <c r="D206" t="s">
        <v>183</v>
      </c>
      <c r="E206" t="s">
        <v>12</v>
      </c>
      <c r="F206">
        <v>-2.8791440650820732E-2</v>
      </c>
    </row>
    <row r="207" spans="2:6">
      <c r="B207">
        <v>2017</v>
      </c>
      <c r="C207" t="s">
        <v>16</v>
      </c>
      <c r="D207" t="s">
        <v>183</v>
      </c>
      <c r="E207" t="s">
        <v>13</v>
      </c>
      <c r="F207">
        <v>0.87613463401794434</v>
      </c>
    </row>
    <row r="208" spans="2:6">
      <c r="B208">
        <v>2017</v>
      </c>
      <c r="C208" t="s">
        <v>16</v>
      </c>
      <c r="D208" t="s">
        <v>183</v>
      </c>
      <c r="E208" t="s">
        <v>14</v>
      </c>
      <c r="F208">
        <v>0.66924089193344116</v>
      </c>
    </row>
    <row r="209" spans="2:6">
      <c r="B209">
        <v>2017</v>
      </c>
      <c r="C209" t="s">
        <v>16</v>
      </c>
      <c r="D209" t="s">
        <v>183</v>
      </c>
      <c r="E209" t="s">
        <v>15</v>
      </c>
      <c r="F209">
        <v>0.33388411998748779</v>
      </c>
    </row>
    <row r="210" spans="2:6">
      <c r="B210">
        <v>2018</v>
      </c>
      <c r="C210" t="s">
        <v>16</v>
      </c>
      <c r="D210" t="s">
        <v>183</v>
      </c>
      <c r="E210" t="s">
        <v>7</v>
      </c>
      <c r="F210">
        <v>5.0044026374816895</v>
      </c>
    </row>
    <row r="211" spans="2:6">
      <c r="B211">
        <v>2018</v>
      </c>
      <c r="C211" t="s">
        <v>16</v>
      </c>
      <c r="D211" t="s">
        <v>183</v>
      </c>
      <c r="E211" t="s">
        <v>8</v>
      </c>
      <c r="F211">
        <v>9.5179204940795898</v>
      </c>
    </row>
    <row r="212" spans="2:6">
      <c r="B212">
        <v>2018</v>
      </c>
      <c r="C212" t="s">
        <v>16</v>
      </c>
      <c r="D212" t="s">
        <v>183</v>
      </c>
      <c r="E212" t="s">
        <v>9</v>
      </c>
      <c r="F212">
        <v>0.68359166383743286</v>
      </c>
    </row>
    <row r="213" spans="2:6">
      <c r="B213">
        <v>2018</v>
      </c>
      <c r="C213" t="s">
        <v>16</v>
      </c>
      <c r="D213" t="s">
        <v>183</v>
      </c>
      <c r="E213" t="s">
        <v>10</v>
      </c>
      <c r="F213">
        <v>68.699996948242188</v>
      </c>
    </row>
    <row r="214" spans="2:6">
      <c r="B214">
        <v>2018</v>
      </c>
      <c r="C214" t="s">
        <v>16</v>
      </c>
      <c r="D214" t="s">
        <v>183</v>
      </c>
      <c r="E214" t="s">
        <v>11</v>
      </c>
      <c r="F214">
        <v>0.82421231269836426</v>
      </c>
    </row>
    <row r="215" spans="2:6">
      <c r="B215">
        <v>2018</v>
      </c>
      <c r="C215" t="s">
        <v>16</v>
      </c>
      <c r="D215" t="s">
        <v>183</v>
      </c>
      <c r="E215" t="s">
        <v>12</v>
      </c>
      <c r="F215">
        <v>8.9116021990776062E-3</v>
      </c>
    </row>
    <row r="216" spans="2:6">
      <c r="B216">
        <v>2018</v>
      </c>
      <c r="C216" t="s">
        <v>16</v>
      </c>
      <c r="D216" t="s">
        <v>183</v>
      </c>
      <c r="E216" t="s">
        <v>13</v>
      </c>
      <c r="F216">
        <v>0.89912939071655273</v>
      </c>
    </row>
    <row r="217" spans="2:6">
      <c r="B217">
        <v>2018</v>
      </c>
      <c r="C217" t="s">
        <v>16</v>
      </c>
      <c r="D217" t="s">
        <v>183</v>
      </c>
      <c r="E217" t="s">
        <v>14</v>
      </c>
      <c r="F217">
        <v>0.71329957246780396</v>
      </c>
    </row>
    <row r="218" spans="2:6">
      <c r="B218">
        <v>2018</v>
      </c>
      <c r="C218" t="s">
        <v>16</v>
      </c>
      <c r="D218" t="s">
        <v>183</v>
      </c>
      <c r="E218" t="s">
        <v>15</v>
      </c>
      <c r="F218">
        <v>0.31899672746658325</v>
      </c>
    </row>
    <row r="219" spans="2:6">
      <c r="B219">
        <v>2019</v>
      </c>
      <c r="C219" t="s">
        <v>16</v>
      </c>
      <c r="D219" t="s">
        <v>183</v>
      </c>
      <c r="E219" t="s">
        <v>7</v>
      </c>
      <c r="F219">
        <v>4.9953179359436035</v>
      </c>
    </row>
    <row r="220" spans="2:6">
      <c r="B220">
        <v>2019</v>
      </c>
      <c r="C220" t="s">
        <v>16</v>
      </c>
      <c r="D220" t="s">
        <v>183</v>
      </c>
      <c r="E220" t="s">
        <v>8</v>
      </c>
      <c r="F220">
        <v>9.5440797805786133</v>
      </c>
    </row>
    <row r="221" spans="2:6">
      <c r="B221">
        <v>2019</v>
      </c>
      <c r="C221" t="s">
        <v>16</v>
      </c>
      <c r="D221" t="s">
        <v>183</v>
      </c>
      <c r="E221" t="s">
        <v>9</v>
      </c>
      <c r="F221">
        <v>0.68636488914489746</v>
      </c>
    </row>
    <row r="222" spans="2:6">
      <c r="B222">
        <v>2019</v>
      </c>
      <c r="C222" t="s">
        <v>16</v>
      </c>
      <c r="D222" t="s">
        <v>183</v>
      </c>
      <c r="E222" t="s">
        <v>10</v>
      </c>
      <c r="F222">
        <v>69</v>
      </c>
    </row>
    <row r="223" spans="2:6">
      <c r="B223">
        <v>2019</v>
      </c>
      <c r="C223" t="s">
        <v>16</v>
      </c>
      <c r="D223" t="s">
        <v>183</v>
      </c>
      <c r="E223" t="s">
        <v>11</v>
      </c>
      <c r="F223">
        <v>0.77735143899917603</v>
      </c>
    </row>
    <row r="224" spans="2:6">
      <c r="B224">
        <v>2019</v>
      </c>
      <c r="C224" t="s">
        <v>16</v>
      </c>
      <c r="D224" t="s">
        <v>183</v>
      </c>
      <c r="E224" t="s">
        <v>12</v>
      </c>
      <c r="F224">
        <v>-9.9262639880180359E-2</v>
      </c>
    </row>
    <row r="225" spans="2:6">
      <c r="B225">
        <v>2019</v>
      </c>
      <c r="C225" t="s">
        <v>16</v>
      </c>
      <c r="D225" t="s">
        <v>183</v>
      </c>
      <c r="E225" t="s">
        <v>13</v>
      </c>
      <c r="F225">
        <v>0.91428428888320923</v>
      </c>
    </row>
    <row r="226" spans="2:6">
      <c r="B226">
        <v>2019</v>
      </c>
      <c r="C226" t="s">
        <v>16</v>
      </c>
      <c r="D226" t="s">
        <v>183</v>
      </c>
      <c r="E226" t="s">
        <v>14</v>
      </c>
      <c r="F226">
        <v>0.6810804009437561</v>
      </c>
    </row>
    <row r="227" spans="2:6">
      <c r="B227">
        <v>2019</v>
      </c>
      <c r="C227" t="s">
        <v>16</v>
      </c>
      <c r="D227" t="s">
        <v>183</v>
      </c>
      <c r="E227" t="s">
        <v>15</v>
      </c>
      <c r="F227">
        <v>0.27382737398147583</v>
      </c>
    </row>
    <row r="228" spans="2:6">
      <c r="B228">
        <v>2020</v>
      </c>
      <c r="C228" t="s">
        <v>16</v>
      </c>
      <c r="D228" t="s">
        <v>183</v>
      </c>
      <c r="E228" t="s">
        <v>7</v>
      </c>
      <c r="F228">
        <v>5.3649096488952637</v>
      </c>
    </row>
    <row r="229" spans="2:6">
      <c r="B229">
        <v>2020</v>
      </c>
      <c r="C229" t="s">
        <v>16</v>
      </c>
      <c r="D229" t="s">
        <v>183</v>
      </c>
      <c r="E229" t="s">
        <v>8</v>
      </c>
      <c r="F229">
        <v>9.4972515106201172</v>
      </c>
    </row>
    <row r="230" spans="2:6">
      <c r="B230">
        <v>2020</v>
      </c>
      <c r="C230" t="s">
        <v>16</v>
      </c>
      <c r="D230" t="s">
        <v>183</v>
      </c>
      <c r="E230" t="s">
        <v>9</v>
      </c>
      <c r="F230">
        <v>0.71011501550674438</v>
      </c>
    </row>
    <row r="231" spans="2:6">
      <c r="B231">
        <v>2020</v>
      </c>
      <c r="C231" t="s">
        <v>16</v>
      </c>
      <c r="D231" t="s">
        <v>183</v>
      </c>
      <c r="E231" t="s">
        <v>10</v>
      </c>
      <c r="F231">
        <v>69.300003051757813</v>
      </c>
    </row>
    <row r="232" spans="2:6">
      <c r="B232">
        <v>2020</v>
      </c>
      <c r="C232" t="s">
        <v>16</v>
      </c>
      <c r="D232" t="s">
        <v>183</v>
      </c>
      <c r="E232" t="s">
        <v>11</v>
      </c>
      <c r="F232">
        <v>0.75367105007171631</v>
      </c>
    </row>
    <row r="233" spans="2:6">
      <c r="B233">
        <v>2020</v>
      </c>
      <c r="C233" t="s">
        <v>16</v>
      </c>
      <c r="D233" t="s">
        <v>183</v>
      </c>
      <c r="E233" t="s">
        <v>12</v>
      </c>
      <c r="F233">
        <v>6.9680251181125641E-3</v>
      </c>
    </row>
    <row r="234" spans="2:6">
      <c r="B234">
        <v>2020</v>
      </c>
      <c r="C234" t="s">
        <v>16</v>
      </c>
      <c r="D234" t="s">
        <v>183</v>
      </c>
      <c r="E234" t="s">
        <v>13</v>
      </c>
      <c r="F234">
        <v>0.89135897159576416</v>
      </c>
    </row>
    <row r="235" spans="2:6">
      <c r="B235">
        <v>2020</v>
      </c>
      <c r="C235" t="s">
        <v>16</v>
      </c>
      <c r="D235" t="s">
        <v>183</v>
      </c>
      <c r="E235" t="s">
        <v>14</v>
      </c>
      <c r="F235">
        <v>0.67866122722625732</v>
      </c>
    </row>
    <row r="236" spans="2:6">
      <c r="B236">
        <v>2020</v>
      </c>
      <c r="C236" t="s">
        <v>16</v>
      </c>
      <c r="D236" t="s">
        <v>183</v>
      </c>
      <c r="E236" t="s">
        <v>15</v>
      </c>
      <c r="F236">
        <v>0.26506611704826355</v>
      </c>
    </row>
    <row r="237" spans="2:6">
      <c r="B237">
        <v>2010</v>
      </c>
      <c r="C237" t="s">
        <v>17</v>
      </c>
      <c r="D237" t="s">
        <v>184</v>
      </c>
      <c r="E237" t="s">
        <v>7</v>
      </c>
      <c r="F237">
        <v>5.463566780090332</v>
      </c>
    </row>
    <row r="238" spans="2:6">
      <c r="B238">
        <v>2010</v>
      </c>
      <c r="C238" t="s">
        <v>17</v>
      </c>
      <c r="D238" t="s">
        <v>184</v>
      </c>
      <c r="E238" t="s">
        <v>8</v>
      </c>
      <c r="F238">
        <v>9.2869358062744141</v>
      </c>
    </row>
    <row r="239" spans="2:6">
      <c r="B239">
        <v>2010</v>
      </c>
      <c r="C239" t="s">
        <v>17</v>
      </c>
      <c r="D239" t="s">
        <v>184</v>
      </c>
      <c r="E239" t="s">
        <v>10</v>
      </c>
      <c r="F239">
        <v>64.5</v>
      </c>
    </row>
    <row r="240" spans="2:6">
      <c r="B240">
        <v>2010</v>
      </c>
      <c r="C240" t="s">
        <v>17</v>
      </c>
      <c r="D240" t="s">
        <v>184</v>
      </c>
      <c r="E240" t="s">
        <v>11</v>
      </c>
      <c r="F240">
        <v>0.59269583225250244</v>
      </c>
    </row>
    <row r="241" spans="2:6">
      <c r="B241">
        <v>2010</v>
      </c>
      <c r="C241" t="s">
        <v>17</v>
      </c>
      <c r="D241" t="s">
        <v>184</v>
      </c>
      <c r="E241" t="s">
        <v>12</v>
      </c>
      <c r="F241">
        <v>-0.2053198516368866</v>
      </c>
    </row>
    <row r="242" spans="2:6">
      <c r="B242">
        <v>2010</v>
      </c>
      <c r="C242" t="s">
        <v>17</v>
      </c>
      <c r="D242" t="s">
        <v>184</v>
      </c>
      <c r="E242" t="s">
        <v>13</v>
      </c>
      <c r="F242">
        <v>0.6180378794670105</v>
      </c>
    </row>
    <row r="243" spans="2:6">
      <c r="B243">
        <v>2011</v>
      </c>
      <c r="C243" t="s">
        <v>17</v>
      </c>
      <c r="D243" t="s">
        <v>184</v>
      </c>
      <c r="E243" t="s">
        <v>7</v>
      </c>
      <c r="F243">
        <v>5.3171944618225098</v>
      </c>
    </row>
    <row r="244" spans="2:6">
      <c r="B244">
        <v>2011</v>
      </c>
      <c r="C244" t="s">
        <v>17</v>
      </c>
      <c r="D244" t="s">
        <v>184</v>
      </c>
      <c r="E244" t="s">
        <v>8</v>
      </c>
      <c r="F244">
        <v>9.2966909408569336</v>
      </c>
    </row>
    <row r="245" spans="2:6">
      <c r="B245">
        <v>2011</v>
      </c>
      <c r="C245" t="s">
        <v>17</v>
      </c>
      <c r="D245" t="s">
        <v>184</v>
      </c>
      <c r="E245" t="s">
        <v>9</v>
      </c>
      <c r="F245">
        <v>0.81023448705673218</v>
      </c>
    </row>
    <row r="246" spans="2:6">
      <c r="B246">
        <v>2011</v>
      </c>
      <c r="C246" t="s">
        <v>17</v>
      </c>
      <c r="D246" t="s">
        <v>184</v>
      </c>
      <c r="E246" t="s">
        <v>10</v>
      </c>
      <c r="F246">
        <v>64.660003662109375</v>
      </c>
    </row>
    <row r="247" spans="2:6">
      <c r="B247">
        <v>2011</v>
      </c>
      <c r="C247" t="s">
        <v>17</v>
      </c>
      <c r="D247" t="s">
        <v>184</v>
      </c>
      <c r="E247" t="s">
        <v>11</v>
      </c>
      <c r="F247">
        <v>0.52956128120422363</v>
      </c>
    </row>
    <row r="248" spans="2:6">
      <c r="B248">
        <v>2011</v>
      </c>
      <c r="C248" t="s">
        <v>17</v>
      </c>
      <c r="D248" t="s">
        <v>184</v>
      </c>
      <c r="E248" t="s">
        <v>12</v>
      </c>
      <c r="F248">
        <v>-0.18065398931503296</v>
      </c>
    </row>
    <row r="249" spans="2:6">
      <c r="B249">
        <v>2011</v>
      </c>
      <c r="C249" t="s">
        <v>17</v>
      </c>
      <c r="D249" t="s">
        <v>184</v>
      </c>
      <c r="E249" t="s">
        <v>13</v>
      </c>
      <c r="F249">
        <v>0.63798165321350098</v>
      </c>
    </row>
    <row r="250" spans="2:6">
      <c r="B250">
        <v>2011</v>
      </c>
      <c r="C250" t="s">
        <v>17</v>
      </c>
      <c r="D250" t="s">
        <v>184</v>
      </c>
      <c r="E250" t="s">
        <v>14</v>
      </c>
      <c r="F250">
        <v>0.55020338296890259</v>
      </c>
    </row>
    <row r="251" spans="2:6">
      <c r="B251">
        <v>2011</v>
      </c>
      <c r="C251" t="s">
        <v>17</v>
      </c>
      <c r="D251" t="s">
        <v>184</v>
      </c>
      <c r="E251" t="s">
        <v>15</v>
      </c>
      <c r="F251">
        <v>0.25489664077758789</v>
      </c>
    </row>
    <row r="252" spans="2:6">
      <c r="B252">
        <v>2012</v>
      </c>
      <c r="C252" t="s">
        <v>17</v>
      </c>
      <c r="D252" t="s">
        <v>184</v>
      </c>
      <c r="E252" t="s">
        <v>7</v>
      </c>
      <c r="F252">
        <v>5.6045956611633301</v>
      </c>
    </row>
    <row r="253" spans="2:6">
      <c r="B253">
        <v>2012</v>
      </c>
      <c r="C253" t="s">
        <v>17</v>
      </c>
      <c r="D253" t="s">
        <v>184</v>
      </c>
      <c r="E253" t="s">
        <v>8</v>
      </c>
      <c r="F253">
        <v>9.3106107711791992</v>
      </c>
    </row>
    <row r="254" spans="2:6">
      <c r="B254">
        <v>2012</v>
      </c>
      <c r="C254" t="s">
        <v>17</v>
      </c>
      <c r="D254" t="s">
        <v>184</v>
      </c>
      <c r="E254" t="s">
        <v>9</v>
      </c>
      <c r="F254">
        <v>0.8393968939781189</v>
      </c>
    </row>
    <row r="255" spans="2:6">
      <c r="B255">
        <v>2012</v>
      </c>
      <c r="C255" t="s">
        <v>17</v>
      </c>
      <c r="D255" t="s">
        <v>184</v>
      </c>
      <c r="E255" t="s">
        <v>10</v>
      </c>
      <c r="F255">
        <v>64.819999694824219</v>
      </c>
    </row>
    <row r="256" spans="2:6">
      <c r="B256">
        <v>2012</v>
      </c>
      <c r="C256" t="s">
        <v>17</v>
      </c>
      <c r="D256" t="s">
        <v>184</v>
      </c>
      <c r="E256" t="s">
        <v>11</v>
      </c>
      <c r="F256">
        <v>0.58666348457336426</v>
      </c>
    </row>
    <row r="257" spans="2:6">
      <c r="B257">
        <v>2012</v>
      </c>
      <c r="C257" t="s">
        <v>17</v>
      </c>
      <c r="D257" t="s">
        <v>184</v>
      </c>
      <c r="E257" t="s">
        <v>12</v>
      </c>
      <c r="F257">
        <v>-0.17212292551994324</v>
      </c>
    </row>
    <row r="258" spans="2:6">
      <c r="B258">
        <v>2012</v>
      </c>
      <c r="C258" t="s">
        <v>17</v>
      </c>
      <c r="D258" t="s">
        <v>184</v>
      </c>
      <c r="E258" t="s">
        <v>13</v>
      </c>
      <c r="F258">
        <v>0.69011634588241577</v>
      </c>
    </row>
    <row r="259" spans="2:6">
      <c r="B259">
        <v>2012</v>
      </c>
      <c r="C259" t="s">
        <v>17</v>
      </c>
      <c r="D259" t="s">
        <v>184</v>
      </c>
      <c r="E259" t="s">
        <v>14</v>
      </c>
      <c r="F259">
        <v>0.604023277759552</v>
      </c>
    </row>
    <row r="260" spans="2:6">
      <c r="B260">
        <v>2012</v>
      </c>
      <c r="C260" t="s">
        <v>17</v>
      </c>
      <c r="D260" t="s">
        <v>184</v>
      </c>
      <c r="E260" t="s">
        <v>15</v>
      </c>
      <c r="F260">
        <v>0.22971566021442413</v>
      </c>
    </row>
    <row r="261" spans="2:6">
      <c r="B261">
        <v>2014</v>
      </c>
      <c r="C261" t="s">
        <v>17</v>
      </c>
      <c r="D261" t="s">
        <v>184</v>
      </c>
      <c r="E261" t="s">
        <v>7</v>
      </c>
      <c r="F261">
        <v>6.3548984527587891</v>
      </c>
    </row>
    <row r="262" spans="2:6">
      <c r="B262">
        <v>2014</v>
      </c>
      <c r="C262" t="s">
        <v>17</v>
      </c>
      <c r="D262" t="s">
        <v>184</v>
      </c>
      <c r="E262" t="s">
        <v>8</v>
      </c>
      <c r="F262">
        <v>9.3351593017578125</v>
      </c>
    </row>
    <row r="263" spans="2:6">
      <c r="B263">
        <v>2014</v>
      </c>
      <c r="C263" t="s">
        <v>17</v>
      </c>
      <c r="D263" t="s">
        <v>184</v>
      </c>
      <c r="E263" t="s">
        <v>9</v>
      </c>
      <c r="F263">
        <v>0.81818944215774536</v>
      </c>
    </row>
    <row r="264" spans="2:6">
      <c r="B264">
        <v>2014</v>
      </c>
      <c r="C264" t="s">
        <v>17</v>
      </c>
      <c r="D264" t="s">
        <v>184</v>
      </c>
      <c r="E264" t="s">
        <v>10</v>
      </c>
      <c r="F264">
        <v>65.139999389648438</v>
      </c>
    </row>
    <row r="265" spans="2:6">
      <c r="B265">
        <v>2014</v>
      </c>
      <c r="C265" t="s">
        <v>17</v>
      </c>
      <c r="D265" t="s">
        <v>184</v>
      </c>
      <c r="E265" t="s">
        <v>14</v>
      </c>
      <c r="F265">
        <v>0.6259046196937561</v>
      </c>
    </row>
    <row r="266" spans="2:6">
      <c r="B266">
        <v>2014</v>
      </c>
      <c r="C266" t="s">
        <v>17</v>
      </c>
      <c r="D266" t="s">
        <v>184</v>
      </c>
      <c r="E266" t="s">
        <v>15</v>
      </c>
      <c r="F266">
        <v>0.17686609923839569</v>
      </c>
    </row>
    <row r="267" spans="2:6">
      <c r="B267">
        <v>2016</v>
      </c>
      <c r="C267" t="s">
        <v>17</v>
      </c>
      <c r="D267" t="s">
        <v>184</v>
      </c>
      <c r="E267" t="s">
        <v>7</v>
      </c>
      <c r="F267">
        <v>5.3408536911010742</v>
      </c>
    </row>
    <row r="268" spans="2:6">
      <c r="B268">
        <v>2016</v>
      </c>
      <c r="C268" t="s">
        <v>17</v>
      </c>
      <c r="D268" t="s">
        <v>184</v>
      </c>
      <c r="E268" t="s">
        <v>8</v>
      </c>
      <c r="F268">
        <v>9.3620223999023438</v>
      </c>
    </row>
    <row r="269" spans="2:6">
      <c r="B269">
        <v>2016</v>
      </c>
      <c r="C269" t="s">
        <v>17</v>
      </c>
      <c r="D269" t="s">
        <v>184</v>
      </c>
      <c r="E269" t="s">
        <v>9</v>
      </c>
      <c r="F269">
        <v>0.74858826398849487</v>
      </c>
    </row>
    <row r="270" spans="2:6">
      <c r="B270">
        <v>2016</v>
      </c>
      <c r="C270" t="s">
        <v>17</v>
      </c>
      <c r="D270" t="s">
        <v>184</v>
      </c>
      <c r="E270" t="s">
        <v>10</v>
      </c>
      <c r="F270">
        <v>65.5</v>
      </c>
    </row>
    <row r="271" spans="2:6">
      <c r="B271">
        <v>2016</v>
      </c>
      <c r="C271" t="s">
        <v>17</v>
      </c>
      <c r="D271" t="s">
        <v>184</v>
      </c>
      <c r="E271" t="s">
        <v>14</v>
      </c>
      <c r="F271">
        <v>0.66051048040390015</v>
      </c>
    </row>
    <row r="272" spans="2:6">
      <c r="B272">
        <v>2016</v>
      </c>
      <c r="C272" t="s">
        <v>17</v>
      </c>
      <c r="D272" t="s">
        <v>184</v>
      </c>
      <c r="E272" t="s">
        <v>15</v>
      </c>
      <c r="F272">
        <v>0.37711197137832642</v>
      </c>
    </row>
    <row r="273" spans="2:6">
      <c r="B273">
        <v>2017</v>
      </c>
      <c r="C273" t="s">
        <v>17</v>
      </c>
      <c r="D273" t="s">
        <v>184</v>
      </c>
      <c r="E273" t="s">
        <v>7</v>
      </c>
      <c r="F273">
        <v>5.2489123344421387</v>
      </c>
    </row>
    <row r="274" spans="2:6">
      <c r="B274">
        <v>2017</v>
      </c>
      <c r="C274" t="s">
        <v>17</v>
      </c>
      <c r="D274" t="s">
        <v>184</v>
      </c>
      <c r="E274" t="s">
        <v>8</v>
      </c>
      <c r="F274">
        <v>9.3544883728027344</v>
      </c>
    </row>
    <row r="275" spans="2:6">
      <c r="B275">
        <v>2017</v>
      </c>
      <c r="C275" t="s">
        <v>17</v>
      </c>
      <c r="D275" t="s">
        <v>184</v>
      </c>
      <c r="E275" t="s">
        <v>9</v>
      </c>
      <c r="F275">
        <v>0.80675387382507324</v>
      </c>
    </row>
    <row r="276" spans="2:6">
      <c r="B276">
        <v>2017</v>
      </c>
      <c r="C276" t="s">
        <v>17</v>
      </c>
      <c r="D276" t="s">
        <v>184</v>
      </c>
      <c r="E276" t="s">
        <v>10</v>
      </c>
      <c r="F276">
        <v>65.699996948242188</v>
      </c>
    </row>
    <row r="277" spans="2:6">
      <c r="B277">
        <v>2017</v>
      </c>
      <c r="C277" t="s">
        <v>17</v>
      </c>
      <c r="D277" t="s">
        <v>184</v>
      </c>
      <c r="E277" t="s">
        <v>11</v>
      </c>
      <c r="F277">
        <v>0.43667048215866089</v>
      </c>
    </row>
    <row r="278" spans="2:6">
      <c r="B278">
        <v>2017</v>
      </c>
      <c r="C278" t="s">
        <v>17</v>
      </c>
      <c r="D278" t="s">
        <v>184</v>
      </c>
      <c r="E278" t="s">
        <v>12</v>
      </c>
      <c r="F278">
        <v>-0.16678154468536377</v>
      </c>
    </row>
    <row r="279" spans="2:6">
      <c r="B279">
        <v>2017</v>
      </c>
      <c r="C279" t="s">
        <v>17</v>
      </c>
      <c r="D279" t="s">
        <v>184</v>
      </c>
      <c r="E279" t="s">
        <v>13</v>
      </c>
      <c r="F279">
        <v>0.69977420568466187</v>
      </c>
    </row>
    <row r="280" spans="2:6">
      <c r="B280">
        <v>2017</v>
      </c>
      <c r="C280" t="s">
        <v>17</v>
      </c>
      <c r="D280" t="s">
        <v>184</v>
      </c>
      <c r="E280" t="s">
        <v>14</v>
      </c>
      <c r="F280">
        <v>0.6419796347618103</v>
      </c>
    </row>
    <row r="281" spans="2:6">
      <c r="B281">
        <v>2017</v>
      </c>
      <c r="C281" t="s">
        <v>17</v>
      </c>
      <c r="D281" t="s">
        <v>184</v>
      </c>
      <c r="E281" t="s">
        <v>15</v>
      </c>
      <c r="F281">
        <v>0.28871002793312073</v>
      </c>
    </row>
    <row r="282" spans="2:6">
      <c r="B282">
        <v>2018</v>
      </c>
      <c r="C282" t="s">
        <v>17</v>
      </c>
      <c r="D282" t="s">
        <v>184</v>
      </c>
      <c r="E282" t="s">
        <v>7</v>
      </c>
      <c r="F282">
        <v>5.043086051940918</v>
      </c>
    </row>
    <row r="283" spans="2:6">
      <c r="B283">
        <v>2018</v>
      </c>
      <c r="C283" t="s">
        <v>17</v>
      </c>
      <c r="D283" t="s">
        <v>184</v>
      </c>
      <c r="E283" t="s">
        <v>8</v>
      </c>
      <c r="F283">
        <v>9.3483180999755859</v>
      </c>
    </row>
    <row r="284" spans="2:6">
      <c r="B284">
        <v>2018</v>
      </c>
      <c r="C284" t="s">
        <v>17</v>
      </c>
      <c r="D284" t="s">
        <v>184</v>
      </c>
      <c r="E284" t="s">
        <v>9</v>
      </c>
      <c r="F284">
        <v>0.79865133762359619</v>
      </c>
    </row>
    <row r="285" spans="2:6">
      <c r="B285">
        <v>2018</v>
      </c>
      <c r="C285" t="s">
        <v>17</v>
      </c>
      <c r="D285" t="s">
        <v>184</v>
      </c>
      <c r="E285" t="s">
        <v>10</v>
      </c>
      <c r="F285">
        <v>65.900001525878906</v>
      </c>
    </row>
    <row r="286" spans="2:6">
      <c r="B286">
        <v>2018</v>
      </c>
      <c r="C286" t="s">
        <v>17</v>
      </c>
      <c r="D286" t="s">
        <v>184</v>
      </c>
      <c r="E286" t="s">
        <v>11</v>
      </c>
      <c r="F286">
        <v>0.58338057994842529</v>
      </c>
    </row>
    <row r="287" spans="2:6">
      <c r="B287">
        <v>2018</v>
      </c>
      <c r="C287" t="s">
        <v>17</v>
      </c>
      <c r="D287" t="s">
        <v>184</v>
      </c>
      <c r="E287" t="s">
        <v>12</v>
      </c>
      <c r="F287">
        <v>-0.14594286680221558</v>
      </c>
    </row>
    <row r="288" spans="2:6">
      <c r="B288">
        <v>2018</v>
      </c>
      <c r="C288" t="s">
        <v>17</v>
      </c>
      <c r="D288" t="s">
        <v>184</v>
      </c>
      <c r="E288" t="s">
        <v>13</v>
      </c>
      <c r="F288">
        <v>0.75870412588119507</v>
      </c>
    </row>
    <row r="289" spans="2:6">
      <c r="B289">
        <v>2018</v>
      </c>
      <c r="C289" t="s">
        <v>17</v>
      </c>
      <c r="D289" t="s">
        <v>184</v>
      </c>
      <c r="E289" t="s">
        <v>14</v>
      </c>
      <c r="F289">
        <v>0.59104293584823608</v>
      </c>
    </row>
    <row r="290" spans="2:6">
      <c r="B290">
        <v>2018</v>
      </c>
      <c r="C290" t="s">
        <v>17</v>
      </c>
      <c r="D290" t="s">
        <v>184</v>
      </c>
      <c r="E290" t="s">
        <v>15</v>
      </c>
      <c r="F290">
        <v>0.29294556379318237</v>
      </c>
    </row>
    <row r="291" spans="2:6">
      <c r="B291">
        <v>2019</v>
      </c>
      <c r="C291" t="s">
        <v>17</v>
      </c>
      <c r="D291" t="s">
        <v>184</v>
      </c>
      <c r="E291" t="s">
        <v>7</v>
      </c>
      <c r="F291">
        <v>4.7446274757385254</v>
      </c>
    </row>
    <row r="292" spans="2:6">
      <c r="B292">
        <v>2019</v>
      </c>
      <c r="C292" t="s">
        <v>17</v>
      </c>
      <c r="D292" t="s">
        <v>184</v>
      </c>
      <c r="E292" t="s">
        <v>8</v>
      </c>
      <c r="F292">
        <v>9.3369464874267578</v>
      </c>
    </row>
    <row r="293" spans="2:6">
      <c r="B293">
        <v>2019</v>
      </c>
      <c r="C293" t="s">
        <v>17</v>
      </c>
      <c r="D293" t="s">
        <v>184</v>
      </c>
      <c r="E293" t="s">
        <v>9</v>
      </c>
      <c r="F293">
        <v>0.80325865745544434</v>
      </c>
    </row>
    <row r="294" spans="2:6">
      <c r="B294">
        <v>2019</v>
      </c>
      <c r="C294" t="s">
        <v>17</v>
      </c>
      <c r="D294" t="s">
        <v>184</v>
      </c>
      <c r="E294" t="s">
        <v>10</v>
      </c>
      <c r="F294">
        <v>66.099998474121094</v>
      </c>
    </row>
    <row r="295" spans="2:6">
      <c r="B295">
        <v>2019</v>
      </c>
      <c r="C295" t="s">
        <v>17</v>
      </c>
      <c r="D295" t="s">
        <v>184</v>
      </c>
      <c r="E295" t="s">
        <v>11</v>
      </c>
      <c r="F295">
        <v>0.38508343696594238</v>
      </c>
    </row>
    <row r="296" spans="2:6">
      <c r="B296">
        <v>2019</v>
      </c>
      <c r="C296" t="s">
        <v>17</v>
      </c>
      <c r="D296" t="s">
        <v>184</v>
      </c>
      <c r="E296" t="s">
        <v>12</v>
      </c>
      <c r="F296">
        <v>5.0865202210843563E-3</v>
      </c>
    </row>
    <row r="297" spans="2:6">
      <c r="B297">
        <v>2019</v>
      </c>
      <c r="C297" t="s">
        <v>17</v>
      </c>
      <c r="D297" t="s">
        <v>184</v>
      </c>
      <c r="E297" t="s">
        <v>13</v>
      </c>
      <c r="F297">
        <v>0.74060934782028198</v>
      </c>
    </row>
    <row r="298" spans="2:6">
      <c r="B298">
        <v>2019</v>
      </c>
      <c r="C298" t="s">
        <v>17</v>
      </c>
      <c r="D298" t="s">
        <v>184</v>
      </c>
      <c r="E298" t="s">
        <v>14</v>
      </c>
      <c r="F298">
        <v>0.58494430780410767</v>
      </c>
    </row>
    <row r="299" spans="2:6">
      <c r="B299">
        <v>2019</v>
      </c>
      <c r="C299" t="s">
        <v>17</v>
      </c>
      <c r="D299" t="s">
        <v>184</v>
      </c>
      <c r="E299" t="s">
        <v>15</v>
      </c>
      <c r="F299">
        <v>0.21519775688648224</v>
      </c>
    </row>
    <row r="300" spans="2:6">
      <c r="B300">
        <v>2011</v>
      </c>
      <c r="C300" t="s">
        <v>18</v>
      </c>
      <c r="D300" t="s">
        <v>184</v>
      </c>
      <c r="E300" t="s">
        <v>7</v>
      </c>
      <c r="F300">
        <v>5.5890007019042969</v>
      </c>
    </row>
    <row r="301" spans="2:6">
      <c r="B301">
        <v>2011</v>
      </c>
      <c r="C301" t="s">
        <v>18</v>
      </c>
      <c r="D301" t="s">
        <v>184</v>
      </c>
      <c r="E301" t="s">
        <v>8</v>
      </c>
      <c r="F301">
        <v>8.9457817077636719</v>
      </c>
    </row>
    <row r="302" spans="2:6">
      <c r="B302">
        <v>2011</v>
      </c>
      <c r="C302" t="s">
        <v>18</v>
      </c>
      <c r="D302" t="s">
        <v>184</v>
      </c>
      <c r="E302" t="s">
        <v>9</v>
      </c>
      <c r="F302">
        <v>0.72309434413909912</v>
      </c>
    </row>
    <row r="303" spans="2:6">
      <c r="B303">
        <v>2011</v>
      </c>
      <c r="C303" t="s">
        <v>18</v>
      </c>
      <c r="D303" t="s">
        <v>184</v>
      </c>
      <c r="E303" t="s">
        <v>10</v>
      </c>
      <c r="F303">
        <v>52.5</v>
      </c>
    </row>
    <row r="304" spans="2:6">
      <c r="B304">
        <v>2011</v>
      </c>
      <c r="C304" t="s">
        <v>18</v>
      </c>
      <c r="D304" t="s">
        <v>184</v>
      </c>
      <c r="E304" t="s">
        <v>11</v>
      </c>
      <c r="F304">
        <v>0.58370178937911987</v>
      </c>
    </row>
    <row r="305" spans="2:6">
      <c r="B305">
        <v>2011</v>
      </c>
      <c r="C305" t="s">
        <v>18</v>
      </c>
      <c r="D305" t="s">
        <v>184</v>
      </c>
      <c r="E305" t="s">
        <v>12</v>
      </c>
      <c r="F305">
        <v>5.5257495492696762E-2</v>
      </c>
    </row>
    <row r="306" spans="2:6">
      <c r="B306">
        <v>2011</v>
      </c>
      <c r="C306" t="s">
        <v>18</v>
      </c>
      <c r="D306" t="s">
        <v>184</v>
      </c>
      <c r="E306" t="s">
        <v>13</v>
      </c>
      <c r="F306">
        <v>0.91132032871246338</v>
      </c>
    </row>
    <row r="307" spans="2:6">
      <c r="B307">
        <v>2011</v>
      </c>
      <c r="C307" t="s">
        <v>18</v>
      </c>
      <c r="D307" t="s">
        <v>184</v>
      </c>
      <c r="E307" t="s">
        <v>14</v>
      </c>
      <c r="F307">
        <v>0.65864652395248413</v>
      </c>
    </row>
    <row r="308" spans="2:6">
      <c r="B308">
        <v>2011</v>
      </c>
      <c r="C308" t="s">
        <v>18</v>
      </c>
      <c r="D308" t="s">
        <v>184</v>
      </c>
      <c r="E308" t="s">
        <v>15</v>
      </c>
      <c r="F308">
        <v>0.361063152551651</v>
      </c>
    </row>
    <row r="309" spans="2:6">
      <c r="B309">
        <v>2012</v>
      </c>
      <c r="C309" t="s">
        <v>18</v>
      </c>
      <c r="D309" t="s">
        <v>184</v>
      </c>
      <c r="E309" t="s">
        <v>7</v>
      </c>
      <c r="F309">
        <v>4.3602499961853027</v>
      </c>
    </row>
    <row r="310" spans="2:6">
      <c r="B310">
        <v>2012</v>
      </c>
      <c r="C310" t="s">
        <v>18</v>
      </c>
      <c r="D310" t="s">
        <v>184</v>
      </c>
      <c r="E310" t="s">
        <v>8</v>
      </c>
      <c r="F310">
        <v>8.9917726516723633</v>
      </c>
    </row>
    <row r="311" spans="2:6">
      <c r="B311">
        <v>2012</v>
      </c>
      <c r="C311" t="s">
        <v>18</v>
      </c>
      <c r="D311" t="s">
        <v>184</v>
      </c>
      <c r="E311" t="s">
        <v>9</v>
      </c>
      <c r="F311">
        <v>0.75259286165237427</v>
      </c>
    </row>
    <row r="312" spans="2:6">
      <c r="B312">
        <v>2012</v>
      </c>
      <c r="C312" t="s">
        <v>18</v>
      </c>
      <c r="D312" t="s">
        <v>184</v>
      </c>
      <c r="E312" t="s">
        <v>10</v>
      </c>
      <c r="F312">
        <v>53.200000762939453</v>
      </c>
    </row>
    <row r="313" spans="2:6">
      <c r="B313">
        <v>2012</v>
      </c>
      <c r="C313" t="s">
        <v>18</v>
      </c>
      <c r="D313" t="s">
        <v>184</v>
      </c>
      <c r="E313" t="s">
        <v>11</v>
      </c>
      <c r="F313">
        <v>0.45602858066558838</v>
      </c>
    </row>
    <row r="314" spans="2:6">
      <c r="B314">
        <v>2012</v>
      </c>
      <c r="C314" t="s">
        <v>18</v>
      </c>
      <c r="D314" t="s">
        <v>184</v>
      </c>
      <c r="E314" t="s">
        <v>12</v>
      </c>
      <c r="F314">
        <v>-0.13606986403465271</v>
      </c>
    </row>
    <row r="315" spans="2:6">
      <c r="B315">
        <v>2012</v>
      </c>
      <c r="C315" t="s">
        <v>18</v>
      </c>
      <c r="D315" t="s">
        <v>184</v>
      </c>
      <c r="E315" t="s">
        <v>13</v>
      </c>
      <c r="F315">
        <v>0.90630048513412476</v>
      </c>
    </row>
    <row r="316" spans="2:6">
      <c r="B316">
        <v>2012</v>
      </c>
      <c r="C316" t="s">
        <v>18</v>
      </c>
      <c r="D316" t="s">
        <v>184</v>
      </c>
      <c r="E316" t="s">
        <v>14</v>
      </c>
      <c r="F316">
        <v>0.55790811777114868</v>
      </c>
    </row>
    <row r="317" spans="2:6">
      <c r="B317">
        <v>2012</v>
      </c>
      <c r="C317" t="s">
        <v>18</v>
      </c>
      <c r="D317" t="s">
        <v>184</v>
      </c>
      <c r="E317" t="s">
        <v>15</v>
      </c>
      <c r="F317">
        <v>0.30489006638526917</v>
      </c>
    </row>
    <row r="318" spans="2:6">
      <c r="B318">
        <v>2013</v>
      </c>
      <c r="C318" t="s">
        <v>18</v>
      </c>
      <c r="D318" t="s">
        <v>184</v>
      </c>
      <c r="E318" t="s">
        <v>7</v>
      </c>
      <c r="F318">
        <v>3.9371068477630615</v>
      </c>
    </row>
    <row r="319" spans="2:6">
      <c r="B319">
        <v>2013</v>
      </c>
      <c r="C319" t="s">
        <v>18</v>
      </c>
      <c r="D319" t="s">
        <v>184</v>
      </c>
      <c r="E319" t="s">
        <v>8</v>
      </c>
      <c r="F319">
        <v>9.0046110153198242</v>
      </c>
    </row>
    <row r="320" spans="2:6">
      <c r="B320">
        <v>2013</v>
      </c>
      <c r="C320" t="s">
        <v>18</v>
      </c>
      <c r="D320" t="s">
        <v>184</v>
      </c>
      <c r="E320" t="s">
        <v>9</v>
      </c>
      <c r="F320">
        <v>0.72159075736999512</v>
      </c>
    </row>
    <row r="321" spans="2:6">
      <c r="B321">
        <v>2013</v>
      </c>
      <c r="C321" t="s">
        <v>18</v>
      </c>
      <c r="D321" t="s">
        <v>184</v>
      </c>
      <c r="E321" t="s">
        <v>10</v>
      </c>
      <c r="F321">
        <v>53.900001525878906</v>
      </c>
    </row>
    <row r="322" spans="2:6">
      <c r="B322">
        <v>2013</v>
      </c>
      <c r="C322" t="s">
        <v>18</v>
      </c>
      <c r="D322" t="s">
        <v>184</v>
      </c>
      <c r="E322" t="s">
        <v>11</v>
      </c>
      <c r="F322">
        <v>0.4095548689365387</v>
      </c>
    </row>
    <row r="323" spans="2:6">
      <c r="B323">
        <v>2013</v>
      </c>
      <c r="C323" t="s">
        <v>18</v>
      </c>
      <c r="D323" t="s">
        <v>184</v>
      </c>
      <c r="E323" t="s">
        <v>12</v>
      </c>
      <c r="F323">
        <v>-0.10355713963508606</v>
      </c>
    </row>
    <row r="324" spans="2:6">
      <c r="B324">
        <v>2013</v>
      </c>
      <c r="C324" t="s">
        <v>18</v>
      </c>
      <c r="D324" t="s">
        <v>184</v>
      </c>
      <c r="E324" t="s">
        <v>13</v>
      </c>
      <c r="F324">
        <v>0.8163754940032959</v>
      </c>
    </row>
    <row r="325" spans="2:6">
      <c r="B325">
        <v>2013</v>
      </c>
      <c r="C325" t="s">
        <v>18</v>
      </c>
      <c r="D325" t="s">
        <v>184</v>
      </c>
      <c r="E325" t="s">
        <v>14</v>
      </c>
      <c r="F325">
        <v>0.6582837700843811</v>
      </c>
    </row>
    <row r="326" spans="2:6">
      <c r="B326">
        <v>2013</v>
      </c>
      <c r="C326" t="s">
        <v>18</v>
      </c>
      <c r="D326" t="s">
        <v>184</v>
      </c>
      <c r="E326" t="s">
        <v>15</v>
      </c>
      <c r="F326">
        <v>0.37087500095367432</v>
      </c>
    </row>
    <row r="327" spans="2:6">
      <c r="B327">
        <v>2014</v>
      </c>
      <c r="C327" t="s">
        <v>18</v>
      </c>
      <c r="D327" t="s">
        <v>184</v>
      </c>
      <c r="E327" t="s">
        <v>7</v>
      </c>
      <c r="F327">
        <v>3.7948379516601563</v>
      </c>
    </row>
    <row r="328" spans="2:6">
      <c r="B328">
        <v>2014</v>
      </c>
      <c r="C328" t="s">
        <v>18</v>
      </c>
      <c r="D328" t="s">
        <v>184</v>
      </c>
      <c r="E328" t="s">
        <v>8</v>
      </c>
      <c r="F328">
        <v>9.0167350769042969</v>
      </c>
    </row>
    <row r="329" spans="2:6">
      <c r="B329">
        <v>2014</v>
      </c>
      <c r="C329" t="s">
        <v>18</v>
      </c>
      <c r="D329" t="s">
        <v>184</v>
      </c>
      <c r="E329" t="s">
        <v>9</v>
      </c>
      <c r="F329">
        <v>0.75461548566818237</v>
      </c>
    </row>
    <row r="330" spans="2:6">
      <c r="B330">
        <v>2014</v>
      </c>
      <c r="C330" t="s">
        <v>18</v>
      </c>
      <c r="D330" t="s">
        <v>184</v>
      </c>
      <c r="E330" t="s">
        <v>10</v>
      </c>
      <c r="F330">
        <v>54.599998474121094</v>
      </c>
    </row>
    <row r="331" spans="2:6">
      <c r="B331">
        <v>2014</v>
      </c>
      <c r="C331" t="s">
        <v>18</v>
      </c>
      <c r="D331" t="s">
        <v>184</v>
      </c>
      <c r="E331" t="s">
        <v>11</v>
      </c>
      <c r="F331">
        <v>0.37454155087471008</v>
      </c>
    </row>
    <row r="332" spans="2:6">
      <c r="B332">
        <v>2014</v>
      </c>
      <c r="C332" t="s">
        <v>18</v>
      </c>
      <c r="D332" t="s">
        <v>184</v>
      </c>
      <c r="E332" t="s">
        <v>12</v>
      </c>
      <c r="F332">
        <v>-0.16772268712520599</v>
      </c>
    </row>
    <row r="333" spans="2:6">
      <c r="B333">
        <v>2014</v>
      </c>
      <c r="C333" t="s">
        <v>18</v>
      </c>
      <c r="D333" t="s">
        <v>184</v>
      </c>
      <c r="E333" t="s">
        <v>13</v>
      </c>
      <c r="F333">
        <v>0.83407562971115112</v>
      </c>
    </row>
    <row r="334" spans="2:6">
      <c r="B334">
        <v>2014</v>
      </c>
      <c r="C334" t="s">
        <v>18</v>
      </c>
      <c r="D334" t="s">
        <v>184</v>
      </c>
      <c r="E334" t="s">
        <v>14</v>
      </c>
      <c r="F334">
        <v>0.57851713895797729</v>
      </c>
    </row>
    <row r="335" spans="2:6">
      <c r="B335">
        <v>2014</v>
      </c>
      <c r="C335" t="s">
        <v>18</v>
      </c>
      <c r="D335" t="s">
        <v>184</v>
      </c>
      <c r="E335" t="s">
        <v>15</v>
      </c>
      <c r="F335">
        <v>0.36786413192749023</v>
      </c>
    </row>
    <row r="336" spans="2:6">
      <c r="B336">
        <v>2006</v>
      </c>
      <c r="C336" t="s">
        <v>19</v>
      </c>
      <c r="D336" t="s">
        <v>185</v>
      </c>
      <c r="E336" t="s">
        <v>7</v>
      </c>
      <c r="F336">
        <v>6.3129253387451172</v>
      </c>
    </row>
    <row r="337" spans="2:6">
      <c r="B337">
        <v>2006</v>
      </c>
      <c r="C337" t="s">
        <v>19</v>
      </c>
      <c r="D337" t="s">
        <v>185</v>
      </c>
      <c r="E337" t="s">
        <v>8</v>
      </c>
      <c r="F337">
        <v>9.9416418075561523</v>
      </c>
    </row>
    <row r="338" spans="2:6">
      <c r="B338">
        <v>2006</v>
      </c>
      <c r="C338" t="s">
        <v>19</v>
      </c>
      <c r="D338" t="s">
        <v>185</v>
      </c>
      <c r="E338" t="s">
        <v>9</v>
      </c>
      <c r="F338">
        <v>0.93846279382705688</v>
      </c>
    </row>
    <row r="339" spans="2:6">
      <c r="B339">
        <v>2006</v>
      </c>
      <c r="C339" t="s">
        <v>19</v>
      </c>
      <c r="D339" t="s">
        <v>185</v>
      </c>
      <c r="E339" t="s">
        <v>10</v>
      </c>
      <c r="F339">
        <v>66.819999694824219</v>
      </c>
    </row>
    <row r="340" spans="2:6">
      <c r="B340">
        <v>2006</v>
      </c>
      <c r="C340" t="s">
        <v>19</v>
      </c>
      <c r="D340" t="s">
        <v>185</v>
      </c>
      <c r="E340" t="s">
        <v>11</v>
      </c>
      <c r="F340">
        <v>0.73300367593765259</v>
      </c>
    </row>
    <row r="341" spans="2:6">
      <c r="B341">
        <v>2006</v>
      </c>
      <c r="C341" t="s">
        <v>19</v>
      </c>
      <c r="D341" t="s">
        <v>185</v>
      </c>
      <c r="E341" t="s">
        <v>12</v>
      </c>
      <c r="F341">
        <v>-0.15667498111724854</v>
      </c>
    </row>
    <row r="342" spans="2:6">
      <c r="B342">
        <v>2006</v>
      </c>
      <c r="C342" t="s">
        <v>19</v>
      </c>
      <c r="D342" t="s">
        <v>185</v>
      </c>
      <c r="E342" t="s">
        <v>13</v>
      </c>
      <c r="F342">
        <v>0.85179948806762695</v>
      </c>
    </row>
    <row r="343" spans="2:6">
      <c r="B343">
        <v>2006</v>
      </c>
      <c r="C343" t="s">
        <v>19</v>
      </c>
      <c r="D343" t="s">
        <v>185</v>
      </c>
      <c r="E343" t="s">
        <v>14</v>
      </c>
      <c r="F343">
        <v>0.82468241453170776</v>
      </c>
    </row>
    <row r="344" spans="2:6">
      <c r="B344">
        <v>2006</v>
      </c>
      <c r="C344" t="s">
        <v>19</v>
      </c>
      <c r="D344" t="s">
        <v>185</v>
      </c>
      <c r="E344" t="s">
        <v>15</v>
      </c>
      <c r="F344">
        <v>0.32823002338409424</v>
      </c>
    </row>
    <row r="345" spans="2:6">
      <c r="B345">
        <v>2007</v>
      </c>
      <c r="C345" t="s">
        <v>19</v>
      </c>
      <c r="D345" t="s">
        <v>185</v>
      </c>
      <c r="E345" t="s">
        <v>7</v>
      </c>
      <c r="F345">
        <v>6.0731582641601563</v>
      </c>
    </row>
    <row r="346" spans="2:6">
      <c r="B346">
        <v>2007</v>
      </c>
      <c r="C346" t="s">
        <v>19</v>
      </c>
      <c r="D346" t="s">
        <v>185</v>
      </c>
      <c r="E346" t="s">
        <v>8</v>
      </c>
      <c r="F346">
        <v>10.017901420593262</v>
      </c>
    </row>
    <row r="347" spans="2:6">
      <c r="B347">
        <v>2007</v>
      </c>
      <c r="C347" t="s">
        <v>19</v>
      </c>
      <c r="D347" t="s">
        <v>185</v>
      </c>
      <c r="E347" t="s">
        <v>9</v>
      </c>
      <c r="F347">
        <v>0.86220556497573853</v>
      </c>
    </row>
    <row r="348" spans="2:6">
      <c r="B348">
        <v>2007</v>
      </c>
      <c r="C348" t="s">
        <v>19</v>
      </c>
      <c r="D348" t="s">
        <v>185</v>
      </c>
      <c r="E348" t="s">
        <v>10</v>
      </c>
      <c r="F348">
        <v>66.94000244140625</v>
      </c>
    </row>
    <row r="349" spans="2:6">
      <c r="B349">
        <v>2007</v>
      </c>
      <c r="C349" t="s">
        <v>19</v>
      </c>
      <c r="D349" t="s">
        <v>185</v>
      </c>
      <c r="E349" t="s">
        <v>11</v>
      </c>
      <c r="F349">
        <v>0.65283262729644775</v>
      </c>
    </row>
    <row r="350" spans="2:6">
      <c r="B350">
        <v>2007</v>
      </c>
      <c r="C350" t="s">
        <v>19</v>
      </c>
      <c r="D350" t="s">
        <v>185</v>
      </c>
      <c r="E350" t="s">
        <v>12</v>
      </c>
      <c r="F350">
        <v>-0.14077657461166382</v>
      </c>
    </row>
    <row r="351" spans="2:6">
      <c r="B351">
        <v>2007</v>
      </c>
      <c r="C351" t="s">
        <v>19</v>
      </c>
      <c r="D351" t="s">
        <v>185</v>
      </c>
      <c r="E351" t="s">
        <v>13</v>
      </c>
      <c r="F351">
        <v>0.8810577392578125</v>
      </c>
    </row>
    <row r="352" spans="2:6">
      <c r="B352">
        <v>2007</v>
      </c>
      <c r="C352" t="s">
        <v>19</v>
      </c>
      <c r="D352" t="s">
        <v>185</v>
      </c>
      <c r="E352" t="s">
        <v>14</v>
      </c>
      <c r="F352">
        <v>0.82791972160339355</v>
      </c>
    </row>
    <row r="353" spans="2:6">
      <c r="B353">
        <v>2007</v>
      </c>
      <c r="C353" t="s">
        <v>19</v>
      </c>
      <c r="D353" t="s">
        <v>185</v>
      </c>
      <c r="E353" t="s">
        <v>15</v>
      </c>
      <c r="F353">
        <v>0.27900797128677368</v>
      </c>
    </row>
    <row r="354" spans="2:6">
      <c r="B354">
        <v>2008</v>
      </c>
      <c r="C354" t="s">
        <v>19</v>
      </c>
      <c r="D354" t="s">
        <v>185</v>
      </c>
      <c r="E354" t="s">
        <v>7</v>
      </c>
      <c r="F354">
        <v>5.9610342979431152</v>
      </c>
    </row>
    <row r="355" spans="2:6">
      <c r="B355">
        <v>2008</v>
      </c>
      <c r="C355" t="s">
        <v>19</v>
      </c>
      <c r="D355" t="s">
        <v>185</v>
      </c>
      <c r="E355" t="s">
        <v>8</v>
      </c>
      <c r="F355">
        <v>10.047746658325195</v>
      </c>
    </row>
    <row r="356" spans="2:6">
      <c r="B356">
        <v>2008</v>
      </c>
      <c r="C356" t="s">
        <v>19</v>
      </c>
      <c r="D356" t="s">
        <v>185</v>
      </c>
      <c r="E356" t="s">
        <v>9</v>
      </c>
      <c r="F356">
        <v>0.89219450950622559</v>
      </c>
    </row>
    <row r="357" spans="2:6">
      <c r="B357">
        <v>2008</v>
      </c>
      <c r="C357" t="s">
        <v>19</v>
      </c>
      <c r="D357" t="s">
        <v>185</v>
      </c>
      <c r="E357" t="s">
        <v>10</v>
      </c>
      <c r="F357">
        <v>67.05999755859375</v>
      </c>
    </row>
    <row r="358" spans="2:6">
      <c r="B358">
        <v>2008</v>
      </c>
      <c r="C358" t="s">
        <v>19</v>
      </c>
      <c r="D358" t="s">
        <v>185</v>
      </c>
      <c r="E358" t="s">
        <v>11</v>
      </c>
      <c r="F358">
        <v>0.6782221794128418</v>
      </c>
    </row>
    <row r="359" spans="2:6">
      <c r="B359">
        <v>2008</v>
      </c>
      <c r="C359" t="s">
        <v>19</v>
      </c>
      <c r="D359" t="s">
        <v>185</v>
      </c>
      <c r="E359" t="s">
        <v>12</v>
      </c>
      <c r="F359">
        <v>-0.1315322071313858</v>
      </c>
    </row>
    <row r="360" spans="2:6">
      <c r="B360">
        <v>2008</v>
      </c>
      <c r="C360" t="s">
        <v>19</v>
      </c>
      <c r="D360" t="s">
        <v>185</v>
      </c>
      <c r="E360" t="s">
        <v>13</v>
      </c>
      <c r="F360">
        <v>0.86499625444412231</v>
      </c>
    </row>
    <row r="361" spans="2:6">
      <c r="B361">
        <v>2008</v>
      </c>
      <c r="C361" t="s">
        <v>19</v>
      </c>
      <c r="D361" t="s">
        <v>185</v>
      </c>
      <c r="E361" t="s">
        <v>14</v>
      </c>
      <c r="F361">
        <v>0.82340854406356812</v>
      </c>
    </row>
    <row r="362" spans="2:6">
      <c r="B362">
        <v>2008</v>
      </c>
      <c r="C362" t="s">
        <v>19</v>
      </c>
      <c r="D362" t="s">
        <v>185</v>
      </c>
      <c r="E362" t="s">
        <v>15</v>
      </c>
      <c r="F362">
        <v>0.3182222843170166</v>
      </c>
    </row>
    <row r="363" spans="2:6">
      <c r="B363">
        <v>2009</v>
      </c>
      <c r="C363" t="s">
        <v>19</v>
      </c>
      <c r="D363" t="s">
        <v>185</v>
      </c>
      <c r="E363" t="s">
        <v>7</v>
      </c>
      <c r="F363">
        <v>6.42413330078125</v>
      </c>
    </row>
    <row r="364" spans="2:6">
      <c r="B364">
        <v>2009</v>
      </c>
      <c r="C364" t="s">
        <v>19</v>
      </c>
      <c r="D364" t="s">
        <v>185</v>
      </c>
      <c r="E364" t="s">
        <v>8</v>
      </c>
      <c r="F364">
        <v>9.9767417907714844</v>
      </c>
    </row>
    <row r="365" spans="2:6">
      <c r="B365">
        <v>2009</v>
      </c>
      <c r="C365" t="s">
        <v>19</v>
      </c>
      <c r="D365" t="s">
        <v>185</v>
      </c>
      <c r="E365" t="s">
        <v>9</v>
      </c>
      <c r="F365">
        <v>0.9186931848526001</v>
      </c>
    </row>
    <row r="366" spans="2:6">
      <c r="B366">
        <v>2009</v>
      </c>
      <c r="C366" t="s">
        <v>19</v>
      </c>
      <c r="D366" t="s">
        <v>185</v>
      </c>
      <c r="E366" t="s">
        <v>10</v>
      </c>
      <c r="F366">
        <v>67.180000305175781</v>
      </c>
    </row>
    <row r="367" spans="2:6">
      <c r="B367">
        <v>2009</v>
      </c>
      <c r="C367" t="s">
        <v>19</v>
      </c>
      <c r="D367" t="s">
        <v>185</v>
      </c>
      <c r="E367" t="s">
        <v>11</v>
      </c>
      <c r="F367">
        <v>0.63664644956588745</v>
      </c>
    </row>
    <row r="368" spans="2:6">
      <c r="B368">
        <v>2009</v>
      </c>
      <c r="C368" t="s">
        <v>19</v>
      </c>
      <c r="D368" t="s">
        <v>185</v>
      </c>
      <c r="E368" t="s">
        <v>12</v>
      </c>
      <c r="F368">
        <v>-0.12973518669605255</v>
      </c>
    </row>
    <row r="369" spans="2:6">
      <c r="B369">
        <v>2009</v>
      </c>
      <c r="C369" t="s">
        <v>19</v>
      </c>
      <c r="D369" t="s">
        <v>185</v>
      </c>
      <c r="E369" t="s">
        <v>13</v>
      </c>
      <c r="F369">
        <v>0.88474220037460327</v>
      </c>
    </row>
    <row r="370" spans="2:6">
      <c r="B370">
        <v>2009</v>
      </c>
      <c r="C370" t="s">
        <v>19</v>
      </c>
      <c r="D370" t="s">
        <v>185</v>
      </c>
      <c r="E370" t="s">
        <v>14</v>
      </c>
      <c r="F370">
        <v>0.86378556489944458</v>
      </c>
    </row>
    <row r="371" spans="2:6">
      <c r="B371">
        <v>2009</v>
      </c>
      <c r="C371" t="s">
        <v>19</v>
      </c>
      <c r="D371" t="s">
        <v>185</v>
      </c>
      <c r="E371" t="s">
        <v>15</v>
      </c>
      <c r="F371">
        <v>0.23690147697925568</v>
      </c>
    </row>
    <row r="372" spans="2:6">
      <c r="B372">
        <v>2010</v>
      </c>
      <c r="C372" t="s">
        <v>19</v>
      </c>
      <c r="D372" t="s">
        <v>185</v>
      </c>
      <c r="E372" t="s">
        <v>7</v>
      </c>
      <c r="F372">
        <v>6.4410672187805176</v>
      </c>
    </row>
    <row r="373" spans="2:6">
      <c r="B373">
        <v>2010</v>
      </c>
      <c r="C373" t="s">
        <v>19</v>
      </c>
      <c r="D373" t="s">
        <v>185</v>
      </c>
      <c r="E373" t="s">
        <v>8</v>
      </c>
      <c r="F373">
        <v>10.065669059753418</v>
      </c>
    </row>
    <row r="374" spans="2:6">
      <c r="B374">
        <v>2010</v>
      </c>
      <c r="C374" t="s">
        <v>19</v>
      </c>
      <c r="D374" t="s">
        <v>185</v>
      </c>
      <c r="E374" t="s">
        <v>9</v>
      </c>
      <c r="F374">
        <v>0.92679858207702637</v>
      </c>
    </row>
    <row r="375" spans="2:6">
      <c r="B375">
        <v>2010</v>
      </c>
      <c r="C375" t="s">
        <v>19</v>
      </c>
      <c r="D375" t="s">
        <v>185</v>
      </c>
      <c r="E375" t="s">
        <v>10</v>
      </c>
      <c r="F375">
        <v>67.300003051757813</v>
      </c>
    </row>
    <row r="376" spans="2:6">
      <c r="B376">
        <v>2010</v>
      </c>
      <c r="C376" t="s">
        <v>19</v>
      </c>
      <c r="D376" t="s">
        <v>185</v>
      </c>
      <c r="E376" t="s">
        <v>11</v>
      </c>
      <c r="F376">
        <v>0.73025816679000854</v>
      </c>
    </row>
    <row r="377" spans="2:6">
      <c r="B377">
        <v>2010</v>
      </c>
      <c r="C377" t="s">
        <v>19</v>
      </c>
      <c r="D377" t="s">
        <v>185</v>
      </c>
      <c r="E377" t="s">
        <v>12</v>
      </c>
      <c r="F377">
        <v>-0.12568217515945435</v>
      </c>
    </row>
    <row r="378" spans="2:6">
      <c r="B378">
        <v>2010</v>
      </c>
      <c r="C378" t="s">
        <v>19</v>
      </c>
      <c r="D378" t="s">
        <v>185</v>
      </c>
      <c r="E378" t="s">
        <v>13</v>
      </c>
      <c r="F378">
        <v>0.85469543933868408</v>
      </c>
    </row>
    <row r="379" spans="2:6">
      <c r="B379">
        <v>2010</v>
      </c>
      <c r="C379" t="s">
        <v>19</v>
      </c>
      <c r="D379" t="s">
        <v>185</v>
      </c>
      <c r="E379" t="s">
        <v>14</v>
      </c>
      <c r="F379">
        <v>0.84613555669784546</v>
      </c>
    </row>
    <row r="380" spans="2:6">
      <c r="B380">
        <v>2010</v>
      </c>
      <c r="C380" t="s">
        <v>19</v>
      </c>
      <c r="D380" t="s">
        <v>185</v>
      </c>
      <c r="E380" t="s">
        <v>15</v>
      </c>
      <c r="F380">
        <v>0.21097549796104431</v>
      </c>
    </row>
    <row r="381" spans="2:6">
      <c r="B381">
        <v>2011</v>
      </c>
      <c r="C381" t="s">
        <v>19</v>
      </c>
      <c r="D381" t="s">
        <v>185</v>
      </c>
      <c r="E381" t="s">
        <v>7</v>
      </c>
      <c r="F381">
        <v>6.7758054733276367</v>
      </c>
    </row>
    <row r="382" spans="2:6">
      <c r="B382">
        <v>2011</v>
      </c>
      <c r="C382" t="s">
        <v>19</v>
      </c>
      <c r="D382" t="s">
        <v>185</v>
      </c>
      <c r="E382" t="s">
        <v>8</v>
      </c>
      <c r="F382">
        <v>10.112444877624512</v>
      </c>
    </row>
    <row r="383" spans="2:6">
      <c r="B383">
        <v>2011</v>
      </c>
      <c r="C383" t="s">
        <v>19</v>
      </c>
      <c r="D383" t="s">
        <v>185</v>
      </c>
      <c r="E383" t="s">
        <v>9</v>
      </c>
      <c r="F383">
        <v>0.88907349109649658</v>
      </c>
    </row>
    <row r="384" spans="2:6">
      <c r="B384">
        <v>2011</v>
      </c>
      <c r="C384" t="s">
        <v>19</v>
      </c>
      <c r="D384" t="s">
        <v>185</v>
      </c>
      <c r="E384" t="s">
        <v>10</v>
      </c>
      <c r="F384">
        <v>67.480003356933594</v>
      </c>
    </row>
    <row r="385" spans="2:6">
      <c r="B385">
        <v>2011</v>
      </c>
      <c r="C385" t="s">
        <v>19</v>
      </c>
      <c r="D385" t="s">
        <v>185</v>
      </c>
      <c r="E385" t="s">
        <v>11</v>
      </c>
      <c r="F385">
        <v>0.81580203771591187</v>
      </c>
    </row>
    <row r="386" spans="2:6">
      <c r="B386">
        <v>2011</v>
      </c>
      <c r="C386" t="s">
        <v>19</v>
      </c>
      <c r="D386" t="s">
        <v>185</v>
      </c>
      <c r="E386" t="s">
        <v>12</v>
      </c>
      <c r="F386">
        <v>-0.17399342358112335</v>
      </c>
    </row>
    <row r="387" spans="2:6">
      <c r="B387">
        <v>2011</v>
      </c>
      <c r="C387" t="s">
        <v>19</v>
      </c>
      <c r="D387" t="s">
        <v>185</v>
      </c>
      <c r="E387" t="s">
        <v>13</v>
      </c>
      <c r="F387">
        <v>0.7546457052230835</v>
      </c>
    </row>
    <row r="388" spans="2:6">
      <c r="B388">
        <v>2011</v>
      </c>
      <c r="C388" t="s">
        <v>19</v>
      </c>
      <c r="D388" t="s">
        <v>185</v>
      </c>
      <c r="E388" t="s">
        <v>14</v>
      </c>
      <c r="F388">
        <v>0.84004789590835571</v>
      </c>
    </row>
    <row r="389" spans="2:6">
      <c r="B389">
        <v>2011</v>
      </c>
      <c r="C389" t="s">
        <v>19</v>
      </c>
      <c r="D389" t="s">
        <v>185</v>
      </c>
      <c r="E389" t="s">
        <v>15</v>
      </c>
      <c r="F389">
        <v>0.23185515403747559</v>
      </c>
    </row>
    <row r="390" spans="2:6">
      <c r="B390">
        <v>2012</v>
      </c>
      <c r="C390" t="s">
        <v>19</v>
      </c>
      <c r="D390" t="s">
        <v>185</v>
      </c>
      <c r="E390" t="s">
        <v>7</v>
      </c>
      <c r="F390">
        <v>6.4683871269226074</v>
      </c>
    </row>
    <row r="391" spans="2:6">
      <c r="B391">
        <v>2012</v>
      </c>
      <c r="C391" t="s">
        <v>19</v>
      </c>
      <c r="D391" t="s">
        <v>185</v>
      </c>
      <c r="E391" t="s">
        <v>8</v>
      </c>
      <c r="F391">
        <v>10.090758323669434</v>
      </c>
    </row>
    <row r="392" spans="2:6">
      <c r="B392">
        <v>2012</v>
      </c>
      <c r="C392" t="s">
        <v>19</v>
      </c>
      <c r="D392" t="s">
        <v>185</v>
      </c>
      <c r="E392" t="s">
        <v>9</v>
      </c>
      <c r="F392">
        <v>0.90177637338638306</v>
      </c>
    </row>
    <row r="393" spans="2:6">
      <c r="B393">
        <v>2012</v>
      </c>
      <c r="C393" t="s">
        <v>19</v>
      </c>
      <c r="D393" t="s">
        <v>185</v>
      </c>
      <c r="E393" t="s">
        <v>10</v>
      </c>
      <c r="F393">
        <v>67.660003662109375</v>
      </c>
    </row>
    <row r="394" spans="2:6">
      <c r="B394">
        <v>2012</v>
      </c>
      <c r="C394" t="s">
        <v>19</v>
      </c>
      <c r="D394" t="s">
        <v>185</v>
      </c>
      <c r="E394" t="s">
        <v>11</v>
      </c>
      <c r="F394">
        <v>0.74749839305877686</v>
      </c>
    </row>
    <row r="395" spans="2:6">
      <c r="B395">
        <v>2012</v>
      </c>
      <c r="C395" t="s">
        <v>19</v>
      </c>
      <c r="D395" t="s">
        <v>185</v>
      </c>
      <c r="E395" t="s">
        <v>12</v>
      </c>
      <c r="F395">
        <v>-0.14760944247245789</v>
      </c>
    </row>
    <row r="396" spans="2:6">
      <c r="B396">
        <v>2012</v>
      </c>
      <c r="C396" t="s">
        <v>19</v>
      </c>
      <c r="D396" t="s">
        <v>185</v>
      </c>
      <c r="E396" t="s">
        <v>13</v>
      </c>
      <c r="F396">
        <v>0.81654620170593262</v>
      </c>
    </row>
    <row r="397" spans="2:6">
      <c r="B397">
        <v>2012</v>
      </c>
      <c r="C397" t="s">
        <v>19</v>
      </c>
      <c r="D397" t="s">
        <v>185</v>
      </c>
      <c r="E397" t="s">
        <v>14</v>
      </c>
      <c r="F397">
        <v>0.85651630163192749</v>
      </c>
    </row>
    <row r="398" spans="2:6">
      <c r="B398">
        <v>2012</v>
      </c>
      <c r="C398" t="s">
        <v>19</v>
      </c>
      <c r="D398" t="s">
        <v>185</v>
      </c>
      <c r="E398" t="s">
        <v>15</v>
      </c>
      <c r="F398">
        <v>0.27221912145614624</v>
      </c>
    </row>
    <row r="399" spans="2:6">
      <c r="B399">
        <v>2013</v>
      </c>
      <c r="C399" t="s">
        <v>19</v>
      </c>
      <c r="D399" t="s">
        <v>185</v>
      </c>
      <c r="E399" t="s">
        <v>7</v>
      </c>
      <c r="F399">
        <v>6.5822601318359375</v>
      </c>
    </row>
    <row r="400" spans="2:6">
      <c r="B400">
        <v>2013</v>
      </c>
      <c r="C400" t="s">
        <v>19</v>
      </c>
      <c r="D400" t="s">
        <v>185</v>
      </c>
      <c r="E400" t="s">
        <v>8</v>
      </c>
      <c r="F400">
        <v>10.103335380554199</v>
      </c>
    </row>
    <row r="401" spans="2:6">
      <c r="B401">
        <v>2013</v>
      </c>
      <c r="C401" t="s">
        <v>19</v>
      </c>
      <c r="D401" t="s">
        <v>185</v>
      </c>
      <c r="E401" t="s">
        <v>9</v>
      </c>
      <c r="F401">
        <v>0.90987420082092285</v>
      </c>
    </row>
    <row r="402" spans="2:6">
      <c r="B402">
        <v>2013</v>
      </c>
      <c r="C402" t="s">
        <v>19</v>
      </c>
      <c r="D402" t="s">
        <v>185</v>
      </c>
      <c r="E402" t="s">
        <v>10</v>
      </c>
      <c r="F402">
        <v>67.839996337890625</v>
      </c>
    </row>
    <row r="403" spans="2:6">
      <c r="B403">
        <v>2013</v>
      </c>
      <c r="C403" t="s">
        <v>19</v>
      </c>
      <c r="D403" t="s">
        <v>185</v>
      </c>
      <c r="E403" t="s">
        <v>11</v>
      </c>
      <c r="F403">
        <v>0.73725038766860962</v>
      </c>
    </row>
    <row r="404" spans="2:6">
      <c r="B404">
        <v>2013</v>
      </c>
      <c r="C404" t="s">
        <v>19</v>
      </c>
      <c r="D404" t="s">
        <v>185</v>
      </c>
      <c r="E404" t="s">
        <v>12</v>
      </c>
      <c r="F404">
        <v>-0.13011801242828369</v>
      </c>
    </row>
    <row r="405" spans="2:6">
      <c r="B405">
        <v>2013</v>
      </c>
      <c r="C405" t="s">
        <v>19</v>
      </c>
      <c r="D405" t="s">
        <v>185</v>
      </c>
      <c r="E405" t="s">
        <v>13</v>
      </c>
      <c r="F405">
        <v>0.82290029525756836</v>
      </c>
    </row>
    <row r="406" spans="2:6">
      <c r="B406">
        <v>2013</v>
      </c>
      <c r="C406" t="s">
        <v>19</v>
      </c>
      <c r="D406" t="s">
        <v>185</v>
      </c>
      <c r="E406" t="s">
        <v>14</v>
      </c>
      <c r="F406">
        <v>0.84247851371765137</v>
      </c>
    </row>
    <row r="407" spans="2:6">
      <c r="B407">
        <v>2013</v>
      </c>
      <c r="C407" t="s">
        <v>19</v>
      </c>
      <c r="D407" t="s">
        <v>185</v>
      </c>
      <c r="E407" t="s">
        <v>15</v>
      </c>
      <c r="F407">
        <v>0.25420472025871277</v>
      </c>
    </row>
    <row r="408" spans="2:6">
      <c r="B408">
        <v>2014</v>
      </c>
      <c r="C408" t="s">
        <v>19</v>
      </c>
      <c r="D408" t="s">
        <v>185</v>
      </c>
      <c r="E408" t="s">
        <v>7</v>
      </c>
      <c r="F408">
        <v>6.671114444732666</v>
      </c>
    </row>
    <row r="409" spans="2:6">
      <c r="B409">
        <v>2014</v>
      </c>
      <c r="C409" t="s">
        <v>19</v>
      </c>
      <c r="D409" t="s">
        <v>185</v>
      </c>
      <c r="E409" t="s">
        <v>8</v>
      </c>
      <c r="F409">
        <v>10.066893577575684</v>
      </c>
    </row>
    <row r="410" spans="2:6">
      <c r="B410">
        <v>2014</v>
      </c>
      <c r="C410" t="s">
        <v>19</v>
      </c>
      <c r="D410" t="s">
        <v>185</v>
      </c>
      <c r="E410" t="s">
        <v>9</v>
      </c>
      <c r="F410">
        <v>0.91787040233612061</v>
      </c>
    </row>
    <row r="411" spans="2:6">
      <c r="B411">
        <v>2014</v>
      </c>
      <c r="C411" t="s">
        <v>19</v>
      </c>
      <c r="D411" t="s">
        <v>185</v>
      </c>
      <c r="E411" t="s">
        <v>10</v>
      </c>
      <c r="F411">
        <v>68.019996643066406</v>
      </c>
    </row>
    <row r="412" spans="2:6">
      <c r="B412">
        <v>2014</v>
      </c>
      <c r="C412" t="s">
        <v>19</v>
      </c>
      <c r="D412" t="s">
        <v>185</v>
      </c>
      <c r="E412" t="s">
        <v>11</v>
      </c>
      <c r="F412">
        <v>0.74505776166915894</v>
      </c>
    </row>
    <row r="413" spans="2:6">
      <c r="B413">
        <v>2014</v>
      </c>
      <c r="C413" t="s">
        <v>19</v>
      </c>
      <c r="D413" t="s">
        <v>185</v>
      </c>
      <c r="E413" t="s">
        <v>12</v>
      </c>
      <c r="F413">
        <v>-0.16415360569953918</v>
      </c>
    </row>
    <row r="414" spans="2:6">
      <c r="B414">
        <v>2014</v>
      </c>
      <c r="C414" t="s">
        <v>19</v>
      </c>
      <c r="D414" t="s">
        <v>185</v>
      </c>
      <c r="E414" t="s">
        <v>13</v>
      </c>
      <c r="F414">
        <v>0.85419160127639771</v>
      </c>
    </row>
    <row r="415" spans="2:6">
      <c r="B415">
        <v>2014</v>
      </c>
      <c r="C415" t="s">
        <v>19</v>
      </c>
      <c r="D415" t="s">
        <v>185</v>
      </c>
      <c r="E415" t="s">
        <v>14</v>
      </c>
      <c r="F415">
        <v>0.8571237325668335</v>
      </c>
    </row>
    <row r="416" spans="2:6">
      <c r="B416">
        <v>2014</v>
      </c>
      <c r="C416" t="s">
        <v>19</v>
      </c>
      <c r="D416" t="s">
        <v>185</v>
      </c>
      <c r="E416" t="s">
        <v>15</v>
      </c>
      <c r="F416">
        <v>0.2379128634929657</v>
      </c>
    </row>
    <row r="417" spans="2:6">
      <c r="B417">
        <v>2015</v>
      </c>
      <c r="C417" t="s">
        <v>19</v>
      </c>
      <c r="D417" t="s">
        <v>185</v>
      </c>
      <c r="E417" t="s">
        <v>7</v>
      </c>
      <c r="F417">
        <v>6.6971306800842285</v>
      </c>
    </row>
    <row r="418" spans="2:6">
      <c r="B418">
        <v>2015</v>
      </c>
      <c r="C418" t="s">
        <v>19</v>
      </c>
      <c r="D418" t="s">
        <v>185</v>
      </c>
      <c r="E418" t="s">
        <v>8</v>
      </c>
      <c r="F418">
        <v>10.083059310913086</v>
      </c>
    </row>
    <row r="419" spans="2:6">
      <c r="B419">
        <v>2015</v>
      </c>
      <c r="C419" t="s">
        <v>19</v>
      </c>
      <c r="D419" t="s">
        <v>185</v>
      </c>
      <c r="E419" t="s">
        <v>9</v>
      </c>
      <c r="F419">
        <v>0.92649227380752563</v>
      </c>
    </row>
    <row r="420" spans="2:6">
      <c r="B420">
        <v>2015</v>
      </c>
      <c r="C420" t="s">
        <v>19</v>
      </c>
      <c r="D420" t="s">
        <v>185</v>
      </c>
      <c r="E420" t="s">
        <v>10</v>
      </c>
      <c r="F420">
        <v>68.199996948242188</v>
      </c>
    </row>
    <row r="421" spans="2:6">
      <c r="B421">
        <v>2015</v>
      </c>
      <c r="C421" t="s">
        <v>19</v>
      </c>
      <c r="D421" t="s">
        <v>185</v>
      </c>
      <c r="E421" t="s">
        <v>11</v>
      </c>
      <c r="F421">
        <v>0.88122367858886719</v>
      </c>
    </row>
    <row r="422" spans="2:6">
      <c r="B422">
        <v>2015</v>
      </c>
      <c r="C422" t="s">
        <v>19</v>
      </c>
      <c r="D422" t="s">
        <v>185</v>
      </c>
      <c r="E422" t="s">
        <v>12</v>
      </c>
      <c r="F422">
        <v>-0.17384830117225647</v>
      </c>
    </row>
    <row r="423" spans="2:6">
      <c r="B423">
        <v>2015</v>
      </c>
      <c r="C423" t="s">
        <v>19</v>
      </c>
      <c r="D423" t="s">
        <v>185</v>
      </c>
      <c r="E423" t="s">
        <v>13</v>
      </c>
      <c r="F423">
        <v>0.85090619325637817</v>
      </c>
    </row>
    <row r="424" spans="2:6">
      <c r="B424">
        <v>2015</v>
      </c>
      <c r="C424" t="s">
        <v>19</v>
      </c>
      <c r="D424" t="s">
        <v>185</v>
      </c>
      <c r="E424" t="s">
        <v>14</v>
      </c>
      <c r="F424">
        <v>0.85854446887969971</v>
      </c>
    </row>
    <row r="425" spans="2:6">
      <c r="B425">
        <v>2015</v>
      </c>
      <c r="C425" t="s">
        <v>19</v>
      </c>
      <c r="D425" t="s">
        <v>185</v>
      </c>
      <c r="E425" t="s">
        <v>15</v>
      </c>
      <c r="F425">
        <v>0.30535492300987244</v>
      </c>
    </row>
    <row r="426" spans="2:6">
      <c r="B426">
        <v>2016</v>
      </c>
      <c r="C426" t="s">
        <v>19</v>
      </c>
      <c r="D426" t="s">
        <v>185</v>
      </c>
      <c r="E426" t="s">
        <v>7</v>
      </c>
      <c r="F426">
        <v>6.4272212982177734</v>
      </c>
    </row>
    <row r="427" spans="2:6">
      <c r="B427">
        <v>2016</v>
      </c>
      <c r="C427" t="s">
        <v>19</v>
      </c>
      <c r="D427" t="s">
        <v>185</v>
      </c>
      <c r="E427" t="s">
        <v>8</v>
      </c>
      <c r="F427">
        <v>10.051465034484863</v>
      </c>
    </row>
    <row r="428" spans="2:6">
      <c r="B428">
        <v>2016</v>
      </c>
      <c r="C428" t="s">
        <v>19</v>
      </c>
      <c r="D428" t="s">
        <v>185</v>
      </c>
      <c r="E428" t="s">
        <v>9</v>
      </c>
      <c r="F428">
        <v>0.88281911611557007</v>
      </c>
    </row>
    <row r="429" spans="2:6">
      <c r="B429">
        <v>2016</v>
      </c>
      <c r="C429" t="s">
        <v>19</v>
      </c>
      <c r="D429" t="s">
        <v>185</v>
      </c>
      <c r="E429" t="s">
        <v>10</v>
      </c>
      <c r="F429">
        <v>68.400001525878906</v>
      </c>
    </row>
    <row r="430" spans="2:6">
      <c r="B430">
        <v>2016</v>
      </c>
      <c r="C430" t="s">
        <v>19</v>
      </c>
      <c r="D430" t="s">
        <v>185</v>
      </c>
      <c r="E430" t="s">
        <v>11</v>
      </c>
      <c r="F430">
        <v>0.84770220518112183</v>
      </c>
    </row>
    <row r="431" spans="2:6">
      <c r="B431">
        <v>2016</v>
      </c>
      <c r="C431" t="s">
        <v>19</v>
      </c>
      <c r="D431" t="s">
        <v>185</v>
      </c>
      <c r="E431" t="s">
        <v>12</v>
      </c>
      <c r="F431">
        <v>-0.19175593554973602</v>
      </c>
    </row>
    <row r="432" spans="2:6">
      <c r="B432">
        <v>2016</v>
      </c>
      <c r="C432" t="s">
        <v>19</v>
      </c>
      <c r="D432" t="s">
        <v>185</v>
      </c>
      <c r="E432" t="s">
        <v>13</v>
      </c>
      <c r="F432">
        <v>0.85092449188232422</v>
      </c>
    </row>
    <row r="433" spans="2:6">
      <c r="B433">
        <v>2016</v>
      </c>
      <c r="C433" t="s">
        <v>19</v>
      </c>
      <c r="D433" t="s">
        <v>185</v>
      </c>
      <c r="E433" t="s">
        <v>14</v>
      </c>
      <c r="F433">
        <v>0.84190672636032104</v>
      </c>
    </row>
    <row r="434" spans="2:6">
      <c r="B434">
        <v>2016</v>
      </c>
      <c r="C434" t="s">
        <v>19</v>
      </c>
      <c r="D434" t="s">
        <v>185</v>
      </c>
      <c r="E434" t="s">
        <v>15</v>
      </c>
      <c r="F434">
        <v>0.31164646148681641</v>
      </c>
    </row>
    <row r="435" spans="2:6">
      <c r="B435">
        <v>2017</v>
      </c>
      <c r="C435" t="s">
        <v>19</v>
      </c>
      <c r="D435" t="s">
        <v>185</v>
      </c>
      <c r="E435" t="s">
        <v>7</v>
      </c>
      <c r="F435">
        <v>6.039330005645752</v>
      </c>
    </row>
    <row r="436" spans="2:6">
      <c r="B436">
        <v>2017</v>
      </c>
      <c r="C436" t="s">
        <v>19</v>
      </c>
      <c r="D436" t="s">
        <v>185</v>
      </c>
      <c r="E436" t="s">
        <v>8</v>
      </c>
      <c r="F436">
        <v>10.067429542541504</v>
      </c>
    </row>
    <row r="437" spans="2:6">
      <c r="B437">
        <v>2017</v>
      </c>
      <c r="C437" t="s">
        <v>19</v>
      </c>
      <c r="D437" t="s">
        <v>185</v>
      </c>
      <c r="E437" t="s">
        <v>9</v>
      </c>
      <c r="F437">
        <v>0.90669912099838257</v>
      </c>
    </row>
    <row r="438" spans="2:6">
      <c r="B438">
        <v>2017</v>
      </c>
      <c r="C438" t="s">
        <v>19</v>
      </c>
      <c r="D438" t="s">
        <v>185</v>
      </c>
      <c r="E438" t="s">
        <v>10</v>
      </c>
      <c r="F438">
        <v>68.599998474121094</v>
      </c>
    </row>
    <row r="439" spans="2:6">
      <c r="B439">
        <v>2017</v>
      </c>
      <c r="C439" t="s">
        <v>19</v>
      </c>
      <c r="D439" t="s">
        <v>185</v>
      </c>
      <c r="E439" t="s">
        <v>11</v>
      </c>
      <c r="F439">
        <v>0.83196616172790527</v>
      </c>
    </row>
    <row r="440" spans="2:6">
      <c r="B440">
        <v>2017</v>
      </c>
      <c r="C440" t="s">
        <v>19</v>
      </c>
      <c r="D440" t="s">
        <v>185</v>
      </c>
      <c r="E440" t="s">
        <v>12</v>
      </c>
      <c r="F440">
        <v>-0.18580487370491028</v>
      </c>
    </row>
    <row r="441" spans="2:6">
      <c r="B441">
        <v>2017</v>
      </c>
      <c r="C441" t="s">
        <v>19</v>
      </c>
      <c r="D441" t="s">
        <v>185</v>
      </c>
      <c r="E441" t="s">
        <v>13</v>
      </c>
      <c r="F441">
        <v>0.84105247259140015</v>
      </c>
    </row>
    <row r="442" spans="2:6">
      <c r="B442">
        <v>2017</v>
      </c>
      <c r="C442" t="s">
        <v>19</v>
      </c>
      <c r="D442" t="s">
        <v>185</v>
      </c>
      <c r="E442" t="s">
        <v>14</v>
      </c>
      <c r="F442">
        <v>0.80942261219024658</v>
      </c>
    </row>
    <row r="443" spans="2:6">
      <c r="B443">
        <v>2017</v>
      </c>
      <c r="C443" t="s">
        <v>19</v>
      </c>
      <c r="D443" t="s">
        <v>185</v>
      </c>
      <c r="E443" t="s">
        <v>15</v>
      </c>
      <c r="F443">
        <v>0.29171726107597351</v>
      </c>
    </row>
    <row r="444" spans="2:6">
      <c r="B444">
        <v>2018</v>
      </c>
      <c r="C444" t="s">
        <v>19</v>
      </c>
      <c r="D444" t="s">
        <v>185</v>
      </c>
      <c r="E444" t="s">
        <v>7</v>
      </c>
      <c r="F444">
        <v>5.7927966117858887</v>
      </c>
    </row>
    <row r="445" spans="2:6">
      <c r="B445">
        <v>2018</v>
      </c>
      <c r="C445" t="s">
        <v>19</v>
      </c>
      <c r="D445" t="s">
        <v>185</v>
      </c>
      <c r="E445" t="s">
        <v>8</v>
      </c>
      <c r="F445">
        <v>10.032140731811523</v>
      </c>
    </row>
    <row r="446" spans="2:6">
      <c r="B446">
        <v>2018</v>
      </c>
      <c r="C446" t="s">
        <v>19</v>
      </c>
      <c r="D446" t="s">
        <v>185</v>
      </c>
      <c r="E446" t="s">
        <v>9</v>
      </c>
      <c r="F446">
        <v>0.89991158246994019</v>
      </c>
    </row>
    <row r="447" spans="2:6">
      <c r="B447">
        <v>2018</v>
      </c>
      <c r="C447" t="s">
        <v>19</v>
      </c>
      <c r="D447" t="s">
        <v>185</v>
      </c>
      <c r="E447" t="s">
        <v>10</v>
      </c>
      <c r="F447">
        <v>68.800003051757813</v>
      </c>
    </row>
    <row r="448" spans="2:6">
      <c r="B448">
        <v>2018</v>
      </c>
      <c r="C448" t="s">
        <v>19</v>
      </c>
      <c r="D448" t="s">
        <v>185</v>
      </c>
      <c r="E448" t="s">
        <v>11</v>
      </c>
      <c r="F448">
        <v>0.84589469432830811</v>
      </c>
    </row>
    <row r="449" spans="2:6">
      <c r="B449">
        <v>2018</v>
      </c>
      <c r="C449" t="s">
        <v>19</v>
      </c>
      <c r="D449" t="s">
        <v>185</v>
      </c>
      <c r="E449" t="s">
        <v>12</v>
      </c>
      <c r="F449">
        <v>-0.21050737798213959</v>
      </c>
    </row>
    <row r="450" spans="2:6">
      <c r="B450">
        <v>2018</v>
      </c>
      <c r="C450" t="s">
        <v>19</v>
      </c>
      <c r="D450" t="s">
        <v>185</v>
      </c>
      <c r="E450" t="s">
        <v>13</v>
      </c>
      <c r="F450">
        <v>0.85525524616241455</v>
      </c>
    </row>
    <row r="451" spans="2:6">
      <c r="B451">
        <v>2018</v>
      </c>
      <c r="C451" t="s">
        <v>19</v>
      </c>
      <c r="D451" t="s">
        <v>185</v>
      </c>
      <c r="E451" t="s">
        <v>14</v>
      </c>
      <c r="F451">
        <v>0.82030969858169556</v>
      </c>
    </row>
    <row r="452" spans="2:6">
      <c r="B452">
        <v>2018</v>
      </c>
      <c r="C452" t="s">
        <v>19</v>
      </c>
      <c r="D452" t="s">
        <v>185</v>
      </c>
      <c r="E452" t="s">
        <v>15</v>
      </c>
      <c r="F452">
        <v>0.32050207257270813</v>
      </c>
    </row>
    <row r="453" spans="2:6">
      <c r="B453">
        <v>2019</v>
      </c>
      <c r="C453" t="s">
        <v>19</v>
      </c>
      <c r="D453" t="s">
        <v>185</v>
      </c>
      <c r="E453" t="s">
        <v>7</v>
      </c>
      <c r="F453">
        <v>6.0855607986450195</v>
      </c>
    </row>
    <row r="454" spans="2:6">
      <c r="B454">
        <v>2019</v>
      </c>
      <c r="C454" t="s">
        <v>19</v>
      </c>
      <c r="D454" t="s">
        <v>185</v>
      </c>
      <c r="E454" t="s">
        <v>8</v>
      </c>
      <c r="F454">
        <v>10.000339508056641</v>
      </c>
    </row>
    <row r="455" spans="2:6">
      <c r="B455">
        <v>2019</v>
      </c>
      <c r="C455" t="s">
        <v>19</v>
      </c>
      <c r="D455" t="s">
        <v>185</v>
      </c>
      <c r="E455" t="s">
        <v>9</v>
      </c>
      <c r="F455">
        <v>0.896370530128479</v>
      </c>
    </row>
    <row r="456" spans="2:6">
      <c r="B456">
        <v>2019</v>
      </c>
      <c r="C456" t="s">
        <v>19</v>
      </c>
      <c r="D456" t="s">
        <v>185</v>
      </c>
      <c r="E456" t="s">
        <v>10</v>
      </c>
      <c r="F456">
        <v>69</v>
      </c>
    </row>
    <row r="457" spans="2:6">
      <c r="B457">
        <v>2019</v>
      </c>
      <c r="C457" t="s">
        <v>19</v>
      </c>
      <c r="D457" t="s">
        <v>185</v>
      </c>
      <c r="E457" t="s">
        <v>11</v>
      </c>
      <c r="F457">
        <v>0.81705260276794434</v>
      </c>
    </row>
    <row r="458" spans="2:6">
      <c r="B458">
        <v>2019</v>
      </c>
      <c r="C458" t="s">
        <v>19</v>
      </c>
      <c r="D458" t="s">
        <v>185</v>
      </c>
      <c r="E458" t="s">
        <v>12</v>
      </c>
      <c r="F458">
        <v>-0.21071866154670715</v>
      </c>
    </row>
    <row r="459" spans="2:6">
      <c r="B459">
        <v>2019</v>
      </c>
      <c r="C459" t="s">
        <v>19</v>
      </c>
      <c r="D459" t="s">
        <v>185</v>
      </c>
      <c r="E459" t="s">
        <v>13</v>
      </c>
      <c r="F459">
        <v>0.83045977354049683</v>
      </c>
    </row>
    <row r="460" spans="2:6">
      <c r="B460">
        <v>2019</v>
      </c>
      <c r="C460" t="s">
        <v>19</v>
      </c>
      <c r="D460" t="s">
        <v>185</v>
      </c>
      <c r="E460" t="s">
        <v>14</v>
      </c>
      <c r="F460">
        <v>0.82596462965011597</v>
      </c>
    </row>
    <row r="461" spans="2:6">
      <c r="B461">
        <v>2019</v>
      </c>
      <c r="C461" t="s">
        <v>19</v>
      </c>
      <c r="D461" t="s">
        <v>185</v>
      </c>
      <c r="E461" t="s">
        <v>15</v>
      </c>
      <c r="F461">
        <v>0.31905484199523926</v>
      </c>
    </row>
    <row r="462" spans="2:6">
      <c r="B462">
        <v>2020</v>
      </c>
      <c r="C462" t="s">
        <v>19</v>
      </c>
      <c r="D462" t="s">
        <v>185</v>
      </c>
      <c r="E462" t="s">
        <v>7</v>
      </c>
      <c r="F462">
        <v>5.9005670547485352</v>
      </c>
    </row>
    <row r="463" spans="2:6">
      <c r="B463">
        <v>2020</v>
      </c>
      <c r="C463" t="s">
        <v>19</v>
      </c>
      <c r="D463" t="s">
        <v>185</v>
      </c>
      <c r="E463" t="s">
        <v>8</v>
      </c>
      <c r="F463">
        <v>9.8504495620727539</v>
      </c>
    </row>
    <row r="464" spans="2:6">
      <c r="B464">
        <v>2020</v>
      </c>
      <c r="C464" t="s">
        <v>19</v>
      </c>
      <c r="D464" t="s">
        <v>185</v>
      </c>
      <c r="E464" t="s">
        <v>9</v>
      </c>
      <c r="F464">
        <v>0.89710384607315063</v>
      </c>
    </row>
    <row r="465" spans="2:6">
      <c r="B465">
        <v>2020</v>
      </c>
      <c r="C465" t="s">
        <v>19</v>
      </c>
      <c r="D465" t="s">
        <v>185</v>
      </c>
      <c r="E465" t="s">
        <v>10</v>
      </c>
      <c r="F465">
        <v>69.199996948242188</v>
      </c>
    </row>
    <row r="466" spans="2:6">
      <c r="B466">
        <v>2020</v>
      </c>
      <c r="C466" t="s">
        <v>19</v>
      </c>
      <c r="D466" t="s">
        <v>185</v>
      </c>
      <c r="E466" t="s">
        <v>11</v>
      </c>
      <c r="F466">
        <v>0.8233916163444519</v>
      </c>
    </row>
    <row r="467" spans="2:6">
      <c r="B467">
        <v>2020</v>
      </c>
      <c r="C467" t="s">
        <v>19</v>
      </c>
      <c r="D467" t="s">
        <v>185</v>
      </c>
      <c r="E467" t="s">
        <v>12</v>
      </c>
      <c r="F467">
        <v>-0.12235432863235474</v>
      </c>
    </row>
    <row r="468" spans="2:6">
      <c r="B468">
        <v>2020</v>
      </c>
      <c r="C468" t="s">
        <v>19</v>
      </c>
      <c r="D468" t="s">
        <v>185</v>
      </c>
      <c r="E468" t="s">
        <v>13</v>
      </c>
      <c r="F468">
        <v>0.81578046083450317</v>
      </c>
    </row>
    <row r="469" spans="2:6">
      <c r="B469">
        <v>2020</v>
      </c>
      <c r="C469" t="s">
        <v>19</v>
      </c>
      <c r="D469" t="s">
        <v>185</v>
      </c>
      <c r="E469" t="s">
        <v>14</v>
      </c>
      <c r="F469">
        <v>0.76352387666702271</v>
      </c>
    </row>
    <row r="470" spans="2:6">
      <c r="B470">
        <v>2020</v>
      </c>
      <c r="C470" t="s">
        <v>19</v>
      </c>
      <c r="D470" t="s">
        <v>185</v>
      </c>
      <c r="E470" t="s">
        <v>15</v>
      </c>
      <c r="F470">
        <v>0.34249693155288696</v>
      </c>
    </row>
    <row r="471" spans="2:6">
      <c r="B471">
        <v>2006</v>
      </c>
      <c r="C471" t="s">
        <v>20</v>
      </c>
      <c r="D471" t="s">
        <v>183</v>
      </c>
      <c r="E471" t="s">
        <v>7</v>
      </c>
      <c r="F471">
        <v>4.2893109321594238</v>
      </c>
    </row>
    <row r="472" spans="2:6">
      <c r="B472">
        <v>2006</v>
      </c>
      <c r="C472" t="s">
        <v>20</v>
      </c>
      <c r="D472" t="s">
        <v>183</v>
      </c>
      <c r="E472" t="s">
        <v>8</v>
      </c>
      <c r="F472">
        <v>9.0436325073242188</v>
      </c>
    </row>
    <row r="473" spans="2:6">
      <c r="B473">
        <v>2006</v>
      </c>
      <c r="C473" t="s">
        <v>20</v>
      </c>
      <c r="D473" t="s">
        <v>183</v>
      </c>
      <c r="E473" t="s">
        <v>9</v>
      </c>
      <c r="F473">
        <v>0.6818767786026001</v>
      </c>
    </row>
    <row r="474" spans="2:6">
      <c r="B474">
        <v>2006</v>
      </c>
      <c r="C474" t="s">
        <v>20</v>
      </c>
      <c r="D474" t="s">
        <v>183</v>
      </c>
      <c r="E474" t="s">
        <v>10</v>
      </c>
      <c r="F474">
        <v>64.800003051757813</v>
      </c>
    </row>
    <row r="475" spans="2:6">
      <c r="B475">
        <v>2006</v>
      </c>
      <c r="C475" t="s">
        <v>20</v>
      </c>
      <c r="D475" t="s">
        <v>183</v>
      </c>
      <c r="E475" t="s">
        <v>11</v>
      </c>
      <c r="F475">
        <v>0.52019780874252319</v>
      </c>
    </row>
    <row r="476" spans="2:6">
      <c r="B476">
        <v>2006</v>
      </c>
      <c r="C476" t="s">
        <v>20</v>
      </c>
      <c r="D476" t="s">
        <v>183</v>
      </c>
      <c r="E476" t="s">
        <v>12</v>
      </c>
      <c r="F476">
        <v>-0.23102374374866486</v>
      </c>
    </row>
    <row r="477" spans="2:6">
      <c r="B477">
        <v>2006</v>
      </c>
      <c r="C477" t="s">
        <v>20</v>
      </c>
      <c r="D477" t="s">
        <v>183</v>
      </c>
      <c r="E477" t="s">
        <v>13</v>
      </c>
      <c r="F477">
        <v>0.84951311349868774</v>
      </c>
    </row>
    <row r="478" spans="2:6">
      <c r="B478">
        <v>2006</v>
      </c>
      <c r="C478" t="s">
        <v>20</v>
      </c>
      <c r="D478" t="s">
        <v>183</v>
      </c>
      <c r="E478" t="s">
        <v>14</v>
      </c>
      <c r="F478">
        <v>0.49412098526954651</v>
      </c>
    </row>
    <row r="479" spans="2:6">
      <c r="B479">
        <v>2006</v>
      </c>
      <c r="C479" t="s">
        <v>20</v>
      </c>
      <c r="D479" t="s">
        <v>183</v>
      </c>
      <c r="E479" t="s">
        <v>15</v>
      </c>
      <c r="F479">
        <v>0.46941882371902466</v>
      </c>
    </row>
    <row r="480" spans="2:6">
      <c r="B480">
        <v>2007</v>
      </c>
      <c r="C480" t="s">
        <v>20</v>
      </c>
      <c r="D480" t="s">
        <v>183</v>
      </c>
      <c r="E480" t="s">
        <v>7</v>
      </c>
      <c r="F480">
        <v>4.8815155029296875</v>
      </c>
    </row>
    <row r="481" spans="2:6">
      <c r="B481">
        <v>2007</v>
      </c>
      <c r="C481" t="s">
        <v>20</v>
      </c>
      <c r="D481" t="s">
        <v>183</v>
      </c>
      <c r="E481" t="s">
        <v>8</v>
      </c>
      <c r="F481">
        <v>9.1807470321655273</v>
      </c>
    </row>
    <row r="482" spans="2:6">
      <c r="B482">
        <v>2007</v>
      </c>
      <c r="C482" t="s">
        <v>20</v>
      </c>
      <c r="D482" t="s">
        <v>183</v>
      </c>
      <c r="E482" t="s">
        <v>9</v>
      </c>
      <c r="F482">
        <v>0.75964432954788208</v>
      </c>
    </row>
    <row r="483" spans="2:6">
      <c r="B483">
        <v>2007</v>
      </c>
      <c r="C483" t="s">
        <v>20</v>
      </c>
      <c r="D483" t="s">
        <v>183</v>
      </c>
      <c r="E483" t="s">
        <v>10</v>
      </c>
      <c r="F483">
        <v>64.900001525878906</v>
      </c>
    </row>
    <row r="484" spans="2:6">
      <c r="B484">
        <v>2007</v>
      </c>
      <c r="C484" t="s">
        <v>20</v>
      </c>
      <c r="D484" t="s">
        <v>183</v>
      </c>
      <c r="E484" t="s">
        <v>11</v>
      </c>
      <c r="F484">
        <v>0.60541075468063354</v>
      </c>
    </row>
    <row r="485" spans="2:6">
      <c r="B485">
        <v>2007</v>
      </c>
      <c r="C485" t="s">
        <v>20</v>
      </c>
      <c r="D485" t="s">
        <v>183</v>
      </c>
      <c r="E485" t="s">
        <v>12</v>
      </c>
      <c r="F485">
        <v>-0.25115746259689331</v>
      </c>
    </row>
    <row r="486" spans="2:6">
      <c r="B486">
        <v>2007</v>
      </c>
      <c r="C486" t="s">
        <v>20</v>
      </c>
      <c r="D486" t="s">
        <v>183</v>
      </c>
      <c r="E486" t="s">
        <v>13</v>
      </c>
      <c r="F486">
        <v>0.81744486093521118</v>
      </c>
    </row>
    <row r="487" spans="2:6">
      <c r="B487">
        <v>2007</v>
      </c>
      <c r="C487" t="s">
        <v>20</v>
      </c>
      <c r="D487" t="s">
        <v>183</v>
      </c>
      <c r="E487" t="s">
        <v>14</v>
      </c>
      <c r="F487">
        <v>0.50710082054138184</v>
      </c>
    </row>
    <row r="488" spans="2:6">
      <c r="B488">
        <v>2007</v>
      </c>
      <c r="C488" t="s">
        <v>20</v>
      </c>
      <c r="D488" t="s">
        <v>183</v>
      </c>
      <c r="E488" t="s">
        <v>15</v>
      </c>
      <c r="F488">
        <v>0.41171741485595703</v>
      </c>
    </row>
    <row r="489" spans="2:6">
      <c r="B489">
        <v>2008</v>
      </c>
      <c r="C489" t="s">
        <v>20</v>
      </c>
      <c r="D489" t="s">
        <v>183</v>
      </c>
      <c r="E489" t="s">
        <v>7</v>
      </c>
      <c r="F489">
        <v>4.6519722938537598</v>
      </c>
    </row>
    <row r="490" spans="2:6">
      <c r="B490">
        <v>2008</v>
      </c>
      <c r="C490" t="s">
        <v>20</v>
      </c>
      <c r="D490" t="s">
        <v>183</v>
      </c>
      <c r="E490" t="s">
        <v>8</v>
      </c>
      <c r="F490">
        <v>9.2560319900512695</v>
      </c>
    </row>
    <row r="491" spans="2:6">
      <c r="B491">
        <v>2008</v>
      </c>
      <c r="C491" t="s">
        <v>20</v>
      </c>
      <c r="D491" t="s">
        <v>183</v>
      </c>
      <c r="E491" t="s">
        <v>9</v>
      </c>
      <c r="F491">
        <v>0.70948553085327148</v>
      </c>
    </row>
    <row r="492" spans="2:6">
      <c r="B492">
        <v>2008</v>
      </c>
      <c r="C492" t="s">
        <v>20</v>
      </c>
      <c r="D492" t="s">
        <v>183</v>
      </c>
      <c r="E492" t="s">
        <v>10</v>
      </c>
      <c r="F492">
        <v>65</v>
      </c>
    </row>
    <row r="493" spans="2:6">
      <c r="B493">
        <v>2008</v>
      </c>
      <c r="C493" t="s">
        <v>20</v>
      </c>
      <c r="D493" t="s">
        <v>183</v>
      </c>
      <c r="E493" t="s">
        <v>11</v>
      </c>
      <c r="F493">
        <v>0.46215656399726868</v>
      </c>
    </row>
    <row r="494" spans="2:6">
      <c r="B494">
        <v>2008</v>
      </c>
      <c r="C494" t="s">
        <v>20</v>
      </c>
      <c r="D494" t="s">
        <v>183</v>
      </c>
      <c r="E494" t="s">
        <v>12</v>
      </c>
      <c r="F494">
        <v>-0.21531389653682709</v>
      </c>
    </row>
    <row r="495" spans="2:6">
      <c r="B495">
        <v>2008</v>
      </c>
      <c r="C495" t="s">
        <v>20</v>
      </c>
      <c r="D495" t="s">
        <v>183</v>
      </c>
      <c r="E495" t="s">
        <v>13</v>
      </c>
      <c r="F495">
        <v>0.87609922885894775</v>
      </c>
    </row>
    <row r="496" spans="2:6">
      <c r="B496">
        <v>2008</v>
      </c>
      <c r="C496" t="s">
        <v>20</v>
      </c>
      <c r="D496" t="s">
        <v>183</v>
      </c>
      <c r="E496" t="s">
        <v>14</v>
      </c>
      <c r="F496">
        <v>0.52071017026901245</v>
      </c>
    </row>
    <row r="497" spans="2:6">
      <c r="B497">
        <v>2008</v>
      </c>
      <c r="C497" t="s">
        <v>20</v>
      </c>
      <c r="D497" t="s">
        <v>183</v>
      </c>
      <c r="E497" t="s">
        <v>15</v>
      </c>
      <c r="F497">
        <v>0.3848918080329895</v>
      </c>
    </row>
    <row r="498" spans="2:6">
      <c r="B498">
        <v>2009</v>
      </c>
      <c r="C498" t="s">
        <v>20</v>
      </c>
      <c r="D498" t="s">
        <v>183</v>
      </c>
      <c r="E498" t="s">
        <v>7</v>
      </c>
      <c r="F498">
        <v>4.177581787109375</v>
      </c>
    </row>
    <row r="499" spans="2:6">
      <c r="B499">
        <v>2009</v>
      </c>
      <c r="C499" t="s">
        <v>20</v>
      </c>
      <c r="D499" t="s">
        <v>183</v>
      </c>
      <c r="E499" t="s">
        <v>8</v>
      </c>
      <c r="F499">
        <v>9.110783576965332</v>
      </c>
    </row>
    <row r="500" spans="2:6">
      <c r="B500">
        <v>2009</v>
      </c>
      <c r="C500" t="s">
        <v>20</v>
      </c>
      <c r="D500" t="s">
        <v>183</v>
      </c>
      <c r="E500" t="s">
        <v>9</v>
      </c>
      <c r="F500">
        <v>0.68000692129135132</v>
      </c>
    </row>
    <row r="501" spans="2:6">
      <c r="B501">
        <v>2009</v>
      </c>
      <c r="C501" t="s">
        <v>20</v>
      </c>
      <c r="D501" t="s">
        <v>183</v>
      </c>
      <c r="E501" t="s">
        <v>10</v>
      </c>
      <c r="F501">
        <v>65.099998474121094</v>
      </c>
    </row>
    <row r="502" spans="2:6">
      <c r="B502">
        <v>2009</v>
      </c>
      <c r="C502" t="s">
        <v>20</v>
      </c>
      <c r="D502" t="s">
        <v>183</v>
      </c>
      <c r="E502" t="s">
        <v>11</v>
      </c>
      <c r="F502">
        <v>0.44141274690628052</v>
      </c>
    </row>
    <row r="503" spans="2:6">
      <c r="B503">
        <v>2009</v>
      </c>
      <c r="C503" t="s">
        <v>20</v>
      </c>
      <c r="D503" t="s">
        <v>183</v>
      </c>
      <c r="E503" t="s">
        <v>12</v>
      </c>
      <c r="F503">
        <v>-0.21410612761974335</v>
      </c>
    </row>
    <row r="504" spans="2:6">
      <c r="B504">
        <v>2009</v>
      </c>
      <c r="C504" t="s">
        <v>20</v>
      </c>
      <c r="D504" t="s">
        <v>183</v>
      </c>
      <c r="E504" t="s">
        <v>13</v>
      </c>
      <c r="F504">
        <v>0.88188749551773071</v>
      </c>
    </row>
    <row r="505" spans="2:6">
      <c r="B505">
        <v>2009</v>
      </c>
      <c r="C505" t="s">
        <v>20</v>
      </c>
      <c r="D505" t="s">
        <v>183</v>
      </c>
      <c r="E505" t="s">
        <v>14</v>
      </c>
      <c r="F505">
        <v>0.54287207126617432</v>
      </c>
    </row>
    <row r="506" spans="2:6">
      <c r="B506">
        <v>2009</v>
      </c>
      <c r="C506" t="s">
        <v>20</v>
      </c>
      <c r="D506" t="s">
        <v>183</v>
      </c>
      <c r="E506" t="s">
        <v>15</v>
      </c>
      <c r="F506">
        <v>0.41127991676330566</v>
      </c>
    </row>
    <row r="507" spans="2:6">
      <c r="B507">
        <v>2010</v>
      </c>
      <c r="C507" t="s">
        <v>20</v>
      </c>
      <c r="D507" t="s">
        <v>183</v>
      </c>
      <c r="E507" t="s">
        <v>7</v>
      </c>
      <c r="F507">
        <v>4.3678112030029297</v>
      </c>
    </row>
    <row r="508" spans="2:6">
      <c r="B508">
        <v>2010</v>
      </c>
      <c r="C508" t="s">
        <v>20</v>
      </c>
      <c r="D508" t="s">
        <v>183</v>
      </c>
      <c r="E508" t="s">
        <v>8</v>
      </c>
      <c r="F508">
        <v>9.1362829208374023</v>
      </c>
    </row>
    <row r="509" spans="2:6">
      <c r="B509">
        <v>2010</v>
      </c>
      <c r="C509" t="s">
        <v>20</v>
      </c>
      <c r="D509" t="s">
        <v>183</v>
      </c>
      <c r="E509" t="s">
        <v>9</v>
      </c>
      <c r="F509">
        <v>0.66034233570098877</v>
      </c>
    </row>
    <row r="510" spans="2:6">
      <c r="B510">
        <v>2010</v>
      </c>
      <c r="C510" t="s">
        <v>20</v>
      </c>
      <c r="D510" t="s">
        <v>183</v>
      </c>
      <c r="E510" t="s">
        <v>10</v>
      </c>
      <c r="F510">
        <v>65.199996948242188</v>
      </c>
    </row>
    <row r="511" spans="2:6">
      <c r="B511">
        <v>2010</v>
      </c>
      <c r="C511" t="s">
        <v>20</v>
      </c>
      <c r="D511" t="s">
        <v>183</v>
      </c>
      <c r="E511" t="s">
        <v>11</v>
      </c>
      <c r="F511">
        <v>0.45925670862197876</v>
      </c>
    </row>
    <row r="512" spans="2:6">
      <c r="B512">
        <v>2010</v>
      </c>
      <c r="C512" t="s">
        <v>20</v>
      </c>
      <c r="D512" t="s">
        <v>183</v>
      </c>
      <c r="E512" t="s">
        <v>12</v>
      </c>
      <c r="F512">
        <v>-0.17614459991455078</v>
      </c>
    </row>
    <row r="513" spans="2:6">
      <c r="B513">
        <v>2010</v>
      </c>
      <c r="C513" t="s">
        <v>20</v>
      </c>
      <c r="D513" t="s">
        <v>183</v>
      </c>
      <c r="E513" t="s">
        <v>13</v>
      </c>
      <c r="F513">
        <v>0.89062923192977905</v>
      </c>
    </row>
    <row r="514" spans="2:6">
      <c r="B514">
        <v>2010</v>
      </c>
      <c r="C514" t="s">
        <v>20</v>
      </c>
      <c r="D514" t="s">
        <v>183</v>
      </c>
      <c r="E514" t="s">
        <v>14</v>
      </c>
      <c r="F514">
        <v>0.50966918468475342</v>
      </c>
    </row>
    <row r="515" spans="2:6">
      <c r="B515">
        <v>2010</v>
      </c>
      <c r="C515" t="s">
        <v>20</v>
      </c>
      <c r="D515" t="s">
        <v>183</v>
      </c>
      <c r="E515" t="s">
        <v>15</v>
      </c>
      <c r="F515">
        <v>0.42649585008621216</v>
      </c>
    </row>
    <row r="516" spans="2:6">
      <c r="B516">
        <v>2011</v>
      </c>
      <c r="C516" t="s">
        <v>20</v>
      </c>
      <c r="D516" t="s">
        <v>183</v>
      </c>
      <c r="E516" t="s">
        <v>7</v>
      </c>
      <c r="F516">
        <v>4.2604913711547852</v>
      </c>
    </row>
    <row r="517" spans="2:6">
      <c r="B517">
        <v>2011</v>
      </c>
      <c r="C517" t="s">
        <v>20</v>
      </c>
      <c r="D517" t="s">
        <v>183</v>
      </c>
      <c r="E517" t="s">
        <v>8</v>
      </c>
      <c r="F517">
        <v>9.1824827194213867</v>
      </c>
    </row>
    <row r="518" spans="2:6">
      <c r="B518">
        <v>2011</v>
      </c>
      <c r="C518" t="s">
        <v>20</v>
      </c>
      <c r="D518" t="s">
        <v>183</v>
      </c>
      <c r="E518" t="s">
        <v>9</v>
      </c>
      <c r="F518">
        <v>0.70510846376419067</v>
      </c>
    </row>
    <row r="519" spans="2:6">
      <c r="B519">
        <v>2011</v>
      </c>
      <c r="C519" t="s">
        <v>20</v>
      </c>
      <c r="D519" t="s">
        <v>183</v>
      </c>
      <c r="E519" t="s">
        <v>10</v>
      </c>
      <c r="F519">
        <v>65.360000610351563</v>
      </c>
    </row>
    <row r="520" spans="2:6">
      <c r="B520">
        <v>2011</v>
      </c>
      <c r="C520" t="s">
        <v>20</v>
      </c>
      <c r="D520" t="s">
        <v>183</v>
      </c>
      <c r="E520" t="s">
        <v>11</v>
      </c>
      <c r="F520">
        <v>0.46452471613883972</v>
      </c>
    </row>
    <row r="521" spans="2:6">
      <c r="B521">
        <v>2011</v>
      </c>
      <c r="C521" t="s">
        <v>20</v>
      </c>
      <c r="D521" t="s">
        <v>183</v>
      </c>
      <c r="E521" t="s">
        <v>12</v>
      </c>
      <c r="F521">
        <v>-0.22547928988933563</v>
      </c>
    </row>
    <row r="522" spans="2:6">
      <c r="B522">
        <v>2011</v>
      </c>
      <c r="C522" t="s">
        <v>20</v>
      </c>
      <c r="D522" t="s">
        <v>183</v>
      </c>
      <c r="E522" t="s">
        <v>13</v>
      </c>
      <c r="F522">
        <v>0.87460100650787354</v>
      </c>
    </row>
    <row r="523" spans="2:6">
      <c r="B523">
        <v>2011</v>
      </c>
      <c r="C523" t="s">
        <v>20</v>
      </c>
      <c r="D523" t="s">
        <v>183</v>
      </c>
      <c r="E523" t="s">
        <v>14</v>
      </c>
      <c r="F523">
        <v>0.47454935312271118</v>
      </c>
    </row>
    <row r="524" spans="2:6">
      <c r="B524">
        <v>2011</v>
      </c>
      <c r="C524" t="s">
        <v>20</v>
      </c>
      <c r="D524" t="s">
        <v>183</v>
      </c>
      <c r="E524" t="s">
        <v>15</v>
      </c>
      <c r="F524">
        <v>0.45907407999038696</v>
      </c>
    </row>
    <row r="525" spans="2:6">
      <c r="B525">
        <v>2012</v>
      </c>
      <c r="C525" t="s">
        <v>20</v>
      </c>
      <c r="D525" t="s">
        <v>183</v>
      </c>
      <c r="E525" t="s">
        <v>7</v>
      </c>
      <c r="F525">
        <v>4.3197116851806641</v>
      </c>
    </row>
    <row r="526" spans="2:6">
      <c r="B526">
        <v>2012</v>
      </c>
      <c r="C526" t="s">
        <v>20</v>
      </c>
      <c r="D526" t="s">
        <v>183</v>
      </c>
      <c r="E526" t="s">
        <v>8</v>
      </c>
      <c r="F526">
        <v>9.2493391036987305</v>
      </c>
    </row>
    <row r="527" spans="2:6">
      <c r="B527">
        <v>2012</v>
      </c>
      <c r="C527" t="s">
        <v>20</v>
      </c>
      <c r="D527" t="s">
        <v>183</v>
      </c>
      <c r="E527" t="s">
        <v>9</v>
      </c>
      <c r="F527">
        <v>0.67644643783569336</v>
      </c>
    </row>
    <row r="528" spans="2:6">
      <c r="B528">
        <v>2012</v>
      </c>
      <c r="C528" t="s">
        <v>20</v>
      </c>
      <c r="D528" t="s">
        <v>183</v>
      </c>
      <c r="E528" t="s">
        <v>10</v>
      </c>
      <c r="F528">
        <v>65.519996643066406</v>
      </c>
    </row>
    <row r="529" spans="2:6">
      <c r="B529">
        <v>2012</v>
      </c>
      <c r="C529" t="s">
        <v>20</v>
      </c>
      <c r="D529" t="s">
        <v>183</v>
      </c>
      <c r="E529" t="s">
        <v>11</v>
      </c>
      <c r="F529">
        <v>0.50186377763748169</v>
      </c>
    </row>
    <row r="530" spans="2:6">
      <c r="B530">
        <v>2012</v>
      </c>
      <c r="C530" t="s">
        <v>20</v>
      </c>
      <c r="D530" t="s">
        <v>183</v>
      </c>
      <c r="E530" t="s">
        <v>12</v>
      </c>
      <c r="F530">
        <v>-0.21519970893859863</v>
      </c>
    </row>
    <row r="531" spans="2:6">
      <c r="B531">
        <v>2012</v>
      </c>
      <c r="C531" t="s">
        <v>20</v>
      </c>
      <c r="D531" t="s">
        <v>183</v>
      </c>
      <c r="E531" t="s">
        <v>13</v>
      </c>
      <c r="F531">
        <v>0.89254438877105713</v>
      </c>
    </row>
    <row r="532" spans="2:6">
      <c r="B532">
        <v>2012</v>
      </c>
      <c r="C532" t="s">
        <v>20</v>
      </c>
      <c r="D532" t="s">
        <v>183</v>
      </c>
      <c r="E532" t="s">
        <v>14</v>
      </c>
      <c r="F532">
        <v>0.51786297559738159</v>
      </c>
    </row>
    <row r="533" spans="2:6">
      <c r="B533">
        <v>2012</v>
      </c>
      <c r="C533" t="s">
        <v>20</v>
      </c>
      <c r="D533" t="s">
        <v>183</v>
      </c>
      <c r="E533" t="s">
        <v>15</v>
      </c>
      <c r="F533">
        <v>0.46385544538497925</v>
      </c>
    </row>
    <row r="534" spans="2:6">
      <c r="B534">
        <v>2013</v>
      </c>
      <c r="C534" t="s">
        <v>20</v>
      </c>
      <c r="D534" t="s">
        <v>183</v>
      </c>
      <c r="E534" t="s">
        <v>7</v>
      </c>
      <c r="F534">
        <v>4.277191162109375</v>
      </c>
    </row>
    <row r="535" spans="2:6">
      <c r="B535">
        <v>2013</v>
      </c>
      <c r="C535" t="s">
        <v>20</v>
      </c>
      <c r="D535" t="s">
        <v>183</v>
      </c>
      <c r="E535" t="s">
        <v>8</v>
      </c>
      <c r="F535">
        <v>9.277186393737793</v>
      </c>
    </row>
    <row r="536" spans="2:6">
      <c r="B536">
        <v>2013</v>
      </c>
      <c r="C536" t="s">
        <v>20</v>
      </c>
      <c r="D536" t="s">
        <v>183</v>
      </c>
      <c r="E536" t="s">
        <v>9</v>
      </c>
      <c r="F536">
        <v>0.72326004505157471</v>
      </c>
    </row>
    <row r="537" spans="2:6">
      <c r="B537">
        <v>2013</v>
      </c>
      <c r="C537" t="s">
        <v>20</v>
      </c>
      <c r="D537" t="s">
        <v>183</v>
      </c>
      <c r="E537" t="s">
        <v>10</v>
      </c>
      <c r="F537">
        <v>65.680000305175781</v>
      </c>
    </row>
    <row r="538" spans="2:6">
      <c r="B538">
        <v>2013</v>
      </c>
      <c r="C538" t="s">
        <v>20</v>
      </c>
      <c r="D538" t="s">
        <v>183</v>
      </c>
      <c r="E538" t="s">
        <v>11</v>
      </c>
      <c r="F538">
        <v>0.5040818452835083</v>
      </c>
    </row>
    <row r="539" spans="2:6">
      <c r="B539">
        <v>2013</v>
      </c>
      <c r="C539" t="s">
        <v>20</v>
      </c>
      <c r="D539" t="s">
        <v>183</v>
      </c>
      <c r="E539" t="s">
        <v>12</v>
      </c>
      <c r="F539">
        <v>-0.19549226760864258</v>
      </c>
    </row>
    <row r="540" spans="2:6">
      <c r="B540">
        <v>2013</v>
      </c>
      <c r="C540" t="s">
        <v>20</v>
      </c>
      <c r="D540" t="s">
        <v>183</v>
      </c>
      <c r="E540" t="s">
        <v>13</v>
      </c>
      <c r="F540">
        <v>0.89979678392410278</v>
      </c>
    </row>
    <row r="541" spans="2:6">
      <c r="B541">
        <v>2013</v>
      </c>
      <c r="C541" t="s">
        <v>20</v>
      </c>
      <c r="D541" t="s">
        <v>183</v>
      </c>
      <c r="E541" t="s">
        <v>14</v>
      </c>
      <c r="F541">
        <v>0.56217414140701294</v>
      </c>
    </row>
    <row r="542" spans="2:6">
      <c r="B542">
        <v>2013</v>
      </c>
      <c r="C542" t="s">
        <v>20</v>
      </c>
      <c r="D542" t="s">
        <v>183</v>
      </c>
      <c r="E542" t="s">
        <v>15</v>
      </c>
      <c r="F542">
        <v>0.44994983077049255</v>
      </c>
    </row>
    <row r="543" spans="2:6">
      <c r="B543">
        <v>2014</v>
      </c>
      <c r="C543" t="s">
        <v>20</v>
      </c>
      <c r="D543" t="s">
        <v>183</v>
      </c>
      <c r="E543" t="s">
        <v>7</v>
      </c>
      <c r="F543">
        <v>4.4530830383300781</v>
      </c>
    </row>
    <row r="544" spans="2:6">
      <c r="B544">
        <v>2014</v>
      </c>
      <c r="C544" t="s">
        <v>20</v>
      </c>
      <c r="D544" t="s">
        <v>183</v>
      </c>
      <c r="E544" t="s">
        <v>8</v>
      </c>
      <c r="F544">
        <v>9.3074522018432617</v>
      </c>
    </row>
    <row r="545" spans="2:6">
      <c r="B545">
        <v>2014</v>
      </c>
      <c r="C545" t="s">
        <v>20</v>
      </c>
      <c r="D545" t="s">
        <v>183</v>
      </c>
      <c r="E545" t="s">
        <v>9</v>
      </c>
      <c r="F545">
        <v>0.73876351118087769</v>
      </c>
    </row>
    <row r="546" spans="2:6">
      <c r="B546">
        <v>2014</v>
      </c>
      <c r="C546" t="s">
        <v>20</v>
      </c>
      <c r="D546" t="s">
        <v>183</v>
      </c>
      <c r="E546" t="s">
        <v>10</v>
      </c>
      <c r="F546">
        <v>65.839996337890625</v>
      </c>
    </row>
    <row r="547" spans="2:6">
      <c r="B547">
        <v>2014</v>
      </c>
      <c r="C547" t="s">
        <v>20</v>
      </c>
      <c r="D547" t="s">
        <v>183</v>
      </c>
      <c r="E547" t="s">
        <v>11</v>
      </c>
      <c r="F547">
        <v>0.50648713111877441</v>
      </c>
    </row>
    <row r="548" spans="2:6">
      <c r="B548">
        <v>2014</v>
      </c>
      <c r="C548" t="s">
        <v>20</v>
      </c>
      <c r="D548" t="s">
        <v>183</v>
      </c>
      <c r="E548" t="s">
        <v>12</v>
      </c>
      <c r="F548">
        <v>-0.2184806764125824</v>
      </c>
    </row>
    <row r="549" spans="2:6">
      <c r="B549">
        <v>2014</v>
      </c>
      <c r="C549" t="s">
        <v>20</v>
      </c>
      <c r="D549" t="s">
        <v>183</v>
      </c>
      <c r="E549" t="s">
        <v>13</v>
      </c>
      <c r="F549">
        <v>0.92039048671722412</v>
      </c>
    </row>
    <row r="550" spans="2:6">
      <c r="B550">
        <v>2014</v>
      </c>
      <c r="C550" t="s">
        <v>20</v>
      </c>
      <c r="D550" t="s">
        <v>183</v>
      </c>
      <c r="E550" t="s">
        <v>14</v>
      </c>
      <c r="F550">
        <v>0.58095985651016235</v>
      </c>
    </row>
    <row r="551" spans="2:6">
      <c r="B551">
        <v>2014</v>
      </c>
      <c r="C551" t="s">
        <v>20</v>
      </c>
      <c r="D551" t="s">
        <v>183</v>
      </c>
      <c r="E551" t="s">
        <v>15</v>
      </c>
      <c r="F551">
        <v>0.40398433804512024</v>
      </c>
    </row>
    <row r="552" spans="2:6">
      <c r="B552">
        <v>2015</v>
      </c>
      <c r="C552" t="s">
        <v>20</v>
      </c>
      <c r="D552" t="s">
        <v>183</v>
      </c>
      <c r="E552" t="s">
        <v>7</v>
      </c>
      <c r="F552">
        <v>4.3483195304870605</v>
      </c>
    </row>
    <row r="553" spans="2:6">
      <c r="B553">
        <v>2015</v>
      </c>
      <c r="C553" t="s">
        <v>20</v>
      </c>
      <c r="D553" t="s">
        <v>183</v>
      </c>
      <c r="E553" t="s">
        <v>8</v>
      </c>
      <c r="F553">
        <v>9.3344459533691406</v>
      </c>
    </row>
    <row r="554" spans="2:6">
      <c r="B554">
        <v>2015</v>
      </c>
      <c r="C554" t="s">
        <v>20</v>
      </c>
      <c r="D554" t="s">
        <v>183</v>
      </c>
      <c r="E554" t="s">
        <v>9</v>
      </c>
      <c r="F554">
        <v>0.72255104780197144</v>
      </c>
    </row>
    <row r="555" spans="2:6">
      <c r="B555">
        <v>2015</v>
      </c>
      <c r="C555" t="s">
        <v>20</v>
      </c>
      <c r="D555" t="s">
        <v>183</v>
      </c>
      <c r="E555" t="s">
        <v>10</v>
      </c>
      <c r="F555">
        <v>66</v>
      </c>
    </row>
    <row r="556" spans="2:6">
      <c r="B556">
        <v>2015</v>
      </c>
      <c r="C556" t="s">
        <v>20</v>
      </c>
      <c r="D556" t="s">
        <v>183</v>
      </c>
      <c r="E556" t="s">
        <v>11</v>
      </c>
      <c r="F556">
        <v>0.55102664232254028</v>
      </c>
    </row>
    <row r="557" spans="2:6">
      <c r="B557">
        <v>2015</v>
      </c>
      <c r="C557" t="s">
        <v>20</v>
      </c>
      <c r="D557" t="s">
        <v>183</v>
      </c>
      <c r="E557" t="s">
        <v>12</v>
      </c>
      <c r="F557">
        <v>-0.20262657105922699</v>
      </c>
    </row>
    <row r="558" spans="2:6">
      <c r="B558">
        <v>2015</v>
      </c>
      <c r="C558" t="s">
        <v>20</v>
      </c>
      <c r="D558" t="s">
        <v>183</v>
      </c>
      <c r="E558" t="s">
        <v>13</v>
      </c>
      <c r="F558">
        <v>0.90146219730377197</v>
      </c>
    </row>
    <row r="559" spans="2:6">
      <c r="B559">
        <v>2015</v>
      </c>
      <c r="C559" t="s">
        <v>20</v>
      </c>
      <c r="D559" t="s">
        <v>183</v>
      </c>
      <c r="E559" t="s">
        <v>14</v>
      </c>
      <c r="F559">
        <v>0.59414279460906982</v>
      </c>
    </row>
    <row r="560" spans="2:6">
      <c r="B560">
        <v>2015</v>
      </c>
      <c r="C560" t="s">
        <v>20</v>
      </c>
      <c r="D560" t="s">
        <v>183</v>
      </c>
      <c r="E560" t="s">
        <v>15</v>
      </c>
      <c r="F560">
        <v>0.43794772028923035</v>
      </c>
    </row>
    <row r="561" spans="2:6">
      <c r="B561">
        <v>2016</v>
      </c>
      <c r="C561" t="s">
        <v>20</v>
      </c>
      <c r="D561" t="s">
        <v>183</v>
      </c>
      <c r="E561" t="s">
        <v>7</v>
      </c>
      <c r="F561">
        <v>4.3254718780517578</v>
      </c>
    </row>
    <row r="562" spans="2:6">
      <c r="B562">
        <v>2016</v>
      </c>
      <c r="C562" t="s">
        <v>20</v>
      </c>
      <c r="D562" t="s">
        <v>183</v>
      </c>
      <c r="E562" t="s">
        <v>8</v>
      </c>
      <c r="F562">
        <v>9.332829475402832</v>
      </c>
    </row>
    <row r="563" spans="2:6">
      <c r="B563">
        <v>2016</v>
      </c>
      <c r="C563" t="s">
        <v>20</v>
      </c>
      <c r="D563" t="s">
        <v>183</v>
      </c>
      <c r="E563" t="s">
        <v>9</v>
      </c>
      <c r="F563">
        <v>0.70921832323074341</v>
      </c>
    </row>
    <row r="564" spans="2:6">
      <c r="B564">
        <v>2016</v>
      </c>
      <c r="C564" t="s">
        <v>20</v>
      </c>
      <c r="D564" t="s">
        <v>183</v>
      </c>
      <c r="E564" t="s">
        <v>10</v>
      </c>
      <c r="F564">
        <v>66.300003051757813</v>
      </c>
    </row>
    <row r="565" spans="2:6">
      <c r="B565">
        <v>2016</v>
      </c>
      <c r="C565" t="s">
        <v>20</v>
      </c>
      <c r="D565" t="s">
        <v>183</v>
      </c>
      <c r="E565" t="s">
        <v>11</v>
      </c>
      <c r="F565">
        <v>0.61098694801330566</v>
      </c>
    </row>
    <row r="566" spans="2:6">
      <c r="B566">
        <v>2016</v>
      </c>
      <c r="C566" t="s">
        <v>20</v>
      </c>
      <c r="D566" t="s">
        <v>183</v>
      </c>
      <c r="E566" t="s">
        <v>12</v>
      </c>
      <c r="F566">
        <v>-0.170423224568367</v>
      </c>
    </row>
    <row r="567" spans="2:6">
      <c r="B567">
        <v>2016</v>
      </c>
      <c r="C567" t="s">
        <v>20</v>
      </c>
      <c r="D567" t="s">
        <v>183</v>
      </c>
      <c r="E567" t="s">
        <v>13</v>
      </c>
      <c r="F567">
        <v>0.92142105102539063</v>
      </c>
    </row>
    <row r="568" spans="2:6">
      <c r="B568">
        <v>2016</v>
      </c>
      <c r="C568" t="s">
        <v>20</v>
      </c>
      <c r="D568" t="s">
        <v>183</v>
      </c>
      <c r="E568" t="s">
        <v>14</v>
      </c>
      <c r="F568">
        <v>0.59360027313232422</v>
      </c>
    </row>
    <row r="569" spans="2:6">
      <c r="B569">
        <v>2016</v>
      </c>
      <c r="C569" t="s">
        <v>20</v>
      </c>
      <c r="D569" t="s">
        <v>183</v>
      </c>
      <c r="E569" t="s">
        <v>15</v>
      </c>
      <c r="F569">
        <v>0.43722781538963318</v>
      </c>
    </row>
    <row r="570" spans="2:6">
      <c r="B570">
        <v>2017</v>
      </c>
      <c r="C570" t="s">
        <v>20</v>
      </c>
      <c r="D570" t="s">
        <v>183</v>
      </c>
      <c r="E570" t="s">
        <v>7</v>
      </c>
      <c r="F570">
        <v>4.2877364158630371</v>
      </c>
    </row>
    <row r="571" spans="2:6">
      <c r="B571">
        <v>2017</v>
      </c>
      <c r="C571" t="s">
        <v>20</v>
      </c>
      <c r="D571" t="s">
        <v>183</v>
      </c>
      <c r="E571" t="s">
        <v>8</v>
      </c>
      <c r="F571">
        <v>9.4022045135498047</v>
      </c>
    </row>
    <row r="572" spans="2:6">
      <c r="B572">
        <v>2017</v>
      </c>
      <c r="C572" t="s">
        <v>20</v>
      </c>
      <c r="D572" t="s">
        <v>183</v>
      </c>
      <c r="E572" t="s">
        <v>9</v>
      </c>
      <c r="F572">
        <v>0.6979249119758606</v>
      </c>
    </row>
    <row r="573" spans="2:6">
      <c r="B573">
        <v>2017</v>
      </c>
      <c r="C573" t="s">
        <v>20</v>
      </c>
      <c r="D573" t="s">
        <v>183</v>
      </c>
      <c r="E573" t="s">
        <v>10</v>
      </c>
      <c r="F573">
        <v>66.599998474121094</v>
      </c>
    </row>
    <row r="574" spans="2:6">
      <c r="B574">
        <v>2017</v>
      </c>
      <c r="C574" t="s">
        <v>20</v>
      </c>
      <c r="D574" t="s">
        <v>183</v>
      </c>
      <c r="E574" t="s">
        <v>11</v>
      </c>
      <c r="F574">
        <v>0.61369705200195313</v>
      </c>
    </row>
    <row r="575" spans="2:6">
      <c r="B575">
        <v>2017</v>
      </c>
      <c r="C575" t="s">
        <v>20</v>
      </c>
      <c r="D575" t="s">
        <v>183</v>
      </c>
      <c r="E575" t="s">
        <v>12</v>
      </c>
      <c r="F575">
        <v>-0.1468421071767807</v>
      </c>
    </row>
    <row r="576" spans="2:6">
      <c r="B576">
        <v>2017</v>
      </c>
      <c r="C576" t="s">
        <v>20</v>
      </c>
      <c r="D576" t="s">
        <v>183</v>
      </c>
      <c r="E576" t="s">
        <v>13</v>
      </c>
      <c r="F576">
        <v>0.86468333005905151</v>
      </c>
    </row>
    <row r="577" spans="2:6">
      <c r="B577">
        <v>2017</v>
      </c>
      <c r="C577" t="s">
        <v>20</v>
      </c>
      <c r="D577" t="s">
        <v>183</v>
      </c>
      <c r="E577" t="s">
        <v>14</v>
      </c>
      <c r="F577">
        <v>0.62501382827758789</v>
      </c>
    </row>
    <row r="578" spans="2:6">
      <c r="B578">
        <v>2017</v>
      </c>
      <c r="C578" t="s">
        <v>20</v>
      </c>
      <c r="D578" t="s">
        <v>183</v>
      </c>
      <c r="E578" t="s">
        <v>15</v>
      </c>
      <c r="F578">
        <v>0.43714874982833862</v>
      </c>
    </row>
    <row r="579" spans="2:6">
      <c r="B579">
        <v>2018</v>
      </c>
      <c r="C579" t="s">
        <v>20</v>
      </c>
      <c r="D579" t="s">
        <v>183</v>
      </c>
      <c r="E579" t="s">
        <v>7</v>
      </c>
      <c r="F579">
        <v>5.0624485015869141</v>
      </c>
    </row>
    <row r="580" spans="2:6">
      <c r="B580">
        <v>2018</v>
      </c>
      <c r="C580" t="s">
        <v>20</v>
      </c>
      <c r="D580" t="s">
        <v>183</v>
      </c>
      <c r="E580" t="s">
        <v>8</v>
      </c>
      <c r="F580">
        <v>9.4505348205566406</v>
      </c>
    </row>
    <row r="581" spans="2:6">
      <c r="B581">
        <v>2018</v>
      </c>
      <c r="C581" t="s">
        <v>20</v>
      </c>
      <c r="D581" t="s">
        <v>183</v>
      </c>
      <c r="E581" t="s">
        <v>9</v>
      </c>
      <c r="F581">
        <v>0.8144490122795105</v>
      </c>
    </row>
    <row r="582" spans="2:6">
      <c r="B582">
        <v>2018</v>
      </c>
      <c r="C582" t="s">
        <v>20</v>
      </c>
      <c r="D582" t="s">
        <v>183</v>
      </c>
      <c r="E582" t="s">
        <v>10</v>
      </c>
      <c r="F582">
        <v>66.900001525878906</v>
      </c>
    </row>
    <row r="583" spans="2:6">
      <c r="B583">
        <v>2018</v>
      </c>
      <c r="C583" t="s">
        <v>20</v>
      </c>
      <c r="D583" t="s">
        <v>183</v>
      </c>
      <c r="E583" t="s">
        <v>11</v>
      </c>
      <c r="F583">
        <v>0.80764365196228027</v>
      </c>
    </row>
    <row r="584" spans="2:6">
      <c r="B584">
        <v>2018</v>
      </c>
      <c r="C584" t="s">
        <v>20</v>
      </c>
      <c r="D584" t="s">
        <v>183</v>
      </c>
      <c r="E584" t="s">
        <v>12</v>
      </c>
      <c r="F584">
        <v>-0.16258832812309265</v>
      </c>
    </row>
    <row r="585" spans="2:6">
      <c r="B585">
        <v>2018</v>
      </c>
      <c r="C585" t="s">
        <v>20</v>
      </c>
      <c r="D585" t="s">
        <v>183</v>
      </c>
      <c r="E585" t="s">
        <v>13</v>
      </c>
      <c r="F585">
        <v>0.6768263578414917</v>
      </c>
    </row>
    <row r="586" spans="2:6">
      <c r="B586">
        <v>2018</v>
      </c>
      <c r="C586" t="s">
        <v>20</v>
      </c>
      <c r="D586" t="s">
        <v>183</v>
      </c>
      <c r="E586" t="s">
        <v>14</v>
      </c>
      <c r="F586">
        <v>0.58148771524429321</v>
      </c>
    </row>
    <row r="587" spans="2:6">
      <c r="B587">
        <v>2018</v>
      </c>
      <c r="C587" t="s">
        <v>20</v>
      </c>
      <c r="D587" t="s">
        <v>183</v>
      </c>
      <c r="E587" t="s">
        <v>15</v>
      </c>
      <c r="F587">
        <v>0.4548402726650238</v>
      </c>
    </row>
    <row r="588" spans="2:6">
      <c r="B588">
        <v>2019</v>
      </c>
      <c r="C588" t="s">
        <v>20</v>
      </c>
      <c r="D588" t="s">
        <v>183</v>
      </c>
      <c r="E588" t="s">
        <v>7</v>
      </c>
      <c r="F588">
        <v>5.4880867004394531</v>
      </c>
    </row>
    <row r="589" spans="2:6">
      <c r="B589">
        <v>2019</v>
      </c>
      <c r="C589" t="s">
        <v>20</v>
      </c>
      <c r="D589" t="s">
        <v>183</v>
      </c>
      <c r="E589" t="s">
        <v>8</v>
      </c>
      <c r="F589">
        <v>9.5217695236206055</v>
      </c>
    </row>
    <row r="590" spans="2:6">
      <c r="B590">
        <v>2019</v>
      </c>
      <c r="C590" t="s">
        <v>20</v>
      </c>
      <c r="D590" t="s">
        <v>183</v>
      </c>
      <c r="E590" t="s">
        <v>9</v>
      </c>
      <c r="F590">
        <v>0.78160387277603149</v>
      </c>
    </row>
    <row r="591" spans="2:6">
      <c r="B591">
        <v>2019</v>
      </c>
      <c r="C591" t="s">
        <v>20</v>
      </c>
      <c r="D591" t="s">
        <v>183</v>
      </c>
      <c r="E591" t="s">
        <v>10</v>
      </c>
      <c r="F591">
        <v>67.199996948242188</v>
      </c>
    </row>
    <row r="592" spans="2:6">
      <c r="B592">
        <v>2019</v>
      </c>
      <c r="C592" t="s">
        <v>20</v>
      </c>
      <c r="D592" t="s">
        <v>183</v>
      </c>
      <c r="E592" t="s">
        <v>11</v>
      </c>
      <c r="F592">
        <v>0.84432411193847656</v>
      </c>
    </row>
    <row r="593" spans="2:6">
      <c r="B593">
        <v>2019</v>
      </c>
      <c r="C593" t="s">
        <v>20</v>
      </c>
      <c r="D593" t="s">
        <v>183</v>
      </c>
      <c r="E593" t="s">
        <v>12</v>
      </c>
      <c r="F593">
        <v>-0.17236898839473724</v>
      </c>
    </row>
    <row r="594" spans="2:6">
      <c r="B594">
        <v>2019</v>
      </c>
      <c r="C594" t="s">
        <v>20</v>
      </c>
      <c r="D594" t="s">
        <v>183</v>
      </c>
      <c r="E594" t="s">
        <v>13</v>
      </c>
      <c r="F594">
        <v>0.58347272872924805</v>
      </c>
    </row>
    <row r="595" spans="2:6">
      <c r="B595">
        <v>2019</v>
      </c>
      <c r="C595" t="s">
        <v>20</v>
      </c>
      <c r="D595" t="s">
        <v>183</v>
      </c>
      <c r="E595" t="s">
        <v>14</v>
      </c>
      <c r="F595">
        <v>0.59823781251907349</v>
      </c>
    </row>
    <row r="596" spans="2:6">
      <c r="B596">
        <v>2019</v>
      </c>
      <c r="C596" t="s">
        <v>20</v>
      </c>
      <c r="D596" t="s">
        <v>183</v>
      </c>
      <c r="E596" t="s">
        <v>15</v>
      </c>
      <c r="F596">
        <v>0.43046340346336365</v>
      </c>
    </row>
    <row r="597" spans="2:6">
      <c r="B597">
        <v>2005</v>
      </c>
      <c r="C597" t="s">
        <v>21</v>
      </c>
      <c r="D597" t="s">
        <v>186</v>
      </c>
      <c r="E597" t="s">
        <v>7</v>
      </c>
      <c r="F597">
        <v>7.3406882286071777</v>
      </c>
    </row>
    <row r="598" spans="2:6">
      <c r="B598">
        <v>2005</v>
      </c>
      <c r="C598" t="s">
        <v>21</v>
      </c>
      <c r="D598" t="s">
        <v>186</v>
      </c>
      <c r="E598" t="s">
        <v>8</v>
      </c>
      <c r="F598">
        <v>10.658608436584473</v>
      </c>
    </row>
    <row r="599" spans="2:6">
      <c r="B599">
        <v>2005</v>
      </c>
      <c r="C599" t="s">
        <v>21</v>
      </c>
      <c r="D599" t="s">
        <v>186</v>
      </c>
      <c r="E599" t="s">
        <v>9</v>
      </c>
      <c r="F599">
        <v>0.96789216995239258</v>
      </c>
    </row>
    <row r="600" spans="2:6">
      <c r="B600">
        <v>2005</v>
      </c>
      <c r="C600" t="s">
        <v>21</v>
      </c>
      <c r="D600" t="s">
        <v>186</v>
      </c>
      <c r="E600" t="s">
        <v>10</v>
      </c>
      <c r="F600">
        <v>71.400001525878906</v>
      </c>
    </row>
    <row r="601" spans="2:6">
      <c r="B601">
        <v>2005</v>
      </c>
      <c r="C601" t="s">
        <v>21</v>
      </c>
      <c r="D601" t="s">
        <v>186</v>
      </c>
      <c r="E601" t="s">
        <v>11</v>
      </c>
      <c r="F601">
        <v>0.93497329950332642</v>
      </c>
    </row>
    <row r="602" spans="2:6">
      <c r="B602">
        <v>2005</v>
      </c>
      <c r="C602" t="s">
        <v>21</v>
      </c>
      <c r="D602" t="s">
        <v>186</v>
      </c>
      <c r="E602" t="s">
        <v>13</v>
      </c>
      <c r="F602">
        <v>0.39041593670845032</v>
      </c>
    </row>
    <row r="603" spans="2:6">
      <c r="B603">
        <v>2005</v>
      </c>
      <c r="C603" t="s">
        <v>21</v>
      </c>
      <c r="D603" t="s">
        <v>186</v>
      </c>
      <c r="E603" t="s">
        <v>14</v>
      </c>
      <c r="F603">
        <v>0.84264767169952393</v>
      </c>
    </row>
    <row r="604" spans="2:6">
      <c r="B604">
        <v>2005</v>
      </c>
      <c r="C604" t="s">
        <v>21</v>
      </c>
      <c r="D604" t="s">
        <v>186</v>
      </c>
      <c r="E604" t="s">
        <v>15</v>
      </c>
      <c r="F604">
        <v>0.23801209032535553</v>
      </c>
    </row>
    <row r="605" spans="2:6">
      <c r="B605">
        <v>2007</v>
      </c>
      <c r="C605" t="s">
        <v>21</v>
      </c>
      <c r="D605" t="s">
        <v>186</v>
      </c>
      <c r="E605" t="s">
        <v>7</v>
      </c>
      <c r="F605">
        <v>7.2853908538818359</v>
      </c>
    </row>
    <row r="606" spans="2:6">
      <c r="B606">
        <v>2007</v>
      </c>
      <c r="C606" t="s">
        <v>21</v>
      </c>
      <c r="D606" t="s">
        <v>186</v>
      </c>
      <c r="E606" t="s">
        <v>8</v>
      </c>
      <c r="F606">
        <v>10.70289421081543</v>
      </c>
    </row>
    <row r="607" spans="2:6">
      <c r="B607">
        <v>2007</v>
      </c>
      <c r="C607" t="s">
        <v>21</v>
      </c>
      <c r="D607" t="s">
        <v>186</v>
      </c>
      <c r="E607" t="s">
        <v>9</v>
      </c>
      <c r="F607">
        <v>0.96527618169784546</v>
      </c>
    </row>
    <row r="608" spans="2:6">
      <c r="B608">
        <v>2007</v>
      </c>
      <c r="C608" t="s">
        <v>21</v>
      </c>
      <c r="D608" t="s">
        <v>186</v>
      </c>
      <c r="E608" t="s">
        <v>10</v>
      </c>
      <c r="F608">
        <v>71.720001220703125</v>
      </c>
    </row>
    <row r="609" spans="2:6">
      <c r="B609">
        <v>2007</v>
      </c>
      <c r="C609" t="s">
        <v>21</v>
      </c>
      <c r="D609" t="s">
        <v>186</v>
      </c>
      <c r="E609" t="s">
        <v>11</v>
      </c>
      <c r="F609">
        <v>0.89068198204040527</v>
      </c>
    </row>
    <row r="610" spans="2:6">
      <c r="B610">
        <v>2007</v>
      </c>
      <c r="C610" t="s">
        <v>21</v>
      </c>
      <c r="D610" t="s">
        <v>186</v>
      </c>
      <c r="E610" t="s">
        <v>12</v>
      </c>
      <c r="F610">
        <v>0.34705165028572083</v>
      </c>
    </row>
    <row r="611" spans="2:6">
      <c r="B611">
        <v>2007</v>
      </c>
      <c r="C611" t="s">
        <v>21</v>
      </c>
      <c r="D611" t="s">
        <v>186</v>
      </c>
      <c r="E611" t="s">
        <v>13</v>
      </c>
      <c r="F611">
        <v>0.51257848739624023</v>
      </c>
    </row>
    <row r="612" spans="2:6">
      <c r="B612">
        <v>2007</v>
      </c>
      <c r="C612" t="s">
        <v>21</v>
      </c>
      <c r="D612" t="s">
        <v>186</v>
      </c>
      <c r="E612" t="s">
        <v>14</v>
      </c>
      <c r="F612">
        <v>0.82625091075897217</v>
      </c>
    </row>
    <row r="613" spans="2:6">
      <c r="B613">
        <v>2007</v>
      </c>
      <c r="C613" t="s">
        <v>21</v>
      </c>
      <c r="D613" t="s">
        <v>186</v>
      </c>
      <c r="E613" t="s">
        <v>15</v>
      </c>
      <c r="F613">
        <v>0.21535064280033112</v>
      </c>
    </row>
    <row r="614" spans="2:6">
      <c r="B614">
        <v>2008</v>
      </c>
      <c r="C614" t="s">
        <v>21</v>
      </c>
      <c r="D614" t="s">
        <v>186</v>
      </c>
      <c r="E614" t="s">
        <v>7</v>
      </c>
      <c r="F614">
        <v>7.2537574768066406</v>
      </c>
    </row>
    <row r="615" spans="2:6">
      <c r="B615">
        <v>2008</v>
      </c>
      <c r="C615" t="s">
        <v>21</v>
      </c>
      <c r="D615" t="s">
        <v>186</v>
      </c>
      <c r="E615" t="s">
        <v>8</v>
      </c>
      <c r="F615">
        <v>10.718779563903809</v>
      </c>
    </row>
    <row r="616" spans="2:6">
      <c r="B616">
        <v>2008</v>
      </c>
      <c r="C616" t="s">
        <v>21</v>
      </c>
      <c r="D616" t="s">
        <v>186</v>
      </c>
      <c r="E616" t="s">
        <v>9</v>
      </c>
      <c r="F616">
        <v>0.94663518667221069</v>
      </c>
    </row>
    <row r="617" spans="2:6">
      <c r="B617">
        <v>2008</v>
      </c>
      <c r="C617" t="s">
        <v>21</v>
      </c>
      <c r="D617" t="s">
        <v>186</v>
      </c>
      <c r="E617" t="s">
        <v>10</v>
      </c>
      <c r="F617">
        <v>71.879997253417969</v>
      </c>
    </row>
    <row r="618" spans="2:6">
      <c r="B618">
        <v>2008</v>
      </c>
      <c r="C618" t="s">
        <v>21</v>
      </c>
      <c r="D618" t="s">
        <v>186</v>
      </c>
      <c r="E618" t="s">
        <v>11</v>
      </c>
      <c r="F618">
        <v>0.91573333740234375</v>
      </c>
    </row>
    <row r="619" spans="2:6">
      <c r="B619">
        <v>2008</v>
      </c>
      <c r="C619" t="s">
        <v>21</v>
      </c>
      <c r="D619" t="s">
        <v>186</v>
      </c>
      <c r="E619" t="s">
        <v>12</v>
      </c>
      <c r="F619">
        <v>0.30529049038887024</v>
      </c>
    </row>
    <row r="620" spans="2:6">
      <c r="B620">
        <v>2008</v>
      </c>
      <c r="C620" t="s">
        <v>21</v>
      </c>
      <c r="D620" t="s">
        <v>186</v>
      </c>
      <c r="E620" t="s">
        <v>13</v>
      </c>
      <c r="F620">
        <v>0.43081051111221313</v>
      </c>
    </row>
    <row r="621" spans="2:6">
      <c r="B621">
        <v>2008</v>
      </c>
      <c r="C621" t="s">
        <v>21</v>
      </c>
      <c r="D621" t="s">
        <v>186</v>
      </c>
      <c r="E621" t="s">
        <v>14</v>
      </c>
      <c r="F621">
        <v>0.82639050483703613</v>
      </c>
    </row>
    <row r="622" spans="2:6">
      <c r="B622">
        <v>2008</v>
      </c>
      <c r="C622" t="s">
        <v>21</v>
      </c>
      <c r="D622" t="s">
        <v>186</v>
      </c>
      <c r="E622" t="s">
        <v>15</v>
      </c>
      <c r="F622">
        <v>0.21842731535434723</v>
      </c>
    </row>
    <row r="623" spans="2:6">
      <c r="B623">
        <v>2010</v>
      </c>
      <c r="C623" t="s">
        <v>21</v>
      </c>
      <c r="D623" t="s">
        <v>186</v>
      </c>
      <c r="E623" t="s">
        <v>7</v>
      </c>
      <c r="F623">
        <v>7.4500470161437988</v>
      </c>
    </row>
    <row r="624" spans="2:6">
      <c r="B624">
        <v>2010</v>
      </c>
      <c r="C624" t="s">
        <v>21</v>
      </c>
      <c r="D624" t="s">
        <v>186</v>
      </c>
      <c r="E624" t="s">
        <v>8</v>
      </c>
      <c r="F624">
        <v>10.722262382507324</v>
      </c>
    </row>
    <row r="625" spans="2:6">
      <c r="B625">
        <v>2010</v>
      </c>
      <c r="C625" t="s">
        <v>21</v>
      </c>
      <c r="D625" t="s">
        <v>186</v>
      </c>
      <c r="E625" t="s">
        <v>9</v>
      </c>
      <c r="F625">
        <v>0.95451956987380981</v>
      </c>
    </row>
    <row r="626" spans="2:6">
      <c r="B626">
        <v>2010</v>
      </c>
      <c r="C626" t="s">
        <v>21</v>
      </c>
      <c r="D626" t="s">
        <v>186</v>
      </c>
      <c r="E626" t="s">
        <v>10</v>
      </c>
      <c r="F626">
        <v>72.199996948242188</v>
      </c>
    </row>
    <row r="627" spans="2:6">
      <c r="B627">
        <v>2010</v>
      </c>
      <c r="C627" t="s">
        <v>21</v>
      </c>
      <c r="D627" t="s">
        <v>186</v>
      </c>
      <c r="E627" t="s">
        <v>11</v>
      </c>
      <c r="F627">
        <v>0.93205857276916504</v>
      </c>
    </row>
    <row r="628" spans="2:6">
      <c r="B628">
        <v>2010</v>
      </c>
      <c r="C628" t="s">
        <v>21</v>
      </c>
      <c r="D628" t="s">
        <v>186</v>
      </c>
      <c r="E628" t="s">
        <v>12</v>
      </c>
      <c r="F628">
        <v>0.31674385070800781</v>
      </c>
    </row>
    <row r="629" spans="2:6">
      <c r="B629">
        <v>2010</v>
      </c>
      <c r="C629" t="s">
        <v>21</v>
      </c>
      <c r="D629" t="s">
        <v>186</v>
      </c>
      <c r="E629" t="s">
        <v>13</v>
      </c>
      <c r="F629">
        <v>0.36612740159034729</v>
      </c>
    </row>
    <row r="630" spans="2:6">
      <c r="B630">
        <v>2010</v>
      </c>
      <c r="C630" t="s">
        <v>21</v>
      </c>
      <c r="D630" t="s">
        <v>186</v>
      </c>
      <c r="E630" t="s">
        <v>14</v>
      </c>
      <c r="F630">
        <v>0.8342362642288208</v>
      </c>
    </row>
    <row r="631" spans="2:6">
      <c r="B631">
        <v>2010</v>
      </c>
      <c r="C631" t="s">
        <v>21</v>
      </c>
      <c r="D631" t="s">
        <v>186</v>
      </c>
      <c r="E631" t="s">
        <v>15</v>
      </c>
      <c r="F631">
        <v>0.22007320821285248</v>
      </c>
    </row>
    <row r="632" spans="2:6">
      <c r="B632">
        <v>2011</v>
      </c>
      <c r="C632" t="s">
        <v>21</v>
      </c>
      <c r="D632" t="s">
        <v>186</v>
      </c>
      <c r="E632" t="s">
        <v>7</v>
      </c>
      <c r="F632">
        <v>7.405616283416748</v>
      </c>
    </row>
    <row r="633" spans="2:6">
      <c r="B633">
        <v>2011</v>
      </c>
      <c r="C633" t="s">
        <v>21</v>
      </c>
      <c r="D633" t="s">
        <v>186</v>
      </c>
      <c r="E633" t="s">
        <v>8</v>
      </c>
      <c r="F633">
        <v>10.732696533203125</v>
      </c>
    </row>
    <row r="634" spans="2:6">
      <c r="B634">
        <v>2011</v>
      </c>
      <c r="C634" t="s">
        <v>21</v>
      </c>
      <c r="D634" t="s">
        <v>186</v>
      </c>
      <c r="E634" t="s">
        <v>9</v>
      </c>
      <c r="F634">
        <v>0.96702921390533447</v>
      </c>
    </row>
    <row r="635" spans="2:6">
      <c r="B635">
        <v>2011</v>
      </c>
      <c r="C635" t="s">
        <v>21</v>
      </c>
      <c r="D635" t="s">
        <v>186</v>
      </c>
      <c r="E635" t="s">
        <v>10</v>
      </c>
      <c r="F635">
        <v>72.300003051757813</v>
      </c>
    </row>
    <row r="636" spans="2:6">
      <c r="B636">
        <v>2011</v>
      </c>
      <c r="C636" t="s">
        <v>21</v>
      </c>
      <c r="D636" t="s">
        <v>186</v>
      </c>
      <c r="E636" t="s">
        <v>11</v>
      </c>
      <c r="F636">
        <v>0.94458645582199097</v>
      </c>
    </row>
    <row r="637" spans="2:6">
      <c r="B637">
        <v>2011</v>
      </c>
      <c r="C637" t="s">
        <v>21</v>
      </c>
      <c r="D637" t="s">
        <v>186</v>
      </c>
      <c r="E637" t="s">
        <v>12</v>
      </c>
      <c r="F637">
        <v>0.3693402111530304</v>
      </c>
    </row>
    <row r="638" spans="2:6">
      <c r="B638">
        <v>2011</v>
      </c>
      <c r="C638" t="s">
        <v>21</v>
      </c>
      <c r="D638" t="s">
        <v>186</v>
      </c>
      <c r="E638" t="s">
        <v>13</v>
      </c>
      <c r="F638">
        <v>0.3817717432975769</v>
      </c>
    </row>
    <row r="639" spans="2:6">
      <c r="B639">
        <v>2011</v>
      </c>
      <c r="C639" t="s">
        <v>21</v>
      </c>
      <c r="D639" t="s">
        <v>186</v>
      </c>
      <c r="E639" t="s">
        <v>14</v>
      </c>
      <c r="F639">
        <v>0.81586027145385742</v>
      </c>
    </row>
    <row r="640" spans="2:6">
      <c r="B640">
        <v>2011</v>
      </c>
      <c r="C640" t="s">
        <v>21</v>
      </c>
      <c r="D640" t="s">
        <v>186</v>
      </c>
      <c r="E640" t="s">
        <v>15</v>
      </c>
      <c r="F640">
        <v>0.19532367587089539</v>
      </c>
    </row>
    <row r="641" spans="2:6">
      <c r="B641">
        <v>2012</v>
      </c>
      <c r="C641" t="s">
        <v>21</v>
      </c>
      <c r="D641" t="s">
        <v>186</v>
      </c>
      <c r="E641" t="s">
        <v>7</v>
      </c>
      <c r="F641">
        <v>7.1955857276916504</v>
      </c>
    </row>
    <row r="642" spans="2:6">
      <c r="B642">
        <v>2012</v>
      </c>
      <c r="C642" t="s">
        <v>21</v>
      </c>
      <c r="D642" t="s">
        <v>186</v>
      </c>
      <c r="E642" t="s">
        <v>8</v>
      </c>
      <c r="F642">
        <v>10.753671646118164</v>
      </c>
    </row>
    <row r="643" spans="2:6">
      <c r="B643">
        <v>2012</v>
      </c>
      <c r="C643" t="s">
        <v>21</v>
      </c>
      <c r="D643" t="s">
        <v>186</v>
      </c>
      <c r="E643" t="s">
        <v>9</v>
      </c>
      <c r="F643">
        <v>0.94459903240203857</v>
      </c>
    </row>
    <row r="644" spans="2:6">
      <c r="B644">
        <v>2012</v>
      </c>
      <c r="C644" t="s">
        <v>21</v>
      </c>
      <c r="D644" t="s">
        <v>186</v>
      </c>
      <c r="E644" t="s">
        <v>10</v>
      </c>
      <c r="F644">
        <v>72.400001525878906</v>
      </c>
    </row>
    <row r="645" spans="2:6">
      <c r="B645">
        <v>2012</v>
      </c>
      <c r="C645" t="s">
        <v>21</v>
      </c>
      <c r="D645" t="s">
        <v>186</v>
      </c>
      <c r="E645" t="s">
        <v>11</v>
      </c>
      <c r="F645">
        <v>0.9351462721824646</v>
      </c>
    </row>
    <row r="646" spans="2:6">
      <c r="B646">
        <v>2012</v>
      </c>
      <c r="C646" t="s">
        <v>21</v>
      </c>
      <c r="D646" t="s">
        <v>186</v>
      </c>
      <c r="E646" t="s">
        <v>12</v>
      </c>
      <c r="F646">
        <v>0.27363547682762146</v>
      </c>
    </row>
    <row r="647" spans="2:6">
      <c r="B647">
        <v>2012</v>
      </c>
      <c r="C647" t="s">
        <v>21</v>
      </c>
      <c r="D647" t="s">
        <v>186</v>
      </c>
      <c r="E647" t="s">
        <v>13</v>
      </c>
      <c r="F647">
        <v>0.3682517409324646</v>
      </c>
    </row>
    <row r="648" spans="2:6">
      <c r="B648">
        <v>2012</v>
      </c>
      <c r="C648" t="s">
        <v>21</v>
      </c>
      <c r="D648" t="s">
        <v>186</v>
      </c>
      <c r="E648" t="s">
        <v>14</v>
      </c>
      <c r="F648">
        <v>0.81074178218841553</v>
      </c>
    </row>
    <row r="649" spans="2:6">
      <c r="B649">
        <v>2012</v>
      </c>
      <c r="C649" t="s">
        <v>21</v>
      </c>
      <c r="D649" t="s">
        <v>186</v>
      </c>
      <c r="E649" t="s">
        <v>15</v>
      </c>
      <c r="F649">
        <v>0.21439690887928009</v>
      </c>
    </row>
    <row r="650" spans="2:6">
      <c r="B650">
        <v>2013</v>
      </c>
      <c r="C650" t="s">
        <v>21</v>
      </c>
      <c r="D650" t="s">
        <v>186</v>
      </c>
      <c r="E650" t="s">
        <v>7</v>
      </c>
      <c r="F650">
        <v>7.3641691207885742</v>
      </c>
    </row>
    <row r="651" spans="2:6">
      <c r="B651">
        <v>2013</v>
      </c>
      <c r="C651" t="s">
        <v>21</v>
      </c>
      <c r="D651" t="s">
        <v>186</v>
      </c>
      <c r="E651" t="s">
        <v>8</v>
      </c>
      <c r="F651">
        <v>10.761981010437012</v>
      </c>
    </row>
    <row r="652" spans="2:6">
      <c r="B652">
        <v>2013</v>
      </c>
      <c r="C652" t="s">
        <v>21</v>
      </c>
      <c r="D652" t="s">
        <v>186</v>
      </c>
      <c r="E652" t="s">
        <v>9</v>
      </c>
      <c r="F652">
        <v>0.92820519208908081</v>
      </c>
    </row>
    <row r="653" spans="2:6">
      <c r="B653">
        <v>2013</v>
      </c>
      <c r="C653" t="s">
        <v>21</v>
      </c>
      <c r="D653" t="s">
        <v>186</v>
      </c>
      <c r="E653" t="s">
        <v>10</v>
      </c>
      <c r="F653">
        <v>72.5</v>
      </c>
    </row>
    <row r="654" spans="2:6">
      <c r="B654">
        <v>2013</v>
      </c>
      <c r="C654" t="s">
        <v>21</v>
      </c>
      <c r="D654" t="s">
        <v>186</v>
      </c>
      <c r="E654" t="s">
        <v>11</v>
      </c>
      <c r="F654">
        <v>0.93337917327880859</v>
      </c>
    </row>
    <row r="655" spans="2:6">
      <c r="B655">
        <v>2013</v>
      </c>
      <c r="C655" t="s">
        <v>21</v>
      </c>
      <c r="D655" t="s">
        <v>186</v>
      </c>
      <c r="E655" t="s">
        <v>12</v>
      </c>
      <c r="F655">
        <v>0.26878401637077332</v>
      </c>
    </row>
    <row r="656" spans="2:6">
      <c r="B656">
        <v>2013</v>
      </c>
      <c r="C656" t="s">
        <v>21</v>
      </c>
      <c r="D656" t="s">
        <v>186</v>
      </c>
      <c r="E656" t="s">
        <v>13</v>
      </c>
      <c r="F656">
        <v>0.43153902888298035</v>
      </c>
    </row>
    <row r="657" spans="2:6">
      <c r="B657">
        <v>2013</v>
      </c>
      <c r="C657" t="s">
        <v>21</v>
      </c>
      <c r="D657" t="s">
        <v>186</v>
      </c>
      <c r="E657" t="s">
        <v>14</v>
      </c>
      <c r="F657">
        <v>0.81883525848388672</v>
      </c>
    </row>
    <row r="658" spans="2:6">
      <c r="B658">
        <v>2013</v>
      </c>
      <c r="C658" t="s">
        <v>21</v>
      </c>
      <c r="D658" t="s">
        <v>186</v>
      </c>
      <c r="E658" t="s">
        <v>15</v>
      </c>
      <c r="F658">
        <v>0.17714226245880127</v>
      </c>
    </row>
    <row r="659" spans="2:6">
      <c r="B659">
        <v>2014</v>
      </c>
      <c r="C659" t="s">
        <v>21</v>
      </c>
      <c r="D659" t="s">
        <v>186</v>
      </c>
      <c r="E659" t="s">
        <v>7</v>
      </c>
      <c r="F659">
        <v>7.2885503768920898</v>
      </c>
    </row>
    <row r="660" spans="2:6">
      <c r="B660">
        <v>2014</v>
      </c>
      <c r="C660" t="s">
        <v>21</v>
      </c>
      <c r="D660" t="s">
        <v>186</v>
      </c>
      <c r="E660" t="s">
        <v>8</v>
      </c>
      <c r="F660">
        <v>10.772080421447754</v>
      </c>
    </row>
    <row r="661" spans="2:6">
      <c r="B661">
        <v>2014</v>
      </c>
      <c r="C661" t="s">
        <v>21</v>
      </c>
      <c r="D661" t="s">
        <v>186</v>
      </c>
      <c r="E661" t="s">
        <v>9</v>
      </c>
      <c r="F661">
        <v>0.92379873991012573</v>
      </c>
    </row>
    <row r="662" spans="2:6">
      <c r="B662">
        <v>2014</v>
      </c>
      <c r="C662" t="s">
        <v>21</v>
      </c>
      <c r="D662" t="s">
        <v>186</v>
      </c>
      <c r="E662" t="s">
        <v>10</v>
      </c>
      <c r="F662">
        <v>72.599998474121094</v>
      </c>
    </row>
    <row r="663" spans="2:6">
      <c r="B663">
        <v>2014</v>
      </c>
      <c r="C663" t="s">
        <v>21</v>
      </c>
      <c r="D663" t="s">
        <v>186</v>
      </c>
      <c r="E663" t="s">
        <v>11</v>
      </c>
      <c r="F663">
        <v>0.92293226718902588</v>
      </c>
    </row>
    <row r="664" spans="2:6">
      <c r="B664">
        <v>2014</v>
      </c>
      <c r="C664" t="s">
        <v>21</v>
      </c>
      <c r="D664" t="s">
        <v>186</v>
      </c>
      <c r="E664" t="s">
        <v>12</v>
      </c>
      <c r="F664">
        <v>0.31855607032775879</v>
      </c>
    </row>
    <row r="665" spans="2:6">
      <c r="B665">
        <v>2014</v>
      </c>
      <c r="C665" t="s">
        <v>21</v>
      </c>
      <c r="D665" t="s">
        <v>186</v>
      </c>
      <c r="E665" t="s">
        <v>13</v>
      </c>
      <c r="F665">
        <v>0.44202136993408203</v>
      </c>
    </row>
    <row r="666" spans="2:6">
      <c r="B666">
        <v>2014</v>
      </c>
      <c r="C666" t="s">
        <v>21</v>
      </c>
      <c r="D666" t="s">
        <v>186</v>
      </c>
      <c r="E666" t="s">
        <v>14</v>
      </c>
      <c r="F666">
        <v>0.77520996332168579</v>
      </c>
    </row>
    <row r="667" spans="2:6">
      <c r="B667">
        <v>2014</v>
      </c>
      <c r="C667" t="s">
        <v>21</v>
      </c>
      <c r="D667" t="s">
        <v>186</v>
      </c>
      <c r="E667" t="s">
        <v>15</v>
      </c>
      <c r="F667">
        <v>0.24530430138111115</v>
      </c>
    </row>
    <row r="668" spans="2:6">
      <c r="B668">
        <v>2015</v>
      </c>
      <c r="C668" t="s">
        <v>21</v>
      </c>
      <c r="D668" t="s">
        <v>186</v>
      </c>
      <c r="E668" t="s">
        <v>7</v>
      </c>
      <c r="F668">
        <v>7.3090605735778809</v>
      </c>
    </row>
    <row r="669" spans="2:6">
      <c r="B669">
        <v>2015</v>
      </c>
      <c r="C669" t="s">
        <v>21</v>
      </c>
      <c r="D669" t="s">
        <v>186</v>
      </c>
      <c r="E669" t="s">
        <v>8</v>
      </c>
      <c r="F669">
        <v>10.779377937316895</v>
      </c>
    </row>
    <row r="670" spans="2:6">
      <c r="B670">
        <v>2015</v>
      </c>
      <c r="C670" t="s">
        <v>21</v>
      </c>
      <c r="D670" t="s">
        <v>186</v>
      </c>
      <c r="E670" t="s">
        <v>9</v>
      </c>
      <c r="F670">
        <v>0.95186156034469604</v>
      </c>
    </row>
    <row r="671" spans="2:6">
      <c r="B671">
        <v>2015</v>
      </c>
      <c r="C671" t="s">
        <v>21</v>
      </c>
      <c r="D671" t="s">
        <v>186</v>
      </c>
      <c r="E671" t="s">
        <v>10</v>
      </c>
      <c r="F671">
        <v>72.699996948242188</v>
      </c>
    </row>
    <row r="672" spans="2:6">
      <c r="B672">
        <v>2015</v>
      </c>
      <c r="C672" t="s">
        <v>21</v>
      </c>
      <c r="D672" t="s">
        <v>186</v>
      </c>
      <c r="E672" t="s">
        <v>11</v>
      </c>
      <c r="F672">
        <v>0.92187100648880005</v>
      </c>
    </row>
    <row r="673" spans="2:6">
      <c r="B673">
        <v>2015</v>
      </c>
      <c r="C673" t="s">
        <v>21</v>
      </c>
      <c r="D673" t="s">
        <v>186</v>
      </c>
      <c r="E673" t="s">
        <v>12</v>
      </c>
      <c r="F673">
        <v>0.33189859986305237</v>
      </c>
    </row>
    <row r="674" spans="2:6">
      <c r="B674">
        <v>2015</v>
      </c>
      <c r="C674" t="s">
        <v>21</v>
      </c>
      <c r="D674" t="s">
        <v>186</v>
      </c>
      <c r="E674" t="s">
        <v>13</v>
      </c>
      <c r="F674">
        <v>0.35655438899993896</v>
      </c>
    </row>
    <row r="675" spans="2:6">
      <c r="B675">
        <v>2015</v>
      </c>
      <c r="C675" t="s">
        <v>21</v>
      </c>
      <c r="D675" t="s">
        <v>186</v>
      </c>
      <c r="E675" t="s">
        <v>14</v>
      </c>
      <c r="F675">
        <v>0.790050208568573</v>
      </c>
    </row>
    <row r="676" spans="2:6">
      <c r="B676">
        <v>2015</v>
      </c>
      <c r="C676" t="s">
        <v>21</v>
      </c>
      <c r="D676" t="s">
        <v>186</v>
      </c>
      <c r="E676" t="s">
        <v>15</v>
      </c>
      <c r="F676">
        <v>0.20963697135448456</v>
      </c>
    </row>
    <row r="677" spans="2:6">
      <c r="B677">
        <v>2016</v>
      </c>
      <c r="C677" t="s">
        <v>21</v>
      </c>
      <c r="D677" t="s">
        <v>186</v>
      </c>
      <c r="E677" t="s">
        <v>7</v>
      </c>
      <c r="F677">
        <v>7.2500801086425781</v>
      </c>
    </row>
    <row r="678" spans="2:6">
      <c r="B678">
        <v>2016</v>
      </c>
      <c r="C678" t="s">
        <v>21</v>
      </c>
      <c r="D678" t="s">
        <v>186</v>
      </c>
      <c r="E678" t="s">
        <v>8</v>
      </c>
      <c r="F678">
        <v>10.791088104248047</v>
      </c>
    </row>
    <row r="679" spans="2:6">
      <c r="B679">
        <v>2016</v>
      </c>
      <c r="C679" t="s">
        <v>21</v>
      </c>
      <c r="D679" t="s">
        <v>186</v>
      </c>
      <c r="E679" t="s">
        <v>9</v>
      </c>
      <c r="F679">
        <v>0.94233423471450806</v>
      </c>
    </row>
    <row r="680" spans="2:6">
      <c r="B680">
        <v>2016</v>
      </c>
      <c r="C680" t="s">
        <v>21</v>
      </c>
      <c r="D680" t="s">
        <v>186</v>
      </c>
      <c r="E680" t="s">
        <v>10</v>
      </c>
      <c r="F680">
        <v>73</v>
      </c>
    </row>
    <row r="681" spans="2:6">
      <c r="B681">
        <v>2016</v>
      </c>
      <c r="C681" t="s">
        <v>21</v>
      </c>
      <c r="D681" t="s">
        <v>186</v>
      </c>
      <c r="E681" t="s">
        <v>11</v>
      </c>
      <c r="F681">
        <v>0.92231571674346924</v>
      </c>
    </row>
    <row r="682" spans="2:6">
      <c r="B682">
        <v>2016</v>
      </c>
      <c r="C682" t="s">
        <v>21</v>
      </c>
      <c r="D682" t="s">
        <v>186</v>
      </c>
      <c r="E682" t="s">
        <v>12</v>
      </c>
      <c r="F682">
        <v>0.23855794966220856</v>
      </c>
    </row>
    <row r="683" spans="2:6">
      <c r="B683">
        <v>2016</v>
      </c>
      <c r="C683" t="s">
        <v>21</v>
      </c>
      <c r="D683" t="s">
        <v>186</v>
      </c>
      <c r="E683" t="s">
        <v>13</v>
      </c>
      <c r="F683">
        <v>0.39854511618614197</v>
      </c>
    </row>
    <row r="684" spans="2:6">
      <c r="B684">
        <v>2016</v>
      </c>
      <c r="C684" t="s">
        <v>21</v>
      </c>
      <c r="D684" t="s">
        <v>186</v>
      </c>
      <c r="E684" t="s">
        <v>14</v>
      </c>
      <c r="F684">
        <v>0.79086828231811523</v>
      </c>
    </row>
    <row r="685" spans="2:6">
      <c r="B685">
        <v>2016</v>
      </c>
      <c r="C685" t="s">
        <v>21</v>
      </c>
      <c r="D685" t="s">
        <v>186</v>
      </c>
      <c r="E685" t="s">
        <v>15</v>
      </c>
      <c r="F685">
        <v>0.23608578741550446</v>
      </c>
    </row>
    <row r="686" spans="2:6">
      <c r="B686">
        <v>2017</v>
      </c>
      <c r="C686" t="s">
        <v>21</v>
      </c>
      <c r="D686" t="s">
        <v>186</v>
      </c>
      <c r="E686" t="s">
        <v>7</v>
      </c>
      <c r="F686">
        <v>7.2570376396179199</v>
      </c>
    </row>
    <row r="687" spans="2:6">
      <c r="B687">
        <v>2017</v>
      </c>
      <c r="C687" t="s">
        <v>21</v>
      </c>
      <c r="D687" t="s">
        <v>186</v>
      </c>
      <c r="E687" t="s">
        <v>8</v>
      </c>
      <c r="F687">
        <v>10.797643661499023</v>
      </c>
    </row>
    <row r="688" spans="2:6">
      <c r="B688">
        <v>2017</v>
      </c>
      <c r="C688" t="s">
        <v>21</v>
      </c>
      <c r="D688" t="s">
        <v>186</v>
      </c>
      <c r="E688" t="s">
        <v>9</v>
      </c>
      <c r="F688">
        <v>0.94995784759521484</v>
      </c>
    </row>
    <row r="689" spans="2:6">
      <c r="B689">
        <v>2017</v>
      </c>
      <c r="C689" t="s">
        <v>21</v>
      </c>
      <c r="D689" t="s">
        <v>186</v>
      </c>
      <c r="E689" t="s">
        <v>10</v>
      </c>
      <c r="F689">
        <v>73.300003051757813</v>
      </c>
    </row>
    <row r="690" spans="2:6">
      <c r="B690">
        <v>2017</v>
      </c>
      <c r="C690" t="s">
        <v>21</v>
      </c>
      <c r="D690" t="s">
        <v>186</v>
      </c>
      <c r="E690" t="s">
        <v>11</v>
      </c>
      <c r="F690">
        <v>0.91055017709732056</v>
      </c>
    </row>
    <row r="691" spans="2:6">
      <c r="B691">
        <v>2017</v>
      </c>
      <c r="C691" t="s">
        <v>21</v>
      </c>
      <c r="D691" t="s">
        <v>186</v>
      </c>
      <c r="E691" t="s">
        <v>12</v>
      </c>
      <c r="F691">
        <v>0.31732958555221558</v>
      </c>
    </row>
    <row r="692" spans="2:6">
      <c r="B692">
        <v>2017</v>
      </c>
      <c r="C692" t="s">
        <v>21</v>
      </c>
      <c r="D692" t="s">
        <v>186</v>
      </c>
      <c r="E692" t="s">
        <v>13</v>
      </c>
      <c r="F692">
        <v>0.41134652495384216</v>
      </c>
    </row>
    <row r="693" spans="2:6">
      <c r="B693">
        <v>2017</v>
      </c>
      <c r="C693" t="s">
        <v>21</v>
      </c>
      <c r="D693" t="s">
        <v>186</v>
      </c>
      <c r="E693" t="s">
        <v>14</v>
      </c>
      <c r="F693">
        <v>0.78007888793945313</v>
      </c>
    </row>
    <row r="694" spans="2:6">
      <c r="B694">
        <v>2017</v>
      </c>
      <c r="C694" t="s">
        <v>21</v>
      </c>
      <c r="D694" t="s">
        <v>186</v>
      </c>
      <c r="E694" t="s">
        <v>15</v>
      </c>
      <c r="F694">
        <v>0.22536097466945648</v>
      </c>
    </row>
    <row r="695" spans="2:6">
      <c r="B695">
        <v>2018</v>
      </c>
      <c r="C695" t="s">
        <v>21</v>
      </c>
      <c r="D695" t="s">
        <v>186</v>
      </c>
      <c r="E695" t="s">
        <v>7</v>
      </c>
      <c r="F695">
        <v>7.1769933700561523</v>
      </c>
    </row>
    <row r="696" spans="2:6">
      <c r="B696">
        <v>2018</v>
      </c>
      <c r="C696" t="s">
        <v>21</v>
      </c>
      <c r="D696" t="s">
        <v>186</v>
      </c>
      <c r="E696" t="s">
        <v>8</v>
      </c>
      <c r="F696">
        <v>10.811262130737305</v>
      </c>
    </row>
    <row r="697" spans="2:6">
      <c r="B697">
        <v>2018</v>
      </c>
      <c r="C697" t="s">
        <v>21</v>
      </c>
      <c r="D697" t="s">
        <v>186</v>
      </c>
      <c r="E697" t="s">
        <v>9</v>
      </c>
      <c r="F697">
        <v>0.94013726711273193</v>
      </c>
    </row>
    <row r="698" spans="2:6">
      <c r="B698">
        <v>2018</v>
      </c>
      <c r="C698" t="s">
        <v>21</v>
      </c>
      <c r="D698" t="s">
        <v>186</v>
      </c>
      <c r="E698" t="s">
        <v>10</v>
      </c>
      <c r="F698">
        <v>73.599998474121094</v>
      </c>
    </row>
    <row r="699" spans="2:6">
      <c r="B699">
        <v>2018</v>
      </c>
      <c r="C699" t="s">
        <v>21</v>
      </c>
      <c r="D699" t="s">
        <v>186</v>
      </c>
      <c r="E699" t="s">
        <v>11</v>
      </c>
      <c r="F699">
        <v>0.91602814197540283</v>
      </c>
    </row>
    <row r="700" spans="2:6">
      <c r="B700">
        <v>2018</v>
      </c>
      <c r="C700" t="s">
        <v>21</v>
      </c>
      <c r="D700" t="s">
        <v>186</v>
      </c>
      <c r="E700" t="s">
        <v>12</v>
      </c>
      <c r="F700">
        <v>0.14645527303218842</v>
      </c>
    </row>
    <row r="701" spans="2:6">
      <c r="B701">
        <v>2018</v>
      </c>
      <c r="C701" t="s">
        <v>21</v>
      </c>
      <c r="D701" t="s">
        <v>186</v>
      </c>
      <c r="E701" t="s">
        <v>13</v>
      </c>
      <c r="F701">
        <v>0.40464749932289124</v>
      </c>
    </row>
    <row r="702" spans="2:6">
      <c r="B702">
        <v>2018</v>
      </c>
      <c r="C702" t="s">
        <v>21</v>
      </c>
      <c r="D702" t="s">
        <v>186</v>
      </c>
      <c r="E702" t="s">
        <v>14</v>
      </c>
      <c r="F702">
        <v>0.75901883840560913</v>
      </c>
    </row>
    <row r="703" spans="2:6">
      <c r="B703">
        <v>2018</v>
      </c>
      <c r="C703" t="s">
        <v>21</v>
      </c>
      <c r="D703" t="s">
        <v>186</v>
      </c>
      <c r="E703" t="s">
        <v>15</v>
      </c>
      <c r="F703">
        <v>0.18745636940002441</v>
      </c>
    </row>
    <row r="704" spans="2:6">
      <c r="B704">
        <v>2019</v>
      </c>
      <c r="C704" t="s">
        <v>21</v>
      </c>
      <c r="D704" t="s">
        <v>186</v>
      </c>
      <c r="E704" t="s">
        <v>7</v>
      </c>
      <c r="F704">
        <v>7.2339949607849121</v>
      </c>
    </row>
    <row r="705" spans="2:6">
      <c r="B705">
        <v>2019</v>
      </c>
      <c r="C705" t="s">
        <v>21</v>
      </c>
      <c r="D705" t="s">
        <v>186</v>
      </c>
      <c r="E705" t="s">
        <v>8</v>
      </c>
      <c r="F705">
        <v>10.814892768859863</v>
      </c>
    </row>
    <row r="706" spans="2:6">
      <c r="B706">
        <v>2019</v>
      </c>
      <c r="C706" t="s">
        <v>21</v>
      </c>
      <c r="D706" t="s">
        <v>186</v>
      </c>
      <c r="E706" t="s">
        <v>9</v>
      </c>
      <c r="F706">
        <v>0.94277435541152954</v>
      </c>
    </row>
    <row r="707" spans="2:6">
      <c r="B707">
        <v>2019</v>
      </c>
      <c r="C707" t="s">
        <v>21</v>
      </c>
      <c r="D707" t="s">
        <v>186</v>
      </c>
      <c r="E707" t="s">
        <v>10</v>
      </c>
      <c r="F707">
        <v>73.900001525878906</v>
      </c>
    </row>
    <row r="708" spans="2:6">
      <c r="B708">
        <v>2019</v>
      </c>
      <c r="C708" t="s">
        <v>21</v>
      </c>
      <c r="D708" t="s">
        <v>186</v>
      </c>
      <c r="E708" t="s">
        <v>11</v>
      </c>
      <c r="F708">
        <v>0.91753691434860229</v>
      </c>
    </row>
    <row r="709" spans="2:6">
      <c r="B709">
        <v>2019</v>
      </c>
      <c r="C709" t="s">
        <v>21</v>
      </c>
      <c r="D709" t="s">
        <v>186</v>
      </c>
      <c r="E709" t="s">
        <v>12</v>
      </c>
      <c r="F709">
        <v>0.12068159133195877</v>
      </c>
    </row>
    <row r="710" spans="2:6">
      <c r="B710">
        <v>2019</v>
      </c>
      <c r="C710" t="s">
        <v>21</v>
      </c>
      <c r="D710" t="s">
        <v>186</v>
      </c>
      <c r="E710" t="s">
        <v>13</v>
      </c>
      <c r="F710">
        <v>0.43020865321159363</v>
      </c>
    </row>
    <row r="711" spans="2:6">
      <c r="B711">
        <v>2019</v>
      </c>
      <c r="C711" t="s">
        <v>21</v>
      </c>
      <c r="D711" t="s">
        <v>186</v>
      </c>
      <c r="E711" t="s">
        <v>14</v>
      </c>
      <c r="F711">
        <v>0.77004355192184448</v>
      </c>
    </row>
    <row r="712" spans="2:6">
      <c r="B712">
        <v>2019</v>
      </c>
      <c r="C712" t="s">
        <v>21</v>
      </c>
      <c r="D712" t="s">
        <v>186</v>
      </c>
      <c r="E712" t="s">
        <v>15</v>
      </c>
      <c r="F712">
        <v>0.20219007134437561</v>
      </c>
    </row>
    <row r="713" spans="2:6">
      <c r="B713">
        <v>2020</v>
      </c>
      <c r="C713" t="s">
        <v>21</v>
      </c>
      <c r="D713" t="s">
        <v>186</v>
      </c>
      <c r="E713" t="s">
        <v>7</v>
      </c>
      <c r="F713">
        <v>7.1373677253723145</v>
      </c>
    </row>
    <row r="714" spans="2:6">
      <c r="B714">
        <v>2020</v>
      </c>
      <c r="C714" t="s">
        <v>21</v>
      </c>
      <c r="D714" t="s">
        <v>186</v>
      </c>
      <c r="E714" t="s">
        <v>8</v>
      </c>
      <c r="F714">
        <v>10.75986385345459</v>
      </c>
    </row>
    <row r="715" spans="2:6">
      <c r="B715">
        <v>2020</v>
      </c>
      <c r="C715" t="s">
        <v>21</v>
      </c>
      <c r="D715" t="s">
        <v>186</v>
      </c>
      <c r="E715" t="s">
        <v>9</v>
      </c>
      <c r="F715">
        <v>0.93651700019836426</v>
      </c>
    </row>
    <row r="716" spans="2:6">
      <c r="B716">
        <v>2020</v>
      </c>
      <c r="C716" t="s">
        <v>21</v>
      </c>
      <c r="D716" t="s">
        <v>186</v>
      </c>
      <c r="E716" t="s">
        <v>10</v>
      </c>
      <c r="F716">
        <v>74.199996948242188</v>
      </c>
    </row>
    <row r="717" spans="2:6">
      <c r="B717">
        <v>2020</v>
      </c>
      <c r="C717" t="s">
        <v>21</v>
      </c>
      <c r="D717" t="s">
        <v>186</v>
      </c>
      <c r="E717" t="s">
        <v>11</v>
      </c>
      <c r="F717">
        <v>0.90528297424316406</v>
      </c>
    </row>
    <row r="718" spans="2:6">
      <c r="B718">
        <v>2020</v>
      </c>
      <c r="C718" t="s">
        <v>21</v>
      </c>
      <c r="D718" t="s">
        <v>186</v>
      </c>
      <c r="E718" t="s">
        <v>12</v>
      </c>
      <c r="F718">
        <v>0.21003030240535736</v>
      </c>
    </row>
    <row r="719" spans="2:6">
      <c r="B719">
        <v>2020</v>
      </c>
      <c r="C719" t="s">
        <v>21</v>
      </c>
      <c r="D719" t="s">
        <v>186</v>
      </c>
      <c r="E719" t="s">
        <v>13</v>
      </c>
      <c r="F719">
        <v>0.49109482765197754</v>
      </c>
    </row>
    <row r="720" spans="2:6">
      <c r="B720">
        <v>2020</v>
      </c>
      <c r="C720" t="s">
        <v>21</v>
      </c>
      <c r="D720" t="s">
        <v>186</v>
      </c>
      <c r="E720" t="s">
        <v>14</v>
      </c>
      <c r="F720">
        <v>0.76918172836303711</v>
      </c>
    </row>
    <row r="721" spans="2:6">
      <c r="B721">
        <v>2020</v>
      </c>
      <c r="C721" t="s">
        <v>21</v>
      </c>
      <c r="D721" t="s">
        <v>186</v>
      </c>
      <c r="E721" t="s">
        <v>15</v>
      </c>
      <c r="F721">
        <v>0.20507767796516418</v>
      </c>
    </row>
    <row r="722" spans="2:6">
      <c r="B722">
        <v>2006</v>
      </c>
      <c r="C722" t="s">
        <v>22</v>
      </c>
      <c r="D722" t="s">
        <v>183</v>
      </c>
      <c r="E722" t="s">
        <v>7</v>
      </c>
      <c r="F722">
        <v>7.1222114562988281</v>
      </c>
    </row>
    <row r="723" spans="2:6">
      <c r="B723">
        <v>2006</v>
      </c>
      <c r="C723" t="s">
        <v>22</v>
      </c>
      <c r="D723" t="s">
        <v>183</v>
      </c>
      <c r="E723" t="s">
        <v>8</v>
      </c>
      <c r="F723">
        <v>10.841939926147461</v>
      </c>
    </row>
    <row r="724" spans="2:6">
      <c r="B724">
        <v>2006</v>
      </c>
      <c r="C724" t="s">
        <v>22</v>
      </c>
      <c r="D724" t="s">
        <v>183</v>
      </c>
      <c r="E724" t="s">
        <v>9</v>
      </c>
      <c r="F724">
        <v>0.93635040521621704</v>
      </c>
    </row>
    <row r="725" spans="2:6">
      <c r="B725">
        <v>2006</v>
      </c>
      <c r="C725" t="s">
        <v>22</v>
      </c>
      <c r="D725" t="s">
        <v>183</v>
      </c>
      <c r="E725" t="s">
        <v>10</v>
      </c>
      <c r="F725">
        <v>70.760002136230469</v>
      </c>
    </row>
    <row r="726" spans="2:6">
      <c r="B726">
        <v>2006</v>
      </c>
      <c r="C726" t="s">
        <v>22</v>
      </c>
      <c r="D726" t="s">
        <v>183</v>
      </c>
      <c r="E726" t="s">
        <v>11</v>
      </c>
      <c r="F726">
        <v>0.94138234853744507</v>
      </c>
    </row>
    <row r="727" spans="2:6">
      <c r="B727">
        <v>2006</v>
      </c>
      <c r="C727" t="s">
        <v>22</v>
      </c>
      <c r="D727" t="s">
        <v>183</v>
      </c>
      <c r="E727" t="s">
        <v>12</v>
      </c>
      <c r="F727">
        <v>0.30238601565361023</v>
      </c>
    </row>
    <row r="728" spans="2:6">
      <c r="B728">
        <v>2006</v>
      </c>
      <c r="C728" t="s">
        <v>22</v>
      </c>
      <c r="D728" t="s">
        <v>183</v>
      </c>
      <c r="E728" t="s">
        <v>13</v>
      </c>
      <c r="F728">
        <v>0.49011117219924927</v>
      </c>
    </row>
    <row r="729" spans="2:6">
      <c r="B729">
        <v>2006</v>
      </c>
      <c r="C729" t="s">
        <v>22</v>
      </c>
      <c r="D729" t="s">
        <v>183</v>
      </c>
      <c r="E729" t="s">
        <v>14</v>
      </c>
      <c r="F729">
        <v>0.82310473918914795</v>
      </c>
    </row>
    <row r="730" spans="2:6">
      <c r="B730">
        <v>2006</v>
      </c>
      <c r="C730" t="s">
        <v>22</v>
      </c>
      <c r="D730" t="s">
        <v>183</v>
      </c>
      <c r="E730" t="s">
        <v>15</v>
      </c>
      <c r="F730">
        <v>0.17381168901920319</v>
      </c>
    </row>
    <row r="731" spans="2:6">
      <c r="B731">
        <v>2008</v>
      </c>
      <c r="C731" t="s">
        <v>22</v>
      </c>
      <c r="D731" t="s">
        <v>183</v>
      </c>
      <c r="E731" t="s">
        <v>7</v>
      </c>
      <c r="F731">
        <v>7.1809539794921875</v>
      </c>
    </row>
    <row r="732" spans="2:6">
      <c r="B732">
        <v>2008</v>
      </c>
      <c r="C732" t="s">
        <v>22</v>
      </c>
      <c r="D732" t="s">
        <v>183</v>
      </c>
      <c r="E732" t="s">
        <v>8</v>
      </c>
      <c r="F732">
        <v>10.886662483215332</v>
      </c>
    </row>
    <row r="733" spans="2:6">
      <c r="B733">
        <v>2008</v>
      </c>
      <c r="C733" t="s">
        <v>22</v>
      </c>
      <c r="D733" t="s">
        <v>183</v>
      </c>
      <c r="E733" t="s">
        <v>9</v>
      </c>
      <c r="F733">
        <v>0.93459278345108032</v>
      </c>
    </row>
    <row r="734" spans="2:6">
      <c r="B734">
        <v>2008</v>
      </c>
      <c r="C734" t="s">
        <v>22</v>
      </c>
      <c r="D734" t="s">
        <v>183</v>
      </c>
      <c r="E734" t="s">
        <v>10</v>
      </c>
      <c r="F734">
        <v>71.080001831054688</v>
      </c>
    </row>
    <row r="735" spans="2:6">
      <c r="B735">
        <v>2008</v>
      </c>
      <c r="C735" t="s">
        <v>22</v>
      </c>
      <c r="D735" t="s">
        <v>183</v>
      </c>
      <c r="E735" t="s">
        <v>11</v>
      </c>
      <c r="F735">
        <v>0.87906926870346069</v>
      </c>
    </row>
    <row r="736" spans="2:6">
      <c r="B736">
        <v>2008</v>
      </c>
      <c r="C736" t="s">
        <v>22</v>
      </c>
      <c r="D736" t="s">
        <v>183</v>
      </c>
      <c r="E736" t="s">
        <v>12</v>
      </c>
      <c r="F736">
        <v>0.2913089394569397</v>
      </c>
    </row>
    <row r="737" spans="2:6">
      <c r="B737">
        <v>2008</v>
      </c>
      <c r="C737" t="s">
        <v>22</v>
      </c>
      <c r="D737" t="s">
        <v>183</v>
      </c>
      <c r="E737" t="s">
        <v>13</v>
      </c>
      <c r="F737">
        <v>0.61362522840499878</v>
      </c>
    </row>
    <row r="738" spans="2:6">
      <c r="B738">
        <v>2008</v>
      </c>
      <c r="C738" t="s">
        <v>22</v>
      </c>
      <c r="D738" t="s">
        <v>183</v>
      </c>
      <c r="E738" t="s">
        <v>14</v>
      </c>
      <c r="F738">
        <v>0.83216959238052368</v>
      </c>
    </row>
    <row r="739" spans="2:6">
      <c r="B739">
        <v>2008</v>
      </c>
      <c r="C739" t="s">
        <v>22</v>
      </c>
      <c r="D739" t="s">
        <v>183</v>
      </c>
      <c r="E739" t="s">
        <v>15</v>
      </c>
      <c r="F739">
        <v>0.1731945276260376</v>
      </c>
    </row>
    <row r="740" spans="2:6">
      <c r="B740">
        <v>2010</v>
      </c>
      <c r="C740" t="s">
        <v>22</v>
      </c>
      <c r="D740" t="s">
        <v>183</v>
      </c>
      <c r="E740" t="s">
        <v>7</v>
      </c>
      <c r="F740">
        <v>7.3026785850524902</v>
      </c>
    </row>
    <row r="741" spans="2:6">
      <c r="B741">
        <v>2010</v>
      </c>
      <c r="C741" t="s">
        <v>22</v>
      </c>
      <c r="D741" t="s">
        <v>183</v>
      </c>
      <c r="E741" t="s">
        <v>8</v>
      </c>
      <c r="F741">
        <v>10.861471176147461</v>
      </c>
    </row>
    <row r="742" spans="2:6">
      <c r="B742">
        <v>2010</v>
      </c>
      <c r="C742" t="s">
        <v>22</v>
      </c>
      <c r="D742" t="s">
        <v>183</v>
      </c>
      <c r="E742" t="s">
        <v>9</v>
      </c>
      <c r="F742">
        <v>0.91419333219528198</v>
      </c>
    </row>
    <row r="743" spans="2:6">
      <c r="B743">
        <v>2010</v>
      </c>
      <c r="C743" t="s">
        <v>22</v>
      </c>
      <c r="D743" t="s">
        <v>183</v>
      </c>
      <c r="E743" t="s">
        <v>10</v>
      </c>
      <c r="F743">
        <v>71.400001525878906</v>
      </c>
    </row>
    <row r="744" spans="2:6">
      <c r="B744">
        <v>2010</v>
      </c>
      <c r="C744" t="s">
        <v>22</v>
      </c>
      <c r="D744" t="s">
        <v>183</v>
      </c>
      <c r="E744" t="s">
        <v>11</v>
      </c>
      <c r="F744">
        <v>0.89597976207733154</v>
      </c>
    </row>
    <row r="745" spans="2:6">
      <c r="B745">
        <v>2010</v>
      </c>
      <c r="C745" t="s">
        <v>22</v>
      </c>
      <c r="D745" t="s">
        <v>183</v>
      </c>
      <c r="E745" t="s">
        <v>12</v>
      </c>
      <c r="F745">
        <v>0.13089075684547424</v>
      </c>
    </row>
    <row r="746" spans="2:6">
      <c r="B746">
        <v>2010</v>
      </c>
      <c r="C746" t="s">
        <v>22</v>
      </c>
      <c r="D746" t="s">
        <v>183</v>
      </c>
      <c r="E746" t="s">
        <v>13</v>
      </c>
      <c r="F746">
        <v>0.54614484310150146</v>
      </c>
    </row>
    <row r="747" spans="2:6">
      <c r="B747">
        <v>2010</v>
      </c>
      <c r="C747" t="s">
        <v>22</v>
      </c>
      <c r="D747" t="s">
        <v>183</v>
      </c>
      <c r="E747" t="s">
        <v>14</v>
      </c>
      <c r="F747">
        <v>0.81471920013427734</v>
      </c>
    </row>
    <row r="748" spans="2:6">
      <c r="B748">
        <v>2010</v>
      </c>
      <c r="C748" t="s">
        <v>22</v>
      </c>
      <c r="D748" t="s">
        <v>183</v>
      </c>
      <c r="E748" t="s">
        <v>15</v>
      </c>
      <c r="F748">
        <v>0.15579254925251007</v>
      </c>
    </row>
    <row r="749" spans="2:6">
      <c r="B749">
        <v>2011</v>
      </c>
      <c r="C749" t="s">
        <v>22</v>
      </c>
      <c r="D749" t="s">
        <v>183</v>
      </c>
      <c r="E749" t="s">
        <v>7</v>
      </c>
      <c r="F749">
        <v>7.470512866973877</v>
      </c>
    </row>
    <row r="750" spans="2:6">
      <c r="B750">
        <v>2011</v>
      </c>
      <c r="C750" t="s">
        <v>22</v>
      </c>
      <c r="D750" t="s">
        <v>183</v>
      </c>
      <c r="E750" t="s">
        <v>8</v>
      </c>
      <c r="F750">
        <v>10.886909484863281</v>
      </c>
    </row>
    <row r="751" spans="2:6">
      <c r="B751">
        <v>2011</v>
      </c>
      <c r="C751" t="s">
        <v>22</v>
      </c>
      <c r="D751" t="s">
        <v>183</v>
      </c>
      <c r="E751" t="s">
        <v>9</v>
      </c>
      <c r="F751">
        <v>0.94415682554244995</v>
      </c>
    </row>
    <row r="752" spans="2:6">
      <c r="B752">
        <v>2011</v>
      </c>
      <c r="C752" t="s">
        <v>22</v>
      </c>
      <c r="D752" t="s">
        <v>183</v>
      </c>
      <c r="E752" t="s">
        <v>10</v>
      </c>
      <c r="F752">
        <v>71.540000915527344</v>
      </c>
    </row>
    <row r="753" spans="2:6">
      <c r="B753">
        <v>2011</v>
      </c>
      <c r="C753" t="s">
        <v>22</v>
      </c>
      <c r="D753" t="s">
        <v>183</v>
      </c>
      <c r="E753" t="s">
        <v>11</v>
      </c>
      <c r="F753">
        <v>0.93935561180114746</v>
      </c>
    </row>
    <row r="754" spans="2:6">
      <c r="B754">
        <v>2011</v>
      </c>
      <c r="C754" t="s">
        <v>22</v>
      </c>
      <c r="D754" t="s">
        <v>183</v>
      </c>
      <c r="E754" t="s">
        <v>12</v>
      </c>
      <c r="F754">
        <v>0.13157762587070465</v>
      </c>
    </row>
    <row r="755" spans="2:6">
      <c r="B755">
        <v>2011</v>
      </c>
      <c r="C755" t="s">
        <v>22</v>
      </c>
      <c r="D755" t="s">
        <v>183</v>
      </c>
      <c r="E755" t="s">
        <v>13</v>
      </c>
      <c r="F755">
        <v>0.7027209997177124</v>
      </c>
    </row>
    <row r="756" spans="2:6">
      <c r="B756">
        <v>2011</v>
      </c>
      <c r="C756" t="s">
        <v>22</v>
      </c>
      <c r="D756" t="s">
        <v>183</v>
      </c>
      <c r="E756" t="s">
        <v>14</v>
      </c>
      <c r="F756">
        <v>0.7894708514213562</v>
      </c>
    </row>
    <row r="757" spans="2:6">
      <c r="B757">
        <v>2011</v>
      </c>
      <c r="C757" t="s">
        <v>22</v>
      </c>
      <c r="D757" t="s">
        <v>183</v>
      </c>
      <c r="E757" t="s">
        <v>15</v>
      </c>
      <c r="F757">
        <v>0.14523755013942719</v>
      </c>
    </row>
    <row r="758" spans="2:6">
      <c r="B758">
        <v>2012</v>
      </c>
      <c r="C758" t="s">
        <v>22</v>
      </c>
      <c r="D758" t="s">
        <v>183</v>
      </c>
      <c r="E758" t="s">
        <v>7</v>
      </c>
      <c r="F758">
        <v>7.400688648223877</v>
      </c>
    </row>
    <row r="759" spans="2:6">
      <c r="B759">
        <v>2012</v>
      </c>
      <c r="C759" t="s">
        <v>22</v>
      </c>
      <c r="D759" t="s">
        <v>183</v>
      </c>
      <c r="E759" t="s">
        <v>8</v>
      </c>
      <c r="F759">
        <v>10.889131546020508</v>
      </c>
    </row>
    <row r="760" spans="2:6">
      <c r="B760">
        <v>2012</v>
      </c>
      <c r="C760" t="s">
        <v>22</v>
      </c>
      <c r="D760" t="s">
        <v>183</v>
      </c>
      <c r="E760" t="s">
        <v>9</v>
      </c>
      <c r="F760">
        <v>0.94514238834381104</v>
      </c>
    </row>
    <row r="761" spans="2:6">
      <c r="B761">
        <v>2012</v>
      </c>
      <c r="C761" t="s">
        <v>22</v>
      </c>
      <c r="D761" t="s">
        <v>183</v>
      </c>
      <c r="E761" t="s">
        <v>10</v>
      </c>
      <c r="F761">
        <v>71.680000305175781</v>
      </c>
    </row>
    <row r="762" spans="2:6">
      <c r="B762">
        <v>2012</v>
      </c>
      <c r="C762" t="s">
        <v>22</v>
      </c>
      <c r="D762" t="s">
        <v>183</v>
      </c>
      <c r="E762" t="s">
        <v>11</v>
      </c>
      <c r="F762">
        <v>0.9197039008140564</v>
      </c>
    </row>
    <row r="763" spans="2:6">
      <c r="B763">
        <v>2012</v>
      </c>
      <c r="C763" t="s">
        <v>22</v>
      </c>
      <c r="D763" t="s">
        <v>183</v>
      </c>
      <c r="E763" t="s">
        <v>12</v>
      </c>
      <c r="F763">
        <v>0.1178036630153656</v>
      </c>
    </row>
    <row r="764" spans="2:6">
      <c r="B764">
        <v>2012</v>
      </c>
      <c r="C764" t="s">
        <v>22</v>
      </c>
      <c r="D764" t="s">
        <v>183</v>
      </c>
      <c r="E764" t="s">
        <v>13</v>
      </c>
      <c r="F764">
        <v>0.77058577537536621</v>
      </c>
    </row>
    <row r="765" spans="2:6">
      <c r="B765">
        <v>2012</v>
      </c>
      <c r="C765" t="s">
        <v>22</v>
      </c>
      <c r="D765" t="s">
        <v>183</v>
      </c>
      <c r="E765" t="s">
        <v>14</v>
      </c>
      <c r="F765">
        <v>0.82224774360656738</v>
      </c>
    </row>
    <row r="766" spans="2:6">
      <c r="B766">
        <v>2012</v>
      </c>
      <c r="C766" t="s">
        <v>22</v>
      </c>
      <c r="D766" t="s">
        <v>183</v>
      </c>
      <c r="E766" t="s">
        <v>15</v>
      </c>
      <c r="F766">
        <v>0.15667499601840973</v>
      </c>
    </row>
    <row r="767" spans="2:6">
      <c r="B767">
        <v>2013</v>
      </c>
      <c r="C767" t="s">
        <v>22</v>
      </c>
      <c r="D767" t="s">
        <v>183</v>
      </c>
      <c r="E767" t="s">
        <v>7</v>
      </c>
      <c r="F767">
        <v>7.498802661895752</v>
      </c>
    </row>
    <row r="768" spans="2:6">
      <c r="B768">
        <v>2013</v>
      </c>
      <c r="C768" t="s">
        <v>22</v>
      </c>
      <c r="D768" t="s">
        <v>183</v>
      </c>
      <c r="E768" t="s">
        <v>8</v>
      </c>
      <c r="F768">
        <v>10.883492469787598</v>
      </c>
    </row>
    <row r="769" spans="2:6">
      <c r="B769">
        <v>2013</v>
      </c>
      <c r="C769" t="s">
        <v>22</v>
      </c>
      <c r="D769" t="s">
        <v>183</v>
      </c>
      <c r="E769" t="s">
        <v>9</v>
      </c>
      <c r="F769">
        <v>0.94980919361114502</v>
      </c>
    </row>
    <row r="770" spans="2:6">
      <c r="B770">
        <v>2013</v>
      </c>
      <c r="C770" t="s">
        <v>22</v>
      </c>
      <c r="D770" t="s">
        <v>183</v>
      </c>
      <c r="E770" t="s">
        <v>10</v>
      </c>
      <c r="F770">
        <v>71.819999694824219</v>
      </c>
    </row>
    <row r="771" spans="2:6">
      <c r="B771">
        <v>2013</v>
      </c>
      <c r="C771" t="s">
        <v>22</v>
      </c>
      <c r="D771" t="s">
        <v>183</v>
      </c>
      <c r="E771" t="s">
        <v>11</v>
      </c>
      <c r="F771">
        <v>0.92173445224761963</v>
      </c>
    </row>
    <row r="772" spans="2:6">
      <c r="B772">
        <v>2013</v>
      </c>
      <c r="C772" t="s">
        <v>22</v>
      </c>
      <c r="D772" t="s">
        <v>183</v>
      </c>
      <c r="E772" t="s">
        <v>12</v>
      </c>
      <c r="F772">
        <v>0.1682477593421936</v>
      </c>
    </row>
    <row r="773" spans="2:6">
      <c r="B773">
        <v>2013</v>
      </c>
      <c r="C773" t="s">
        <v>22</v>
      </c>
      <c r="D773" t="s">
        <v>183</v>
      </c>
      <c r="E773" t="s">
        <v>13</v>
      </c>
      <c r="F773">
        <v>0.67893689870834351</v>
      </c>
    </row>
    <row r="774" spans="2:6">
      <c r="B774">
        <v>2013</v>
      </c>
      <c r="C774" t="s">
        <v>22</v>
      </c>
      <c r="D774" t="s">
        <v>183</v>
      </c>
      <c r="E774" t="s">
        <v>14</v>
      </c>
      <c r="F774">
        <v>0.78731280565261841</v>
      </c>
    </row>
    <row r="775" spans="2:6">
      <c r="B775">
        <v>2013</v>
      </c>
      <c r="C775" t="s">
        <v>22</v>
      </c>
      <c r="D775" t="s">
        <v>183</v>
      </c>
      <c r="E775" t="s">
        <v>15</v>
      </c>
      <c r="F775">
        <v>0.16260331869125366</v>
      </c>
    </row>
    <row r="776" spans="2:6">
      <c r="B776">
        <v>2014</v>
      </c>
      <c r="C776" t="s">
        <v>22</v>
      </c>
      <c r="D776" t="s">
        <v>183</v>
      </c>
      <c r="E776" t="s">
        <v>7</v>
      </c>
      <c r="F776">
        <v>6.9499998092651367</v>
      </c>
    </row>
    <row r="777" spans="2:6">
      <c r="B777">
        <v>2014</v>
      </c>
      <c r="C777" t="s">
        <v>22</v>
      </c>
      <c r="D777" t="s">
        <v>183</v>
      </c>
      <c r="E777" t="s">
        <v>8</v>
      </c>
      <c r="F777">
        <v>10.882267951965332</v>
      </c>
    </row>
    <row r="778" spans="2:6">
      <c r="B778">
        <v>2014</v>
      </c>
      <c r="C778" t="s">
        <v>22</v>
      </c>
      <c r="D778" t="s">
        <v>183</v>
      </c>
      <c r="E778" t="s">
        <v>9</v>
      </c>
      <c r="F778">
        <v>0.89892047643661499</v>
      </c>
    </row>
    <row r="779" spans="2:6">
      <c r="B779">
        <v>2014</v>
      </c>
      <c r="C779" t="s">
        <v>22</v>
      </c>
      <c r="D779" t="s">
        <v>183</v>
      </c>
      <c r="E779" t="s">
        <v>10</v>
      </c>
      <c r="F779">
        <v>71.959999084472656</v>
      </c>
    </row>
    <row r="780" spans="2:6">
      <c r="B780">
        <v>2014</v>
      </c>
      <c r="C780" t="s">
        <v>22</v>
      </c>
      <c r="D780" t="s">
        <v>183</v>
      </c>
      <c r="E780" t="s">
        <v>11</v>
      </c>
      <c r="F780">
        <v>0.88502687215805054</v>
      </c>
    </row>
    <row r="781" spans="2:6">
      <c r="B781">
        <v>2014</v>
      </c>
      <c r="C781" t="s">
        <v>22</v>
      </c>
      <c r="D781" t="s">
        <v>183</v>
      </c>
      <c r="E781" t="s">
        <v>12</v>
      </c>
      <c r="F781">
        <v>0.11760743707418442</v>
      </c>
    </row>
    <row r="782" spans="2:6">
      <c r="B782">
        <v>2014</v>
      </c>
      <c r="C782" t="s">
        <v>22</v>
      </c>
      <c r="D782" t="s">
        <v>183</v>
      </c>
      <c r="E782" t="s">
        <v>13</v>
      </c>
      <c r="F782">
        <v>0.56693130731582642</v>
      </c>
    </row>
    <row r="783" spans="2:6">
      <c r="B783">
        <v>2014</v>
      </c>
      <c r="C783" t="s">
        <v>22</v>
      </c>
      <c r="D783" t="s">
        <v>183</v>
      </c>
      <c r="E783" t="s">
        <v>14</v>
      </c>
      <c r="F783">
        <v>0.77969276905059814</v>
      </c>
    </row>
    <row r="784" spans="2:6">
      <c r="B784">
        <v>2014</v>
      </c>
      <c r="C784" t="s">
        <v>22</v>
      </c>
      <c r="D784" t="s">
        <v>183</v>
      </c>
      <c r="E784" t="s">
        <v>15</v>
      </c>
      <c r="F784">
        <v>0.1701495498418808</v>
      </c>
    </row>
    <row r="785" spans="2:6">
      <c r="B785">
        <v>2015</v>
      </c>
      <c r="C785" t="s">
        <v>22</v>
      </c>
      <c r="D785" t="s">
        <v>183</v>
      </c>
      <c r="E785" t="s">
        <v>7</v>
      </c>
      <c r="F785">
        <v>7.0764470100402832</v>
      </c>
    </row>
    <row r="786" spans="2:6">
      <c r="B786">
        <v>2015</v>
      </c>
      <c r="C786" t="s">
        <v>22</v>
      </c>
      <c r="D786" t="s">
        <v>183</v>
      </c>
      <c r="E786" t="s">
        <v>8</v>
      </c>
      <c r="F786">
        <v>10.881152153015137</v>
      </c>
    </row>
    <row r="787" spans="2:6">
      <c r="B787">
        <v>2015</v>
      </c>
      <c r="C787" t="s">
        <v>22</v>
      </c>
      <c r="D787" t="s">
        <v>183</v>
      </c>
      <c r="E787" t="s">
        <v>9</v>
      </c>
      <c r="F787">
        <v>0.92811030149459839</v>
      </c>
    </row>
    <row r="788" spans="2:6">
      <c r="B788">
        <v>2015</v>
      </c>
      <c r="C788" t="s">
        <v>22</v>
      </c>
      <c r="D788" t="s">
        <v>183</v>
      </c>
      <c r="E788" t="s">
        <v>10</v>
      </c>
      <c r="F788">
        <v>72.099998474121094</v>
      </c>
    </row>
    <row r="789" spans="2:6">
      <c r="B789">
        <v>2015</v>
      </c>
      <c r="C789" t="s">
        <v>22</v>
      </c>
      <c r="D789" t="s">
        <v>183</v>
      </c>
      <c r="E789" t="s">
        <v>11</v>
      </c>
      <c r="F789">
        <v>0.90030515193939209</v>
      </c>
    </row>
    <row r="790" spans="2:6">
      <c r="B790">
        <v>2015</v>
      </c>
      <c r="C790" t="s">
        <v>22</v>
      </c>
      <c r="D790" t="s">
        <v>183</v>
      </c>
      <c r="E790" t="s">
        <v>12</v>
      </c>
      <c r="F790">
        <v>9.8892718553543091E-2</v>
      </c>
    </row>
    <row r="791" spans="2:6">
      <c r="B791">
        <v>2015</v>
      </c>
      <c r="C791" t="s">
        <v>22</v>
      </c>
      <c r="D791" t="s">
        <v>183</v>
      </c>
      <c r="E791" t="s">
        <v>13</v>
      </c>
      <c r="F791">
        <v>0.5574796199798584</v>
      </c>
    </row>
    <row r="792" spans="2:6">
      <c r="B792">
        <v>2015</v>
      </c>
      <c r="C792" t="s">
        <v>22</v>
      </c>
      <c r="D792" t="s">
        <v>183</v>
      </c>
      <c r="E792" t="s">
        <v>14</v>
      </c>
      <c r="F792">
        <v>0.79826295375823975</v>
      </c>
    </row>
    <row r="793" spans="2:6">
      <c r="B793">
        <v>2015</v>
      </c>
      <c r="C793" t="s">
        <v>22</v>
      </c>
      <c r="D793" t="s">
        <v>183</v>
      </c>
      <c r="E793" t="s">
        <v>15</v>
      </c>
      <c r="F793">
        <v>0.16446903347969055</v>
      </c>
    </row>
    <row r="794" spans="2:6">
      <c r="B794">
        <v>2016</v>
      </c>
      <c r="C794" t="s">
        <v>22</v>
      </c>
      <c r="D794" t="s">
        <v>183</v>
      </c>
      <c r="E794" t="s">
        <v>7</v>
      </c>
      <c r="F794">
        <v>7.0480718612670898</v>
      </c>
    </row>
    <row r="795" spans="2:6">
      <c r="B795">
        <v>2016</v>
      </c>
      <c r="C795" t="s">
        <v>22</v>
      </c>
      <c r="D795" t="s">
        <v>183</v>
      </c>
      <c r="E795" t="s">
        <v>8</v>
      </c>
      <c r="F795">
        <v>10.890950202941895</v>
      </c>
    </row>
    <row r="796" spans="2:6">
      <c r="B796">
        <v>2016</v>
      </c>
      <c r="C796" t="s">
        <v>22</v>
      </c>
      <c r="D796" t="s">
        <v>183</v>
      </c>
      <c r="E796" t="s">
        <v>9</v>
      </c>
      <c r="F796">
        <v>0.92631858587265015</v>
      </c>
    </row>
    <row r="797" spans="2:6">
      <c r="B797">
        <v>2016</v>
      </c>
      <c r="C797" t="s">
        <v>22</v>
      </c>
      <c r="D797" t="s">
        <v>183</v>
      </c>
      <c r="E797" t="s">
        <v>10</v>
      </c>
      <c r="F797">
        <v>72.400001525878906</v>
      </c>
    </row>
    <row r="798" spans="2:6">
      <c r="B798">
        <v>2016</v>
      </c>
      <c r="C798" t="s">
        <v>22</v>
      </c>
      <c r="D798" t="s">
        <v>183</v>
      </c>
      <c r="E798" t="s">
        <v>11</v>
      </c>
      <c r="F798">
        <v>0.88851398229598999</v>
      </c>
    </row>
    <row r="799" spans="2:6">
      <c r="B799">
        <v>2016</v>
      </c>
      <c r="C799" t="s">
        <v>22</v>
      </c>
      <c r="D799" t="s">
        <v>183</v>
      </c>
      <c r="E799" t="s">
        <v>12</v>
      </c>
      <c r="F799">
        <v>7.9748824238777161E-2</v>
      </c>
    </row>
    <row r="800" spans="2:6">
      <c r="B800">
        <v>2016</v>
      </c>
      <c r="C800" t="s">
        <v>22</v>
      </c>
      <c r="D800" t="s">
        <v>183</v>
      </c>
      <c r="E800" t="s">
        <v>13</v>
      </c>
      <c r="F800">
        <v>0.52364099025726318</v>
      </c>
    </row>
    <row r="801" spans="2:6">
      <c r="B801">
        <v>2016</v>
      </c>
      <c r="C801" t="s">
        <v>22</v>
      </c>
      <c r="D801" t="s">
        <v>183</v>
      </c>
      <c r="E801" t="s">
        <v>14</v>
      </c>
      <c r="F801">
        <v>0.75590258836746216</v>
      </c>
    </row>
    <row r="802" spans="2:6">
      <c r="B802">
        <v>2016</v>
      </c>
      <c r="C802" t="s">
        <v>22</v>
      </c>
      <c r="D802" t="s">
        <v>183</v>
      </c>
      <c r="E802" t="s">
        <v>15</v>
      </c>
      <c r="F802">
        <v>0.19742384552955627</v>
      </c>
    </row>
    <row r="803" spans="2:6">
      <c r="B803">
        <v>2017</v>
      </c>
      <c r="C803" t="s">
        <v>22</v>
      </c>
      <c r="D803" t="s">
        <v>183</v>
      </c>
      <c r="E803" t="s">
        <v>7</v>
      </c>
      <c r="F803">
        <v>7.2937278747558594</v>
      </c>
    </row>
    <row r="804" spans="2:6">
      <c r="B804">
        <v>2017</v>
      </c>
      <c r="C804" t="s">
        <v>22</v>
      </c>
      <c r="D804" t="s">
        <v>183</v>
      </c>
      <c r="E804" t="s">
        <v>8</v>
      </c>
      <c r="F804">
        <v>10.908466339111328</v>
      </c>
    </row>
    <row r="805" spans="2:6">
      <c r="B805">
        <v>2017</v>
      </c>
      <c r="C805" t="s">
        <v>22</v>
      </c>
      <c r="D805" t="s">
        <v>183</v>
      </c>
      <c r="E805" t="s">
        <v>9</v>
      </c>
      <c r="F805">
        <v>0.90621781349182129</v>
      </c>
    </row>
    <row r="806" spans="2:6">
      <c r="B806">
        <v>2017</v>
      </c>
      <c r="C806" t="s">
        <v>22</v>
      </c>
      <c r="D806" t="s">
        <v>183</v>
      </c>
      <c r="E806" t="s">
        <v>10</v>
      </c>
      <c r="F806">
        <v>72.699996948242188</v>
      </c>
    </row>
    <row r="807" spans="2:6">
      <c r="B807">
        <v>2017</v>
      </c>
      <c r="C807" t="s">
        <v>22</v>
      </c>
      <c r="D807" t="s">
        <v>183</v>
      </c>
      <c r="E807" t="s">
        <v>11</v>
      </c>
      <c r="F807">
        <v>0.89003056287765503</v>
      </c>
    </row>
    <row r="808" spans="2:6">
      <c r="B808">
        <v>2017</v>
      </c>
      <c r="C808" t="s">
        <v>22</v>
      </c>
      <c r="D808" t="s">
        <v>183</v>
      </c>
      <c r="E808" t="s">
        <v>12</v>
      </c>
      <c r="F808">
        <v>0.1330639123916626</v>
      </c>
    </row>
    <row r="809" spans="2:6">
      <c r="B809">
        <v>2017</v>
      </c>
      <c r="C809" t="s">
        <v>22</v>
      </c>
      <c r="D809" t="s">
        <v>183</v>
      </c>
      <c r="E809" t="s">
        <v>13</v>
      </c>
      <c r="F809">
        <v>0.51830381155014038</v>
      </c>
    </row>
    <row r="810" spans="2:6">
      <c r="B810">
        <v>2017</v>
      </c>
      <c r="C810" t="s">
        <v>22</v>
      </c>
      <c r="D810" t="s">
        <v>183</v>
      </c>
      <c r="E810" t="s">
        <v>14</v>
      </c>
      <c r="F810">
        <v>0.74756872653961182</v>
      </c>
    </row>
    <row r="811" spans="2:6">
      <c r="B811">
        <v>2017</v>
      </c>
      <c r="C811" t="s">
        <v>22</v>
      </c>
      <c r="D811" t="s">
        <v>183</v>
      </c>
      <c r="E811" t="s">
        <v>15</v>
      </c>
      <c r="F811">
        <v>0.18026871979236603</v>
      </c>
    </row>
    <row r="812" spans="2:6">
      <c r="B812">
        <v>2018</v>
      </c>
      <c r="C812" t="s">
        <v>22</v>
      </c>
      <c r="D812" t="s">
        <v>183</v>
      </c>
      <c r="E812" t="s">
        <v>7</v>
      </c>
      <c r="F812">
        <v>7.3960018157958984</v>
      </c>
    </row>
    <row r="813" spans="2:6">
      <c r="B813">
        <v>2018</v>
      </c>
      <c r="C813" t="s">
        <v>22</v>
      </c>
      <c r="D813" t="s">
        <v>183</v>
      </c>
      <c r="E813" t="s">
        <v>8</v>
      </c>
      <c r="F813">
        <v>10.927505493164063</v>
      </c>
    </row>
    <row r="814" spans="2:6">
      <c r="B814">
        <v>2018</v>
      </c>
      <c r="C814" t="s">
        <v>22</v>
      </c>
      <c r="D814" t="s">
        <v>183</v>
      </c>
      <c r="E814" t="s">
        <v>9</v>
      </c>
      <c r="F814">
        <v>0.91166812181472778</v>
      </c>
    </row>
    <row r="815" spans="2:6">
      <c r="B815">
        <v>2018</v>
      </c>
      <c r="C815" t="s">
        <v>22</v>
      </c>
      <c r="D815" t="s">
        <v>183</v>
      </c>
      <c r="E815" t="s">
        <v>10</v>
      </c>
      <c r="F815">
        <v>73</v>
      </c>
    </row>
    <row r="816" spans="2:6">
      <c r="B816">
        <v>2018</v>
      </c>
      <c r="C816" t="s">
        <v>22</v>
      </c>
      <c r="D816" t="s">
        <v>183</v>
      </c>
      <c r="E816" t="s">
        <v>11</v>
      </c>
      <c r="F816">
        <v>0.90411198139190674</v>
      </c>
    </row>
    <row r="817" spans="2:6">
      <c r="B817">
        <v>2018</v>
      </c>
      <c r="C817" t="s">
        <v>22</v>
      </c>
      <c r="D817" t="s">
        <v>183</v>
      </c>
      <c r="E817" t="s">
        <v>12</v>
      </c>
      <c r="F817">
        <v>5.346965417265892E-2</v>
      </c>
    </row>
    <row r="818" spans="2:6">
      <c r="B818">
        <v>2018</v>
      </c>
      <c r="C818" t="s">
        <v>22</v>
      </c>
      <c r="D818" t="s">
        <v>183</v>
      </c>
      <c r="E818" t="s">
        <v>13</v>
      </c>
      <c r="F818">
        <v>0.52306056022644043</v>
      </c>
    </row>
    <row r="819" spans="2:6">
      <c r="B819">
        <v>2018</v>
      </c>
      <c r="C819" t="s">
        <v>22</v>
      </c>
      <c r="D819" t="s">
        <v>183</v>
      </c>
      <c r="E819" t="s">
        <v>14</v>
      </c>
      <c r="F819">
        <v>0.75235038995742798</v>
      </c>
    </row>
    <row r="820" spans="2:6">
      <c r="B820">
        <v>2018</v>
      </c>
      <c r="C820" t="s">
        <v>22</v>
      </c>
      <c r="D820" t="s">
        <v>183</v>
      </c>
      <c r="E820" t="s">
        <v>15</v>
      </c>
      <c r="F820">
        <v>0.22605879604816437</v>
      </c>
    </row>
    <row r="821" spans="2:6">
      <c r="B821">
        <v>2019</v>
      </c>
      <c r="C821" t="s">
        <v>22</v>
      </c>
      <c r="D821" t="s">
        <v>183</v>
      </c>
      <c r="E821" t="s">
        <v>7</v>
      </c>
      <c r="F821">
        <v>7.1953611373901367</v>
      </c>
    </row>
    <row r="822" spans="2:6">
      <c r="B822">
        <v>2019</v>
      </c>
      <c r="C822" t="s">
        <v>22</v>
      </c>
      <c r="D822" t="s">
        <v>183</v>
      </c>
      <c r="E822" t="s">
        <v>8</v>
      </c>
      <c r="F822">
        <v>10.939380645751953</v>
      </c>
    </row>
    <row r="823" spans="2:6">
      <c r="B823">
        <v>2019</v>
      </c>
      <c r="C823" t="s">
        <v>22</v>
      </c>
      <c r="D823" t="s">
        <v>183</v>
      </c>
      <c r="E823" t="s">
        <v>9</v>
      </c>
      <c r="F823">
        <v>0.96448880434036255</v>
      </c>
    </row>
    <row r="824" spans="2:6">
      <c r="B824">
        <v>2019</v>
      </c>
      <c r="C824" t="s">
        <v>22</v>
      </c>
      <c r="D824" t="s">
        <v>183</v>
      </c>
      <c r="E824" t="s">
        <v>10</v>
      </c>
      <c r="F824">
        <v>73.300003051757813</v>
      </c>
    </row>
    <row r="825" spans="2:6">
      <c r="B825">
        <v>2019</v>
      </c>
      <c r="C825" t="s">
        <v>22</v>
      </c>
      <c r="D825" t="s">
        <v>183</v>
      </c>
      <c r="E825" t="s">
        <v>11</v>
      </c>
      <c r="F825">
        <v>0.90342766046524048</v>
      </c>
    </row>
    <row r="826" spans="2:6">
      <c r="B826">
        <v>2019</v>
      </c>
      <c r="C826" t="s">
        <v>22</v>
      </c>
      <c r="D826" t="s">
        <v>183</v>
      </c>
      <c r="E826" t="s">
        <v>12</v>
      </c>
      <c r="F826">
        <v>5.968630313873291E-2</v>
      </c>
    </row>
    <row r="827" spans="2:6">
      <c r="B827">
        <v>2019</v>
      </c>
      <c r="C827" t="s">
        <v>22</v>
      </c>
      <c r="D827" t="s">
        <v>183</v>
      </c>
      <c r="E827" t="s">
        <v>13</v>
      </c>
      <c r="F827">
        <v>0.4570888876914978</v>
      </c>
    </row>
    <row r="828" spans="2:6">
      <c r="B828">
        <v>2019</v>
      </c>
      <c r="C828" t="s">
        <v>22</v>
      </c>
      <c r="D828" t="s">
        <v>183</v>
      </c>
      <c r="E828" t="s">
        <v>14</v>
      </c>
      <c r="F828">
        <v>0.77445924282073975</v>
      </c>
    </row>
    <row r="829" spans="2:6">
      <c r="B829">
        <v>2019</v>
      </c>
      <c r="C829" t="s">
        <v>22</v>
      </c>
      <c r="D829" t="s">
        <v>183</v>
      </c>
      <c r="E829" t="s">
        <v>15</v>
      </c>
      <c r="F829">
        <v>0.20516973733901978</v>
      </c>
    </row>
    <row r="830" spans="2:6">
      <c r="B830">
        <v>2020</v>
      </c>
      <c r="C830" t="s">
        <v>22</v>
      </c>
      <c r="D830" t="s">
        <v>183</v>
      </c>
      <c r="E830" t="s">
        <v>7</v>
      </c>
      <c r="F830">
        <v>7.2134890556335449</v>
      </c>
    </row>
    <row r="831" spans="2:6">
      <c r="B831">
        <v>2020</v>
      </c>
      <c r="C831" t="s">
        <v>22</v>
      </c>
      <c r="D831" t="s">
        <v>183</v>
      </c>
      <c r="E831" t="s">
        <v>8</v>
      </c>
      <c r="F831">
        <v>10.851118087768555</v>
      </c>
    </row>
    <row r="832" spans="2:6">
      <c r="B832">
        <v>2020</v>
      </c>
      <c r="C832" t="s">
        <v>22</v>
      </c>
      <c r="D832" t="s">
        <v>183</v>
      </c>
      <c r="E832" t="s">
        <v>9</v>
      </c>
      <c r="F832">
        <v>0.92483121156692505</v>
      </c>
    </row>
    <row r="833" spans="2:6">
      <c r="B833">
        <v>2020</v>
      </c>
      <c r="C833" t="s">
        <v>22</v>
      </c>
      <c r="D833" t="s">
        <v>183</v>
      </c>
      <c r="E833" t="s">
        <v>10</v>
      </c>
      <c r="F833">
        <v>73.599998474121094</v>
      </c>
    </row>
    <row r="834" spans="2:6">
      <c r="B834">
        <v>2020</v>
      </c>
      <c r="C834" t="s">
        <v>22</v>
      </c>
      <c r="D834" t="s">
        <v>183</v>
      </c>
      <c r="E834" t="s">
        <v>11</v>
      </c>
      <c r="F834">
        <v>0.91190987825393677</v>
      </c>
    </row>
    <row r="835" spans="2:6">
      <c r="B835">
        <v>2020</v>
      </c>
      <c r="C835" t="s">
        <v>22</v>
      </c>
      <c r="D835" t="s">
        <v>183</v>
      </c>
      <c r="E835" t="s">
        <v>12</v>
      </c>
      <c r="F835">
        <v>1.1031743139028549E-2</v>
      </c>
    </row>
    <row r="836" spans="2:6">
      <c r="B836">
        <v>2020</v>
      </c>
      <c r="C836" t="s">
        <v>22</v>
      </c>
      <c r="D836" t="s">
        <v>183</v>
      </c>
      <c r="E836" t="s">
        <v>13</v>
      </c>
      <c r="F836">
        <v>0.46383017301559448</v>
      </c>
    </row>
    <row r="837" spans="2:6">
      <c r="B837">
        <v>2020</v>
      </c>
      <c r="C837" t="s">
        <v>22</v>
      </c>
      <c r="D837" t="s">
        <v>183</v>
      </c>
      <c r="E837" t="s">
        <v>14</v>
      </c>
      <c r="F837">
        <v>0.76931661367416382</v>
      </c>
    </row>
    <row r="838" spans="2:6">
      <c r="B838">
        <v>2020</v>
      </c>
      <c r="C838" t="s">
        <v>22</v>
      </c>
      <c r="D838" t="s">
        <v>183</v>
      </c>
      <c r="E838" t="s">
        <v>15</v>
      </c>
      <c r="F838">
        <v>0.20649965107440948</v>
      </c>
    </row>
    <row r="839" spans="2:6">
      <c r="B839">
        <v>2006</v>
      </c>
      <c r="C839" t="s">
        <v>23</v>
      </c>
      <c r="D839" t="s">
        <v>183</v>
      </c>
      <c r="E839" t="s">
        <v>7</v>
      </c>
      <c r="F839">
        <v>4.7278709411621094</v>
      </c>
    </row>
    <row r="840" spans="2:6">
      <c r="B840">
        <v>2006</v>
      </c>
      <c r="C840" t="s">
        <v>23</v>
      </c>
      <c r="D840" t="s">
        <v>183</v>
      </c>
      <c r="E840" t="s">
        <v>8</v>
      </c>
      <c r="F840">
        <v>9.170048713684082</v>
      </c>
    </row>
    <row r="841" spans="2:6">
      <c r="B841">
        <v>2006</v>
      </c>
      <c r="C841" t="s">
        <v>23</v>
      </c>
      <c r="D841" t="s">
        <v>183</v>
      </c>
      <c r="E841" t="s">
        <v>9</v>
      </c>
      <c r="F841">
        <v>0.85441488027572632</v>
      </c>
    </row>
    <row r="842" spans="2:6">
      <c r="B842">
        <v>2006</v>
      </c>
      <c r="C842" t="s">
        <v>23</v>
      </c>
      <c r="D842" t="s">
        <v>183</v>
      </c>
      <c r="E842" t="s">
        <v>10</v>
      </c>
      <c r="F842">
        <v>61.880001068115234</v>
      </c>
    </row>
    <row r="843" spans="2:6">
      <c r="B843">
        <v>2006</v>
      </c>
      <c r="C843" t="s">
        <v>23</v>
      </c>
      <c r="D843" t="s">
        <v>183</v>
      </c>
      <c r="E843" t="s">
        <v>11</v>
      </c>
      <c r="F843">
        <v>0.77152818441390991</v>
      </c>
    </row>
    <row r="844" spans="2:6">
      <c r="B844">
        <v>2006</v>
      </c>
      <c r="C844" t="s">
        <v>23</v>
      </c>
      <c r="D844" t="s">
        <v>183</v>
      </c>
      <c r="E844" t="s">
        <v>12</v>
      </c>
      <c r="F844">
        <v>-0.23483696579933167</v>
      </c>
    </row>
    <row r="845" spans="2:6">
      <c r="B845">
        <v>2006</v>
      </c>
      <c r="C845" t="s">
        <v>23</v>
      </c>
      <c r="D845" t="s">
        <v>183</v>
      </c>
      <c r="E845" t="s">
        <v>13</v>
      </c>
      <c r="F845">
        <v>0.77411717176437378</v>
      </c>
    </row>
    <row r="846" spans="2:6">
      <c r="B846">
        <v>2006</v>
      </c>
      <c r="C846" t="s">
        <v>23</v>
      </c>
      <c r="D846" t="s">
        <v>183</v>
      </c>
      <c r="E846" t="s">
        <v>14</v>
      </c>
      <c r="F846">
        <v>0.51168763637542725</v>
      </c>
    </row>
    <row r="847" spans="2:6">
      <c r="B847">
        <v>2006</v>
      </c>
      <c r="C847" t="s">
        <v>23</v>
      </c>
      <c r="D847" t="s">
        <v>183</v>
      </c>
      <c r="E847" t="s">
        <v>15</v>
      </c>
      <c r="F847">
        <v>0.27569514513015747</v>
      </c>
    </row>
    <row r="848" spans="2:6">
      <c r="B848">
        <v>2007</v>
      </c>
      <c r="C848" t="s">
        <v>23</v>
      </c>
      <c r="D848" t="s">
        <v>183</v>
      </c>
      <c r="E848" t="s">
        <v>7</v>
      </c>
      <c r="F848">
        <v>4.5681595802307129</v>
      </c>
    </row>
    <row r="849" spans="2:6">
      <c r="B849">
        <v>2007</v>
      </c>
      <c r="C849" t="s">
        <v>23</v>
      </c>
      <c r="D849" t="s">
        <v>183</v>
      </c>
      <c r="E849" t="s">
        <v>8</v>
      </c>
      <c r="F849">
        <v>9.3855533599853516</v>
      </c>
    </row>
    <row r="850" spans="2:6">
      <c r="B850">
        <v>2007</v>
      </c>
      <c r="C850" t="s">
        <v>23</v>
      </c>
      <c r="D850" t="s">
        <v>183</v>
      </c>
      <c r="E850" t="s">
        <v>9</v>
      </c>
      <c r="F850">
        <v>0.75324678421020508</v>
      </c>
    </row>
    <row r="851" spans="2:6">
      <c r="B851">
        <v>2007</v>
      </c>
      <c r="C851" t="s">
        <v>23</v>
      </c>
      <c r="D851" t="s">
        <v>183</v>
      </c>
      <c r="E851" t="s">
        <v>10</v>
      </c>
      <c r="F851">
        <v>62.259998321533203</v>
      </c>
    </row>
    <row r="852" spans="2:6">
      <c r="B852">
        <v>2007</v>
      </c>
      <c r="C852" t="s">
        <v>23</v>
      </c>
      <c r="D852" t="s">
        <v>183</v>
      </c>
      <c r="E852" t="s">
        <v>11</v>
      </c>
      <c r="F852">
        <v>0.52204632759094238</v>
      </c>
    </row>
    <row r="853" spans="2:6">
      <c r="B853">
        <v>2007</v>
      </c>
      <c r="C853" t="s">
        <v>23</v>
      </c>
      <c r="D853" t="s">
        <v>183</v>
      </c>
      <c r="E853" t="s">
        <v>12</v>
      </c>
      <c r="F853">
        <v>-0.20689883828163147</v>
      </c>
    </row>
    <row r="854" spans="2:6">
      <c r="B854">
        <v>2007</v>
      </c>
      <c r="C854" t="s">
        <v>23</v>
      </c>
      <c r="D854" t="s">
        <v>183</v>
      </c>
      <c r="E854" t="s">
        <v>13</v>
      </c>
      <c r="F854">
        <v>0.87090998888015747</v>
      </c>
    </row>
    <row r="855" spans="2:6">
      <c r="B855">
        <v>2007</v>
      </c>
      <c r="C855" t="s">
        <v>23</v>
      </c>
      <c r="D855" t="s">
        <v>183</v>
      </c>
      <c r="E855" t="s">
        <v>14</v>
      </c>
      <c r="F855">
        <v>0.52054393291473389</v>
      </c>
    </row>
    <row r="856" spans="2:6">
      <c r="B856">
        <v>2007</v>
      </c>
      <c r="C856" t="s">
        <v>23</v>
      </c>
      <c r="D856" t="s">
        <v>183</v>
      </c>
      <c r="E856" t="s">
        <v>15</v>
      </c>
      <c r="F856">
        <v>0.28435748815536499</v>
      </c>
    </row>
    <row r="857" spans="2:6">
      <c r="B857">
        <v>2008</v>
      </c>
      <c r="C857" t="s">
        <v>23</v>
      </c>
      <c r="D857" t="s">
        <v>183</v>
      </c>
      <c r="E857" t="s">
        <v>7</v>
      </c>
      <c r="F857">
        <v>4.8171892166137695</v>
      </c>
    </row>
    <row r="858" spans="2:6">
      <c r="B858">
        <v>2008</v>
      </c>
      <c r="C858" t="s">
        <v>23</v>
      </c>
      <c r="D858" t="s">
        <v>183</v>
      </c>
      <c r="E858" t="s">
        <v>8</v>
      </c>
      <c r="F858">
        <v>9.4652271270751953</v>
      </c>
    </row>
    <row r="859" spans="2:6">
      <c r="B859">
        <v>2008</v>
      </c>
      <c r="C859" t="s">
        <v>23</v>
      </c>
      <c r="D859" t="s">
        <v>183</v>
      </c>
      <c r="E859" t="s">
        <v>9</v>
      </c>
      <c r="F859">
        <v>0.68426722288131714</v>
      </c>
    </row>
    <row r="860" spans="2:6">
      <c r="B860">
        <v>2008</v>
      </c>
      <c r="C860" t="s">
        <v>23</v>
      </c>
      <c r="D860" t="s">
        <v>183</v>
      </c>
      <c r="E860" t="s">
        <v>10</v>
      </c>
      <c r="F860">
        <v>62.639999389648438</v>
      </c>
    </row>
    <row r="861" spans="2:6">
      <c r="B861">
        <v>2008</v>
      </c>
      <c r="C861" t="s">
        <v>23</v>
      </c>
      <c r="D861" t="s">
        <v>183</v>
      </c>
      <c r="E861" t="s">
        <v>11</v>
      </c>
      <c r="F861">
        <v>0.60104328393936157</v>
      </c>
    </row>
    <row r="862" spans="2:6">
      <c r="B862">
        <v>2008</v>
      </c>
      <c r="C862" t="s">
        <v>23</v>
      </c>
      <c r="D862" t="s">
        <v>183</v>
      </c>
      <c r="E862" t="s">
        <v>12</v>
      </c>
      <c r="F862">
        <v>-2.9469441622495651E-2</v>
      </c>
    </row>
    <row r="863" spans="2:6">
      <c r="B863">
        <v>2008</v>
      </c>
      <c r="C863" t="s">
        <v>23</v>
      </c>
      <c r="D863" t="s">
        <v>183</v>
      </c>
      <c r="E863" t="s">
        <v>13</v>
      </c>
      <c r="F863">
        <v>0.71512472629547119</v>
      </c>
    </row>
    <row r="864" spans="2:6">
      <c r="B864">
        <v>2008</v>
      </c>
      <c r="C864" t="s">
        <v>23</v>
      </c>
      <c r="D864" t="s">
        <v>183</v>
      </c>
      <c r="E864" t="s">
        <v>14</v>
      </c>
      <c r="F864">
        <v>0.57781976461410522</v>
      </c>
    </row>
    <row r="865" spans="2:6">
      <c r="B865">
        <v>2008</v>
      </c>
      <c r="C865" t="s">
        <v>23</v>
      </c>
      <c r="D865" t="s">
        <v>183</v>
      </c>
      <c r="E865" t="s">
        <v>15</v>
      </c>
      <c r="F865">
        <v>0.22679542005062103</v>
      </c>
    </row>
    <row r="866" spans="2:6">
      <c r="B866">
        <v>2009</v>
      </c>
      <c r="C866" t="s">
        <v>23</v>
      </c>
      <c r="D866" t="s">
        <v>183</v>
      </c>
      <c r="E866" t="s">
        <v>7</v>
      </c>
      <c r="F866">
        <v>4.5737252235412598</v>
      </c>
    </row>
    <row r="867" spans="2:6">
      <c r="B867">
        <v>2009</v>
      </c>
      <c r="C867" t="s">
        <v>23</v>
      </c>
      <c r="D867" t="s">
        <v>183</v>
      </c>
      <c r="E867" t="s">
        <v>8</v>
      </c>
      <c r="F867">
        <v>9.5340232849121094</v>
      </c>
    </row>
    <row r="868" spans="2:6">
      <c r="B868">
        <v>2009</v>
      </c>
      <c r="C868" t="s">
        <v>23</v>
      </c>
      <c r="D868" t="s">
        <v>183</v>
      </c>
      <c r="E868" t="s">
        <v>9</v>
      </c>
      <c r="F868">
        <v>0.73597031831741333</v>
      </c>
    </row>
    <row r="869" spans="2:6">
      <c r="B869">
        <v>2009</v>
      </c>
      <c r="C869" t="s">
        <v>23</v>
      </c>
      <c r="D869" t="s">
        <v>183</v>
      </c>
      <c r="E869" t="s">
        <v>10</v>
      </c>
      <c r="F869">
        <v>63.020000457763672</v>
      </c>
    </row>
    <row r="870" spans="2:6">
      <c r="B870">
        <v>2009</v>
      </c>
      <c r="C870" t="s">
        <v>23</v>
      </c>
      <c r="D870" t="s">
        <v>183</v>
      </c>
      <c r="E870" t="s">
        <v>11</v>
      </c>
      <c r="F870">
        <v>0.49813839793205261</v>
      </c>
    </row>
    <row r="871" spans="2:6">
      <c r="B871">
        <v>2009</v>
      </c>
      <c r="C871" t="s">
        <v>23</v>
      </c>
      <c r="D871" t="s">
        <v>183</v>
      </c>
      <c r="E871" t="s">
        <v>12</v>
      </c>
      <c r="F871">
        <v>-8.6896836757659912E-2</v>
      </c>
    </row>
    <row r="872" spans="2:6">
      <c r="B872">
        <v>2009</v>
      </c>
      <c r="C872" t="s">
        <v>23</v>
      </c>
      <c r="D872" t="s">
        <v>183</v>
      </c>
      <c r="E872" t="s">
        <v>13</v>
      </c>
      <c r="F872">
        <v>0.75384974479675293</v>
      </c>
    </row>
    <row r="873" spans="2:6">
      <c r="B873">
        <v>2009</v>
      </c>
      <c r="C873" t="s">
        <v>23</v>
      </c>
      <c r="D873" t="s">
        <v>183</v>
      </c>
      <c r="E873" t="s">
        <v>14</v>
      </c>
      <c r="F873">
        <v>0.54364007711410522</v>
      </c>
    </row>
    <row r="874" spans="2:6">
      <c r="B874">
        <v>2009</v>
      </c>
      <c r="C874" t="s">
        <v>23</v>
      </c>
      <c r="D874" t="s">
        <v>183</v>
      </c>
      <c r="E874" t="s">
        <v>15</v>
      </c>
      <c r="F874">
        <v>0.23394247889518738</v>
      </c>
    </row>
    <row r="875" spans="2:6">
      <c r="B875">
        <v>2010</v>
      </c>
      <c r="C875" t="s">
        <v>23</v>
      </c>
      <c r="D875" t="s">
        <v>183</v>
      </c>
      <c r="E875" t="s">
        <v>7</v>
      </c>
      <c r="F875">
        <v>4.2186107635498047</v>
      </c>
    </row>
    <row r="876" spans="2:6">
      <c r="B876">
        <v>2010</v>
      </c>
      <c r="C876" t="s">
        <v>23</v>
      </c>
      <c r="D876" t="s">
        <v>183</v>
      </c>
      <c r="E876" t="s">
        <v>8</v>
      </c>
      <c r="F876">
        <v>9.5689067840576172</v>
      </c>
    </row>
    <row r="877" spans="2:6">
      <c r="B877">
        <v>2010</v>
      </c>
      <c r="C877" t="s">
        <v>23</v>
      </c>
      <c r="D877" t="s">
        <v>183</v>
      </c>
      <c r="E877" t="s">
        <v>9</v>
      </c>
      <c r="F877">
        <v>0.68700098991394043</v>
      </c>
    </row>
    <row r="878" spans="2:6">
      <c r="B878">
        <v>2010</v>
      </c>
      <c r="C878" t="s">
        <v>23</v>
      </c>
      <c r="D878" t="s">
        <v>183</v>
      </c>
      <c r="E878" t="s">
        <v>10</v>
      </c>
      <c r="F878">
        <v>63.400001525878906</v>
      </c>
    </row>
    <row r="879" spans="2:6">
      <c r="B879">
        <v>2010</v>
      </c>
      <c r="C879" t="s">
        <v>23</v>
      </c>
      <c r="D879" t="s">
        <v>183</v>
      </c>
      <c r="E879" t="s">
        <v>11</v>
      </c>
      <c r="F879">
        <v>0.50107109546661377</v>
      </c>
    </row>
    <row r="880" spans="2:6">
      <c r="B880">
        <v>2010</v>
      </c>
      <c r="C880" t="s">
        <v>23</v>
      </c>
      <c r="D880" t="s">
        <v>183</v>
      </c>
      <c r="E880" t="s">
        <v>12</v>
      </c>
      <c r="F880">
        <v>-0.1232181116938591</v>
      </c>
    </row>
    <row r="881" spans="2:6">
      <c r="B881">
        <v>2010</v>
      </c>
      <c r="C881" t="s">
        <v>23</v>
      </c>
      <c r="D881" t="s">
        <v>183</v>
      </c>
      <c r="E881" t="s">
        <v>13</v>
      </c>
      <c r="F881">
        <v>0.85834664106369019</v>
      </c>
    </row>
    <row r="882" spans="2:6">
      <c r="B882">
        <v>2010</v>
      </c>
      <c r="C882" t="s">
        <v>23</v>
      </c>
      <c r="D882" t="s">
        <v>183</v>
      </c>
      <c r="E882" t="s">
        <v>14</v>
      </c>
      <c r="F882">
        <v>0.52693057060241699</v>
      </c>
    </row>
    <row r="883" spans="2:6">
      <c r="B883">
        <v>2010</v>
      </c>
      <c r="C883" t="s">
        <v>23</v>
      </c>
      <c r="D883" t="s">
        <v>183</v>
      </c>
      <c r="E883" t="s">
        <v>15</v>
      </c>
      <c r="F883">
        <v>0.27187332510948181</v>
      </c>
    </row>
    <row r="884" spans="2:6">
      <c r="B884">
        <v>2011</v>
      </c>
      <c r="C884" t="s">
        <v>23</v>
      </c>
      <c r="D884" t="s">
        <v>183</v>
      </c>
      <c r="E884" t="s">
        <v>7</v>
      </c>
      <c r="F884">
        <v>4.6804695129394531</v>
      </c>
    </row>
    <row r="885" spans="2:6">
      <c r="B885">
        <v>2011</v>
      </c>
      <c r="C885" t="s">
        <v>23</v>
      </c>
      <c r="D885" t="s">
        <v>183</v>
      </c>
      <c r="E885" t="s">
        <v>8</v>
      </c>
      <c r="F885">
        <v>9.5400218963623047</v>
      </c>
    </row>
    <row r="886" spans="2:6">
      <c r="B886">
        <v>2011</v>
      </c>
      <c r="C886" t="s">
        <v>23</v>
      </c>
      <c r="D886" t="s">
        <v>183</v>
      </c>
      <c r="E886" t="s">
        <v>9</v>
      </c>
      <c r="F886">
        <v>0.72519391775131226</v>
      </c>
    </row>
    <row r="887" spans="2:6">
      <c r="B887">
        <v>2011</v>
      </c>
      <c r="C887" t="s">
        <v>23</v>
      </c>
      <c r="D887" t="s">
        <v>183</v>
      </c>
      <c r="E887" t="s">
        <v>10</v>
      </c>
      <c r="F887">
        <v>63.639999389648438</v>
      </c>
    </row>
    <row r="888" spans="2:6">
      <c r="B888">
        <v>2011</v>
      </c>
      <c r="C888" t="s">
        <v>23</v>
      </c>
      <c r="D888" t="s">
        <v>183</v>
      </c>
      <c r="E888" t="s">
        <v>11</v>
      </c>
      <c r="F888">
        <v>0.53748428821563721</v>
      </c>
    </row>
    <row r="889" spans="2:6">
      <c r="B889">
        <v>2011</v>
      </c>
      <c r="C889" t="s">
        <v>23</v>
      </c>
      <c r="D889" t="s">
        <v>183</v>
      </c>
      <c r="E889" t="s">
        <v>12</v>
      </c>
      <c r="F889">
        <v>-0.10452896356582642</v>
      </c>
    </row>
    <row r="890" spans="2:6">
      <c r="B890">
        <v>2011</v>
      </c>
      <c r="C890" t="s">
        <v>23</v>
      </c>
      <c r="D890" t="s">
        <v>183</v>
      </c>
      <c r="E890" t="s">
        <v>13</v>
      </c>
      <c r="F890">
        <v>0.79511904716491699</v>
      </c>
    </row>
    <row r="891" spans="2:6">
      <c r="B891">
        <v>2011</v>
      </c>
      <c r="C891" t="s">
        <v>23</v>
      </c>
      <c r="D891" t="s">
        <v>183</v>
      </c>
      <c r="E891" t="s">
        <v>14</v>
      </c>
      <c r="F891">
        <v>0.53580451011657715</v>
      </c>
    </row>
    <row r="892" spans="2:6">
      <c r="B892">
        <v>2011</v>
      </c>
      <c r="C892" t="s">
        <v>23</v>
      </c>
      <c r="D892" t="s">
        <v>183</v>
      </c>
      <c r="E892" t="s">
        <v>15</v>
      </c>
      <c r="F892">
        <v>0.25811731815338135</v>
      </c>
    </row>
    <row r="893" spans="2:6">
      <c r="B893">
        <v>2012</v>
      </c>
      <c r="C893" t="s">
        <v>23</v>
      </c>
      <c r="D893" t="s">
        <v>183</v>
      </c>
      <c r="E893" t="s">
        <v>7</v>
      </c>
      <c r="F893">
        <v>4.9107718467712402</v>
      </c>
    </row>
    <row r="894" spans="2:6">
      <c r="B894">
        <v>2012</v>
      </c>
      <c r="C894" t="s">
        <v>23</v>
      </c>
      <c r="D894" t="s">
        <v>183</v>
      </c>
      <c r="E894" t="s">
        <v>8</v>
      </c>
      <c r="F894">
        <v>9.5485239028930664</v>
      </c>
    </row>
    <row r="895" spans="2:6">
      <c r="B895">
        <v>2012</v>
      </c>
      <c r="C895" t="s">
        <v>23</v>
      </c>
      <c r="D895" t="s">
        <v>183</v>
      </c>
      <c r="E895" t="s">
        <v>9</v>
      </c>
      <c r="F895">
        <v>0.76187324523925781</v>
      </c>
    </row>
    <row r="896" spans="2:6">
      <c r="B896">
        <v>2012</v>
      </c>
      <c r="C896" t="s">
        <v>23</v>
      </c>
      <c r="D896" t="s">
        <v>183</v>
      </c>
      <c r="E896" t="s">
        <v>10</v>
      </c>
      <c r="F896">
        <v>63.880001068115234</v>
      </c>
    </row>
    <row r="897" spans="2:6">
      <c r="B897">
        <v>2012</v>
      </c>
      <c r="C897" t="s">
        <v>23</v>
      </c>
      <c r="D897" t="s">
        <v>183</v>
      </c>
      <c r="E897" t="s">
        <v>11</v>
      </c>
      <c r="F897">
        <v>0.59885907173156738</v>
      </c>
    </row>
    <row r="898" spans="2:6">
      <c r="B898">
        <v>2012</v>
      </c>
      <c r="C898" t="s">
        <v>23</v>
      </c>
      <c r="D898" t="s">
        <v>183</v>
      </c>
      <c r="E898" t="s">
        <v>12</v>
      </c>
      <c r="F898">
        <v>-0.13993917405605316</v>
      </c>
    </row>
    <row r="899" spans="2:6">
      <c r="B899">
        <v>2012</v>
      </c>
      <c r="C899" t="s">
        <v>23</v>
      </c>
      <c r="D899" t="s">
        <v>183</v>
      </c>
      <c r="E899" t="s">
        <v>13</v>
      </c>
      <c r="F899">
        <v>0.76315480470657349</v>
      </c>
    </row>
    <row r="900" spans="2:6">
      <c r="B900">
        <v>2012</v>
      </c>
      <c r="C900" t="s">
        <v>23</v>
      </c>
      <c r="D900" t="s">
        <v>183</v>
      </c>
      <c r="E900" t="s">
        <v>14</v>
      </c>
      <c r="F900">
        <v>0.55386942625045776</v>
      </c>
    </row>
    <row r="901" spans="2:6">
      <c r="B901">
        <v>2012</v>
      </c>
      <c r="C901" t="s">
        <v>23</v>
      </c>
      <c r="D901" t="s">
        <v>183</v>
      </c>
      <c r="E901" t="s">
        <v>15</v>
      </c>
      <c r="F901">
        <v>0.26609340310096741</v>
      </c>
    </row>
    <row r="902" spans="2:6">
      <c r="B902">
        <v>2013</v>
      </c>
      <c r="C902" t="s">
        <v>23</v>
      </c>
      <c r="D902" t="s">
        <v>183</v>
      </c>
      <c r="E902" t="s">
        <v>7</v>
      </c>
      <c r="F902">
        <v>5.4811782836914063</v>
      </c>
    </row>
    <row r="903" spans="2:6">
      <c r="B903">
        <v>2013</v>
      </c>
      <c r="C903" t="s">
        <v>23</v>
      </c>
      <c r="D903" t="s">
        <v>183</v>
      </c>
      <c r="E903" t="s">
        <v>8</v>
      </c>
      <c r="F903">
        <v>9.5923805236816406</v>
      </c>
    </row>
    <row r="904" spans="2:6">
      <c r="B904">
        <v>2013</v>
      </c>
      <c r="C904" t="s">
        <v>23</v>
      </c>
      <c r="D904" t="s">
        <v>183</v>
      </c>
      <c r="E904" t="s">
        <v>9</v>
      </c>
      <c r="F904">
        <v>0.76969015598297119</v>
      </c>
    </row>
    <row r="905" spans="2:6">
      <c r="B905">
        <v>2013</v>
      </c>
      <c r="C905" t="s">
        <v>23</v>
      </c>
      <c r="D905" t="s">
        <v>183</v>
      </c>
      <c r="E905" t="s">
        <v>10</v>
      </c>
      <c r="F905">
        <v>64.120002746582031</v>
      </c>
    </row>
    <row r="906" spans="2:6">
      <c r="B906">
        <v>2013</v>
      </c>
      <c r="C906" t="s">
        <v>23</v>
      </c>
      <c r="D906" t="s">
        <v>183</v>
      </c>
      <c r="E906" t="s">
        <v>11</v>
      </c>
      <c r="F906">
        <v>0.67195695638656616</v>
      </c>
    </row>
    <row r="907" spans="2:6">
      <c r="B907">
        <v>2013</v>
      </c>
      <c r="C907" t="s">
        <v>23</v>
      </c>
      <c r="D907" t="s">
        <v>183</v>
      </c>
      <c r="E907" t="s">
        <v>12</v>
      </c>
      <c r="F907">
        <v>-0.16776947677135468</v>
      </c>
    </row>
    <row r="908" spans="2:6">
      <c r="B908">
        <v>2013</v>
      </c>
      <c r="C908" t="s">
        <v>23</v>
      </c>
      <c r="D908" t="s">
        <v>183</v>
      </c>
      <c r="E908" t="s">
        <v>13</v>
      </c>
      <c r="F908">
        <v>0.69881957769393921</v>
      </c>
    </row>
    <row r="909" spans="2:6">
      <c r="B909">
        <v>2013</v>
      </c>
      <c r="C909" t="s">
        <v>23</v>
      </c>
      <c r="D909" t="s">
        <v>183</v>
      </c>
      <c r="E909" t="s">
        <v>14</v>
      </c>
      <c r="F909">
        <v>0.61887401342391968</v>
      </c>
    </row>
    <row r="910" spans="2:6">
      <c r="B910">
        <v>2013</v>
      </c>
      <c r="C910" t="s">
        <v>23</v>
      </c>
      <c r="D910" t="s">
        <v>183</v>
      </c>
      <c r="E910" t="s">
        <v>15</v>
      </c>
      <c r="F910">
        <v>0.24245545268058777</v>
      </c>
    </row>
    <row r="911" spans="2:6">
      <c r="B911">
        <v>2014</v>
      </c>
      <c r="C911" t="s">
        <v>23</v>
      </c>
      <c r="D911" t="s">
        <v>183</v>
      </c>
      <c r="E911" t="s">
        <v>7</v>
      </c>
      <c r="F911">
        <v>5.2515301704406738</v>
      </c>
    </row>
    <row r="912" spans="2:6">
      <c r="B912">
        <v>2014</v>
      </c>
      <c r="C912" t="s">
        <v>23</v>
      </c>
      <c r="D912" t="s">
        <v>183</v>
      </c>
      <c r="E912" t="s">
        <v>8</v>
      </c>
      <c r="F912">
        <v>9.6074895858764648</v>
      </c>
    </row>
    <row r="913" spans="2:6">
      <c r="B913">
        <v>2014</v>
      </c>
      <c r="C913" t="s">
        <v>23</v>
      </c>
      <c r="D913" t="s">
        <v>183</v>
      </c>
      <c r="E913" t="s">
        <v>9</v>
      </c>
      <c r="F913">
        <v>0.79943335056304932</v>
      </c>
    </row>
    <row r="914" spans="2:6">
      <c r="B914">
        <v>2014</v>
      </c>
      <c r="C914" t="s">
        <v>23</v>
      </c>
      <c r="D914" t="s">
        <v>183</v>
      </c>
      <c r="E914" t="s">
        <v>10</v>
      </c>
      <c r="F914">
        <v>64.360000610351563</v>
      </c>
    </row>
    <row r="915" spans="2:6">
      <c r="B915">
        <v>2014</v>
      </c>
      <c r="C915" t="s">
        <v>23</v>
      </c>
      <c r="D915" t="s">
        <v>183</v>
      </c>
      <c r="E915" t="s">
        <v>11</v>
      </c>
      <c r="F915">
        <v>0.73277294635772705</v>
      </c>
    </row>
    <row r="916" spans="2:6">
      <c r="B916">
        <v>2014</v>
      </c>
      <c r="C916" t="s">
        <v>23</v>
      </c>
      <c r="D916" t="s">
        <v>183</v>
      </c>
      <c r="E916" t="s">
        <v>12</v>
      </c>
      <c r="F916">
        <v>-0.20817007124423981</v>
      </c>
    </row>
    <row r="917" spans="2:6">
      <c r="B917">
        <v>2014</v>
      </c>
      <c r="C917" t="s">
        <v>23</v>
      </c>
      <c r="D917" t="s">
        <v>183</v>
      </c>
      <c r="E917" t="s">
        <v>13</v>
      </c>
      <c r="F917">
        <v>0.65384531021118164</v>
      </c>
    </row>
    <row r="918" spans="2:6">
      <c r="B918">
        <v>2014</v>
      </c>
      <c r="C918" t="s">
        <v>23</v>
      </c>
      <c r="D918" t="s">
        <v>183</v>
      </c>
      <c r="E918" t="s">
        <v>14</v>
      </c>
      <c r="F918">
        <v>0.59762722253799438</v>
      </c>
    </row>
    <row r="919" spans="2:6">
      <c r="B919">
        <v>2014</v>
      </c>
      <c r="C919" t="s">
        <v>23</v>
      </c>
      <c r="D919" t="s">
        <v>183</v>
      </c>
      <c r="E919" t="s">
        <v>15</v>
      </c>
      <c r="F919">
        <v>0.21998211741447449</v>
      </c>
    </row>
    <row r="920" spans="2:6">
      <c r="B920">
        <v>2015</v>
      </c>
      <c r="C920" t="s">
        <v>23</v>
      </c>
      <c r="D920" t="s">
        <v>183</v>
      </c>
      <c r="E920" t="s">
        <v>7</v>
      </c>
      <c r="F920">
        <v>5.1467747688293457</v>
      </c>
    </row>
    <row r="921" spans="2:6">
      <c r="B921">
        <v>2015</v>
      </c>
      <c r="C921" t="s">
        <v>23</v>
      </c>
      <c r="D921" t="s">
        <v>183</v>
      </c>
      <c r="E921" t="s">
        <v>8</v>
      </c>
      <c r="F921">
        <v>9.60601806640625</v>
      </c>
    </row>
    <row r="922" spans="2:6">
      <c r="B922">
        <v>2015</v>
      </c>
      <c r="C922" t="s">
        <v>23</v>
      </c>
      <c r="D922" t="s">
        <v>183</v>
      </c>
      <c r="E922" t="s">
        <v>9</v>
      </c>
      <c r="F922">
        <v>0.78570276498794556</v>
      </c>
    </row>
    <row r="923" spans="2:6">
      <c r="B923">
        <v>2015</v>
      </c>
      <c r="C923" t="s">
        <v>23</v>
      </c>
      <c r="D923" t="s">
        <v>183</v>
      </c>
      <c r="E923" t="s">
        <v>10</v>
      </c>
      <c r="F923">
        <v>64.599998474121094</v>
      </c>
    </row>
    <row r="924" spans="2:6">
      <c r="B924">
        <v>2015</v>
      </c>
      <c r="C924" t="s">
        <v>23</v>
      </c>
      <c r="D924" t="s">
        <v>183</v>
      </c>
      <c r="E924" t="s">
        <v>11</v>
      </c>
      <c r="F924">
        <v>0.7642894983291626</v>
      </c>
    </row>
    <row r="925" spans="2:6">
      <c r="B925">
        <v>2015</v>
      </c>
      <c r="C925" t="s">
        <v>23</v>
      </c>
      <c r="D925" t="s">
        <v>183</v>
      </c>
      <c r="E925" t="s">
        <v>12</v>
      </c>
      <c r="F925">
        <v>-0.19772739708423615</v>
      </c>
    </row>
    <row r="926" spans="2:6">
      <c r="B926">
        <v>2015</v>
      </c>
      <c r="C926" t="s">
        <v>23</v>
      </c>
      <c r="D926" t="s">
        <v>183</v>
      </c>
      <c r="E926" t="s">
        <v>13</v>
      </c>
      <c r="F926">
        <v>0.61555254459381104</v>
      </c>
    </row>
    <row r="927" spans="2:6">
      <c r="B927">
        <v>2015</v>
      </c>
      <c r="C927" t="s">
        <v>23</v>
      </c>
      <c r="D927" t="s">
        <v>183</v>
      </c>
      <c r="E927" t="s">
        <v>14</v>
      </c>
      <c r="F927">
        <v>0.60656934976577759</v>
      </c>
    </row>
    <row r="928" spans="2:6">
      <c r="B928">
        <v>2015</v>
      </c>
      <c r="C928" t="s">
        <v>23</v>
      </c>
      <c r="D928" t="s">
        <v>183</v>
      </c>
      <c r="E928" t="s">
        <v>15</v>
      </c>
      <c r="F928">
        <v>0.2061142772436142</v>
      </c>
    </row>
    <row r="929" spans="2:6">
      <c r="B929">
        <v>2016</v>
      </c>
      <c r="C929" t="s">
        <v>23</v>
      </c>
      <c r="D929" t="s">
        <v>183</v>
      </c>
      <c r="E929" t="s">
        <v>7</v>
      </c>
      <c r="F929">
        <v>5.3038949966430664</v>
      </c>
    </row>
    <row r="930" spans="2:6">
      <c r="B930">
        <v>2016</v>
      </c>
      <c r="C930" t="s">
        <v>23</v>
      </c>
      <c r="D930" t="s">
        <v>183</v>
      </c>
      <c r="E930" t="s">
        <v>8</v>
      </c>
      <c r="F930">
        <v>9.5637245178222656</v>
      </c>
    </row>
    <row r="931" spans="2:6">
      <c r="B931">
        <v>2016</v>
      </c>
      <c r="C931" t="s">
        <v>23</v>
      </c>
      <c r="D931" t="s">
        <v>183</v>
      </c>
      <c r="E931" t="s">
        <v>9</v>
      </c>
      <c r="F931">
        <v>0.77727103233337402</v>
      </c>
    </row>
    <row r="932" spans="2:6">
      <c r="B932">
        <v>2016</v>
      </c>
      <c r="C932" t="s">
        <v>23</v>
      </c>
      <c r="D932" t="s">
        <v>183</v>
      </c>
      <c r="E932" t="s">
        <v>10</v>
      </c>
      <c r="F932">
        <v>64.900001525878906</v>
      </c>
    </row>
    <row r="933" spans="2:6">
      <c r="B933">
        <v>2016</v>
      </c>
      <c r="C933" t="s">
        <v>23</v>
      </c>
      <c r="D933" t="s">
        <v>183</v>
      </c>
      <c r="E933" t="s">
        <v>11</v>
      </c>
      <c r="F933">
        <v>0.71257317066192627</v>
      </c>
    </row>
    <row r="934" spans="2:6">
      <c r="B934">
        <v>2016</v>
      </c>
      <c r="C934" t="s">
        <v>23</v>
      </c>
      <c r="D934" t="s">
        <v>183</v>
      </c>
      <c r="E934" t="s">
        <v>12</v>
      </c>
      <c r="F934">
        <v>-0.2041623443365097</v>
      </c>
    </row>
    <row r="935" spans="2:6">
      <c r="B935">
        <v>2016</v>
      </c>
      <c r="C935" t="s">
        <v>23</v>
      </c>
      <c r="D935" t="s">
        <v>183</v>
      </c>
      <c r="E935" t="s">
        <v>13</v>
      </c>
      <c r="F935">
        <v>0.60677081346511841</v>
      </c>
    </row>
    <row r="936" spans="2:6">
      <c r="B936">
        <v>2016</v>
      </c>
      <c r="C936" t="s">
        <v>23</v>
      </c>
      <c r="D936" t="s">
        <v>183</v>
      </c>
      <c r="E936" t="s">
        <v>14</v>
      </c>
      <c r="F936">
        <v>0.59759348630905151</v>
      </c>
    </row>
    <row r="937" spans="2:6">
      <c r="B937">
        <v>2016</v>
      </c>
      <c r="C937" t="s">
        <v>23</v>
      </c>
      <c r="D937" t="s">
        <v>183</v>
      </c>
      <c r="E937" t="s">
        <v>15</v>
      </c>
      <c r="F937">
        <v>0.19111719727516174</v>
      </c>
    </row>
    <row r="938" spans="2:6">
      <c r="B938">
        <v>2017</v>
      </c>
      <c r="C938" t="s">
        <v>23</v>
      </c>
      <c r="D938" t="s">
        <v>183</v>
      </c>
      <c r="E938" t="s">
        <v>7</v>
      </c>
      <c r="F938">
        <v>5.1522793769836426</v>
      </c>
    </row>
    <row r="939" spans="2:6">
      <c r="B939">
        <v>2017</v>
      </c>
      <c r="C939" t="s">
        <v>23</v>
      </c>
      <c r="D939" t="s">
        <v>183</v>
      </c>
      <c r="E939" t="s">
        <v>8</v>
      </c>
      <c r="F939">
        <v>9.5554475784301758</v>
      </c>
    </row>
    <row r="940" spans="2:6">
      <c r="B940">
        <v>2017</v>
      </c>
      <c r="C940" t="s">
        <v>23</v>
      </c>
      <c r="D940" t="s">
        <v>183</v>
      </c>
      <c r="E940" t="s">
        <v>9</v>
      </c>
      <c r="F940">
        <v>0.78703939914703369</v>
      </c>
    </row>
    <row r="941" spans="2:6">
      <c r="B941">
        <v>2017</v>
      </c>
      <c r="C941" t="s">
        <v>23</v>
      </c>
      <c r="D941" t="s">
        <v>183</v>
      </c>
      <c r="E941" t="s">
        <v>10</v>
      </c>
      <c r="F941">
        <v>65.199996948242188</v>
      </c>
    </row>
    <row r="942" spans="2:6">
      <c r="B942">
        <v>2017</v>
      </c>
      <c r="C942" t="s">
        <v>23</v>
      </c>
      <c r="D942" t="s">
        <v>183</v>
      </c>
      <c r="E942" t="s">
        <v>11</v>
      </c>
      <c r="F942">
        <v>0.73103046417236328</v>
      </c>
    </row>
    <row r="943" spans="2:6">
      <c r="B943">
        <v>2017</v>
      </c>
      <c r="C943" t="s">
        <v>23</v>
      </c>
      <c r="D943" t="s">
        <v>183</v>
      </c>
      <c r="E943" t="s">
        <v>12</v>
      </c>
      <c r="F943">
        <v>-0.22512917220592499</v>
      </c>
    </row>
    <row r="944" spans="2:6">
      <c r="B944">
        <v>2017</v>
      </c>
      <c r="C944" t="s">
        <v>23</v>
      </c>
      <c r="D944" t="s">
        <v>183</v>
      </c>
      <c r="E944" t="s">
        <v>13</v>
      </c>
      <c r="F944">
        <v>0.65253901481628418</v>
      </c>
    </row>
    <row r="945" spans="2:6">
      <c r="B945">
        <v>2017</v>
      </c>
      <c r="C945" t="s">
        <v>23</v>
      </c>
      <c r="D945" t="s">
        <v>183</v>
      </c>
      <c r="E945" t="s">
        <v>14</v>
      </c>
      <c r="F945">
        <v>0.59235924482345581</v>
      </c>
    </row>
    <row r="946" spans="2:6">
      <c r="B946">
        <v>2017</v>
      </c>
      <c r="C946" t="s">
        <v>23</v>
      </c>
      <c r="D946" t="s">
        <v>183</v>
      </c>
      <c r="E946" t="s">
        <v>15</v>
      </c>
      <c r="F946">
        <v>0.19831866025924683</v>
      </c>
    </row>
    <row r="947" spans="2:6">
      <c r="B947">
        <v>2018</v>
      </c>
      <c r="C947" t="s">
        <v>23</v>
      </c>
      <c r="D947" t="s">
        <v>183</v>
      </c>
      <c r="E947" t="s">
        <v>7</v>
      </c>
      <c r="F947">
        <v>5.1679954528808594</v>
      </c>
    </row>
    <row r="948" spans="2:6">
      <c r="B948">
        <v>2018</v>
      </c>
      <c r="C948" t="s">
        <v>23</v>
      </c>
      <c r="D948" t="s">
        <v>183</v>
      </c>
      <c r="E948" t="s">
        <v>8</v>
      </c>
      <c r="F948">
        <v>9.5616769790649414</v>
      </c>
    </row>
    <row r="949" spans="2:6">
      <c r="B949">
        <v>2018</v>
      </c>
      <c r="C949" t="s">
        <v>23</v>
      </c>
      <c r="D949" t="s">
        <v>183</v>
      </c>
      <c r="E949" t="s">
        <v>9</v>
      </c>
      <c r="F949">
        <v>0.78122991323471069</v>
      </c>
    </row>
    <row r="950" spans="2:6">
      <c r="B950">
        <v>2018</v>
      </c>
      <c r="C950" t="s">
        <v>23</v>
      </c>
      <c r="D950" t="s">
        <v>183</v>
      </c>
      <c r="E950" t="s">
        <v>10</v>
      </c>
      <c r="F950">
        <v>65.5</v>
      </c>
    </row>
    <row r="951" spans="2:6">
      <c r="B951">
        <v>2018</v>
      </c>
      <c r="C951" t="s">
        <v>23</v>
      </c>
      <c r="D951" t="s">
        <v>183</v>
      </c>
      <c r="E951" t="s">
        <v>11</v>
      </c>
      <c r="F951">
        <v>0.77244925498962402</v>
      </c>
    </row>
    <row r="952" spans="2:6">
      <c r="B952">
        <v>2018</v>
      </c>
      <c r="C952" t="s">
        <v>23</v>
      </c>
      <c r="D952" t="s">
        <v>183</v>
      </c>
      <c r="E952" t="s">
        <v>12</v>
      </c>
      <c r="F952">
        <v>-0.23161323368549347</v>
      </c>
    </row>
    <row r="953" spans="2:6">
      <c r="B953">
        <v>2018</v>
      </c>
      <c r="C953" t="s">
        <v>23</v>
      </c>
      <c r="D953" t="s">
        <v>183</v>
      </c>
      <c r="E953" t="s">
        <v>13</v>
      </c>
      <c r="F953">
        <v>0.56120628118515015</v>
      </c>
    </row>
    <row r="954" spans="2:6">
      <c r="B954">
        <v>2018</v>
      </c>
      <c r="C954" t="s">
        <v>23</v>
      </c>
      <c r="D954" t="s">
        <v>183</v>
      </c>
      <c r="E954" t="s">
        <v>14</v>
      </c>
      <c r="F954">
        <v>0.59257537126541138</v>
      </c>
    </row>
    <row r="955" spans="2:6">
      <c r="B955">
        <v>2018</v>
      </c>
      <c r="C955" t="s">
        <v>23</v>
      </c>
      <c r="D955" t="s">
        <v>183</v>
      </c>
      <c r="E955" t="s">
        <v>15</v>
      </c>
      <c r="F955">
        <v>0.19139166176319122</v>
      </c>
    </row>
    <row r="956" spans="2:6">
      <c r="B956">
        <v>2019</v>
      </c>
      <c r="C956" t="s">
        <v>23</v>
      </c>
      <c r="D956" t="s">
        <v>183</v>
      </c>
      <c r="E956" t="s">
        <v>7</v>
      </c>
      <c r="F956">
        <v>5.1733894348144531</v>
      </c>
    </row>
    <row r="957" spans="2:6">
      <c r="B957">
        <v>2019</v>
      </c>
      <c r="C957" t="s">
        <v>23</v>
      </c>
      <c r="D957" t="s">
        <v>183</v>
      </c>
      <c r="E957" t="s">
        <v>8</v>
      </c>
      <c r="F957">
        <v>9.5752506256103516</v>
      </c>
    </row>
    <row r="958" spans="2:6">
      <c r="B958">
        <v>2019</v>
      </c>
      <c r="C958" t="s">
        <v>23</v>
      </c>
      <c r="D958" t="s">
        <v>183</v>
      </c>
      <c r="E958" t="s">
        <v>9</v>
      </c>
      <c r="F958">
        <v>0.88675642013549805</v>
      </c>
    </row>
    <row r="959" spans="2:6">
      <c r="B959">
        <v>2019</v>
      </c>
      <c r="C959" t="s">
        <v>23</v>
      </c>
      <c r="D959" t="s">
        <v>183</v>
      </c>
      <c r="E959" t="s">
        <v>10</v>
      </c>
      <c r="F959">
        <v>65.800003051757813</v>
      </c>
    </row>
    <row r="960" spans="2:6">
      <c r="B960">
        <v>2019</v>
      </c>
      <c r="C960" t="s">
        <v>23</v>
      </c>
      <c r="D960" t="s">
        <v>183</v>
      </c>
      <c r="E960" t="s">
        <v>11</v>
      </c>
      <c r="F960">
        <v>0.8542485237121582</v>
      </c>
    </row>
    <row r="961" spans="2:6">
      <c r="B961">
        <v>2019</v>
      </c>
      <c r="C961" t="s">
        <v>23</v>
      </c>
      <c r="D961" t="s">
        <v>183</v>
      </c>
      <c r="E961" t="s">
        <v>12</v>
      </c>
      <c r="F961">
        <v>-0.2141629159450531</v>
      </c>
    </row>
    <row r="962" spans="2:6">
      <c r="B962">
        <v>2019</v>
      </c>
      <c r="C962" t="s">
        <v>23</v>
      </c>
      <c r="D962" t="s">
        <v>183</v>
      </c>
      <c r="E962" t="s">
        <v>13</v>
      </c>
      <c r="F962">
        <v>0.45726066827774048</v>
      </c>
    </row>
    <row r="963" spans="2:6">
      <c r="B963">
        <v>2019</v>
      </c>
      <c r="C963" t="s">
        <v>23</v>
      </c>
      <c r="D963" t="s">
        <v>183</v>
      </c>
      <c r="E963" t="s">
        <v>14</v>
      </c>
      <c r="F963">
        <v>0.64254683256149292</v>
      </c>
    </row>
    <row r="964" spans="2:6">
      <c r="B964">
        <v>2019</v>
      </c>
      <c r="C964" t="s">
        <v>23</v>
      </c>
      <c r="D964" t="s">
        <v>183</v>
      </c>
      <c r="E964" t="s">
        <v>15</v>
      </c>
      <c r="F964">
        <v>0.16392025351524353</v>
      </c>
    </row>
    <row r="965" spans="2:6">
      <c r="B965">
        <v>2009</v>
      </c>
      <c r="C965" t="s">
        <v>24</v>
      </c>
      <c r="D965" t="s">
        <v>182</v>
      </c>
      <c r="E965" t="s">
        <v>7</v>
      </c>
      <c r="F965">
        <v>5.7005233764648438</v>
      </c>
    </row>
    <row r="966" spans="2:6">
      <c r="B966">
        <v>2009</v>
      </c>
      <c r="C966" t="s">
        <v>24</v>
      </c>
      <c r="D966" t="s">
        <v>182</v>
      </c>
      <c r="E966" t="s">
        <v>8</v>
      </c>
      <c r="F966">
        <v>10.709386825561523</v>
      </c>
    </row>
    <row r="967" spans="2:6">
      <c r="B967">
        <v>2009</v>
      </c>
      <c r="C967" t="s">
        <v>24</v>
      </c>
      <c r="D967" t="s">
        <v>182</v>
      </c>
      <c r="E967" t="s">
        <v>9</v>
      </c>
      <c r="F967">
        <v>0.90414345264434814</v>
      </c>
    </row>
    <row r="968" spans="2:6">
      <c r="B968">
        <v>2009</v>
      </c>
      <c r="C968" t="s">
        <v>24</v>
      </c>
      <c r="D968" t="s">
        <v>182</v>
      </c>
      <c r="E968" t="s">
        <v>10</v>
      </c>
      <c r="F968">
        <v>65.94000244140625</v>
      </c>
    </row>
    <row r="969" spans="2:6">
      <c r="B969">
        <v>2009</v>
      </c>
      <c r="C969" t="s">
        <v>24</v>
      </c>
      <c r="D969" t="s">
        <v>182</v>
      </c>
      <c r="E969" t="s">
        <v>11</v>
      </c>
      <c r="F969">
        <v>0.8959314227104187</v>
      </c>
    </row>
    <row r="970" spans="2:6">
      <c r="B970">
        <v>2009</v>
      </c>
      <c r="C970" t="s">
        <v>24</v>
      </c>
      <c r="D970" t="s">
        <v>182</v>
      </c>
      <c r="E970" t="s">
        <v>12</v>
      </c>
      <c r="F970">
        <v>3.7421543151140213E-2</v>
      </c>
    </row>
    <row r="971" spans="2:6">
      <c r="B971">
        <v>2009</v>
      </c>
      <c r="C971" t="s">
        <v>24</v>
      </c>
      <c r="D971" t="s">
        <v>182</v>
      </c>
      <c r="E971" t="s">
        <v>13</v>
      </c>
      <c r="F971">
        <v>0.50610393285751343</v>
      </c>
    </row>
    <row r="972" spans="2:6">
      <c r="B972">
        <v>2009</v>
      </c>
      <c r="C972" t="s">
        <v>24</v>
      </c>
      <c r="D972" t="s">
        <v>182</v>
      </c>
      <c r="E972" t="s">
        <v>14</v>
      </c>
      <c r="F972">
        <v>0.7636643648147583</v>
      </c>
    </row>
    <row r="973" spans="2:6">
      <c r="B973">
        <v>2009</v>
      </c>
      <c r="C973" t="s">
        <v>24</v>
      </c>
      <c r="D973" t="s">
        <v>182</v>
      </c>
      <c r="E973" t="s">
        <v>15</v>
      </c>
      <c r="F973">
        <v>0.42188948392868042</v>
      </c>
    </row>
    <row r="974" spans="2:6">
      <c r="B974">
        <v>2010</v>
      </c>
      <c r="C974" t="s">
        <v>24</v>
      </c>
      <c r="D974" t="s">
        <v>182</v>
      </c>
      <c r="E974" t="s">
        <v>7</v>
      </c>
      <c r="F974">
        <v>5.9368691444396973</v>
      </c>
    </row>
    <row r="975" spans="2:6">
      <c r="B975">
        <v>2010</v>
      </c>
      <c r="C975" t="s">
        <v>24</v>
      </c>
      <c r="D975" t="s">
        <v>182</v>
      </c>
      <c r="E975" t="s">
        <v>8</v>
      </c>
      <c r="F975">
        <v>10.705819129943848</v>
      </c>
    </row>
    <row r="976" spans="2:6">
      <c r="B976">
        <v>2010</v>
      </c>
      <c r="C976" t="s">
        <v>24</v>
      </c>
      <c r="D976" t="s">
        <v>182</v>
      </c>
      <c r="E976" t="s">
        <v>9</v>
      </c>
      <c r="F976">
        <v>0.87711507081985474</v>
      </c>
    </row>
    <row r="977" spans="2:6">
      <c r="B977">
        <v>2010</v>
      </c>
      <c r="C977" t="s">
        <v>24</v>
      </c>
      <c r="D977" t="s">
        <v>182</v>
      </c>
      <c r="E977" t="s">
        <v>10</v>
      </c>
      <c r="F977">
        <v>66.300003051757813</v>
      </c>
    </row>
    <row r="978" spans="2:6">
      <c r="B978">
        <v>2010</v>
      </c>
      <c r="C978" t="s">
        <v>24</v>
      </c>
      <c r="D978" t="s">
        <v>182</v>
      </c>
      <c r="E978" t="s">
        <v>11</v>
      </c>
      <c r="F978">
        <v>0.8620029091835022</v>
      </c>
    </row>
    <row r="979" spans="2:6">
      <c r="B979">
        <v>2010</v>
      </c>
      <c r="C979" t="s">
        <v>24</v>
      </c>
      <c r="D979" t="s">
        <v>182</v>
      </c>
      <c r="E979" t="s">
        <v>12</v>
      </c>
      <c r="F979">
        <v>-5.8445689501240849E-4</v>
      </c>
    </row>
    <row r="980" spans="2:6">
      <c r="B980">
        <v>2010</v>
      </c>
      <c r="C980" t="s">
        <v>24</v>
      </c>
      <c r="D980" t="s">
        <v>182</v>
      </c>
      <c r="E980" t="s">
        <v>13</v>
      </c>
      <c r="F980">
        <v>0.71462017297744751</v>
      </c>
    </row>
    <row r="981" spans="2:6">
      <c r="B981">
        <v>2010</v>
      </c>
      <c r="C981" t="s">
        <v>24</v>
      </c>
      <c r="D981" t="s">
        <v>182</v>
      </c>
      <c r="E981" t="s">
        <v>14</v>
      </c>
      <c r="F981">
        <v>0.68458753824234009</v>
      </c>
    </row>
    <row r="982" spans="2:6">
      <c r="B982">
        <v>2010</v>
      </c>
      <c r="C982" t="s">
        <v>24</v>
      </c>
      <c r="D982" t="s">
        <v>182</v>
      </c>
      <c r="E982" t="s">
        <v>15</v>
      </c>
      <c r="F982">
        <v>0.42267072200775146</v>
      </c>
    </row>
    <row r="983" spans="2:6">
      <c r="B983">
        <v>2011</v>
      </c>
      <c r="C983" t="s">
        <v>24</v>
      </c>
      <c r="D983" t="s">
        <v>182</v>
      </c>
      <c r="E983" t="s">
        <v>7</v>
      </c>
      <c r="F983">
        <v>4.8239760398864746</v>
      </c>
    </row>
    <row r="984" spans="2:6">
      <c r="B984">
        <v>2011</v>
      </c>
      <c r="C984" t="s">
        <v>24</v>
      </c>
      <c r="D984" t="s">
        <v>182</v>
      </c>
      <c r="E984" t="s">
        <v>8</v>
      </c>
      <c r="F984">
        <v>10.695849418640137</v>
      </c>
    </row>
    <row r="985" spans="2:6">
      <c r="B985">
        <v>2011</v>
      </c>
      <c r="C985" t="s">
        <v>24</v>
      </c>
      <c r="D985" t="s">
        <v>182</v>
      </c>
      <c r="E985" t="s">
        <v>9</v>
      </c>
      <c r="F985">
        <v>0.90786772966384888</v>
      </c>
    </row>
    <row r="986" spans="2:6">
      <c r="B986">
        <v>2011</v>
      </c>
      <c r="C986" t="s">
        <v>24</v>
      </c>
      <c r="D986" t="s">
        <v>182</v>
      </c>
      <c r="E986" t="s">
        <v>10</v>
      </c>
      <c r="F986">
        <v>66.580001831054688</v>
      </c>
    </row>
    <row r="987" spans="2:6">
      <c r="B987">
        <v>2011</v>
      </c>
      <c r="C987" t="s">
        <v>24</v>
      </c>
      <c r="D987" t="s">
        <v>182</v>
      </c>
      <c r="E987" t="s">
        <v>11</v>
      </c>
      <c r="F987">
        <v>0.86987036466598511</v>
      </c>
    </row>
    <row r="988" spans="2:6">
      <c r="B988">
        <v>2011</v>
      </c>
      <c r="C988" t="s">
        <v>24</v>
      </c>
      <c r="D988" t="s">
        <v>182</v>
      </c>
      <c r="E988" t="s">
        <v>12</v>
      </c>
      <c r="F988">
        <v>-5.1370814442634583E-2</v>
      </c>
    </row>
    <row r="989" spans="2:6">
      <c r="B989">
        <v>2011</v>
      </c>
      <c r="C989" t="s">
        <v>24</v>
      </c>
      <c r="D989" t="s">
        <v>182</v>
      </c>
      <c r="E989" t="s">
        <v>13</v>
      </c>
      <c r="F989">
        <v>0.58252245187759399</v>
      </c>
    </row>
    <row r="990" spans="2:6">
      <c r="B990">
        <v>2011</v>
      </c>
      <c r="C990" t="s">
        <v>24</v>
      </c>
      <c r="D990" t="s">
        <v>182</v>
      </c>
      <c r="E990" t="s">
        <v>14</v>
      </c>
      <c r="F990">
        <v>0.54358780384063721</v>
      </c>
    </row>
    <row r="991" spans="2:6">
      <c r="B991">
        <v>2011</v>
      </c>
      <c r="C991" t="s">
        <v>24</v>
      </c>
      <c r="D991" t="s">
        <v>182</v>
      </c>
      <c r="E991" t="s">
        <v>15</v>
      </c>
      <c r="F991">
        <v>0.51371920108795166</v>
      </c>
    </row>
    <row r="992" spans="2:6">
      <c r="B992">
        <v>2012</v>
      </c>
      <c r="C992" t="s">
        <v>24</v>
      </c>
      <c r="D992" t="s">
        <v>182</v>
      </c>
      <c r="E992" t="s">
        <v>7</v>
      </c>
      <c r="F992">
        <v>5.0271868705749512</v>
      </c>
    </row>
    <row r="993" spans="2:6">
      <c r="B993">
        <v>2012</v>
      </c>
      <c r="C993" t="s">
        <v>24</v>
      </c>
      <c r="D993" t="s">
        <v>182</v>
      </c>
      <c r="E993" t="s">
        <v>8</v>
      </c>
      <c r="F993">
        <v>10.715546607971191</v>
      </c>
    </row>
    <row r="994" spans="2:6">
      <c r="B994">
        <v>2012</v>
      </c>
      <c r="C994" t="s">
        <v>24</v>
      </c>
      <c r="D994" t="s">
        <v>182</v>
      </c>
      <c r="E994" t="s">
        <v>9</v>
      </c>
      <c r="F994">
        <v>0.9113495945930481</v>
      </c>
    </row>
    <row r="995" spans="2:6">
      <c r="B995">
        <v>2012</v>
      </c>
      <c r="C995" t="s">
        <v>24</v>
      </c>
      <c r="D995" t="s">
        <v>182</v>
      </c>
      <c r="E995" t="s">
        <v>10</v>
      </c>
      <c r="F995">
        <v>66.860000610351563</v>
      </c>
    </row>
    <row r="996" spans="2:6">
      <c r="B996">
        <v>2012</v>
      </c>
      <c r="C996" t="s">
        <v>24</v>
      </c>
      <c r="D996" t="s">
        <v>182</v>
      </c>
      <c r="E996" t="s">
        <v>11</v>
      </c>
      <c r="F996">
        <v>0.68182289600372314</v>
      </c>
    </row>
    <row r="997" spans="2:6">
      <c r="B997">
        <v>2012</v>
      </c>
      <c r="C997" t="s">
        <v>24</v>
      </c>
      <c r="D997" t="s">
        <v>182</v>
      </c>
      <c r="E997" t="s">
        <v>13</v>
      </c>
      <c r="F997">
        <v>0.43791526556015015</v>
      </c>
    </row>
    <row r="998" spans="2:6">
      <c r="B998">
        <v>2012</v>
      </c>
      <c r="C998" t="s">
        <v>24</v>
      </c>
      <c r="D998" t="s">
        <v>182</v>
      </c>
      <c r="E998" t="s">
        <v>14</v>
      </c>
      <c r="F998">
        <v>0.58901548385620117</v>
      </c>
    </row>
    <row r="999" spans="2:6">
      <c r="B999">
        <v>2012</v>
      </c>
      <c r="C999" t="s">
        <v>24</v>
      </c>
      <c r="D999" t="s">
        <v>182</v>
      </c>
      <c r="E999" t="s">
        <v>15</v>
      </c>
      <c r="F999">
        <v>0.38081476092338562</v>
      </c>
    </row>
    <row r="1000" spans="2:6">
      <c r="B1000">
        <v>2013</v>
      </c>
      <c r="C1000" t="s">
        <v>24</v>
      </c>
      <c r="D1000" t="s">
        <v>182</v>
      </c>
      <c r="E1000" t="s">
        <v>7</v>
      </c>
      <c r="F1000">
        <v>6.6897110939025879</v>
      </c>
    </row>
    <row r="1001" spans="2:6">
      <c r="B1001">
        <v>2013</v>
      </c>
      <c r="C1001" t="s">
        <v>24</v>
      </c>
      <c r="D1001" t="s">
        <v>182</v>
      </c>
      <c r="E1001" t="s">
        <v>8</v>
      </c>
      <c r="F1001">
        <v>10.756760597229004</v>
      </c>
    </row>
    <row r="1002" spans="2:6">
      <c r="B1002">
        <v>2013</v>
      </c>
      <c r="C1002" t="s">
        <v>24</v>
      </c>
      <c r="D1002" t="s">
        <v>182</v>
      </c>
      <c r="E1002" t="s">
        <v>9</v>
      </c>
      <c r="F1002">
        <v>0.88378053903579712</v>
      </c>
    </row>
    <row r="1003" spans="2:6">
      <c r="B1003">
        <v>2013</v>
      </c>
      <c r="C1003" t="s">
        <v>24</v>
      </c>
      <c r="D1003" t="s">
        <v>182</v>
      </c>
      <c r="E1003" t="s">
        <v>10</v>
      </c>
      <c r="F1003">
        <v>67.139999389648438</v>
      </c>
    </row>
    <row r="1004" spans="2:6">
      <c r="B1004">
        <v>2013</v>
      </c>
      <c r="C1004" t="s">
        <v>24</v>
      </c>
      <c r="D1004" t="s">
        <v>182</v>
      </c>
      <c r="E1004" t="s">
        <v>11</v>
      </c>
      <c r="F1004">
        <v>0.80920594930648804</v>
      </c>
    </row>
    <row r="1005" spans="2:6">
      <c r="B1005">
        <v>2013</v>
      </c>
      <c r="C1005" t="s">
        <v>24</v>
      </c>
      <c r="D1005" t="s">
        <v>182</v>
      </c>
      <c r="E1005" t="s">
        <v>13</v>
      </c>
      <c r="F1005">
        <v>0.5247032642364502</v>
      </c>
    </row>
    <row r="1006" spans="2:6">
      <c r="B1006">
        <v>2013</v>
      </c>
      <c r="C1006" t="s">
        <v>24</v>
      </c>
      <c r="D1006" t="s">
        <v>182</v>
      </c>
      <c r="E1006" t="s">
        <v>14</v>
      </c>
      <c r="F1006">
        <v>0.76838308572769165</v>
      </c>
    </row>
    <row r="1007" spans="2:6">
      <c r="B1007">
        <v>2013</v>
      </c>
      <c r="C1007" t="s">
        <v>24</v>
      </c>
      <c r="D1007" t="s">
        <v>182</v>
      </c>
      <c r="E1007" t="s">
        <v>15</v>
      </c>
      <c r="F1007">
        <v>0.30620941519737244</v>
      </c>
    </row>
    <row r="1008" spans="2:6">
      <c r="B1008">
        <v>2014</v>
      </c>
      <c r="C1008" t="s">
        <v>24</v>
      </c>
      <c r="D1008" t="s">
        <v>182</v>
      </c>
      <c r="E1008" t="s">
        <v>7</v>
      </c>
      <c r="F1008">
        <v>6.1651339530944824</v>
      </c>
    </row>
    <row r="1009" spans="2:6">
      <c r="B1009">
        <v>2014</v>
      </c>
      <c r="C1009" t="s">
        <v>24</v>
      </c>
      <c r="D1009" t="s">
        <v>182</v>
      </c>
      <c r="E1009" t="s">
        <v>8</v>
      </c>
      <c r="F1009">
        <v>10.783467292785645</v>
      </c>
    </row>
    <row r="1010" spans="2:6">
      <c r="B1010">
        <v>2014</v>
      </c>
      <c r="C1010" t="s">
        <v>24</v>
      </c>
      <c r="D1010" t="s">
        <v>182</v>
      </c>
      <c r="E1010" t="s">
        <v>10</v>
      </c>
      <c r="F1010">
        <v>67.419998168945313</v>
      </c>
    </row>
    <row r="1011" spans="2:6">
      <c r="B1011">
        <v>2015</v>
      </c>
      <c r="C1011" t="s">
        <v>24</v>
      </c>
      <c r="D1011" t="s">
        <v>182</v>
      </c>
      <c r="E1011" t="s">
        <v>7</v>
      </c>
      <c r="F1011">
        <v>6.0073752403259277</v>
      </c>
    </row>
    <row r="1012" spans="2:6">
      <c r="B1012">
        <v>2015</v>
      </c>
      <c r="C1012" t="s">
        <v>24</v>
      </c>
      <c r="D1012" t="s">
        <v>182</v>
      </c>
      <c r="E1012" t="s">
        <v>8</v>
      </c>
      <c r="F1012">
        <v>10.785270690917969</v>
      </c>
    </row>
    <row r="1013" spans="2:6">
      <c r="B1013">
        <v>2015</v>
      </c>
      <c r="C1013" t="s">
        <v>24</v>
      </c>
      <c r="D1013" t="s">
        <v>182</v>
      </c>
      <c r="E1013" t="s">
        <v>9</v>
      </c>
      <c r="F1013">
        <v>0.85255074501037598</v>
      </c>
    </row>
    <row r="1014" spans="2:6">
      <c r="B1014">
        <v>2015</v>
      </c>
      <c r="C1014" t="s">
        <v>24</v>
      </c>
      <c r="D1014" t="s">
        <v>182</v>
      </c>
      <c r="E1014" t="s">
        <v>10</v>
      </c>
      <c r="F1014">
        <v>67.699996948242188</v>
      </c>
    </row>
    <row r="1015" spans="2:6">
      <c r="B1015">
        <v>2015</v>
      </c>
      <c r="C1015" t="s">
        <v>24</v>
      </c>
      <c r="D1015" t="s">
        <v>182</v>
      </c>
      <c r="E1015" t="s">
        <v>11</v>
      </c>
      <c r="F1015">
        <v>0.84952116012573242</v>
      </c>
    </row>
    <row r="1016" spans="2:6">
      <c r="B1016">
        <v>2015</v>
      </c>
      <c r="C1016" t="s">
        <v>24</v>
      </c>
      <c r="D1016" t="s">
        <v>182</v>
      </c>
      <c r="E1016" t="s">
        <v>12</v>
      </c>
      <c r="F1016">
        <v>0.11202140152454376</v>
      </c>
    </row>
    <row r="1017" spans="2:6">
      <c r="B1017">
        <v>2015</v>
      </c>
      <c r="C1017" t="s">
        <v>24</v>
      </c>
      <c r="D1017" t="s">
        <v>182</v>
      </c>
      <c r="E1017" t="s">
        <v>14</v>
      </c>
      <c r="F1017">
        <v>0.71554297208786011</v>
      </c>
    </row>
    <row r="1018" spans="2:6">
      <c r="B1018">
        <v>2015</v>
      </c>
      <c r="C1018" t="s">
        <v>24</v>
      </c>
      <c r="D1018" t="s">
        <v>182</v>
      </c>
      <c r="E1018" t="s">
        <v>15</v>
      </c>
      <c r="F1018">
        <v>0.30297210812568665</v>
      </c>
    </row>
    <row r="1019" spans="2:6">
      <c r="B1019">
        <v>2016</v>
      </c>
      <c r="C1019" t="s">
        <v>24</v>
      </c>
      <c r="D1019" t="s">
        <v>182</v>
      </c>
      <c r="E1019" t="s">
        <v>7</v>
      </c>
      <c r="F1019">
        <v>6.1696734428405762</v>
      </c>
    </row>
    <row r="1020" spans="2:6">
      <c r="B1020">
        <v>2016</v>
      </c>
      <c r="C1020" t="s">
        <v>24</v>
      </c>
      <c r="D1020" t="s">
        <v>182</v>
      </c>
      <c r="E1020" t="s">
        <v>8</v>
      </c>
      <c r="F1020">
        <v>10.780850410461426</v>
      </c>
    </row>
    <row r="1021" spans="2:6">
      <c r="B1021">
        <v>2016</v>
      </c>
      <c r="C1021" t="s">
        <v>24</v>
      </c>
      <c r="D1021" t="s">
        <v>182</v>
      </c>
      <c r="E1021" t="s">
        <v>9</v>
      </c>
      <c r="F1021">
        <v>0.86270010471343994</v>
      </c>
    </row>
    <row r="1022" spans="2:6">
      <c r="B1022">
        <v>2016</v>
      </c>
      <c r="C1022" t="s">
        <v>24</v>
      </c>
      <c r="D1022" t="s">
        <v>182</v>
      </c>
      <c r="E1022" t="s">
        <v>10</v>
      </c>
      <c r="F1022">
        <v>68.099998474121094</v>
      </c>
    </row>
    <row r="1023" spans="2:6">
      <c r="B1023">
        <v>2016</v>
      </c>
      <c r="C1023" t="s">
        <v>24</v>
      </c>
      <c r="D1023" t="s">
        <v>182</v>
      </c>
      <c r="E1023" t="s">
        <v>11</v>
      </c>
      <c r="F1023">
        <v>0.88869106769561768</v>
      </c>
    </row>
    <row r="1024" spans="2:6">
      <c r="B1024">
        <v>2016</v>
      </c>
      <c r="C1024" t="s">
        <v>24</v>
      </c>
      <c r="D1024" t="s">
        <v>182</v>
      </c>
      <c r="E1024" t="s">
        <v>12</v>
      </c>
      <c r="F1024">
        <v>8.8187478482723236E-2</v>
      </c>
    </row>
    <row r="1025" spans="2:6">
      <c r="B1025">
        <v>2016</v>
      </c>
      <c r="C1025" t="s">
        <v>24</v>
      </c>
      <c r="D1025" t="s">
        <v>182</v>
      </c>
      <c r="E1025" t="s">
        <v>14</v>
      </c>
      <c r="F1025">
        <v>0.78718721866607666</v>
      </c>
    </row>
    <row r="1026" spans="2:6">
      <c r="B1026">
        <v>2016</v>
      </c>
      <c r="C1026" t="s">
        <v>24</v>
      </c>
      <c r="D1026" t="s">
        <v>182</v>
      </c>
      <c r="E1026" t="s">
        <v>15</v>
      </c>
      <c r="F1026">
        <v>0.28346633911132813</v>
      </c>
    </row>
    <row r="1027" spans="2:6">
      <c r="B1027">
        <v>2017</v>
      </c>
      <c r="C1027" t="s">
        <v>24</v>
      </c>
      <c r="D1027" t="s">
        <v>182</v>
      </c>
      <c r="E1027" t="s">
        <v>7</v>
      </c>
      <c r="F1027">
        <v>6.227320671081543</v>
      </c>
    </row>
    <row r="1028" spans="2:6">
      <c r="B1028">
        <v>2017</v>
      </c>
      <c r="C1028" t="s">
        <v>24</v>
      </c>
      <c r="D1028" t="s">
        <v>182</v>
      </c>
      <c r="E1028" t="s">
        <v>8</v>
      </c>
      <c r="F1028">
        <v>10.771479606628418</v>
      </c>
    </row>
    <row r="1029" spans="2:6">
      <c r="B1029">
        <v>2017</v>
      </c>
      <c r="C1029" t="s">
        <v>24</v>
      </c>
      <c r="D1029" t="s">
        <v>182</v>
      </c>
      <c r="E1029" t="s">
        <v>9</v>
      </c>
      <c r="F1029">
        <v>0.87574714422225952</v>
      </c>
    </row>
    <row r="1030" spans="2:6">
      <c r="B1030">
        <v>2017</v>
      </c>
      <c r="C1030" t="s">
        <v>24</v>
      </c>
      <c r="D1030" t="s">
        <v>182</v>
      </c>
      <c r="E1030" t="s">
        <v>10</v>
      </c>
      <c r="F1030">
        <v>68.5</v>
      </c>
    </row>
    <row r="1031" spans="2:6">
      <c r="B1031">
        <v>2017</v>
      </c>
      <c r="C1031" t="s">
        <v>24</v>
      </c>
      <c r="D1031" t="s">
        <v>182</v>
      </c>
      <c r="E1031" t="s">
        <v>11</v>
      </c>
      <c r="F1031">
        <v>0.90585851669311523</v>
      </c>
    </row>
    <row r="1032" spans="2:6">
      <c r="B1032">
        <v>2017</v>
      </c>
      <c r="C1032" t="s">
        <v>24</v>
      </c>
      <c r="D1032" t="s">
        <v>182</v>
      </c>
      <c r="E1032" t="s">
        <v>12</v>
      </c>
      <c r="F1032">
        <v>0.13631758093833923</v>
      </c>
    </row>
    <row r="1033" spans="2:6">
      <c r="B1033">
        <v>2017</v>
      </c>
      <c r="C1033" t="s">
        <v>24</v>
      </c>
      <c r="D1033" t="s">
        <v>182</v>
      </c>
      <c r="E1033" t="s">
        <v>14</v>
      </c>
      <c r="F1033">
        <v>0.81357055902481079</v>
      </c>
    </row>
    <row r="1034" spans="2:6">
      <c r="B1034">
        <v>2017</v>
      </c>
      <c r="C1034" t="s">
        <v>24</v>
      </c>
      <c r="D1034" t="s">
        <v>182</v>
      </c>
      <c r="E1034" t="s">
        <v>15</v>
      </c>
      <c r="F1034">
        <v>0.28975951671600342</v>
      </c>
    </row>
    <row r="1035" spans="2:6">
      <c r="B1035">
        <v>2019</v>
      </c>
      <c r="C1035" t="s">
        <v>24</v>
      </c>
      <c r="D1035" t="s">
        <v>182</v>
      </c>
      <c r="E1035" t="s">
        <v>7</v>
      </c>
      <c r="F1035">
        <v>7.0980124473571777</v>
      </c>
    </row>
    <row r="1036" spans="2:6">
      <c r="B1036">
        <v>2019</v>
      </c>
      <c r="C1036" t="s">
        <v>24</v>
      </c>
      <c r="D1036" t="s">
        <v>182</v>
      </c>
      <c r="E1036" t="s">
        <v>8</v>
      </c>
      <c r="F1036">
        <v>10.714990615844727</v>
      </c>
    </row>
    <row r="1037" spans="2:6">
      <c r="B1037">
        <v>2019</v>
      </c>
      <c r="C1037" t="s">
        <v>24</v>
      </c>
      <c r="D1037" t="s">
        <v>182</v>
      </c>
      <c r="E1037" t="s">
        <v>9</v>
      </c>
      <c r="F1037">
        <v>0.8779294490814209</v>
      </c>
    </row>
    <row r="1038" spans="2:6">
      <c r="B1038">
        <v>2019</v>
      </c>
      <c r="C1038" t="s">
        <v>24</v>
      </c>
      <c r="D1038" t="s">
        <v>182</v>
      </c>
      <c r="E1038" t="s">
        <v>10</v>
      </c>
      <c r="F1038">
        <v>69.300003051757813</v>
      </c>
    </row>
    <row r="1039" spans="2:6">
      <c r="B1039">
        <v>2019</v>
      </c>
      <c r="C1039" t="s">
        <v>24</v>
      </c>
      <c r="D1039" t="s">
        <v>182</v>
      </c>
      <c r="E1039" t="s">
        <v>11</v>
      </c>
      <c r="F1039">
        <v>0.90653550624847412</v>
      </c>
    </row>
    <row r="1040" spans="2:6">
      <c r="B1040">
        <v>2019</v>
      </c>
      <c r="C1040" t="s">
        <v>24</v>
      </c>
      <c r="D1040" t="s">
        <v>182</v>
      </c>
      <c r="E1040" t="s">
        <v>12</v>
      </c>
      <c r="F1040">
        <v>4.7863245010375977E-2</v>
      </c>
    </row>
    <row r="1041" spans="2:6">
      <c r="B1041">
        <v>2019</v>
      </c>
      <c r="C1041" t="s">
        <v>24</v>
      </c>
      <c r="D1041" t="s">
        <v>182</v>
      </c>
      <c r="E1041" t="s">
        <v>14</v>
      </c>
      <c r="F1041">
        <v>0.76162296533584595</v>
      </c>
    </row>
    <row r="1042" spans="2:6">
      <c r="B1042">
        <v>2019</v>
      </c>
      <c r="C1042" t="s">
        <v>24</v>
      </c>
      <c r="D1042" t="s">
        <v>182</v>
      </c>
      <c r="E1042" t="s">
        <v>15</v>
      </c>
      <c r="F1042">
        <v>0.31710639595985413</v>
      </c>
    </row>
    <row r="1043" spans="2:6">
      <c r="B1043">
        <v>2020</v>
      </c>
      <c r="C1043" t="s">
        <v>24</v>
      </c>
      <c r="D1043" t="s">
        <v>182</v>
      </c>
      <c r="E1043" t="s">
        <v>7</v>
      </c>
      <c r="F1043">
        <v>6.1731758117675781</v>
      </c>
    </row>
    <row r="1044" spans="2:6">
      <c r="B1044">
        <v>2020</v>
      </c>
      <c r="C1044" t="s">
        <v>24</v>
      </c>
      <c r="D1044" t="s">
        <v>182</v>
      </c>
      <c r="E1044" t="s">
        <v>8</v>
      </c>
      <c r="F1044">
        <v>10.619903564453125</v>
      </c>
    </row>
    <row r="1045" spans="2:6">
      <c r="B1045">
        <v>2020</v>
      </c>
      <c r="C1045" t="s">
        <v>24</v>
      </c>
      <c r="D1045" t="s">
        <v>182</v>
      </c>
      <c r="E1045" t="s">
        <v>9</v>
      </c>
      <c r="F1045">
        <v>0.84774506092071533</v>
      </c>
    </row>
    <row r="1046" spans="2:6">
      <c r="B1046">
        <v>2020</v>
      </c>
      <c r="C1046" t="s">
        <v>24</v>
      </c>
      <c r="D1046" t="s">
        <v>182</v>
      </c>
      <c r="E1046" t="s">
        <v>10</v>
      </c>
      <c r="F1046">
        <v>69.699996948242188</v>
      </c>
    </row>
    <row r="1047" spans="2:6">
      <c r="B1047">
        <v>2020</v>
      </c>
      <c r="C1047" t="s">
        <v>24</v>
      </c>
      <c r="D1047" t="s">
        <v>182</v>
      </c>
      <c r="E1047" t="s">
        <v>11</v>
      </c>
      <c r="F1047">
        <v>0.9452325701713562</v>
      </c>
    </row>
    <row r="1048" spans="2:6">
      <c r="B1048">
        <v>2020</v>
      </c>
      <c r="C1048" t="s">
        <v>24</v>
      </c>
      <c r="D1048" t="s">
        <v>182</v>
      </c>
      <c r="E1048" t="s">
        <v>12</v>
      </c>
      <c r="F1048">
        <v>0.13244104385375977</v>
      </c>
    </row>
    <row r="1049" spans="2:6">
      <c r="B1049">
        <v>2020</v>
      </c>
      <c r="C1049" t="s">
        <v>24</v>
      </c>
      <c r="D1049" t="s">
        <v>182</v>
      </c>
      <c r="E1049" t="s">
        <v>14</v>
      </c>
      <c r="F1049">
        <v>0.78979498147964478</v>
      </c>
    </row>
    <row r="1050" spans="2:6">
      <c r="B1050">
        <v>2020</v>
      </c>
      <c r="C1050" t="s">
        <v>24</v>
      </c>
      <c r="D1050" t="s">
        <v>182</v>
      </c>
      <c r="E1050" t="s">
        <v>15</v>
      </c>
      <c r="F1050">
        <v>0.29683545231819153</v>
      </c>
    </row>
    <row r="1051" spans="2:6">
      <c r="B1051">
        <v>2006</v>
      </c>
      <c r="C1051" t="s">
        <v>25</v>
      </c>
      <c r="D1051" t="s">
        <v>182</v>
      </c>
      <c r="E1051" t="s">
        <v>7</v>
      </c>
      <c r="F1051">
        <v>4.3189091682434082</v>
      </c>
    </row>
    <row r="1052" spans="2:6">
      <c r="B1052">
        <v>2006</v>
      </c>
      <c r="C1052" t="s">
        <v>25</v>
      </c>
      <c r="D1052" t="s">
        <v>182</v>
      </c>
      <c r="E1052" t="s">
        <v>8</v>
      </c>
      <c r="F1052">
        <v>7.7828412055969238</v>
      </c>
    </row>
    <row r="1053" spans="2:6">
      <c r="B1053">
        <v>2006</v>
      </c>
      <c r="C1053" t="s">
        <v>25</v>
      </c>
      <c r="D1053" t="s">
        <v>182</v>
      </c>
      <c r="E1053" t="s">
        <v>9</v>
      </c>
      <c r="F1053">
        <v>0.67200219631195068</v>
      </c>
    </row>
    <row r="1054" spans="2:6">
      <c r="B1054">
        <v>2006</v>
      </c>
      <c r="C1054" t="s">
        <v>25</v>
      </c>
      <c r="D1054" t="s">
        <v>182</v>
      </c>
      <c r="E1054" t="s">
        <v>10</v>
      </c>
      <c r="F1054">
        <v>59.020000457763672</v>
      </c>
    </row>
    <row r="1055" spans="2:6">
      <c r="B1055">
        <v>2006</v>
      </c>
      <c r="C1055" t="s">
        <v>25</v>
      </c>
      <c r="D1055" t="s">
        <v>182</v>
      </c>
      <c r="E1055" t="s">
        <v>11</v>
      </c>
      <c r="F1055">
        <v>0.61166423559188843</v>
      </c>
    </row>
    <row r="1056" spans="2:6">
      <c r="B1056">
        <v>2006</v>
      </c>
      <c r="C1056" t="s">
        <v>25</v>
      </c>
      <c r="D1056" t="s">
        <v>182</v>
      </c>
      <c r="E1056" t="s">
        <v>12</v>
      </c>
      <c r="F1056">
        <v>6.827283650636673E-2</v>
      </c>
    </row>
    <row r="1057" spans="2:6">
      <c r="B1057">
        <v>2006</v>
      </c>
      <c r="C1057" t="s">
        <v>25</v>
      </c>
      <c r="D1057" t="s">
        <v>182</v>
      </c>
      <c r="E1057" t="s">
        <v>13</v>
      </c>
      <c r="F1057">
        <v>0.78591620922088623</v>
      </c>
    </row>
    <row r="1058" spans="2:6">
      <c r="B1058">
        <v>2006</v>
      </c>
      <c r="C1058" t="s">
        <v>25</v>
      </c>
      <c r="D1058" t="s">
        <v>182</v>
      </c>
      <c r="E1058" t="s">
        <v>14</v>
      </c>
      <c r="F1058">
        <v>0.59994542598724365</v>
      </c>
    </row>
    <row r="1059" spans="2:6">
      <c r="B1059">
        <v>2006</v>
      </c>
      <c r="C1059" t="s">
        <v>25</v>
      </c>
      <c r="D1059" t="s">
        <v>182</v>
      </c>
      <c r="E1059" t="s">
        <v>15</v>
      </c>
      <c r="F1059">
        <v>0.3207927942276001</v>
      </c>
    </row>
    <row r="1060" spans="2:6">
      <c r="B1060">
        <v>2007</v>
      </c>
      <c r="C1060" t="s">
        <v>25</v>
      </c>
      <c r="D1060" t="s">
        <v>182</v>
      </c>
      <c r="E1060" t="s">
        <v>7</v>
      </c>
      <c r="F1060">
        <v>4.6073222160339355</v>
      </c>
    </row>
    <row r="1061" spans="2:6">
      <c r="B1061">
        <v>2007</v>
      </c>
      <c r="C1061" t="s">
        <v>25</v>
      </c>
      <c r="D1061" t="s">
        <v>182</v>
      </c>
      <c r="E1061" t="s">
        <v>8</v>
      </c>
      <c r="F1061">
        <v>7.8387813568115234</v>
      </c>
    </row>
    <row r="1062" spans="2:6">
      <c r="B1062">
        <v>2007</v>
      </c>
      <c r="C1062" t="s">
        <v>25</v>
      </c>
      <c r="D1062" t="s">
        <v>182</v>
      </c>
      <c r="E1062" t="s">
        <v>9</v>
      </c>
      <c r="F1062">
        <v>0.51417070627212524</v>
      </c>
    </row>
    <row r="1063" spans="2:6">
      <c r="B1063">
        <v>2007</v>
      </c>
      <c r="C1063" t="s">
        <v>25</v>
      </c>
      <c r="D1063" t="s">
        <v>182</v>
      </c>
      <c r="E1063" t="s">
        <v>10</v>
      </c>
      <c r="F1063">
        <v>59.439998626708984</v>
      </c>
    </row>
    <row r="1064" spans="2:6">
      <c r="B1064">
        <v>2007</v>
      </c>
      <c r="C1064" t="s">
        <v>25</v>
      </c>
      <c r="D1064" t="s">
        <v>182</v>
      </c>
      <c r="E1064" t="s">
        <v>11</v>
      </c>
      <c r="F1064">
        <v>0.60453832149505615</v>
      </c>
    </row>
    <row r="1065" spans="2:6">
      <c r="B1065">
        <v>2007</v>
      </c>
      <c r="C1065" t="s">
        <v>25</v>
      </c>
      <c r="D1065" t="s">
        <v>182</v>
      </c>
      <c r="E1065" t="s">
        <v>12</v>
      </c>
      <c r="F1065">
        <v>4.0334764868021011E-2</v>
      </c>
    </row>
    <row r="1066" spans="2:6">
      <c r="B1066">
        <v>2007</v>
      </c>
      <c r="C1066" t="s">
        <v>25</v>
      </c>
      <c r="D1066" t="s">
        <v>182</v>
      </c>
      <c r="E1066" t="s">
        <v>13</v>
      </c>
      <c r="F1066">
        <v>0.80611687898635864</v>
      </c>
    </row>
    <row r="1067" spans="2:6">
      <c r="B1067">
        <v>2007</v>
      </c>
      <c r="C1067" t="s">
        <v>25</v>
      </c>
      <c r="D1067" t="s">
        <v>182</v>
      </c>
      <c r="E1067" t="s">
        <v>14</v>
      </c>
      <c r="F1067">
        <v>0.63459891080856323</v>
      </c>
    </row>
    <row r="1068" spans="2:6">
      <c r="B1068">
        <v>2007</v>
      </c>
      <c r="C1068" t="s">
        <v>25</v>
      </c>
      <c r="D1068" t="s">
        <v>182</v>
      </c>
      <c r="E1068" t="s">
        <v>15</v>
      </c>
      <c r="F1068">
        <v>0.31313815712928772</v>
      </c>
    </row>
    <row r="1069" spans="2:6">
      <c r="B1069">
        <v>2008</v>
      </c>
      <c r="C1069" t="s">
        <v>25</v>
      </c>
      <c r="D1069" t="s">
        <v>182</v>
      </c>
      <c r="E1069" t="s">
        <v>7</v>
      </c>
      <c r="F1069">
        <v>5.0522785186767578</v>
      </c>
    </row>
    <row r="1070" spans="2:6">
      <c r="B1070">
        <v>2008</v>
      </c>
      <c r="C1070" t="s">
        <v>25</v>
      </c>
      <c r="D1070" t="s">
        <v>182</v>
      </c>
      <c r="E1070" t="s">
        <v>8</v>
      </c>
      <c r="F1070">
        <v>7.8857235908508301</v>
      </c>
    </row>
    <row r="1071" spans="2:6">
      <c r="B1071">
        <v>2008</v>
      </c>
      <c r="C1071" t="s">
        <v>25</v>
      </c>
      <c r="D1071" t="s">
        <v>182</v>
      </c>
      <c r="E1071" t="s">
        <v>9</v>
      </c>
      <c r="F1071">
        <v>0.46655347943305969</v>
      </c>
    </row>
    <row r="1072" spans="2:6">
      <c r="B1072">
        <v>2008</v>
      </c>
      <c r="C1072" t="s">
        <v>25</v>
      </c>
      <c r="D1072" t="s">
        <v>182</v>
      </c>
      <c r="E1072" t="s">
        <v>10</v>
      </c>
      <c r="F1072">
        <v>59.860000610351563</v>
      </c>
    </row>
    <row r="1073" spans="2:6">
      <c r="B1073">
        <v>2008</v>
      </c>
      <c r="C1073" t="s">
        <v>25</v>
      </c>
      <c r="D1073" t="s">
        <v>182</v>
      </c>
      <c r="E1073" t="s">
        <v>11</v>
      </c>
      <c r="F1073">
        <v>0.60601216554641724</v>
      </c>
    </row>
    <row r="1074" spans="2:6">
      <c r="B1074">
        <v>2008</v>
      </c>
      <c r="C1074" t="s">
        <v>25</v>
      </c>
      <c r="D1074" t="s">
        <v>182</v>
      </c>
      <c r="E1074" t="s">
        <v>12</v>
      </c>
      <c r="F1074">
        <v>-4.3634317815303802E-2</v>
      </c>
    </row>
    <row r="1075" spans="2:6">
      <c r="B1075">
        <v>2008</v>
      </c>
      <c r="C1075" t="s">
        <v>25</v>
      </c>
      <c r="D1075" t="s">
        <v>182</v>
      </c>
      <c r="E1075" t="s">
        <v>13</v>
      </c>
      <c r="F1075">
        <v>0.80181992053985596</v>
      </c>
    </row>
    <row r="1076" spans="2:6">
      <c r="B1076">
        <v>2008</v>
      </c>
      <c r="C1076" t="s">
        <v>25</v>
      </c>
      <c r="D1076" t="s">
        <v>182</v>
      </c>
      <c r="E1076" t="s">
        <v>14</v>
      </c>
      <c r="F1076">
        <v>0.7253868579864502</v>
      </c>
    </row>
    <row r="1077" spans="2:6">
      <c r="B1077">
        <v>2008</v>
      </c>
      <c r="C1077" t="s">
        <v>25</v>
      </c>
      <c r="D1077" t="s">
        <v>182</v>
      </c>
      <c r="E1077" t="s">
        <v>15</v>
      </c>
      <c r="F1077">
        <v>0.23186075687408447</v>
      </c>
    </row>
    <row r="1078" spans="2:6">
      <c r="B1078">
        <v>2009</v>
      </c>
      <c r="C1078" t="s">
        <v>25</v>
      </c>
      <c r="D1078" t="s">
        <v>182</v>
      </c>
      <c r="E1078" t="s">
        <v>7</v>
      </c>
      <c r="F1078">
        <v>5.0828514099121094</v>
      </c>
    </row>
    <row r="1079" spans="2:6">
      <c r="B1079">
        <v>2009</v>
      </c>
      <c r="C1079" t="s">
        <v>25</v>
      </c>
      <c r="D1079" t="s">
        <v>182</v>
      </c>
      <c r="E1079" t="s">
        <v>8</v>
      </c>
      <c r="F1079">
        <v>7.9237756729125977</v>
      </c>
    </row>
    <row r="1080" spans="2:6">
      <c r="B1080">
        <v>2009</v>
      </c>
      <c r="C1080" t="s">
        <v>25</v>
      </c>
      <c r="D1080" t="s">
        <v>182</v>
      </c>
      <c r="E1080" t="s">
        <v>9</v>
      </c>
      <c r="F1080">
        <v>0.52781355381011963</v>
      </c>
    </row>
    <row r="1081" spans="2:6">
      <c r="B1081">
        <v>2009</v>
      </c>
      <c r="C1081" t="s">
        <v>25</v>
      </c>
      <c r="D1081" t="s">
        <v>182</v>
      </c>
      <c r="E1081" t="s">
        <v>10</v>
      </c>
      <c r="F1081">
        <v>60.279998779296875</v>
      </c>
    </row>
    <row r="1082" spans="2:6">
      <c r="B1082">
        <v>2009</v>
      </c>
      <c r="C1082" t="s">
        <v>25</v>
      </c>
      <c r="D1082" t="s">
        <v>182</v>
      </c>
      <c r="E1082" t="s">
        <v>11</v>
      </c>
      <c r="F1082">
        <v>0.63093107938766479</v>
      </c>
    </row>
    <row r="1083" spans="2:6">
      <c r="B1083">
        <v>2009</v>
      </c>
      <c r="C1083" t="s">
        <v>25</v>
      </c>
      <c r="D1083" t="s">
        <v>182</v>
      </c>
      <c r="E1083" t="s">
        <v>12</v>
      </c>
      <c r="F1083">
        <v>-7.4514724314212799E-2</v>
      </c>
    </row>
    <row r="1084" spans="2:6">
      <c r="B1084">
        <v>2009</v>
      </c>
      <c r="C1084" t="s">
        <v>25</v>
      </c>
      <c r="D1084" t="s">
        <v>182</v>
      </c>
      <c r="E1084" t="s">
        <v>13</v>
      </c>
      <c r="F1084">
        <v>0.77600395679473877</v>
      </c>
    </row>
    <row r="1085" spans="2:6">
      <c r="B1085">
        <v>2009</v>
      </c>
      <c r="C1085" t="s">
        <v>25</v>
      </c>
      <c r="D1085" t="s">
        <v>182</v>
      </c>
      <c r="E1085" t="s">
        <v>14</v>
      </c>
      <c r="F1085">
        <v>0.67030030488967896</v>
      </c>
    </row>
    <row r="1086" spans="2:6">
      <c r="B1086">
        <v>2009</v>
      </c>
      <c r="C1086" t="s">
        <v>25</v>
      </c>
      <c r="D1086" t="s">
        <v>182</v>
      </c>
      <c r="E1086" t="s">
        <v>15</v>
      </c>
      <c r="F1086">
        <v>0.22325384616851807</v>
      </c>
    </row>
    <row r="1087" spans="2:6">
      <c r="B1087">
        <v>2010</v>
      </c>
      <c r="C1087" t="s">
        <v>25</v>
      </c>
      <c r="D1087" t="s">
        <v>182</v>
      </c>
      <c r="E1087" t="s">
        <v>7</v>
      </c>
      <c r="F1087">
        <v>4.8584814071655273</v>
      </c>
    </row>
    <row r="1088" spans="2:6">
      <c r="B1088">
        <v>2010</v>
      </c>
      <c r="C1088" t="s">
        <v>25</v>
      </c>
      <c r="D1088" t="s">
        <v>182</v>
      </c>
      <c r="E1088" t="s">
        <v>8</v>
      </c>
      <c r="F1088">
        <v>7.9667487144470215</v>
      </c>
    </row>
    <row r="1089" spans="2:6">
      <c r="B1089">
        <v>2010</v>
      </c>
      <c r="C1089" t="s">
        <v>25</v>
      </c>
      <c r="D1089" t="s">
        <v>182</v>
      </c>
      <c r="E1089" t="s">
        <v>9</v>
      </c>
      <c r="F1089">
        <v>0.54939848184585571</v>
      </c>
    </row>
    <row r="1090" spans="2:6">
      <c r="B1090">
        <v>2010</v>
      </c>
      <c r="C1090" t="s">
        <v>25</v>
      </c>
      <c r="D1090" t="s">
        <v>182</v>
      </c>
      <c r="E1090" t="s">
        <v>10</v>
      </c>
      <c r="F1090">
        <v>60.700000762939453</v>
      </c>
    </row>
    <row r="1091" spans="2:6">
      <c r="B1091">
        <v>2010</v>
      </c>
      <c r="C1091" t="s">
        <v>25</v>
      </c>
      <c r="D1091" t="s">
        <v>182</v>
      </c>
      <c r="E1091" t="s">
        <v>11</v>
      </c>
      <c r="F1091">
        <v>0.65900564193725586</v>
      </c>
    </row>
    <row r="1092" spans="2:6">
      <c r="B1092">
        <v>2010</v>
      </c>
      <c r="C1092" t="s">
        <v>25</v>
      </c>
      <c r="D1092" t="s">
        <v>182</v>
      </c>
      <c r="E1092" t="s">
        <v>12</v>
      </c>
      <c r="F1092">
        <v>-1.6195779666304588E-2</v>
      </c>
    </row>
    <row r="1093" spans="2:6">
      <c r="B1093">
        <v>2010</v>
      </c>
      <c r="C1093" t="s">
        <v>25</v>
      </c>
      <c r="D1093" t="s">
        <v>182</v>
      </c>
      <c r="E1093" t="s">
        <v>13</v>
      </c>
      <c r="F1093">
        <v>0.77353048324584961</v>
      </c>
    </row>
    <row r="1094" spans="2:6">
      <c r="B1094">
        <v>2010</v>
      </c>
      <c r="C1094" t="s">
        <v>25</v>
      </c>
      <c r="D1094" t="s">
        <v>182</v>
      </c>
      <c r="E1094" t="s">
        <v>14</v>
      </c>
      <c r="F1094">
        <v>0.62857991456985474</v>
      </c>
    </row>
    <row r="1095" spans="2:6">
      <c r="B1095">
        <v>2010</v>
      </c>
      <c r="C1095" t="s">
        <v>25</v>
      </c>
      <c r="D1095" t="s">
        <v>182</v>
      </c>
      <c r="E1095" t="s">
        <v>15</v>
      </c>
      <c r="F1095">
        <v>0.29242521524429321</v>
      </c>
    </row>
    <row r="1096" spans="2:6">
      <c r="B1096">
        <v>2011</v>
      </c>
      <c r="C1096" t="s">
        <v>25</v>
      </c>
      <c r="D1096" t="s">
        <v>182</v>
      </c>
      <c r="E1096" t="s">
        <v>7</v>
      </c>
      <c r="F1096">
        <v>4.9856491088867188</v>
      </c>
    </row>
    <row r="1097" spans="2:6">
      <c r="B1097">
        <v>2011</v>
      </c>
      <c r="C1097" t="s">
        <v>25</v>
      </c>
      <c r="D1097" t="s">
        <v>182</v>
      </c>
      <c r="E1097" t="s">
        <v>8</v>
      </c>
      <c r="F1097">
        <v>8.0179462432861328</v>
      </c>
    </row>
    <row r="1098" spans="2:6">
      <c r="B1098">
        <v>2011</v>
      </c>
      <c r="C1098" t="s">
        <v>25</v>
      </c>
      <c r="D1098" t="s">
        <v>182</v>
      </c>
      <c r="E1098" t="s">
        <v>9</v>
      </c>
      <c r="F1098">
        <v>0.60645902156829834</v>
      </c>
    </row>
    <row r="1099" spans="2:6">
      <c r="B1099">
        <v>2011</v>
      </c>
      <c r="C1099" t="s">
        <v>25</v>
      </c>
      <c r="D1099" t="s">
        <v>182</v>
      </c>
      <c r="E1099" t="s">
        <v>10</v>
      </c>
      <c r="F1099">
        <v>61.119998931884766</v>
      </c>
    </row>
    <row r="1100" spans="2:6">
      <c r="B1100">
        <v>2011</v>
      </c>
      <c r="C1100" t="s">
        <v>25</v>
      </c>
      <c r="D1100" t="s">
        <v>182</v>
      </c>
      <c r="E1100" t="s">
        <v>11</v>
      </c>
      <c r="F1100">
        <v>0.83799535036087036</v>
      </c>
    </row>
    <row r="1101" spans="2:6">
      <c r="B1101">
        <v>2011</v>
      </c>
      <c r="C1101" t="s">
        <v>25</v>
      </c>
      <c r="D1101" t="s">
        <v>182</v>
      </c>
      <c r="E1101" t="s">
        <v>12</v>
      </c>
      <c r="F1101">
        <v>-6.9334514439105988E-2</v>
      </c>
    </row>
    <row r="1102" spans="2:6">
      <c r="B1102">
        <v>2011</v>
      </c>
      <c r="C1102" t="s">
        <v>25</v>
      </c>
      <c r="D1102" t="s">
        <v>182</v>
      </c>
      <c r="E1102" t="s">
        <v>13</v>
      </c>
      <c r="F1102">
        <v>0.75700265169143677</v>
      </c>
    </row>
    <row r="1103" spans="2:6">
      <c r="B1103">
        <v>2011</v>
      </c>
      <c r="C1103" t="s">
        <v>25</v>
      </c>
      <c r="D1103" t="s">
        <v>182</v>
      </c>
      <c r="E1103" t="s">
        <v>14</v>
      </c>
      <c r="F1103">
        <v>0.68499386310577393</v>
      </c>
    </row>
    <row r="1104" spans="2:6">
      <c r="B1104">
        <v>2011</v>
      </c>
      <c r="C1104" t="s">
        <v>25</v>
      </c>
      <c r="D1104" t="s">
        <v>182</v>
      </c>
      <c r="E1104" t="s">
        <v>15</v>
      </c>
      <c r="F1104">
        <v>0.23498153686523438</v>
      </c>
    </row>
    <row r="1105" spans="2:6">
      <c r="B1105">
        <v>2012</v>
      </c>
      <c r="C1105" t="s">
        <v>25</v>
      </c>
      <c r="D1105" t="s">
        <v>182</v>
      </c>
      <c r="E1105" t="s">
        <v>7</v>
      </c>
      <c r="F1105">
        <v>4.7244439125061035</v>
      </c>
    </row>
    <row r="1106" spans="2:6">
      <c r="B1106">
        <v>2012</v>
      </c>
      <c r="C1106" t="s">
        <v>25</v>
      </c>
      <c r="D1106" t="s">
        <v>182</v>
      </c>
      <c r="E1106" t="s">
        <v>8</v>
      </c>
      <c r="F1106">
        <v>8.0695724487304688</v>
      </c>
    </row>
    <row r="1107" spans="2:6">
      <c r="B1107">
        <v>2012</v>
      </c>
      <c r="C1107" t="s">
        <v>25</v>
      </c>
      <c r="D1107" t="s">
        <v>182</v>
      </c>
      <c r="E1107" t="s">
        <v>9</v>
      </c>
      <c r="F1107">
        <v>0.58176529407501221</v>
      </c>
    </row>
    <row r="1108" spans="2:6">
      <c r="B1108">
        <v>2012</v>
      </c>
      <c r="C1108" t="s">
        <v>25</v>
      </c>
      <c r="D1108" t="s">
        <v>182</v>
      </c>
      <c r="E1108" t="s">
        <v>10</v>
      </c>
      <c r="F1108">
        <v>61.540000915527344</v>
      </c>
    </row>
    <row r="1109" spans="2:6">
      <c r="B1109">
        <v>2012</v>
      </c>
      <c r="C1109" t="s">
        <v>25</v>
      </c>
      <c r="D1109" t="s">
        <v>182</v>
      </c>
      <c r="E1109" t="s">
        <v>11</v>
      </c>
      <c r="F1109">
        <v>0.66768229007720947</v>
      </c>
    </row>
    <row r="1110" spans="2:6">
      <c r="B1110">
        <v>2012</v>
      </c>
      <c r="C1110" t="s">
        <v>25</v>
      </c>
      <c r="D1110" t="s">
        <v>182</v>
      </c>
      <c r="E1110" t="s">
        <v>12</v>
      </c>
      <c r="F1110">
        <v>-3.4348618239164352E-2</v>
      </c>
    </row>
    <row r="1111" spans="2:6">
      <c r="B1111">
        <v>2012</v>
      </c>
      <c r="C1111" t="s">
        <v>25</v>
      </c>
      <c r="D1111" t="s">
        <v>182</v>
      </c>
      <c r="E1111" t="s">
        <v>13</v>
      </c>
      <c r="F1111">
        <v>0.76489442586898804</v>
      </c>
    </row>
    <row r="1112" spans="2:6">
      <c r="B1112">
        <v>2012</v>
      </c>
      <c r="C1112" t="s">
        <v>25</v>
      </c>
      <c r="D1112" t="s">
        <v>182</v>
      </c>
      <c r="E1112" t="s">
        <v>14</v>
      </c>
      <c r="F1112">
        <v>0.7135082483291626</v>
      </c>
    </row>
    <row r="1113" spans="2:6">
      <c r="B1113">
        <v>2012</v>
      </c>
      <c r="C1113" t="s">
        <v>25</v>
      </c>
      <c r="D1113" t="s">
        <v>182</v>
      </c>
      <c r="E1113" t="s">
        <v>15</v>
      </c>
      <c r="F1113">
        <v>0.18324539065361023</v>
      </c>
    </row>
    <row r="1114" spans="2:6">
      <c r="B1114">
        <v>2013</v>
      </c>
      <c r="C1114" t="s">
        <v>25</v>
      </c>
      <c r="D1114" t="s">
        <v>182</v>
      </c>
      <c r="E1114" t="s">
        <v>7</v>
      </c>
      <c r="F1114">
        <v>4.660161018371582</v>
      </c>
    </row>
    <row r="1115" spans="2:6">
      <c r="B1115">
        <v>2013</v>
      </c>
      <c r="C1115" t="s">
        <v>25</v>
      </c>
      <c r="D1115" t="s">
        <v>182</v>
      </c>
      <c r="E1115" t="s">
        <v>8</v>
      </c>
      <c r="F1115">
        <v>8.1164026260375977</v>
      </c>
    </row>
    <row r="1116" spans="2:6">
      <c r="B1116">
        <v>2013</v>
      </c>
      <c r="C1116" t="s">
        <v>25</v>
      </c>
      <c r="D1116" t="s">
        <v>182</v>
      </c>
      <c r="E1116" t="s">
        <v>9</v>
      </c>
      <c r="F1116">
        <v>0.53013968467712402</v>
      </c>
    </row>
    <row r="1117" spans="2:6">
      <c r="B1117">
        <v>2013</v>
      </c>
      <c r="C1117" t="s">
        <v>25</v>
      </c>
      <c r="D1117" t="s">
        <v>182</v>
      </c>
      <c r="E1117" t="s">
        <v>10</v>
      </c>
      <c r="F1117">
        <v>61.959999084472656</v>
      </c>
    </row>
    <row r="1118" spans="2:6">
      <c r="B1118">
        <v>2013</v>
      </c>
      <c r="C1118" t="s">
        <v>25</v>
      </c>
      <c r="D1118" t="s">
        <v>182</v>
      </c>
      <c r="E1118" t="s">
        <v>11</v>
      </c>
      <c r="F1118">
        <v>0.74151802062988281</v>
      </c>
    </row>
    <row r="1119" spans="2:6">
      <c r="B1119">
        <v>2013</v>
      </c>
      <c r="C1119" t="s">
        <v>25</v>
      </c>
      <c r="D1119" t="s">
        <v>182</v>
      </c>
      <c r="E1119" t="s">
        <v>12</v>
      </c>
      <c r="F1119">
        <v>-1.5539078041911125E-2</v>
      </c>
    </row>
    <row r="1120" spans="2:6">
      <c r="B1120">
        <v>2013</v>
      </c>
      <c r="C1120" t="s">
        <v>25</v>
      </c>
      <c r="D1120" t="s">
        <v>182</v>
      </c>
      <c r="E1120" t="s">
        <v>13</v>
      </c>
      <c r="F1120">
        <v>0.74277418851852417</v>
      </c>
    </row>
    <row r="1121" spans="2:6">
      <c r="B1121">
        <v>2013</v>
      </c>
      <c r="C1121" t="s">
        <v>25</v>
      </c>
      <c r="D1121" t="s">
        <v>182</v>
      </c>
      <c r="E1121" t="s">
        <v>14</v>
      </c>
      <c r="F1121">
        <v>0.61904627084732056</v>
      </c>
    </row>
    <row r="1122" spans="2:6">
      <c r="B1122">
        <v>2013</v>
      </c>
      <c r="C1122" t="s">
        <v>25</v>
      </c>
      <c r="D1122" t="s">
        <v>182</v>
      </c>
      <c r="E1122" t="s">
        <v>15</v>
      </c>
      <c r="F1122">
        <v>0.24605266749858856</v>
      </c>
    </row>
    <row r="1123" spans="2:6">
      <c r="B1123">
        <v>2014</v>
      </c>
      <c r="C1123" t="s">
        <v>25</v>
      </c>
      <c r="D1123" t="s">
        <v>182</v>
      </c>
      <c r="E1123" t="s">
        <v>7</v>
      </c>
      <c r="F1123">
        <v>4.6355648040771484</v>
      </c>
    </row>
    <row r="1124" spans="2:6">
      <c r="B1124">
        <v>2014</v>
      </c>
      <c r="C1124" t="s">
        <v>25</v>
      </c>
      <c r="D1124" t="s">
        <v>182</v>
      </c>
      <c r="E1124" t="s">
        <v>8</v>
      </c>
      <c r="F1124">
        <v>8.1638221740722656</v>
      </c>
    </row>
    <row r="1125" spans="2:6">
      <c r="B1125">
        <v>2014</v>
      </c>
      <c r="C1125" t="s">
        <v>25</v>
      </c>
      <c r="D1125" t="s">
        <v>182</v>
      </c>
      <c r="E1125" t="s">
        <v>9</v>
      </c>
      <c r="F1125">
        <v>0.57706505060195923</v>
      </c>
    </row>
    <row r="1126" spans="2:6">
      <c r="B1126">
        <v>2014</v>
      </c>
      <c r="C1126" t="s">
        <v>25</v>
      </c>
      <c r="D1126" t="s">
        <v>182</v>
      </c>
      <c r="E1126" t="s">
        <v>10</v>
      </c>
      <c r="F1126">
        <v>62.380001068115234</v>
      </c>
    </row>
    <row r="1127" spans="2:6">
      <c r="B1127">
        <v>2014</v>
      </c>
      <c r="C1127" t="s">
        <v>25</v>
      </c>
      <c r="D1127" t="s">
        <v>182</v>
      </c>
      <c r="E1127" t="s">
        <v>11</v>
      </c>
      <c r="F1127">
        <v>0.73551285266876221</v>
      </c>
    </row>
    <row r="1128" spans="2:6">
      <c r="B1128">
        <v>2014</v>
      </c>
      <c r="C1128" t="s">
        <v>25</v>
      </c>
      <c r="D1128" t="s">
        <v>182</v>
      </c>
      <c r="E1128" t="s">
        <v>12</v>
      </c>
      <c r="F1128">
        <v>-9.8168835043907166E-2</v>
      </c>
    </row>
    <row r="1129" spans="2:6">
      <c r="B1129">
        <v>2014</v>
      </c>
      <c r="C1129" t="s">
        <v>25</v>
      </c>
      <c r="D1129" t="s">
        <v>182</v>
      </c>
      <c r="E1129" t="s">
        <v>13</v>
      </c>
      <c r="F1129">
        <v>0.7893747091293335</v>
      </c>
    </row>
    <row r="1130" spans="2:6">
      <c r="B1130">
        <v>2014</v>
      </c>
      <c r="C1130" t="s">
        <v>25</v>
      </c>
      <c r="D1130" t="s">
        <v>182</v>
      </c>
      <c r="E1130" t="s">
        <v>15</v>
      </c>
      <c r="F1130">
        <v>0.23067836463451385</v>
      </c>
    </row>
    <row r="1131" spans="2:6">
      <c r="B1131">
        <v>2015</v>
      </c>
      <c r="C1131" t="s">
        <v>25</v>
      </c>
      <c r="D1131" t="s">
        <v>182</v>
      </c>
      <c r="E1131" t="s">
        <v>7</v>
      </c>
      <c r="F1131">
        <v>4.6334738731384277</v>
      </c>
    </row>
    <row r="1132" spans="2:6">
      <c r="B1132">
        <v>2015</v>
      </c>
      <c r="C1132" t="s">
        <v>25</v>
      </c>
      <c r="D1132" t="s">
        <v>182</v>
      </c>
      <c r="E1132" t="s">
        <v>8</v>
      </c>
      <c r="F1132">
        <v>8.2161178588867188</v>
      </c>
    </row>
    <row r="1133" spans="2:6">
      <c r="B1133">
        <v>2015</v>
      </c>
      <c r="C1133" t="s">
        <v>25</v>
      </c>
      <c r="D1133" t="s">
        <v>182</v>
      </c>
      <c r="E1133" t="s">
        <v>9</v>
      </c>
      <c r="F1133">
        <v>0.60146826505661011</v>
      </c>
    </row>
    <row r="1134" spans="2:6">
      <c r="B1134">
        <v>2015</v>
      </c>
      <c r="C1134" t="s">
        <v>25</v>
      </c>
      <c r="D1134" t="s">
        <v>182</v>
      </c>
      <c r="E1134" t="s">
        <v>10</v>
      </c>
      <c r="F1134">
        <v>62.799999237060547</v>
      </c>
    </row>
    <row r="1135" spans="2:6">
      <c r="B1135">
        <v>2015</v>
      </c>
      <c r="C1135" t="s">
        <v>25</v>
      </c>
      <c r="D1135" t="s">
        <v>182</v>
      </c>
      <c r="E1135" t="s">
        <v>11</v>
      </c>
      <c r="F1135">
        <v>0.81479626893997192</v>
      </c>
    </row>
    <row r="1136" spans="2:6">
      <c r="B1136">
        <v>2015</v>
      </c>
      <c r="C1136" t="s">
        <v>25</v>
      </c>
      <c r="D1136" t="s">
        <v>182</v>
      </c>
      <c r="E1136" t="s">
        <v>12</v>
      </c>
      <c r="F1136">
        <v>-6.8448856472969055E-2</v>
      </c>
    </row>
    <row r="1137" spans="2:6">
      <c r="B1137">
        <v>2015</v>
      </c>
      <c r="C1137" t="s">
        <v>25</v>
      </c>
      <c r="D1137" t="s">
        <v>182</v>
      </c>
      <c r="E1137" t="s">
        <v>13</v>
      </c>
      <c r="F1137">
        <v>0.72060090303421021</v>
      </c>
    </row>
    <row r="1138" spans="2:6">
      <c r="B1138">
        <v>2015</v>
      </c>
      <c r="C1138" t="s">
        <v>25</v>
      </c>
      <c r="D1138" t="s">
        <v>182</v>
      </c>
      <c r="E1138" t="s">
        <v>14</v>
      </c>
      <c r="F1138">
        <v>0.63450765609741211</v>
      </c>
    </row>
    <row r="1139" spans="2:6">
      <c r="B1139">
        <v>2015</v>
      </c>
      <c r="C1139" t="s">
        <v>25</v>
      </c>
      <c r="D1139" t="s">
        <v>182</v>
      </c>
      <c r="E1139" t="s">
        <v>15</v>
      </c>
      <c r="F1139">
        <v>0.22575375437736511</v>
      </c>
    </row>
    <row r="1140" spans="2:6">
      <c r="B1140">
        <v>2016</v>
      </c>
      <c r="C1140" t="s">
        <v>25</v>
      </c>
      <c r="D1140" t="s">
        <v>182</v>
      </c>
      <c r="E1140" t="s">
        <v>7</v>
      </c>
      <c r="F1140">
        <v>4.5561408996582031</v>
      </c>
    </row>
    <row r="1141" spans="2:6">
      <c r="B1141">
        <v>2016</v>
      </c>
      <c r="C1141" t="s">
        <v>25</v>
      </c>
      <c r="D1141" t="s">
        <v>182</v>
      </c>
      <c r="E1141" t="s">
        <v>8</v>
      </c>
      <c r="F1141">
        <v>8.2739238739013672</v>
      </c>
    </row>
    <row r="1142" spans="2:6">
      <c r="B1142">
        <v>2016</v>
      </c>
      <c r="C1142" t="s">
        <v>25</v>
      </c>
      <c r="D1142" t="s">
        <v>182</v>
      </c>
      <c r="E1142" t="s">
        <v>9</v>
      </c>
      <c r="F1142">
        <v>0.64911693334579468</v>
      </c>
    </row>
    <row r="1143" spans="2:6">
      <c r="B1143">
        <v>2016</v>
      </c>
      <c r="C1143" t="s">
        <v>25</v>
      </c>
      <c r="D1143" t="s">
        <v>182</v>
      </c>
      <c r="E1143" t="s">
        <v>10</v>
      </c>
      <c r="F1143">
        <v>63.299999237060547</v>
      </c>
    </row>
    <row r="1144" spans="2:6">
      <c r="B1144">
        <v>2016</v>
      </c>
      <c r="C1144" t="s">
        <v>25</v>
      </c>
      <c r="D1144" t="s">
        <v>182</v>
      </c>
      <c r="E1144" t="s">
        <v>11</v>
      </c>
      <c r="F1144">
        <v>0.87470048666000366</v>
      </c>
    </row>
    <row r="1145" spans="2:6">
      <c r="B1145">
        <v>2016</v>
      </c>
      <c r="C1145" t="s">
        <v>25</v>
      </c>
      <c r="D1145" t="s">
        <v>182</v>
      </c>
      <c r="E1145" t="s">
        <v>12</v>
      </c>
      <c r="F1145">
        <v>-8.8731251657009125E-2</v>
      </c>
    </row>
    <row r="1146" spans="2:6">
      <c r="B1146">
        <v>2016</v>
      </c>
      <c r="C1146" t="s">
        <v>25</v>
      </c>
      <c r="D1146" t="s">
        <v>182</v>
      </c>
      <c r="E1146" t="s">
        <v>13</v>
      </c>
      <c r="F1146">
        <v>0.68785363435745239</v>
      </c>
    </row>
    <row r="1147" spans="2:6">
      <c r="B1147">
        <v>2016</v>
      </c>
      <c r="C1147" t="s">
        <v>25</v>
      </c>
      <c r="D1147" t="s">
        <v>182</v>
      </c>
      <c r="E1147" t="s">
        <v>14</v>
      </c>
      <c r="F1147">
        <v>0.55993908643722534</v>
      </c>
    </row>
    <row r="1148" spans="2:6">
      <c r="B1148">
        <v>2016</v>
      </c>
      <c r="C1148" t="s">
        <v>25</v>
      </c>
      <c r="D1148" t="s">
        <v>182</v>
      </c>
      <c r="E1148" t="s">
        <v>15</v>
      </c>
      <c r="F1148">
        <v>0.23502245545387268</v>
      </c>
    </row>
    <row r="1149" spans="2:6">
      <c r="B1149">
        <v>2017</v>
      </c>
      <c r="C1149" t="s">
        <v>25</v>
      </c>
      <c r="D1149" t="s">
        <v>182</v>
      </c>
      <c r="E1149" t="s">
        <v>7</v>
      </c>
      <c r="F1149">
        <v>4.3097710609436035</v>
      </c>
    </row>
    <row r="1150" spans="2:6">
      <c r="B1150">
        <v>2017</v>
      </c>
      <c r="C1150" t="s">
        <v>25</v>
      </c>
      <c r="D1150" t="s">
        <v>182</v>
      </c>
      <c r="E1150" t="s">
        <v>8</v>
      </c>
      <c r="F1150">
        <v>8.3335323333740234</v>
      </c>
    </row>
    <row r="1151" spans="2:6">
      <c r="B1151">
        <v>2017</v>
      </c>
      <c r="C1151" t="s">
        <v>25</v>
      </c>
      <c r="D1151" t="s">
        <v>182</v>
      </c>
      <c r="E1151" t="s">
        <v>9</v>
      </c>
      <c r="F1151">
        <v>0.71255278587341309</v>
      </c>
    </row>
    <row r="1152" spans="2:6">
      <c r="B1152">
        <v>2017</v>
      </c>
      <c r="C1152" t="s">
        <v>25</v>
      </c>
      <c r="D1152" t="s">
        <v>182</v>
      </c>
      <c r="E1152" t="s">
        <v>10</v>
      </c>
      <c r="F1152">
        <v>63.799999237060547</v>
      </c>
    </row>
    <row r="1153" spans="2:6">
      <c r="B1153">
        <v>2017</v>
      </c>
      <c r="C1153" t="s">
        <v>25</v>
      </c>
      <c r="D1153" t="s">
        <v>182</v>
      </c>
      <c r="E1153" t="s">
        <v>11</v>
      </c>
      <c r="F1153">
        <v>0.89621716737747192</v>
      </c>
    </row>
    <row r="1154" spans="2:6">
      <c r="B1154">
        <v>2017</v>
      </c>
      <c r="C1154" t="s">
        <v>25</v>
      </c>
      <c r="D1154" t="s">
        <v>182</v>
      </c>
      <c r="E1154" t="s">
        <v>12</v>
      </c>
      <c r="F1154">
        <v>1.1619623750448227E-2</v>
      </c>
    </row>
    <row r="1155" spans="2:6">
      <c r="B1155">
        <v>2017</v>
      </c>
      <c r="C1155" t="s">
        <v>25</v>
      </c>
      <c r="D1155" t="s">
        <v>182</v>
      </c>
      <c r="E1155" t="s">
        <v>13</v>
      </c>
      <c r="F1155">
        <v>0.63501447439193726</v>
      </c>
    </row>
    <row r="1156" spans="2:6">
      <c r="B1156">
        <v>2017</v>
      </c>
      <c r="C1156" t="s">
        <v>25</v>
      </c>
      <c r="D1156" t="s">
        <v>182</v>
      </c>
      <c r="E1156" t="s">
        <v>14</v>
      </c>
      <c r="F1156">
        <v>0.56882709264755249</v>
      </c>
    </row>
    <row r="1157" spans="2:6">
      <c r="B1157">
        <v>2017</v>
      </c>
      <c r="C1157" t="s">
        <v>25</v>
      </c>
      <c r="D1157" t="s">
        <v>182</v>
      </c>
      <c r="E1157" t="s">
        <v>15</v>
      </c>
      <c r="F1157">
        <v>0.21350575983524323</v>
      </c>
    </row>
    <row r="1158" spans="2:6">
      <c r="B1158">
        <v>2018</v>
      </c>
      <c r="C1158" t="s">
        <v>25</v>
      </c>
      <c r="D1158" t="s">
        <v>182</v>
      </c>
      <c r="E1158" t="s">
        <v>7</v>
      </c>
      <c r="F1158">
        <v>4.4992170333862305</v>
      </c>
    </row>
    <row r="1159" spans="2:6">
      <c r="B1159">
        <v>2018</v>
      </c>
      <c r="C1159" t="s">
        <v>25</v>
      </c>
      <c r="D1159" t="s">
        <v>182</v>
      </c>
      <c r="E1159" t="s">
        <v>8</v>
      </c>
      <c r="F1159">
        <v>8.3987302780151367</v>
      </c>
    </row>
    <row r="1160" spans="2:6">
      <c r="B1160">
        <v>2018</v>
      </c>
      <c r="C1160" t="s">
        <v>25</v>
      </c>
      <c r="D1160" t="s">
        <v>182</v>
      </c>
      <c r="E1160" t="s">
        <v>9</v>
      </c>
      <c r="F1160">
        <v>0.70555603504180908</v>
      </c>
    </row>
    <row r="1161" spans="2:6">
      <c r="B1161">
        <v>2018</v>
      </c>
      <c r="C1161" t="s">
        <v>25</v>
      </c>
      <c r="D1161" t="s">
        <v>182</v>
      </c>
      <c r="E1161" t="s">
        <v>10</v>
      </c>
      <c r="F1161">
        <v>64.300003051757813</v>
      </c>
    </row>
    <row r="1162" spans="2:6">
      <c r="B1162">
        <v>2018</v>
      </c>
      <c r="C1162" t="s">
        <v>25</v>
      </c>
      <c r="D1162" t="s">
        <v>182</v>
      </c>
      <c r="E1162" t="s">
        <v>11</v>
      </c>
      <c r="F1162">
        <v>0.9014708399772644</v>
      </c>
    </row>
    <row r="1163" spans="2:6">
      <c r="B1163">
        <v>2018</v>
      </c>
      <c r="C1163" t="s">
        <v>25</v>
      </c>
      <c r="D1163" t="s">
        <v>182</v>
      </c>
      <c r="E1163" t="s">
        <v>12</v>
      </c>
      <c r="F1163">
        <v>-4.3334942311048508E-2</v>
      </c>
    </row>
    <row r="1164" spans="2:6">
      <c r="B1164">
        <v>2018</v>
      </c>
      <c r="C1164" t="s">
        <v>25</v>
      </c>
      <c r="D1164" t="s">
        <v>182</v>
      </c>
      <c r="E1164" t="s">
        <v>13</v>
      </c>
      <c r="F1164">
        <v>0.70142120122909546</v>
      </c>
    </row>
    <row r="1165" spans="2:6">
      <c r="B1165">
        <v>2018</v>
      </c>
      <c r="C1165" t="s">
        <v>25</v>
      </c>
      <c r="D1165" t="s">
        <v>182</v>
      </c>
      <c r="E1165" t="s">
        <v>14</v>
      </c>
      <c r="F1165">
        <v>0.54134470224380493</v>
      </c>
    </row>
    <row r="1166" spans="2:6">
      <c r="B1166">
        <v>2018</v>
      </c>
      <c r="C1166" t="s">
        <v>25</v>
      </c>
      <c r="D1166" t="s">
        <v>182</v>
      </c>
      <c r="E1166" t="s">
        <v>15</v>
      </c>
      <c r="F1166">
        <v>0.3612377941608429</v>
      </c>
    </row>
    <row r="1167" spans="2:6">
      <c r="B1167">
        <v>2019</v>
      </c>
      <c r="C1167" t="s">
        <v>25</v>
      </c>
      <c r="D1167" t="s">
        <v>182</v>
      </c>
      <c r="E1167" t="s">
        <v>7</v>
      </c>
      <c r="F1167">
        <v>5.1142168045043945</v>
      </c>
    </row>
    <row r="1168" spans="2:6">
      <c r="B1168">
        <v>2019</v>
      </c>
      <c r="C1168" t="s">
        <v>25</v>
      </c>
      <c r="D1168" t="s">
        <v>182</v>
      </c>
      <c r="E1168" t="s">
        <v>8</v>
      </c>
      <c r="F1168">
        <v>8.4666843414306641</v>
      </c>
    </row>
    <row r="1169" spans="2:6">
      <c r="B1169">
        <v>2019</v>
      </c>
      <c r="C1169" t="s">
        <v>25</v>
      </c>
      <c r="D1169" t="s">
        <v>182</v>
      </c>
      <c r="E1169" t="s">
        <v>9</v>
      </c>
      <c r="F1169">
        <v>0.67317217588424683</v>
      </c>
    </row>
    <row r="1170" spans="2:6">
      <c r="B1170">
        <v>2019</v>
      </c>
      <c r="C1170" t="s">
        <v>25</v>
      </c>
      <c r="D1170" t="s">
        <v>182</v>
      </c>
      <c r="E1170" t="s">
        <v>10</v>
      </c>
      <c r="F1170">
        <v>64.800003051757813</v>
      </c>
    </row>
    <row r="1171" spans="2:6">
      <c r="B1171">
        <v>2019</v>
      </c>
      <c r="C1171" t="s">
        <v>25</v>
      </c>
      <c r="D1171" t="s">
        <v>182</v>
      </c>
      <c r="E1171" t="s">
        <v>11</v>
      </c>
      <c r="F1171">
        <v>0.90193665027618408</v>
      </c>
    </row>
    <row r="1172" spans="2:6">
      <c r="B1172">
        <v>2019</v>
      </c>
      <c r="C1172" t="s">
        <v>25</v>
      </c>
      <c r="D1172" t="s">
        <v>182</v>
      </c>
      <c r="E1172" t="s">
        <v>12</v>
      </c>
      <c r="F1172">
        <v>-5.1465846598148346E-2</v>
      </c>
    </row>
    <row r="1173" spans="2:6">
      <c r="B1173">
        <v>2019</v>
      </c>
      <c r="C1173" t="s">
        <v>25</v>
      </c>
      <c r="D1173" t="s">
        <v>182</v>
      </c>
      <c r="E1173" t="s">
        <v>13</v>
      </c>
      <c r="F1173">
        <v>0.65600460767745972</v>
      </c>
    </row>
    <row r="1174" spans="2:6">
      <c r="B1174">
        <v>2019</v>
      </c>
      <c r="C1174" t="s">
        <v>25</v>
      </c>
      <c r="D1174" t="s">
        <v>182</v>
      </c>
      <c r="E1174" t="s">
        <v>14</v>
      </c>
      <c r="F1174">
        <v>0.53723514080047607</v>
      </c>
    </row>
    <row r="1175" spans="2:6">
      <c r="B1175">
        <v>2019</v>
      </c>
      <c r="C1175" t="s">
        <v>25</v>
      </c>
      <c r="D1175" t="s">
        <v>182</v>
      </c>
      <c r="E1175" t="s">
        <v>15</v>
      </c>
      <c r="F1175">
        <v>0.36947154998779297</v>
      </c>
    </row>
    <row r="1176" spans="2:6">
      <c r="B1176">
        <v>2020</v>
      </c>
      <c r="C1176" t="s">
        <v>25</v>
      </c>
      <c r="D1176" t="s">
        <v>182</v>
      </c>
      <c r="E1176" t="s">
        <v>7</v>
      </c>
      <c r="F1176">
        <v>5.2799868583679199</v>
      </c>
    </row>
    <row r="1177" spans="2:6">
      <c r="B1177">
        <v>2020</v>
      </c>
      <c r="C1177" t="s">
        <v>25</v>
      </c>
      <c r="D1177" t="s">
        <v>182</v>
      </c>
      <c r="E1177" t="s">
        <v>8</v>
      </c>
      <c r="F1177">
        <v>8.4721946716308594</v>
      </c>
    </row>
    <row r="1178" spans="2:6">
      <c r="B1178">
        <v>2020</v>
      </c>
      <c r="C1178" t="s">
        <v>25</v>
      </c>
      <c r="D1178" t="s">
        <v>182</v>
      </c>
      <c r="E1178" t="s">
        <v>9</v>
      </c>
      <c r="F1178">
        <v>0.73933792114257813</v>
      </c>
    </row>
    <row r="1179" spans="2:6">
      <c r="B1179">
        <v>2020</v>
      </c>
      <c r="C1179" t="s">
        <v>25</v>
      </c>
      <c r="D1179" t="s">
        <v>182</v>
      </c>
      <c r="E1179" t="s">
        <v>10</v>
      </c>
      <c r="F1179">
        <v>65.300003051757813</v>
      </c>
    </row>
    <row r="1180" spans="2:6">
      <c r="B1180">
        <v>2020</v>
      </c>
      <c r="C1180" t="s">
        <v>25</v>
      </c>
      <c r="D1180" t="s">
        <v>182</v>
      </c>
      <c r="E1180" t="s">
        <v>11</v>
      </c>
      <c r="F1180">
        <v>0.77746719121932983</v>
      </c>
    </row>
    <row r="1181" spans="2:6">
      <c r="B1181">
        <v>2020</v>
      </c>
      <c r="C1181" t="s">
        <v>25</v>
      </c>
      <c r="D1181" t="s">
        <v>182</v>
      </c>
      <c r="E1181" t="s">
        <v>12</v>
      </c>
      <c r="F1181">
        <v>-8.8512906804680824E-3</v>
      </c>
    </row>
    <row r="1182" spans="2:6">
      <c r="B1182">
        <v>2020</v>
      </c>
      <c r="C1182" t="s">
        <v>25</v>
      </c>
      <c r="D1182" t="s">
        <v>182</v>
      </c>
      <c r="E1182" t="s">
        <v>13</v>
      </c>
      <c r="F1182">
        <v>0.74165916442871094</v>
      </c>
    </row>
    <row r="1183" spans="2:6">
      <c r="B1183">
        <v>2020</v>
      </c>
      <c r="C1183" t="s">
        <v>25</v>
      </c>
      <c r="D1183" t="s">
        <v>182</v>
      </c>
      <c r="E1183" t="s">
        <v>14</v>
      </c>
      <c r="F1183">
        <v>0.58238083124160767</v>
      </c>
    </row>
    <row r="1184" spans="2:6">
      <c r="B1184">
        <v>2020</v>
      </c>
      <c r="C1184" t="s">
        <v>25</v>
      </c>
      <c r="D1184" t="s">
        <v>182</v>
      </c>
      <c r="E1184" t="s">
        <v>15</v>
      </c>
      <c r="F1184">
        <v>0.33170878887176514</v>
      </c>
    </row>
    <row r="1185" spans="2:6">
      <c r="B1185">
        <v>2006</v>
      </c>
      <c r="C1185" t="s">
        <v>26</v>
      </c>
      <c r="D1185" t="s">
        <v>183</v>
      </c>
      <c r="E1185" t="s">
        <v>7</v>
      </c>
      <c r="F1185">
        <v>5.6576499938964844</v>
      </c>
    </row>
    <row r="1186" spans="2:6">
      <c r="B1186">
        <v>2006</v>
      </c>
      <c r="C1186" t="s">
        <v>26</v>
      </c>
      <c r="D1186" t="s">
        <v>183</v>
      </c>
      <c r="E1186" t="s">
        <v>8</v>
      </c>
      <c r="F1186">
        <v>9.4890985488891602</v>
      </c>
    </row>
    <row r="1187" spans="2:6">
      <c r="B1187">
        <v>2006</v>
      </c>
      <c r="C1187" t="s">
        <v>26</v>
      </c>
      <c r="D1187" t="s">
        <v>183</v>
      </c>
      <c r="E1187" t="s">
        <v>9</v>
      </c>
      <c r="F1187">
        <v>0.91789865493774414</v>
      </c>
    </row>
    <row r="1188" spans="2:6">
      <c r="B1188">
        <v>2006</v>
      </c>
      <c r="C1188" t="s">
        <v>26</v>
      </c>
      <c r="D1188" t="s">
        <v>183</v>
      </c>
      <c r="E1188" t="s">
        <v>10</v>
      </c>
      <c r="F1188">
        <v>61.099998474121094</v>
      </c>
    </row>
    <row r="1189" spans="2:6">
      <c r="B1189">
        <v>2006</v>
      </c>
      <c r="C1189" t="s">
        <v>26</v>
      </c>
      <c r="D1189" t="s">
        <v>183</v>
      </c>
      <c r="E1189" t="s">
        <v>11</v>
      </c>
      <c r="F1189">
        <v>0.70708048343658447</v>
      </c>
    </row>
    <row r="1190" spans="2:6">
      <c r="B1190">
        <v>2006</v>
      </c>
      <c r="C1190" t="s">
        <v>26</v>
      </c>
      <c r="D1190" t="s">
        <v>183</v>
      </c>
      <c r="E1190" t="s">
        <v>12</v>
      </c>
      <c r="F1190">
        <v>-0.24600280821323395</v>
      </c>
    </row>
    <row r="1191" spans="2:6">
      <c r="B1191">
        <v>2006</v>
      </c>
      <c r="C1191" t="s">
        <v>26</v>
      </c>
      <c r="D1191" t="s">
        <v>183</v>
      </c>
      <c r="E1191" t="s">
        <v>13</v>
      </c>
      <c r="F1191">
        <v>0.7082747220993042</v>
      </c>
    </row>
    <row r="1192" spans="2:6">
      <c r="B1192">
        <v>2006</v>
      </c>
      <c r="C1192" t="s">
        <v>26</v>
      </c>
      <c r="D1192" t="s">
        <v>183</v>
      </c>
      <c r="E1192" t="s">
        <v>14</v>
      </c>
      <c r="F1192">
        <v>0.60548746585845947</v>
      </c>
    </row>
    <row r="1193" spans="2:6">
      <c r="B1193">
        <v>2006</v>
      </c>
      <c r="C1193" t="s">
        <v>26</v>
      </c>
      <c r="D1193" t="s">
        <v>183</v>
      </c>
      <c r="E1193" t="s">
        <v>15</v>
      </c>
      <c r="F1193">
        <v>0.26940035820007324</v>
      </c>
    </row>
    <row r="1194" spans="2:6">
      <c r="B1194">
        <v>2007</v>
      </c>
      <c r="C1194" t="s">
        <v>26</v>
      </c>
      <c r="D1194" t="s">
        <v>183</v>
      </c>
      <c r="E1194" t="s">
        <v>7</v>
      </c>
      <c r="F1194">
        <v>5.616976261138916</v>
      </c>
    </row>
    <row r="1195" spans="2:6">
      <c r="B1195">
        <v>2007</v>
      </c>
      <c r="C1195" t="s">
        <v>26</v>
      </c>
      <c r="D1195" t="s">
        <v>183</v>
      </c>
      <c r="E1195" t="s">
        <v>8</v>
      </c>
      <c r="F1195">
        <v>9.5761880874633789</v>
      </c>
    </row>
    <row r="1196" spans="2:6">
      <c r="B1196">
        <v>2007</v>
      </c>
      <c r="C1196" t="s">
        <v>26</v>
      </c>
      <c r="D1196" t="s">
        <v>183</v>
      </c>
      <c r="E1196" t="s">
        <v>9</v>
      </c>
      <c r="F1196">
        <v>0.85752767324447632</v>
      </c>
    </row>
    <row r="1197" spans="2:6">
      <c r="B1197">
        <v>2007</v>
      </c>
      <c r="C1197" t="s">
        <v>26</v>
      </c>
      <c r="D1197" t="s">
        <v>183</v>
      </c>
      <c r="E1197" t="s">
        <v>10</v>
      </c>
      <c r="F1197">
        <v>61.400001525878906</v>
      </c>
    </row>
    <row r="1198" spans="2:6">
      <c r="B1198">
        <v>2007</v>
      </c>
      <c r="C1198" t="s">
        <v>26</v>
      </c>
      <c r="D1198" t="s">
        <v>183</v>
      </c>
      <c r="E1198" t="s">
        <v>11</v>
      </c>
      <c r="F1198">
        <v>0.66729950904846191</v>
      </c>
    </row>
    <row r="1199" spans="2:6">
      <c r="B1199">
        <v>2007</v>
      </c>
      <c r="C1199" t="s">
        <v>26</v>
      </c>
      <c r="D1199" t="s">
        <v>183</v>
      </c>
      <c r="E1199" t="s">
        <v>12</v>
      </c>
      <c r="F1199">
        <v>-0.22480736672878265</v>
      </c>
    </row>
    <row r="1200" spans="2:6">
      <c r="B1200">
        <v>2007</v>
      </c>
      <c r="C1200" t="s">
        <v>26</v>
      </c>
      <c r="D1200" t="s">
        <v>183</v>
      </c>
      <c r="E1200" t="s">
        <v>13</v>
      </c>
      <c r="F1200">
        <v>0.69484943151473999</v>
      </c>
    </row>
    <row r="1201" spans="2:6">
      <c r="B1201">
        <v>2007</v>
      </c>
      <c r="C1201" t="s">
        <v>26</v>
      </c>
      <c r="D1201" t="s">
        <v>183</v>
      </c>
      <c r="E1201" t="s">
        <v>14</v>
      </c>
      <c r="F1201">
        <v>0.59599202871322632</v>
      </c>
    </row>
    <row r="1202" spans="2:6">
      <c r="B1202">
        <v>2007</v>
      </c>
      <c r="C1202" t="s">
        <v>26</v>
      </c>
      <c r="D1202" t="s">
        <v>183</v>
      </c>
      <c r="E1202" t="s">
        <v>15</v>
      </c>
      <c r="F1202">
        <v>0.23498140275478363</v>
      </c>
    </row>
    <row r="1203" spans="2:6">
      <c r="B1203">
        <v>2008</v>
      </c>
      <c r="C1203" t="s">
        <v>26</v>
      </c>
      <c r="D1203" t="s">
        <v>183</v>
      </c>
      <c r="E1203" t="s">
        <v>7</v>
      </c>
      <c r="F1203">
        <v>5.4633321762084961</v>
      </c>
    </row>
    <row r="1204" spans="2:6">
      <c r="B1204">
        <v>2008</v>
      </c>
      <c r="C1204" t="s">
        <v>26</v>
      </c>
      <c r="D1204" t="s">
        <v>183</v>
      </c>
      <c r="E1204" t="s">
        <v>8</v>
      </c>
      <c r="F1204">
        <v>9.6767683029174805</v>
      </c>
    </row>
    <row r="1205" spans="2:6">
      <c r="B1205">
        <v>2008</v>
      </c>
      <c r="C1205" t="s">
        <v>26</v>
      </c>
      <c r="D1205" t="s">
        <v>183</v>
      </c>
      <c r="E1205" t="s">
        <v>9</v>
      </c>
      <c r="F1205">
        <v>0.90370035171508789</v>
      </c>
    </row>
    <row r="1206" spans="2:6">
      <c r="B1206">
        <v>2008</v>
      </c>
      <c r="C1206" t="s">
        <v>26</v>
      </c>
      <c r="D1206" t="s">
        <v>183</v>
      </c>
      <c r="E1206" t="s">
        <v>10</v>
      </c>
      <c r="F1206">
        <v>61.700000762939453</v>
      </c>
    </row>
    <row r="1207" spans="2:6">
      <c r="B1207">
        <v>2008</v>
      </c>
      <c r="C1207" t="s">
        <v>26</v>
      </c>
      <c r="D1207" t="s">
        <v>183</v>
      </c>
      <c r="E1207" t="s">
        <v>11</v>
      </c>
      <c r="F1207">
        <v>0.63992387056350708</v>
      </c>
    </row>
    <row r="1208" spans="2:6">
      <c r="B1208">
        <v>2008</v>
      </c>
      <c r="C1208" t="s">
        <v>26</v>
      </c>
      <c r="D1208" t="s">
        <v>183</v>
      </c>
      <c r="E1208" t="s">
        <v>12</v>
      </c>
      <c r="F1208">
        <v>-0.22003428637981415</v>
      </c>
    </row>
    <row r="1209" spans="2:6">
      <c r="B1209">
        <v>2008</v>
      </c>
      <c r="C1209" t="s">
        <v>26</v>
      </c>
      <c r="D1209" t="s">
        <v>183</v>
      </c>
      <c r="E1209" t="s">
        <v>13</v>
      </c>
      <c r="F1209">
        <v>0.69649595022201538</v>
      </c>
    </row>
    <row r="1210" spans="2:6">
      <c r="B1210">
        <v>2008</v>
      </c>
      <c r="C1210" t="s">
        <v>26</v>
      </c>
      <c r="D1210" t="s">
        <v>183</v>
      </c>
      <c r="E1210" t="s">
        <v>15</v>
      </c>
      <c r="F1210">
        <v>0.24565929174423218</v>
      </c>
    </row>
    <row r="1211" spans="2:6">
      <c r="B1211">
        <v>2009</v>
      </c>
      <c r="C1211" t="s">
        <v>26</v>
      </c>
      <c r="D1211" t="s">
        <v>183</v>
      </c>
      <c r="E1211" t="s">
        <v>7</v>
      </c>
      <c r="F1211">
        <v>5.5641312599182129</v>
      </c>
    </row>
    <row r="1212" spans="2:6">
      <c r="B1212">
        <v>2009</v>
      </c>
      <c r="C1212" t="s">
        <v>26</v>
      </c>
      <c r="D1212" t="s">
        <v>183</v>
      </c>
      <c r="E1212" t="s">
        <v>8</v>
      </c>
      <c r="F1212">
        <v>9.6809959411621094</v>
      </c>
    </row>
    <row r="1213" spans="2:6">
      <c r="B1213">
        <v>2009</v>
      </c>
      <c r="C1213" t="s">
        <v>26</v>
      </c>
      <c r="D1213" t="s">
        <v>183</v>
      </c>
      <c r="E1213" t="s">
        <v>9</v>
      </c>
      <c r="F1213">
        <v>0.90777784585952759</v>
      </c>
    </row>
    <row r="1214" spans="2:6">
      <c r="B1214">
        <v>2009</v>
      </c>
      <c r="C1214" t="s">
        <v>26</v>
      </c>
      <c r="D1214" t="s">
        <v>183</v>
      </c>
      <c r="E1214" t="s">
        <v>10</v>
      </c>
      <c r="F1214">
        <v>62</v>
      </c>
    </row>
    <row r="1215" spans="2:6">
      <c r="B1215">
        <v>2009</v>
      </c>
      <c r="C1215" t="s">
        <v>26</v>
      </c>
      <c r="D1215" t="s">
        <v>183</v>
      </c>
      <c r="E1215" t="s">
        <v>11</v>
      </c>
      <c r="F1215">
        <v>0.67929261922836304</v>
      </c>
    </row>
    <row r="1216" spans="2:6">
      <c r="B1216">
        <v>2009</v>
      </c>
      <c r="C1216" t="s">
        <v>26</v>
      </c>
      <c r="D1216" t="s">
        <v>183</v>
      </c>
      <c r="E1216" t="s">
        <v>12</v>
      </c>
      <c r="F1216">
        <v>-0.20299407839775085</v>
      </c>
    </row>
    <row r="1217" spans="2:6">
      <c r="B1217">
        <v>2009</v>
      </c>
      <c r="C1217" t="s">
        <v>26</v>
      </c>
      <c r="D1217" t="s">
        <v>183</v>
      </c>
      <c r="E1217" t="s">
        <v>13</v>
      </c>
      <c r="F1217">
        <v>0.67554306983947754</v>
      </c>
    </row>
    <row r="1218" spans="2:6">
      <c r="B1218">
        <v>2009</v>
      </c>
      <c r="C1218" t="s">
        <v>26</v>
      </c>
      <c r="D1218" t="s">
        <v>183</v>
      </c>
      <c r="E1218" t="s">
        <v>14</v>
      </c>
      <c r="F1218">
        <v>0.5655968189239502</v>
      </c>
    </row>
    <row r="1219" spans="2:6">
      <c r="B1219">
        <v>2009</v>
      </c>
      <c r="C1219" t="s">
        <v>26</v>
      </c>
      <c r="D1219" t="s">
        <v>183</v>
      </c>
      <c r="E1219" t="s">
        <v>15</v>
      </c>
      <c r="F1219">
        <v>0.22329150140285492</v>
      </c>
    </row>
    <row r="1220" spans="2:6">
      <c r="B1220">
        <v>2010</v>
      </c>
      <c r="C1220" t="s">
        <v>26</v>
      </c>
      <c r="D1220" t="s">
        <v>183</v>
      </c>
      <c r="E1220" t="s">
        <v>7</v>
      </c>
      <c r="F1220">
        <v>5.5259232521057129</v>
      </c>
    </row>
    <row r="1221" spans="2:6">
      <c r="B1221">
        <v>2010</v>
      </c>
      <c r="C1221" t="s">
        <v>26</v>
      </c>
      <c r="D1221" t="s">
        <v>183</v>
      </c>
      <c r="E1221" t="s">
        <v>8</v>
      </c>
      <c r="F1221">
        <v>9.7577915191650391</v>
      </c>
    </row>
    <row r="1222" spans="2:6">
      <c r="B1222">
        <v>2010</v>
      </c>
      <c r="C1222" t="s">
        <v>26</v>
      </c>
      <c r="D1222" t="s">
        <v>183</v>
      </c>
      <c r="E1222" t="s">
        <v>9</v>
      </c>
      <c r="F1222">
        <v>0.91800016164779663</v>
      </c>
    </row>
    <row r="1223" spans="2:6">
      <c r="B1223">
        <v>2010</v>
      </c>
      <c r="C1223" t="s">
        <v>26</v>
      </c>
      <c r="D1223" t="s">
        <v>183</v>
      </c>
      <c r="E1223" t="s">
        <v>10</v>
      </c>
      <c r="F1223">
        <v>62.299999237060547</v>
      </c>
    </row>
    <row r="1224" spans="2:6">
      <c r="B1224">
        <v>2010</v>
      </c>
      <c r="C1224" t="s">
        <v>26</v>
      </c>
      <c r="D1224" t="s">
        <v>183</v>
      </c>
      <c r="E1224" t="s">
        <v>11</v>
      </c>
      <c r="F1224">
        <v>0.70006442070007324</v>
      </c>
    </row>
    <row r="1225" spans="2:6">
      <c r="B1225">
        <v>2010</v>
      </c>
      <c r="C1225" t="s">
        <v>26</v>
      </c>
      <c r="D1225" t="s">
        <v>183</v>
      </c>
      <c r="E1225" t="s">
        <v>12</v>
      </c>
      <c r="F1225">
        <v>-0.1625654548406601</v>
      </c>
    </row>
    <row r="1226" spans="2:6">
      <c r="B1226">
        <v>2010</v>
      </c>
      <c r="C1226" t="s">
        <v>26</v>
      </c>
      <c r="D1226" t="s">
        <v>183</v>
      </c>
      <c r="E1226" t="s">
        <v>13</v>
      </c>
      <c r="F1226">
        <v>0.70612061023712158</v>
      </c>
    </row>
    <row r="1227" spans="2:6">
      <c r="B1227">
        <v>2010</v>
      </c>
      <c r="C1227" t="s">
        <v>26</v>
      </c>
      <c r="D1227" t="s">
        <v>183</v>
      </c>
      <c r="E1227" t="s">
        <v>14</v>
      </c>
      <c r="F1227">
        <v>0.56653040647506714</v>
      </c>
    </row>
    <row r="1228" spans="2:6">
      <c r="B1228">
        <v>2010</v>
      </c>
      <c r="C1228" t="s">
        <v>26</v>
      </c>
      <c r="D1228" t="s">
        <v>183</v>
      </c>
      <c r="E1228" t="s">
        <v>15</v>
      </c>
      <c r="F1228">
        <v>0.20827215909957886</v>
      </c>
    </row>
    <row r="1229" spans="2:6">
      <c r="B1229">
        <v>2011</v>
      </c>
      <c r="C1229" t="s">
        <v>26</v>
      </c>
      <c r="D1229" t="s">
        <v>183</v>
      </c>
      <c r="E1229" t="s">
        <v>7</v>
      </c>
      <c r="F1229">
        <v>5.2253079414367676</v>
      </c>
    </row>
    <row r="1230" spans="2:6">
      <c r="B1230">
        <v>2011</v>
      </c>
      <c r="C1230" t="s">
        <v>26</v>
      </c>
      <c r="D1230" t="s">
        <v>183</v>
      </c>
      <c r="E1230" t="s">
        <v>8</v>
      </c>
      <c r="F1230">
        <v>9.8120183944702148</v>
      </c>
    </row>
    <row r="1231" spans="2:6">
      <c r="B1231">
        <v>2011</v>
      </c>
      <c r="C1231" t="s">
        <v>26</v>
      </c>
      <c r="D1231" t="s">
        <v>183</v>
      </c>
      <c r="E1231" t="s">
        <v>9</v>
      </c>
      <c r="F1231">
        <v>0.90988779067993164</v>
      </c>
    </row>
    <row r="1232" spans="2:6">
      <c r="B1232">
        <v>2011</v>
      </c>
      <c r="C1232" t="s">
        <v>26</v>
      </c>
      <c r="D1232" t="s">
        <v>183</v>
      </c>
      <c r="E1232" t="s">
        <v>10</v>
      </c>
      <c r="F1232">
        <v>62.880001068115234</v>
      </c>
    </row>
    <row r="1233" spans="2:6">
      <c r="B1233">
        <v>2011</v>
      </c>
      <c r="C1233" t="s">
        <v>26</v>
      </c>
      <c r="D1233" t="s">
        <v>183</v>
      </c>
      <c r="E1233" t="s">
        <v>11</v>
      </c>
      <c r="F1233">
        <v>0.65601086616516113</v>
      </c>
    </row>
    <row r="1234" spans="2:6">
      <c r="B1234">
        <v>2011</v>
      </c>
      <c r="C1234" t="s">
        <v>26</v>
      </c>
      <c r="D1234" t="s">
        <v>183</v>
      </c>
      <c r="E1234" t="s">
        <v>12</v>
      </c>
      <c r="F1234">
        <v>-0.1679331362247467</v>
      </c>
    </row>
    <row r="1235" spans="2:6">
      <c r="B1235">
        <v>2011</v>
      </c>
      <c r="C1235" t="s">
        <v>26</v>
      </c>
      <c r="D1235" t="s">
        <v>183</v>
      </c>
      <c r="E1235" t="s">
        <v>13</v>
      </c>
      <c r="F1235">
        <v>0.67193865776062012</v>
      </c>
    </row>
    <row r="1236" spans="2:6">
      <c r="B1236">
        <v>2011</v>
      </c>
      <c r="C1236" t="s">
        <v>26</v>
      </c>
      <c r="D1236" t="s">
        <v>183</v>
      </c>
      <c r="E1236" t="s">
        <v>14</v>
      </c>
      <c r="F1236">
        <v>0.52088969945907593</v>
      </c>
    </row>
    <row r="1237" spans="2:6">
      <c r="B1237">
        <v>2011</v>
      </c>
      <c r="C1237" t="s">
        <v>26</v>
      </c>
      <c r="D1237" t="s">
        <v>183</v>
      </c>
      <c r="E1237" t="s">
        <v>15</v>
      </c>
      <c r="F1237">
        <v>0.24945539236068726</v>
      </c>
    </row>
    <row r="1238" spans="2:6">
      <c r="B1238">
        <v>2012</v>
      </c>
      <c r="C1238" t="s">
        <v>26</v>
      </c>
      <c r="D1238" t="s">
        <v>183</v>
      </c>
      <c r="E1238" t="s">
        <v>7</v>
      </c>
      <c r="F1238">
        <v>5.7490434646606445</v>
      </c>
    </row>
    <row r="1239" spans="2:6">
      <c r="B1239">
        <v>2012</v>
      </c>
      <c r="C1239" t="s">
        <v>26</v>
      </c>
      <c r="D1239" t="s">
        <v>183</v>
      </c>
      <c r="E1239" t="s">
        <v>8</v>
      </c>
      <c r="F1239">
        <v>9.8296651840209961</v>
      </c>
    </row>
    <row r="1240" spans="2:6">
      <c r="B1240">
        <v>2012</v>
      </c>
      <c r="C1240" t="s">
        <v>26</v>
      </c>
      <c r="D1240" t="s">
        <v>183</v>
      </c>
      <c r="E1240" t="s">
        <v>9</v>
      </c>
      <c r="F1240">
        <v>0.90196150541305542</v>
      </c>
    </row>
    <row r="1241" spans="2:6">
      <c r="B1241">
        <v>2012</v>
      </c>
      <c r="C1241" t="s">
        <v>26</v>
      </c>
      <c r="D1241" t="s">
        <v>183</v>
      </c>
      <c r="E1241" t="s">
        <v>10</v>
      </c>
      <c r="F1241">
        <v>63.459999084472656</v>
      </c>
    </row>
    <row r="1242" spans="2:6">
      <c r="B1242">
        <v>2012</v>
      </c>
      <c r="C1242" t="s">
        <v>26</v>
      </c>
      <c r="D1242" t="s">
        <v>183</v>
      </c>
      <c r="E1242" t="s">
        <v>11</v>
      </c>
      <c r="F1242">
        <v>0.64524883031845093</v>
      </c>
    </row>
    <row r="1243" spans="2:6">
      <c r="B1243">
        <v>2012</v>
      </c>
      <c r="C1243" t="s">
        <v>26</v>
      </c>
      <c r="D1243" t="s">
        <v>183</v>
      </c>
      <c r="E1243" t="s">
        <v>12</v>
      </c>
      <c r="F1243">
        <v>-0.21726931631565094</v>
      </c>
    </row>
    <row r="1244" spans="2:6">
      <c r="B1244">
        <v>2012</v>
      </c>
      <c r="C1244" t="s">
        <v>26</v>
      </c>
      <c r="D1244" t="s">
        <v>183</v>
      </c>
      <c r="E1244" t="s">
        <v>13</v>
      </c>
      <c r="F1244">
        <v>0.65743023157119751</v>
      </c>
    </row>
    <row r="1245" spans="2:6">
      <c r="B1245">
        <v>2012</v>
      </c>
      <c r="C1245" t="s">
        <v>26</v>
      </c>
      <c r="D1245" t="s">
        <v>183</v>
      </c>
      <c r="E1245" t="s">
        <v>14</v>
      </c>
      <c r="F1245">
        <v>0.52319544553756714</v>
      </c>
    </row>
    <row r="1246" spans="2:6">
      <c r="B1246">
        <v>2012</v>
      </c>
      <c r="C1246" t="s">
        <v>26</v>
      </c>
      <c r="D1246" t="s">
        <v>183</v>
      </c>
      <c r="E1246" t="s">
        <v>15</v>
      </c>
      <c r="F1246">
        <v>0.18076452612876892</v>
      </c>
    </row>
    <row r="1247" spans="2:6">
      <c r="B1247">
        <v>2013</v>
      </c>
      <c r="C1247" t="s">
        <v>26</v>
      </c>
      <c r="D1247" t="s">
        <v>183</v>
      </c>
      <c r="E1247" t="s">
        <v>7</v>
      </c>
      <c r="F1247">
        <v>5.8764662742614746</v>
      </c>
    </row>
    <row r="1248" spans="2:6">
      <c r="B1248">
        <v>2013</v>
      </c>
      <c r="C1248" t="s">
        <v>26</v>
      </c>
      <c r="D1248" t="s">
        <v>183</v>
      </c>
      <c r="E1248" t="s">
        <v>8</v>
      </c>
      <c r="F1248">
        <v>9.8394908905029297</v>
      </c>
    </row>
    <row r="1249" spans="2:6">
      <c r="B1249">
        <v>2013</v>
      </c>
      <c r="C1249" t="s">
        <v>26</v>
      </c>
      <c r="D1249" t="s">
        <v>183</v>
      </c>
      <c r="E1249" t="s">
        <v>9</v>
      </c>
      <c r="F1249">
        <v>0.92250597476959229</v>
      </c>
    </row>
    <row r="1250" spans="2:6">
      <c r="B1250">
        <v>2013</v>
      </c>
      <c r="C1250" t="s">
        <v>26</v>
      </c>
      <c r="D1250" t="s">
        <v>183</v>
      </c>
      <c r="E1250" t="s">
        <v>10</v>
      </c>
      <c r="F1250">
        <v>64.040000915527344</v>
      </c>
    </row>
    <row r="1251" spans="2:6">
      <c r="B1251">
        <v>2013</v>
      </c>
      <c r="C1251" t="s">
        <v>26</v>
      </c>
      <c r="D1251" t="s">
        <v>183</v>
      </c>
      <c r="E1251" t="s">
        <v>11</v>
      </c>
      <c r="F1251">
        <v>0.7234312891960144</v>
      </c>
    </row>
    <row r="1252" spans="2:6">
      <c r="B1252">
        <v>2013</v>
      </c>
      <c r="C1252" t="s">
        <v>26</v>
      </c>
      <c r="D1252" t="s">
        <v>183</v>
      </c>
      <c r="E1252" t="s">
        <v>12</v>
      </c>
      <c r="F1252">
        <v>-0.1774541437625885</v>
      </c>
    </row>
    <row r="1253" spans="2:6">
      <c r="B1253">
        <v>2013</v>
      </c>
      <c r="C1253" t="s">
        <v>26</v>
      </c>
      <c r="D1253" t="s">
        <v>183</v>
      </c>
      <c r="E1253" t="s">
        <v>13</v>
      </c>
      <c r="F1253">
        <v>0.65303915739059448</v>
      </c>
    </row>
    <row r="1254" spans="2:6">
      <c r="B1254">
        <v>2013</v>
      </c>
      <c r="C1254" t="s">
        <v>26</v>
      </c>
      <c r="D1254" t="s">
        <v>183</v>
      </c>
      <c r="E1254" t="s">
        <v>14</v>
      </c>
      <c r="F1254">
        <v>0.60871416330337524</v>
      </c>
    </row>
    <row r="1255" spans="2:6">
      <c r="B1255">
        <v>2013</v>
      </c>
      <c r="C1255" t="s">
        <v>26</v>
      </c>
      <c r="D1255" t="s">
        <v>183</v>
      </c>
      <c r="E1255" t="s">
        <v>15</v>
      </c>
      <c r="F1255">
        <v>0.20621965825557709</v>
      </c>
    </row>
    <row r="1256" spans="2:6">
      <c r="B1256">
        <v>2014</v>
      </c>
      <c r="C1256" t="s">
        <v>26</v>
      </c>
      <c r="D1256" t="s">
        <v>183</v>
      </c>
      <c r="E1256" t="s">
        <v>7</v>
      </c>
      <c r="F1256">
        <v>5.8124008178710938</v>
      </c>
    </row>
    <row r="1257" spans="2:6">
      <c r="B1257">
        <v>2014</v>
      </c>
      <c r="C1257" t="s">
        <v>26</v>
      </c>
      <c r="D1257" t="s">
        <v>183</v>
      </c>
      <c r="E1257" t="s">
        <v>8</v>
      </c>
      <c r="F1257">
        <v>9.855708122253418</v>
      </c>
    </row>
    <row r="1258" spans="2:6">
      <c r="B1258">
        <v>2014</v>
      </c>
      <c r="C1258" t="s">
        <v>26</v>
      </c>
      <c r="D1258" t="s">
        <v>183</v>
      </c>
      <c r="E1258" t="s">
        <v>9</v>
      </c>
      <c r="F1258">
        <v>0.88025885820388794</v>
      </c>
    </row>
    <row r="1259" spans="2:6">
      <c r="B1259">
        <v>2014</v>
      </c>
      <c r="C1259" t="s">
        <v>26</v>
      </c>
      <c r="D1259" t="s">
        <v>183</v>
      </c>
      <c r="E1259" t="s">
        <v>10</v>
      </c>
      <c r="F1259">
        <v>64.620002746582031</v>
      </c>
    </row>
    <row r="1260" spans="2:6">
      <c r="B1260">
        <v>2014</v>
      </c>
      <c r="C1260" t="s">
        <v>26</v>
      </c>
      <c r="D1260" t="s">
        <v>183</v>
      </c>
      <c r="E1260" t="s">
        <v>11</v>
      </c>
      <c r="F1260">
        <v>0.64718455076217651</v>
      </c>
    </row>
    <row r="1261" spans="2:6">
      <c r="B1261">
        <v>2014</v>
      </c>
      <c r="C1261" t="s">
        <v>26</v>
      </c>
      <c r="D1261" t="s">
        <v>183</v>
      </c>
      <c r="E1261" t="s">
        <v>12</v>
      </c>
      <c r="F1261">
        <v>-4.8226308077573776E-2</v>
      </c>
    </row>
    <row r="1262" spans="2:6">
      <c r="B1262">
        <v>2014</v>
      </c>
      <c r="C1262" t="s">
        <v>26</v>
      </c>
      <c r="D1262" t="s">
        <v>183</v>
      </c>
      <c r="E1262" t="s">
        <v>13</v>
      </c>
      <c r="F1262">
        <v>0.68150871992111206</v>
      </c>
    </row>
    <row r="1263" spans="2:6">
      <c r="B1263">
        <v>2014</v>
      </c>
      <c r="C1263" t="s">
        <v>26</v>
      </c>
      <c r="D1263" t="s">
        <v>183</v>
      </c>
      <c r="E1263" t="s">
        <v>14</v>
      </c>
      <c r="F1263">
        <v>0.61892926692962646</v>
      </c>
    </row>
    <row r="1264" spans="2:6">
      <c r="B1264">
        <v>2014</v>
      </c>
      <c r="C1264" t="s">
        <v>26</v>
      </c>
      <c r="D1264" t="s">
        <v>183</v>
      </c>
      <c r="E1264" t="s">
        <v>15</v>
      </c>
      <c r="F1264">
        <v>0.2085355669260025</v>
      </c>
    </row>
    <row r="1265" spans="2:6">
      <c r="B1265">
        <v>2015</v>
      </c>
      <c r="C1265" t="s">
        <v>26</v>
      </c>
      <c r="D1265" t="s">
        <v>183</v>
      </c>
      <c r="E1265" t="s">
        <v>7</v>
      </c>
      <c r="F1265">
        <v>5.7189078330993652</v>
      </c>
    </row>
    <row r="1266" spans="2:6">
      <c r="B1266">
        <v>2015</v>
      </c>
      <c r="C1266" t="s">
        <v>26</v>
      </c>
      <c r="D1266" t="s">
        <v>183</v>
      </c>
      <c r="E1266" t="s">
        <v>8</v>
      </c>
      <c r="F1266">
        <v>9.8150672912597656</v>
      </c>
    </row>
    <row r="1267" spans="2:6">
      <c r="B1267">
        <v>2015</v>
      </c>
      <c r="C1267" t="s">
        <v>26</v>
      </c>
      <c r="D1267" t="s">
        <v>183</v>
      </c>
      <c r="E1267" t="s">
        <v>9</v>
      </c>
      <c r="F1267">
        <v>0.92407262325286865</v>
      </c>
    </row>
    <row r="1268" spans="2:6">
      <c r="B1268">
        <v>2015</v>
      </c>
      <c r="C1268" t="s">
        <v>26</v>
      </c>
      <c r="D1268" t="s">
        <v>183</v>
      </c>
      <c r="E1268" t="s">
        <v>10</v>
      </c>
      <c r="F1268">
        <v>65.199996948242188</v>
      </c>
    </row>
    <row r="1269" spans="2:6">
      <c r="B1269">
        <v>2015</v>
      </c>
      <c r="C1269" t="s">
        <v>26</v>
      </c>
      <c r="D1269" t="s">
        <v>183</v>
      </c>
      <c r="E1269" t="s">
        <v>11</v>
      </c>
      <c r="F1269">
        <v>0.62275344133377075</v>
      </c>
    </row>
    <row r="1270" spans="2:6">
      <c r="B1270">
        <v>2015</v>
      </c>
      <c r="C1270" t="s">
        <v>26</v>
      </c>
      <c r="D1270" t="s">
        <v>183</v>
      </c>
      <c r="E1270" t="s">
        <v>12</v>
      </c>
      <c r="F1270">
        <v>-9.1337583959102631E-2</v>
      </c>
    </row>
    <row r="1271" spans="2:6">
      <c r="B1271">
        <v>2015</v>
      </c>
      <c r="C1271" t="s">
        <v>26</v>
      </c>
      <c r="D1271" t="s">
        <v>183</v>
      </c>
      <c r="E1271" t="s">
        <v>13</v>
      </c>
      <c r="F1271">
        <v>0.6686781644821167</v>
      </c>
    </row>
    <row r="1272" spans="2:6">
      <c r="B1272">
        <v>2015</v>
      </c>
      <c r="C1272" t="s">
        <v>26</v>
      </c>
      <c r="D1272" t="s">
        <v>183</v>
      </c>
      <c r="E1272" t="s">
        <v>14</v>
      </c>
      <c r="F1272">
        <v>0.58372688293457031</v>
      </c>
    </row>
    <row r="1273" spans="2:6">
      <c r="B1273">
        <v>2015</v>
      </c>
      <c r="C1273" t="s">
        <v>26</v>
      </c>
      <c r="D1273" t="s">
        <v>183</v>
      </c>
      <c r="E1273" t="s">
        <v>15</v>
      </c>
      <c r="F1273">
        <v>0.18430995941162109</v>
      </c>
    </row>
    <row r="1274" spans="2:6">
      <c r="B1274">
        <v>2016</v>
      </c>
      <c r="C1274" t="s">
        <v>26</v>
      </c>
      <c r="D1274" t="s">
        <v>183</v>
      </c>
      <c r="E1274" t="s">
        <v>7</v>
      </c>
      <c r="F1274">
        <v>5.1778993606567383</v>
      </c>
    </row>
    <row r="1275" spans="2:6">
      <c r="B1275">
        <v>2016</v>
      </c>
      <c r="C1275" t="s">
        <v>26</v>
      </c>
      <c r="D1275" t="s">
        <v>183</v>
      </c>
      <c r="E1275" t="s">
        <v>8</v>
      </c>
      <c r="F1275">
        <v>9.7882232666015625</v>
      </c>
    </row>
    <row r="1276" spans="2:6">
      <c r="B1276">
        <v>2016</v>
      </c>
      <c r="C1276" t="s">
        <v>26</v>
      </c>
      <c r="D1276" t="s">
        <v>183</v>
      </c>
      <c r="E1276" t="s">
        <v>9</v>
      </c>
      <c r="F1276">
        <v>0.92655110359191895</v>
      </c>
    </row>
    <row r="1277" spans="2:6">
      <c r="B1277">
        <v>2016</v>
      </c>
      <c r="C1277" t="s">
        <v>26</v>
      </c>
      <c r="D1277" t="s">
        <v>183</v>
      </c>
      <c r="E1277" t="s">
        <v>10</v>
      </c>
      <c r="F1277">
        <v>65.5</v>
      </c>
    </row>
    <row r="1278" spans="2:6">
      <c r="B1278">
        <v>2016</v>
      </c>
      <c r="C1278" t="s">
        <v>26</v>
      </c>
      <c r="D1278" t="s">
        <v>183</v>
      </c>
      <c r="E1278" t="s">
        <v>11</v>
      </c>
      <c r="F1278">
        <v>0.65822881460189819</v>
      </c>
    </row>
    <row r="1279" spans="2:6">
      <c r="B1279">
        <v>2016</v>
      </c>
      <c r="C1279" t="s">
        <v>26</v>
      </c>
      <c r="D1279" t="s">
        <v>183</v>
      </c>
      <c r="E1279" t="s">
        <v>12</v>
      </c>
      <c r="F1279">
        <v>-0.1254873126745224</v>
      </c>
    </row>
    <row r="1280" spans="2:6">
      <c r="B1280">
        <v>2016</v>
      </c>
      <c r="C1280" t="s">
        <v>26</v>
      </c>
      <c r="D1280" t="s">
        <v>183</v>
      </c>
      <c r="E1280" t="s">
        <v>13</v>
      </c>
      <c r="F1280">
        <v>0.66405516862869263</v>
      </c>
    </row>
    <row r="1281" spans="2:6">
      <c r="B1281">
        <v>2016</v>
      </c>
      <c r="C1281" t="s">
        <v>26</v>
      </c>
      <c r="D1281" t="s">
        <v>183</v>
      </c>
      <c r="E1281" t="s">
        <v>14</v>
      </c>
      <c r="F1281">
        <v>0.55387020111083984</v>
      </c>
    </row>
    <row r="1282" spans="2:6">
      <c r="B1282">
        <v>2016</v>
      </c>
      <c r="C1282" t="s">
        <v>26</v>
      </c>
      <c r="D1282" t="s">
        <v>183</v>
      </c>
      <c r="E1282" t="s">
        <v>15</v>
      </c>
      <c r="F1282">
        <v>0.18210612237453461</v>
      </c>
    </row>
    <row r="1283" spans="2:6">
      <c r="B1283">
        <v>2017</v>
      </c>
      <c r="C1283" t="s">
        <v>26</v>
      </c>
      <c r="D1283" t="s">
        <v>183</v>
      </c>
      <c r="E1283" t="s">
        <v>7</v>
      </c>
      <c r="F1283">
        <v>5.552915096282959</v>
      </c>
    </row>
    <row r="1284" spans="2:6">
      <c r="B1284">
        <v>2017</v>
      </c>
      <c r="C1284" t="s">
        <v>26</v>
      </c>
      <c r="D1284" t="s">
        <v>183</v>
      </c>
      <c r="E1284" t="s">
        <v>8</v>
      </c>
      <c r="F1284">
        <v>9.8135738372802734</v>
      </c>
    </row>
    <row r="1285" spans="2:6">
      <c r="B1285">
        <v>2017</v>
      </c>
      <c r="C1285" t="s">
        <v>26</v>
      </c>
      <c r="D1285" t="s">
        <v>183</v>
      </c>
      <c r="E1285" t="s">
        <v>9</v>
      </c>
      <c r="F1285">
        <v>0.90025579929351807</v>
      </c>
    </row>
    <row r="1286" spans="2:6">
      <c r="B1286">
        <v>2017</v>
      </c>
      <c r="C1286" t="s">
        <v>26</v>
      </c>
      <c r="D1286" t="s">
        <v>183</v>
      </c>
      <c r="E1286" t="s">
        <v>10</v>
      </c>
      <c r="F1286">
        <v>65.800003051757813</v>
      </c>
    </row>
    <row r="1287" spans="2:6">
      <c r="B1287">
        <v>2017</v>
      </c>
      <c r="C1287" t="s">
        <v>26</v>
      </c>
      <c r="D1287" t="s">
        <v>183</v>
      </c>
      <c r="E1287" t="s">
        <v>11</v>
      </c>
      <c r="F1287">
        <v>0.62097924947738647</v>
      </c>
    </row>
    <row r="1288" spans="2:6">
      <c r="B1288">
        <v>2017</v>
      </c>
      <c r="C1288" t="s">
        <v>26</v>
      </c>
      <c r="D1288" t="s">
        <v>183</v>
      </c>
      <c r="E1288" t="s">
        <v>12</v>
      </c>
      <c r="F1288">
        <v>-0.12154945731163025</v>
      </c>
    </row>
    <row r="1289" spans="2:6">
      <c r="B1289">
        <v>2017</v>
      </c>
      <c r="C1289" t="s">
        <v>26</v>
      </c>
      <c r="D1289" t="s">
        <v>183</v>
      </c>
      <c r="E1289" t="s">
        <v>13</v>
      </c>
      <c r="F1289">
        <v>0.65411341190338135</v>
      </c>
    </row>
    <row r="1290" spans="2:6">
      <c r="B1290">
        <v>2017</v>
      </c>
      <c r="C1290" t="s">
        <v>26</v>
      </c>
      <c r="D1290" t="s">
        <v>183</v>
      </c>
      <c r="E1290" t="s">
        <v>14</v>
      </c>
      <c r="F1290">
        <v>0.54090577363967896</v>
      </c>
    </row>
    <row r="1291" spans="2:6">
      <c r="B1291">
        <v>2017</v>
      </c>
      <c r="C1291" t="s">
        <v>26</v>
      </c>
      <c r="D1291" t="s">
        <v>183</v>
      </c>
      <c r="E1291" t="s">
        <v>15</v>
      </c>
      <c r="F1291">
        <v>0.23276807367801666</v>
      </c>
    </row>
    <row r="1292" spans="2:6">
      <c r="B1292">
        <v>2018</v>
      </c>
      <c r="C1292" t="s">
        <v>26</v>
      </c>
      <c r="D1292" t="s">
        <v>183</v>
      </c>
      <c r="E1292" t="s">
        <v>7</v>
      </c>
      <c r="F1292">
        <v>5.2337698936462402</v>
      </c>
    </row>
    <row r="1293" spans="2:6">
      <c r="B1293">
        <v>2018</v>
      </c>
      <c r="C1293" t="s">
        <v>26</v>
      </c>
      <c r="D1293" t="s">
        <v>183</v>
      </c>
      <c r="E1293" t="s">
        <v>8</v>
      </c>
      <c r="F1293">
        <v>9.8461360931396484</v>
      </c>
    </row>
    <row r="1294" spans="2:6">
      <c r="B1294">
        <v>2018</v>
      </c>
      <c r="C1294" t="s">
        <v>26</v>
      </c>
      <c r="D1294" t="s">
        <v>183</v>
      </c>
      <c r="E1294" t="s">
        <v>9</v>
      </c>
      <c r="F1294">
        <v>0.90456926822662354</v>
      </c>
    </row>
    <row r="1295" spans="2:6">
      <c r="B1295">
        <v>2018</v>
      </c>
      <c r="C1295" t="s">
        <v>26</v>
      </c>
      <c r="D1295" t="s">
        <v>183</v>
      </c>
      <c r="E1295" t="s">
        <v>10</v>
      </c>
      <c r="F1295">
        <v>66.099998474121094</v>
      </c>
    </row>
    <row r="1296" spans="2:6">
      <c r="B1296">
        <v>2018</v>
      </c>
      <c r="C1296" t="s">
        <v>26</v>
      </c>
      <c r="D1296" t="s">
        <v>183</v>
      </c>
      <c r="E1296" t="s">
        <v>11</v>
      </c>
      <c r="F1296">
        <v>0.64360237121582031</v>
      </c>
    </row>
    <row r="1297" spans="2:6">
      <c r="B1297">
        <v>2018</v>
      </c>
      <c r="C1297" t="s">
        <v>26</v>
      </c>
      <c r="D1297" t="s">
        <v>183</v>
      </c>
      <c r="E1297" t="s">
        <v>12</v>
      </c>
      <c r="F1297">
        <v>-0.17448541522026062</v>
      </c>
    </row>
    <row r="1298" spans="2:6">
      <c r="B1298">
        <v>2018</v>
      </c>
      <c r="C1298" t="s">
        <v>26</v>
      </c>
      <c r="D1298" t="s">
        <v>183</v>
      </c>
      <c r="E1298" t="s">
        <v>13</v>
      </c>
      <c r="F1298">
        <v>0.71845549345016479</v>
      </c>
    </row>
    <row r="1299" spans="2:6">
      <c r="B1299">
        <v>2018</v>
      </c>
      <c r="C1299" t="s">
        <v>26</v>
      </c>
      <c r="D1299" t="s">
        <v>183</v>
      </c>
      <c r="E1299" t="s">
        <v>14</v>
      </c>
      <c r="F1299">
        <v>0.45033285021781921</v>
      </c>
    </row>
    <row r="1300" spans="2:6">
      <c r="B1300">
        <v>2018</v>
      </c>
      <c r="C1300" t="s">
        <v>26</v>
      </c>
      <c r="D1300" t="s">
        <v>183</v>
      </c>
      <c r="E1300" t="s">
        <v>15</v>
      </c>
      <c r="F1300">
        <v>0.23572862148284912</v>
      </c>
    </row>
    <row r="1301" spans="2:6">
      <c r="B1301">
        <v>2019</v>
      </c>
      <c r="C1301" t="s">
        <v>26</v>
      </c>
      <c r="D1301" t="s">
        <v>183</v>
      </c>
      <c r="E1301" t="s">
        <v>7</v>
      </c>
      <c r="F1301">
        <v>5.8214530944824219</v>
      </c>
    </row>
    <row r="1302" spans="2:6">
      <c r="B1302">
        <v>2019</v>
      </c>
      <c r="C1302" t="s">
        <v>26</v>
      </c>
      <c r="D1302" t="s">
        <v>183</v>
      </c>
      <c r="E1302" t="s">
        <v>8</v>
      </c>
      <c r="F1302">
        <v>9.8600387573242188</v>
      </c>
    </row>
    <row r="1303" spans="2:6">
      <c r="B1303">
        <v>2019</v>
      </c>
      <c r="C1303" t="s">
        <v>26</v>
      </c>
      <c r="D1303" t="s">
        <v>183</v>
      </c>
      <c r="E1303" t="s">
        <v>9</v>
      </c>
      <c r="F1303">
        <v>0.91674047708511353</v>
      </c>
    </row>
    <row r="1304" spans="2:6">
      <c r="B1304">
        <v>2019</v>
      </c>
      <c r="C1304" t="s">
        <v>26</v>
      </c>
      <c r="D1304" t="s">
        <v>183</v>
      </c>
      <c r="E1304" t="s">
        <v>10</v>
      </c>
      <c r="F1304">
        <v>66.400001525878906</v>
      </c>
    </row>
    <row r="1305" spans="2:6">
      <c r="B1305">
        <v>2019</v>
      </c>
      <c r="C1305" t="s">
        <v>26</v>
      </c>
      <c r="D1305" t="s">
        <v>183</v>
      </c>
      <c r="E1305" t="s">
        <v>11</v>
      </c>
      <c r="F1305">
        <v>0.65693360567092896</v>
      </c>
    </row>
    <row r="1306" spans="2:6">
      <c r="B1306">
        <v>2019</v>
      </c>
      <c r="C1306" t="s">
        <v>26</v>
      </c>
      <c r="D1306" t="s">
        <v>183</v>
      </c>
      <c r="E1306" t="s">
        <v>12</v>
      </c>
      <c r="F1306">
        <v>-0.18593330681324005</v>
      </c>
    </row>
    <row r="1307" spans="2:6">
      <c r="B1307">
        <v>2019</v>
      </c>
      <c r="C1307" t="s">
        <v>26</v>
      </c>
      <c r="D1307" t="s">
        <v>183</v>
      </c>
      <c r="E1307" t="s">
        <v>13</v>
      </c>
      <c r="F1307">
        <v>0.54590475559234619</v>
      </c>
    </row>
    <row r="1308" spans="2:6">
      <c r="B1308">
        <v>2019</v>
      </c>
      <c r="C1308" t="s">
        <v>26</v>
      </c>
      <c r="D1308" t="s">
        <v>183</v>
      </c>
      <c r="E1308" t="s">
        <v>14</v>
      </c>
      <c r="F1308">
        <v>0.5908505916595459</v>
      </c>
    </row>
    <row r="1309" spans="2:6">
      <c r="B1309">
        <v>2019</v>
      </c>
      <c r="C1309" t="s">
        <v>26</v>
      </c>
      <c r="D1309" t="s">
        <v>183</v>
      </c>
      <c r="E1309" t="s">
        <v>15</v>
      </c>
      <c r="F1309">
        <v>0.18982140719890594</v>
      </c>
    </row>
    <row r="1310" spans="2:6">
      <c r="B1310">
        <v>2005</v>
      </c>
      <c r="C1310" t="s">
        <v>27</v>
      </c>
      <c r="D1310" t="s">
        <v>183</v>
      </c>
      <c r="E1310" t="s">
        <v>7</v>
      </c>
      <c r="F1310">
        <v>7.2622904777526855</v>
      </c>
    </row>
    <row r="1311" spans="2:6">
      <c r="B1311">
        <v>2005</v>
      </c>
      <c r="C1311" t="s">
        <v>27</v>
      </c>
      <c r="D1311" t="s">
        <v>183</v>
      </c>
      <c r="E1311" t="s">
        <v>8</v>
      </c>
      <c r="F1311">
        <v>10.74460506439209</v>
      </c>
    </row>
    <row r="1312" spans="2:6">
      <c r="B1312">
        <v>2005</v>
      </c>
      <c r="C1312" t="s">
        <v>27</v>
      </c>
      <c r="D1312" t="s">
        <v>183</v>
      </c>
      <c r="E1312" t="s">
        <v>9</v>
      </c>
      <c r="F1312">
        <v>0.93487471342086792</v>
      </c>
    </row>
    <row r="1313" spans="2:6">
      <c r="B1313">
        <v>2005</v>
      </c>
      <c r="C1313" t="s">
        <v>27</v>
      </c>
      <c r="D1313" t="s">
        <v>183</v>
      </c>
      <c r="E1313" t="s">
        <v>10</v>
      </c>
      <c r="F1313">
        <v>69.900001525878906</v>
      </c>
    </row>
    <row r="1314" spans="2:6">
      <c r="B1314">
        <v>2005</v>
      </c>
      <c r="C1314" t="s">
        <v>27</v>
      </c>
      <c r="D1314" t="s">
        <v>183</v>
      </c>
      <c r="E1314" t="s">
        <v>11</v>
      </c>
      <c r="F1314">
        <v>0.92384302616119385</v>
      </c>
    </row>
    <row r="1315" spans="2:6">
      <c r="B1315">
        <v>2005</v>
      </c>
      <c r="C1315" t="s">
        <v>27</v>
      </c>
      <c r="D1315" t="s">
        <v>183</v>
      </c>
      <c r="E1315" t="s">
        <v>13</v>
      </c>
      <c r="F1315">
        <v>0.59755444526672363</v>
      </c>
    </row>
    <row r="1316" spans="2:6">
      <c r="B1316">
        <v>2005</v>
      </c>
      <c r="C1316" t="s">
        <v>27</v>
      </c>
      <c r="D1316" t="s">
        <v>183</v>
      </c>
      <c r="E1316" t="s">
        <v>14</v>
      </c>
      <c r="F1316">
        <v>0.79627877473831177</v>
      </c>
    </row>
    <row r="1317" spans="2:6">
      <c r="B1317">
        <v>2005</v>
      </c>
      <c r="C1317" t="s">
        <v>27</v>
      </c>
      <c r="D1317" t="s">
        <v>183</v>
      </c>
      <c r="E1317" t="s">
        <v>15</v>
      </c>
      <c r="F1317">
        <v>0.26037994027137756</v>
      </c>
    </row>
    <row r="1318" spans="2:6">
      <c r="B1318">
        <v>2007</v>
      </c>
      <c r="C1318" t="s">
        <v>27</v>
      </c>
      <c r="D1318" t="s">
        <v>183</v>
      </c>
      <c r="E1318" t="s">
        <v>7</v>
      </c>
      <c r="F1318">
        <v>7.2188396453857422</v>
      </c>
    </row>
    <row r="1319" spans="2:6">
      <c r="B1319">
        <v>2007</v>
      </c>
      <c r="C1319" t="s">
        <v>27</v>
      </c>
      <c r="D1319" t="s">
        <v>183</v>
      </c>
      <c r="E1319" t="s">
        <v>8</v>
      </c>
      <c r="F1319">
        <v>10.79197883605957</v>
      </c>
    </row>
    <row r="1320" spans="2:6">
      <c r="B1320">
        <v>2007</v>
      </c>
      <c r="C1320" t="s">
        <v>27</v>
      </c>
      <c r="D1320" t="s">
        <v>183</v>
      </c>
      <c r="E1320" t="s">
        <v>9</v>
      </c>
      <c r="F1320">
        <v>0.92160278558731079</v>
      </c>
    </row>
    <row r="1321" spans="2:6">
      <c r="B1321">
        <v>2007</v>
      </c>
      <c r="C1321" t="s">
        <v>27</v>
      </c>
      <c r="D1321" t="s">
        <v>183</v>
      </c>
      <c r="E1321" t="s">
        <v>10</v>
      </c>
      <c r="F1321">
        <v>70.260002136230469</v>
      </c>
    </row>
    <row r="1322" spans="2:6">
      <c r="B1322">
        <v>2007</v>
      </c>
      <c r="C1322" t="s">
        <v>27</v>
      </c>
      <c r="D1322" t="s">
        <v>183</v>
      </c>
      <c r="E1322" t="s">
        <v>11</v>
      </c>
      <c r="F1322">
        <v>0.90087038278579712</v>
      </c>
    </row>
    <row r="1323" spans="2:6">
      <c r="B1323">
        <v>2007</v>
      </c>
      <c r="C1323" t="s">
        <v>27</v>
      </c>
      <c r="D1323" t="s">
        <v>183</v>
      </c>
      <c r="E1323" t="s">
        <v>12</v>
      </c>
      <c r="F1323">
        <v>6.9499850273132324E-2</v>
      </c>
    </row>
    <row r="1324" spans="2:6">
      <c r="B1324">
        <v>2007</v>
      </c>
      <c r="C1324" t="s">
        <v>27</v>
      </c>
      <c r="D1324" t="s">
        <v>183</v>
      </c>
      <c r="E1324" t="s">
        <v>13</v>
      </c>
      <c r="F1324">
        <v>0.72109347581863403</v>
      </c>
    </row>
    <row r="1325" spans="2:6">
      <c r="B1325">
        <v>2007</v>
      </c>
      <c r="C1325" t="s">
        <v>27</v>
      </c>
      <c r="D1325" t="s">
        <v>183</v>
      </c>
      <c r="E1325" t="s">
        <v>14</v>
      </c>
      <c r="F1325">
        <v>0.81347715854644775</v>
      </c>
    </row>
    <row r="1326" spans="2:6">
      <c r="B1326">
        <v>2007</v>
      </c>
      <c r="C1326" t="s">
        <v>27</v>
      </c>
      <c r="D1326" t="s">
        <v>183</v>
      </c>
      <c r="E1326" t="s">
        <v>15</v>
      </c>
      <c r="F1326">
        <v>0.21760430932044983</v>
      </c>
    </row>
    <row r="1327" spans="2:6">
      <c r="B1327">
        <v>2008</v>
      </c>
      <c r="C1327" t="s">
        <v>27</v>
      </c>
      <c r="D1327" t="s">
        <v>183</v>
      </c>
      <c r="E1327" t="s">
        <v>7</v>
      </c>
      <c r="F1327">
        <v>7.1165909767150879</v>
      </c>
    </row>
    <row r="1328" spans="2:6">
      <c r="B1328">
        <v>2008</v>
      </c>
      <c r="C1328" t="s">
        <v>27</v>
      </c>
      <c r="D1328" t="s">
        <v>183</v>
      </c>
      <c r="E1328" t="s">
        <v>8</v>
      </c>
      <c r="F1328">
        <v>10.788537979125977</v>
      </c>
    </row>
    <row r="1329" spans="2:6">
      <c r="B1329">
        <v>2008</v>
      </c>
      <c r="C1329" t="s">
        <v>27</v>
      </c>
      <c r="D1329" t="s">
        <v>183</v>
      </c>
      <c r="E1329" t="s">
        <v>9</v>
      </c>
      <c r="F1329">
        <v>0.9229770302772522</v>
      </c>
    </row>
    <row r="1330" spans="2:6">
      <c r="B1330">
        <v>2008</v>
      </c>
      <c r="C1330" t="s">
        <v>27</v>
      </c>
      <c r="D1330" t="s">
        <v>183</v>
      </c>
      <c r="E1330" t="s">
        <v>10</v>
      </c>
      <c r="F1330">
        <v>70.44000244140625</v>
      </c>
    </row>
    <row r="1331" spans="2:6">
      <c r="B1331">
        <v>2008</v>
      </c>
      <c r="C1331" t="s">
        <v>27</v>
      </c>
      <c r="D1331" t="s">
        <v>183</v>
      </c>
      <c r="E1331" t="s">
        <v>11</v>
      </c>
      <c r="F1331">
        <v>0.88702672719955444</v>
      </c>
    </row>
    <row r="1332" spans="2:6">
      <c r="B1332">
        <v>2008</v>
      </c>
      <c r="C1332" t="s">
        <v>27</v>
      </c>
      <c r="D1332" t="s">
        <v>183</v>
      </c>
      <c r="E1332" t="s">
        <v>12</v>
      </c>
      <c r="F1332">
        <v>6.9726896472275257E-3</v>
      </c>
    </row>
    <row r="1333" spans="2:6">
      <c r="B1333">
        <v>2008</v>
      </c>
      <c r="C1333" t="s">
        <v>27</v>
      </c>
      <c r="D1333" t="s">
        <v>183</v>
      </c>
      <c r="E1333" t="s">
        <v>13</v>
      </c>
      <c r="F1333">
        <v>0.65180051326751709</v>
      </c>
    </row>
    <row r="1334" spans="2:6">
      <c r="B1334">
        <v>2008</v>
      </c>
      <c r="C1334" t="s">
        <v>27</v>
      </c>
      <c r="D1334" t="s">
        <v>183</v>
      </c>
      <c r="E1334" t="s">
        <v>14</v>
      </c>
      <c r="F1334">
        <v>0.81312268972396851</v>
      </c>
    </row>
    <row r="1335" spans="2:6">
      <c r="B1335">
        <v>2008</v>
      </c>
      <c r="C1335" t="s">
        <v>27</v>
      </c>
      <c r="D1335" t="s">
        <v>183</v>
      </c>
      <c r="E1335" t="s">
        <v>15</v>
      </c>
      <c r="F1335">
        <v>0.24179792404174805</v>
      </c>
    </row>
    <row r="1336" spans="2:6">
      <c r="B1336">
        <v>2010</v>
      </c>
      <c r="C1336" t="s">
        <v>27</v>
      </c>
      <c r="D1336" t="s">
        <v>183</v>
      </c>
      <c r="E1336" t="s">
        <v>7</v>
      </c>
      <c r="F1336">
        <v>6.8535141944885254</v>
      </c>
    </row>
    <row r="1337" spans="2:6">
      <c r="B1337">
        <v>2010</v>
      </c>
      <c r="C1337" t="s">
        <v>27</v>
      </c>
      <c r="D1337" t="s">
        <v>183</v>
      </c>
      <c r="E1337" t="s">
        <v>8</v>
      </c>
      <c r="F1337">
        <v>10.779181480407715</v>
      </c>
    </row>
    <row r="1338" spans="2:6">
      <c r="B1338">
        <v>2010</v>
      </c>
      <c r="C1338" t="s">
        <v>27</v>
      </c>
      <c r="D1338" t="s">
        <v>183</v>
      </c>
      <c r="E1338" t="s">
        <v>9</v>
      </c>
      <c r="F1338">
        <v>0.93057018518447876</v>
      </c>
    </row>
    <row r="1339" spans="2:6">
      <c r="B1339">
        <v>2010</v>
      </c>
      <c r="C1339" t="s">
        <v>27</v>
      </c>
      <c r="D1339" t="s">
        <v>183</v>
      </c>
      <c r="E1339" t="s">
        <v>10</v>
      </c>
      <c r="F1339">
        <v>70.800003051757813</v>
      </c>
    </row>
    <row r="1340" spans="2:6">
      <c r="B1340">
        <v>2010</v>
      </c>
      <c r="C1340" t="s">
        <v>27</v>
      </c>
      <c r="D1340" t="s">
        <v>183</v>
      </c>
      <c r="E1340" t="s">
        <v>11</v>
      </c>
      <c r="F1340">
        <v>0.80693024396896362</v>
      </c>
    </row>
    <row r="1341" spans="2:6">
      <c r="B1341">
        <v>2010</v>
      </c>
      <c r="C1341" t="s">
        <v>27</v>
      </c>
      <c r="D1341" t="s">
        <v>183</v>
      </c>
      <c r="E1341" t="s">
        <v>12</v>
      </c>
      <c r="F1341">
        <v>2.2294957190752029E-2</v>
      </c>
    </row>
    <row r="1342" spans="2:6">
      <c r="B1342">
        <v>2010</v>
      </c>
      <c r="C1342" t="s">
        <v>27</v>
      </c>
      <c r="D1342" t="s">
        <v>183</v>
      </c>
      <c r="E1342" t="s">
        <v>13</v>
      </c>
      <c r="F1342">
        <v>0.69736558198928833</v>
      </c>
    </row>
    <row r="1343" spans="2:6">
      <c r="B1343">
        <v>2010</v>
      </c>
      <c r="C1343" t="s">
        <v>27</v>
      </c>
      <c r="D1343" t="s">
        <v>183</v>
      </c>
      <c r="E1343" t="s">
        <v>14</v>
      </c>
      <c r="F1343">
        <v>0.82825851440429688</v>
      </c>
    </row>
    <row r="1344" spans="2:6">
      <c r="B1344">
        <v>2010</v>
      </c>
      <c r="C1344" t="s">
        <v>27</v>
      </c>
      <c r="D1344" t="s">
        <v>183</v>
      </c>
      <c r="E1344" t="s">
        <v>15</v>
      </c>
      <c r="F1344">
        <v>0.24036432802677155</v>
      </c>
    </row>
    <row r="1345" spans="2:6">
      <c r="B1345">
        <v>2011</v>
      </c>
      <c r="C1345" t="s">
        <v>27</v>
      </c>
      <c r="D1345" t="s">
        <v>183</v>
      </c>
      <c r="E1345" t="s">
        <v>7</v>
      </c>
      <c r="F1345">
        <v>7.1113638877868652</v>
      </c>
    </row>
    <row r="1346" spans="2:6">
      <c r="B1346">
        <v>2011</v>
      </c>
      <c r="C1346" t="s">
        <v>27</v>
      </c>
      <c r="D1346" t="s">
        <v>183</v>
      </c>
      <c r="E1346" t="s">
        <v>8</v>
      </c>
      <c r="F1346">
        <v>10.782974243164063</v>
      </c>
    </row>
    <row r="1347" spans="2:6">
      <c r="B1347">
        <v>2011</v>
      </c>
      <c r="C1347" t="s">
        <v>27</v>
      </c>
      <c r="D1347" t="s">
        <v>183</v>
      </c>
      <c r="E1347" t="s">
        <v>9</v>
      </c>
      <c r="F1347">
        <v>0.93695545196533203</v>
      </c>
    </row>
    <row r="1348" spans="2:6">
      <c r="B1348">
        <v>2011</v>
      </c>
      <c r="C1348" t="s">
        <v>27</v>
      </c>
      <c r="D1348" t="s">
        <v>183</v>
      </c>
      <c r="E1348" t="s">
        <v>10</v>
      </c>
      <c r="F1348">
        <v>70.919998168945313</v>
      </c>
    </row>
    <row r="1349" spans="2:6">
      <c r="B1349">
        <v>2011</v>
      </c>
      <c r="C1349" t="s">
        <v>27</v>
      </c>
      <c r="D1349" t="s">
        <v>183</v>
      </c>
      <c r="E1349" t="s">
        <v>11</v>
      </c>
      <c r="F1349">
        <v>0.8801535964012146</v>
      </c>
    </row>
    <row r="1350" spans="2:6">
      <c r="B1350">
        <v>2011</v>
      </c>
      <c r="C1350" t="s">
        <v>27</v>
      </c>
      <c r="D1350" t="s">
        <v>183</v>
      </c>
      <c r="E1350" t="s">
        <v>12</v>
      </c>
      <c r="F1350">
        <v>-1.4153561554849148E-2</v>
      </c>
    </row>
    <row r="1351" spans="2:6">
      <c r="B1351">
        <v>2011</v>
      </c>
      <c r="C1351" t="s">
        <v>27</v>
      </c>
      <c r="D1351" t="s">
        <v>183</v>
      </c>
      <c r="E1351" t="s">
        <v>13</v>
      </c>
      <c r="F1351">
        <v>0.71104389429092407</v>
      </c>
    </row>
    <row r="1352" spans="2:6">
      <c r="B1352">
        <v>2011</v>
      </c>
      <c r="C1352" t="s">
        <v>27</v>
      </c>
      <c r="D1352" t="s">
        <v>183</v>
      </c>
      <c r="E1352" t="s">
        <v>14</v>
      </c>
      <c r="F1352">
        <v>0.83454453945159912</v>
      </c>
    </row>
    <row r="1353" spans="2:6">
      <c r="B1353">
        <v>2011</v>
      </c>
      <c r="C1353" t="s">
        <v>27</v>
      </c>
      <c r="D1353" t="s">
        <v>183</v>
      </c>
      <c r="E1353" t="s">
        <v>15</v>
      </c>
      <c r="F1353">
        <v>0.22505636513233185</v>
      </c>
    </row>
    <row r="1354" spans="2:6">
      <c r="B1354">
        <v>2012</v>
      </c>
      <c r="C1354" t="s">
        <v>27</v>
      </c>
      <c r="D1354" t="s">
        <v>183</v>
      </c>
      <c r="E1354" t="s">
        <v>7</v>
      </c>
      <c r="F1354">
        <v>6.935122013092041</v>
      </c>
    </row>
    <row r="1355" spans="2:6">
      <c r="B1355">
        <v>2012</v>
      </c>
      <c r="C1355" t="s">
        <v>27</v>
      </c>
      <c r="D1355" t="s">
        <v>183</v>
      </c>
      <c r="E1355" t="s">
        <v>8</v>
      </c>
      <c r="F1355">
        <v>10.784137725830078</v>
      </c>
    </row>
    <row r="1356" spans="2:6">
      <c r="B1356">
        <v>2012</v>
      </c>
      <c r="C1356" t="s">
        <v>27</v>
      </c>
      <c r="D1356" t="s">
        <v>183</v>
      </c>
      <c r="E1356" t="s">
        <v>9</v>
      </c>
      <c r="F1356">
        <v>0.92711704969406128</v>
      </c>
    </row>
    <row r="1357" spans="2:6">
      <c r="B1357">
        <v>2012</v>
      </c>
      <c r="C1357" t="s">
        <v>27</v>
      </c>
      <c r="D1357" t="s">
        <v>183</v>
      </c>
      <c r="E1357" t="s">
        <v>10</v>
      </c>
      <c r="F1357">
        <v>71.040000915527344</v>
      </c>
    </row>
    <row r="1358" spans="2:6">
      <c r="B1358">
        <v>2012</v>
      </c>
      <c r="C1358" t="s">
        <v>27</v>
      </c>
      <c r="D1358" t="s">
        <v>183</v>
      </c>
      <c r="E1358" t="s">
        <v>11</v>
      </c>
      <c r="F1358">
        <v>0.85526663064956665</v>
      </c>
    </row>
    <row r="1359" spans="2:6">
      <c r="B1359">
        <v>2012</v>
      </c>
      <c r="C1359" t="s">
        <v>27</v>
      </c>
      <c r="D1359" t="s">
        <v>183</v>
      </c>
      <c r="E1359" t="s">
        <v>12</v>
      </c>
      <c r="F1359">
        <v>-5.0071302801370621E-2</v>
      </c>
    </row>
    <row r="1360" spans="2:6">
      <c r="B1360">
        <v>2012</v>
      </c>
      <c r="C1360" t="s">
        <v>27</v>
      </c>
      <c r="D1360" t="s">
        <v>183</v>
      </c>
      <c r="E1360" t="s">
        <v>13</v>
      </c>
      <c r="F1360">
        <v>0.75757253170013428</v>
      </c>
    </row>
    <row r="1361" spans="2:6">
      <c r="B1361">
        <v>2012</v>
      </c>
      <c r="C1361" t="s">
        <v>27</v>
      </c>
      <c r="D1361" t="s">
        <v>183</v>
      </c>
      <c r="E1361" t="s">
        <v>14</v>
      </c>
      <c r="F1361">
        <v>0.82048577070236206</v>
      </c>
    </row>
    <row r="1362" spans="2:6">
      <c r="B1362">
        <v>2012</v>
      </c>
      <c r="C1362" t="s">
        <v>27</v>
      </c>
      <c r="D1362" t="s">
        <v>183</v>
      </c>
      <c r="E1362" t="s">
        <v>15</v>
      </c>
      <c r="F1362">
        <v>0.23827680945396423</v>
      </c>
    </row>
    <row r="1363" spans="2:6">
      <c r="B1363">
        <v>2013</v>
      </c>
      <c r="C1363" t="s">
        <v>27</v>
      </c>
      <c r="D1363" t="s">
        <v>183</v>
      </c>
      <c r="E1363" t="s">
        <v>7</v>
      </c>
      <c r="F1363">
        <v>7.103661060333252</v>
      </c>
    </row>
    <row r="1364" spans="2:6">
      <c r="B1364">
        <v>2013</v>
      </c>
      <c r="C1364" t="s">
        <v>27</v>
      </c>
      <c r="D1364" t="s">
        <v>183</v>
      </c>
      <c r="E1364" t="s">
        <v>8</v>
      </c>
      <c r="F1364">
        <v>10.784006118774414</v>
      </c>
    </row>
    <row r="1365" spans="2:6">
      <c r="B1365">
        <v>2013</v>
      </c>
      <c r="C1365" t="s">
        <v>27</v>
      </c>
      <c r="D1365" t="s">
        <v>183</v>
      </c>
      <c r="E1365" t="s">
        <v>9</v>
      </c>
      <c r="F1365">
        <v>0.90918618440628052</v>
      </c>
    </row>
    <row r="1366" spans="2:6">
      <c r="B1366">
        <v>2013</v>
      </c>
      <c r="C1366" t="s">
        <v>27</v>
      </c>
      <c r="D1366" t="s">
        <v>183</v>
      </c>
      <c r="E1366" t="s">
        <v>10</v>
      </c>
      <c r="F1366">
        <v>71.160003662109375</v>
      </c>
    </row>
    <row r="1367" spans="2:6">
      <c r="B1367">
        <v>2013</v>
      </c>
      <c r="C1367" t="s">
        <v>27</v>
      </c>
      <c r="D1367" t="s">
        <v>183</v>
      </c>
      <c r="E1367" t="s">
        <v>11</v>
      </c>
      <c r="F1367">
        <v>0.89071106910705566</v>
      </c>
    </row>
    <row r="1368" spans="2:6">
      <c r="B1368">
        <v>2013</v>
      </c>
      <c r="C1368" t="s">
        <v>27</v>
      </c>
      <c r="D1368" t="s">
        <v>183</v>
      </c>
      <c r="E1368" t="s">
        <v>12</v>
      </c>
      <c r="F1368">
        <v>1.6689838841557503E-2</v>
      </c>
    </row>
    <row r="1369" spans="2:6">
      <c r="B1369">
        <v>2013</v>
      </c>
      <c r="C1369" t="s">
        <v>27</v>
      </c>
      <c r="D1369" t="s">
        <v>183</v>
      </c>
      <c r="E1369" t="s">
        <v>13</v>
      </c>
      <c r="F1369">
        <v>0.57366430759429932</v>
      </c>
    </row>
    <row r="1370" spans="2:6">
      <c r="B1370">
        <v>2013</v>
      </c>
      <c r="C1370" t="s">
        <v>27</v>
      </c>
      <c r="D1370" t="s">
        <v>183</v>
      </c>
      <c r="E1370" t="s">
        <v>14</v>
      </c>
      <c r="F1370">
        <v>0.79741740226745605</v>
      </c>
    </row>
    <row r="1371" spans="2:6">
      <c r="B1371">
        <v>2013</v>
      </c>
      <c r="C1371" t="s">
        <v>27</v>
      </c>
      <c r="D1371" t="s">
        <v>183</v>
      </c>
      <c r="E1371" t="s">
        <v>15</v>
      </c>
      <c r="F1371">
        <v>0.21713894605636597</v>
      </c>
    </row>
    <row r="1372" spans="2:6">
      <c r="B1372">
        <v>2014</v>
      </c>
      <c r="C1372" t="s">
        <v>27</v>
      </c>
      <c r="D1372" t="s">
        <v>183</v>
      </c>
      <c r="E1372" t="s">
        <v>7</v>
      </c>
      <c r="F1372">
        <v>6.8553290367126465</v>
      </c>
    </row>
    <row r="1373" spans="2:6">
      <c r="B1373">
        <v>2014</v>
      </c>
      <c r="C1373" t="s">
        <v>27</v>
      </c>
      <c r="D1373" t="s">
        <v>183</v>
      </c>
      <c r="E1373" t="s">
        <v>8</v>
      </c>
      <c r="F1373">
        <v>10.795228958129883</v>
      </c>
    </row>
    <row r="1374" spans="2:6">
      <c r="B1374">
        <v>2014</v>
      </c>
      <c r="C1374" t="s">
        <v>27</v>
      </c>
      <c r="D1374" t="s">
        <v>183</v>
      </c>
      <c r="E1374" t="s">
        <v>9</v>
      </c>
      <c r="F1374">
        <v>0.94354915618896484</v>
      </c>
    </row>
    <row r="1375" spans="2:6">
      <c r="B1375">
        <v>2014</v>
      </c>
      <c r="C1375" t="s">
        <v>27</v>
      </c>
      <c r="D1375" t="s">
        <v>183</v>
      </c>
      <c r="E1375" t="s">
        <v>10</v>
      </c>
      <c r="F1375">
        <v>71.279998779296875</v>
      </c>
    </row>
    <row r="1376" spans="2:6">
      <c r="B1376">
        <v>2014</v>
      </c>
      <c r="C1376" t="s">
        <v>27</v>
      </c>
      <c r="D1376" t="s">
        <v>183</v>
      </c>
      <c r="E1376" t="s">
        <v>11</v>
      </c>
      <c r="F1376">
        <v>0.86095350980758667</v>
      </c>
    </row>
    <row r="1377" spans="2:6">
      <c r="B1377">
        <v>2014</v>
      </c>
      <c r="C1377" t="s">
        <v>27</v>
      </c>
      <c r="D1377" t="s">
        <v>183</v>
      </c>
      <c r="E1377" t="s">
        <v>12</v>
      </c>
      <c r="F1377">
        <v>1.345287193544209E-3</v>
      </c>
    </row>
    <row r="1378" spans="2:6">
      <c r="B1378">
        <v>2014</v>
      </c>
      <c r="C1378" t="s">
        <v>27</v>
      </c>
      <c r="D1378" t="s">
        <v>183</v>
      </c>
      <c r="E1378" t="s">
        <v>13</v>
      </c>
      <c r="F1378">
        <v>0.51197576522827148</v>
      </c>
    </row>
    <row r="1379" spans="2:6">
      <c r="B1379">
        <v>2014</v>
      </c>
      <c r="C1379" t="s">
        <v>27</v>
      </c>
      <c r="D1379" t="s">
        <v>183</v>
      </c>
      <c r="E1379" t="s">
        <v>14</v>
      </c>
      <c r="F1379">
        <v>0.79763376712799072</v>
      </c>
    </row>
    <row r="1380" spans="2:6">
      <c r="B1380">
        <v>2014</v>
      </c>
      <c r="C1380" t="s">
        <v>27</v>
      </c>
      <c r="D1380" t="s">
        <v>183</v>
      </c>
      <c r="E1380" t="s">
        <v>15</v>
      </c>
      <c r="F1380">
        <v>0.25155705213546753</v>
      </c>
    </row>
    <row r="1381" spans="2:6">
      <c r="B1381">
        <v>2015</v>
      </c>
      <c r="C1381" t="s">
        <v>27</v>
      </c>
      <c r="D1381" t="s">
        <v>183</v>
      </c>
      <c r="E1381" t="s">
        <v>7</v>
      </c>
      <c r="F1381">
        <v>6.9042191505432129</v>
      </c>
    </row>
    <row r="1382" spans="2:6">
      <c r="B1382">
        <v>2015</v>
      </c>
      <c r="C1382" t="s">
        <v>27</v>
      </c>
      <c r="D1382" t="s">
        <v>183</v>
      </c>
      <c r="E1382" t="s">
        <v>8</v>
      </c>
      <c r="F1382">
        <v>10.809558868408203</v>
      </c>
    </row>
    <row r="1383" spans="2:6">
      <c r="B1383">
        <v>2015</v>
      </c>
      <c r="C1383" t="s">
        <v>27</v>
      </c>
      <c r="D1383" t="s">
        <v>183</v>
      </c>
      <c r="E1383" t="s">
        <v>9</v>
      </c>
      <c r="F1383">
        <v>0.8852088451385498</v>
      </c>
    </row>
    <row r="1384" spans="2:6">
      <c r="B1384">
        <v>2015</v>
      </c>
      <c r="C1384" t="s">
        <v>27</v>
      </c>
      <c r="D1384" t="s">
        <v>183</v>
      </c>
      <c r="E1384" t="s">
        <v>10</v>
      </c>
      <c r="F1384">
        <v>71.400001525878906</v>
      </c>
    </row>
    <row r="1385" spans="2:6">
      <c r="B1385">
        <v>2015</v>
      </c>
      <c r="C1385" t="s">
        <v>27</v>
      </c>
      <c r="D1385" t="s">
        <v>183</v>
      </c>
      <c r="E1385" t="s">
        <v>11</v>
      </c>
      <c r="F1385">
        <v>0.86947494745254517</v>
      </c>
    </row>
    <row r="1386" spans="2:6">
      <c r="B1386">
        <v>2015</v>
      </c>
      <c r="C1386" t="s">
        <v>27</v>
      </c>
      <c r="D1386" t="s">
        <v>183</v>
      </c>
      <c r="E1386" t="s">
        <v>12</v>
      </c>
      <c r="F1386">
        <v>6.2214955687522888E-2</v>
      </c>
    </row>
    <row r="1387" spans="2:6">
      <c r="B1387">
        <v>2015</v>
      </c>
      <c r="C1387" t="s">
        <v>27</v>
      </c>
      <c r="D1387" t="s">
        <v>183</v>
      </c>
      <c r="E1387" t="s">
        <v>13</v>
      </c>
      <c r="F1387">
        <v>0.4687846302986145</v>
      </c>
    </row>
    <row r="1388" spans="2:6">
      <c r="B1388">
        <v>2015</v>
      </c>
      <c r="C1388" t="s">
        <v>27</v>
      </c>
      <c r="D1388" t="s">
        <v>183</v>
      </c>
      <c r="E1388" t="s">
        <v>14</v>
      </c>
      <c r="F1388">
        <v>0.80517750978469849</v>
      </c>
    </row>
    <row r="1389" spans="2:6">
      <c r="B1389">
        <v>2015</v>
      </c>
      <c r="C1389" t="s">
        <v>27</v>
      </c>
      <c r="D1389" t="s">
        <v>183</v>
      </c>
      <c r="E1389" t="s">
        <v>15</v>
      </c>
      <c r="F1389">
        <v>0.23995870351791382</v>
      </c>
    </row>
    <row r="1390" spans="2:6">
      <c r="B1390">
        <v>2016</v>
      </c>
      <c r="C1390" t="s">
        <v>27</v>
      </c>
      <c r="D1390" t="s">
        <v>183</v>
      </c>
      <c r="E1390" t="s">
        <v>7</v>
      </c>
      <c r="F1390">
        <v>6.9489364624023438</v>
      </c>
    </row>
    <row r="1391" spans="2:6">
      <c r="B1391">
        <v>2016</v>
      </c>
      <c r="C1391" t="s">
        <v>27</v>
      </c>
      <c r="D1391" t="s">
        <v>183</v>
      </c>
      <c r="E1391" t="s">
        <v>8</v>
      </c>
      <c r="F1391">
        <v>10.819169998168945</v>
      </c>
    </row>
    <row r="1392" spans="2:6">
      <c r="B1392">
        <v>2016</v>
      </c>
      <c r="C1392" t="s">
        <v>27</v>
      </c>
      <c r="D1392" t="s">
        <v>183</v>
      </c>
      <c r="E1392" t="s">
        <v>9</v>
      </c>
      <c r="F1392">
        <v>0.92896407842636108</v>
      </c>
    </row>
    <row r="1393" spans="2:6">
      <c r="B1393">
        <v>2016</v>
      </c>
      <c r="C1393" t="s">
        <v>27</v>
      </c>
      <c r="D1393" t="s">
        <v>183</v>
      </c>
      <c r="E1393" t="s">
        <v>10</v>
      </c>
      <c r="F1393">
        <v>71.599998474121094</v>
      </c>
    </row>
    <row r="1394" spans="2:6">
      <c r="B1394">
        <v>2016</v>
      </c>
      <c r="C1394" t="s">
        <v>27</v>
      </c>
      <c r="D1394" t="s">
        <v>183</v>
      </c>
      <c r="E1394" t="s">
        <v>11</v>
      </c>
      <c r="F1394">
        <v>0.86575901508331299</v>
      </c>
    </row>
    <row r="1395" spans="2:6">
      <c r="B1395">
        <v>2016</v>
      </c>
      <c r="C1395" t="s">
        <v>27</v>
      </c>
      <c r="D1395" t="s">
        <v>183</v>
      </c>
      <c r="E1395" t="s">
        <v>12</v>
      </c>
      <c r="F1395">
        <v>-5.5825956165790558E-2</v>
      </c>
    </row>
    <row r="1396" spans="2:6">
      <c r="B1396">
        <v>2016</v>
      </c>
      <c r="C1396" t="s">
        <v>27</v>
      </c>
      <c r="D1396" t="s">
        <v>183</v>
      </c>
      <c r="E1396" t="s">
        <v>13</v>
      </c>
      <c r="F1396">
        <v>0.49665910005569458</v>
      </c>
    </row>
    <row r="1397" spans="2:6">
      <c r="B1397">
        <v>2016</v>
      </c>
      <c r="C1397" t="s">
        <v>27</v>
      </c>
      <c r="D1397" t="s">
        <v>183</v>
      </c>
      <c r="E1397" t="s">
        <v>14</v>
      </c>
      <c r="F1397">
        <v>0.76459008455276489</v>
      </c>
    </row>
    <row r="1398" spans="2:6">
      <c r="B1398">
        <v>2016</v>
      </c>
      <c r="C1398" t="s">
        <v>27</v>
      </c>
      <c r="D1398" t="s">
        <v>183</v>
      </c>
      <c r="E1398" t="s">
        <v>15</v>
      </c>
      <c r="F1398">
        <v>0.25965338945388794</v>
      </c>
    </row>
    <row r="1399" spans="2:6">
      <c r="B1399">
        <v>2017</v>
      </c>
      <c r="C1399" t="s">
        <v>27</v>
      </c>
      <c r="D1399" t="s">
        <v>183</v>
      </c>
      <c r="E1399" t="s">
        <v>7</v>
      </c>
      <c r="F1399">
        <v>6.9283475875854492</v>
      </c>
    </row>
    <row r="1400" spans="2:6">
      <c r="B1400">
        <v>2017</v>
      </c>
      <c r="C1400" t="s">
        <v>27</v>
      </c>
      <c r="D1400" t="s">
        <v>183</v>
      </c>
      <c r="E1400" t="s">
        <v>8</v>
      </c>
      <c r="F1400">
        <v>10.83417797088623</v>
      </c>
    </row>
    <row r="1401" spans="2:6">
      <c r="B1401">
        <v>2017</v>
      </c>
      <c r="C1401" t="s">
        <v>27</v>
      </c>
      <c r="D1401" t="s">
        <v>183</v>
      </c>
      <c r="E1401" t="s">
        <v>9</v>
      </c>
      <c r="F1401">
        <v>0.921639084815979</v>
      </c>
    </row>
    <row r="1402" spans="2:6">
      <c r="B1402">
        <v>2017</v>
      </c>
      <c r="C1402" t="s">
        <v>27</v>
      </c>
      <c r="D1402" t="s">
        <v>183</v>
      </c>
      <c r="E1402" t="s">
        <v>10</v>
      </c>
      <c r="F1402">
        <v>71.800003051757813</v>
      </c>
    </row>
    <row r="1403" spans="2:6">
      <c r="B1403">
        <v>2017</v>
      </c>
      <c r="C1403" t="s">
        <v>27</v>
      </c>
      <c r="D1403" t="s">
        <v>183</v>
      </c>
      <c r="E1403" t="s">
        <v>11</v>
      </c>
      <c r="F1403">
        <v>0.85680198669433594</v>
      </c>
    </row>
    <row r="1404" spans="2:6">
      <c r="B1404">
        <v>2017</v>
      </c>
      <c r="C1404" t="s">
        <v>27</v>
      </c>
      <c r="D1404" t="s">
        <v>183</v>
      </c>
      <c r="E1404" t="s">
        <v>12</v>
      </c>
      <c r="F1404">
        <v>5.4313898086547852E-2</v>
      </c>
    </row>
    <row r="1405" spans="2:6">
      <c r="B1405">
        <v>2017</v>
      </c>
      <c r="C1405" t="s">
        <v>27</v>
      </c>
      <c r="D1405" t="s">
        <v>183</v>
      </c>
      <c r="E1405" t="s">
        <v>13</v>
      </c>
      <c r="F1405">
        <v>0.54304605722427368</v>
      </c>
    </row>
    <row r="1406" spans="2:6">
      <c r="B1406">
        <v>2017</v>
      </c>
      <c r="C1406" t="s">
        <v>27</v>
      </c>
      <c r="D1406" t="s">
        <v>183</v>
      </c>
      <c r="E1406" t="s">
        <v>14</v>
      </c>
      <c r="F1406">
        <v>0.78636759519577026</v>
      </c>
    </row>
    <row r="1407" spans="2:6">
      <c r="B1407">
        <v>2017</v>
      </c>
      <c r="C1407" t="s">
        <v>27</v>
      </c>
      <c r="D1407" t="s">
        <v>183</v>
      </c>
      <c r="E1407" t="s">
        <v>15</v>
      </c>
      <c r="F1407">
        <v>0.23359769582748413</v>
      </c>
    </row>
    <row r="1408" spans="2:6">
      <c r="B1408">
        <v>2018</v>
      </c>
      <c r="C1408" t="s">
        <v>27</v>
      </c>
      <c r="D1408" t="s">
        <v>183</v>
      </c>
      <c r="E1408" t="s">
        <v>7</v>
      </c>
      <c r="F1408">
        <v>6.8921718597412109</v>
      </c>
    </row>
    <row r="1409" spans="2:6">
      <c r="B1409">
        <v>2018</v>
      </c>
      <c r="C1409" t="s">
        <v>27</v>
      </c>
      <c r="D1409" t="s">
        <v>183</v>
      </c>
      <c r="E1409" t="s">
        <v>8</v>
      </c>
      <c r="F1409">
        <v>10.844392776489258</v>
      </c>
    </row>
    <row r="1410" spans="2:6">
      <c r="B1410">
        <v>2018</v>
      </c>
      <c r="C1410" t="s">
        <v>27</v>
      </c>
      <c r="D1410" t="s">
        <v>183</v>
      </c>
      <c r="E1410" t="s">
        <v>9</v>
      </c>
      <c r="F1410">
        <v>0.92981553077697754</v>
      </c>
    </row>
    <row r="1411" spans="2:6">
      <c r="B1411">
        <v>2018</v>
      </c>
      <c r="C1411" t="s">
        <v>27</v>
      </c>
      <c r="D1411" t="s">
        <v>183</v>
      </c>
      <c r="E1411" t="s">
        <v>10</v>
      </c>
      <c r="F1411">
        <v>72</v>
      </c>
    </row>
    <row r="1412" spans="2:6">
      <c r="B1412">
        <v>2018</v>
      </c>
      <c r="C1412" t="s">
        <v>27</v>
      </c>
      <c r="D1412" t="s">
        <v>183</v>
      </c>
      <c r="E1412" t="s">
        <v>11</v>
      </c>
      <c r="F1412">
        <v>0.80838662385940552</v>
      </c>
    </row>
    <row r="1413" spans="2:6">
      <c r="B1413">
        <v>2018</v>
      </c>
      <c r="C1413" t="s">
        <v>27</v>
      </c>
      <c r="D1413" t="s">
        <v>183</v>
      </c>
      <c r="E1413" t="s">
        <v>12</v>
      </c>
      <c r="F1413">
        <v>-0.12460021674633026</v>
      </c>
    </row>
    <row r="1414" spans="2:6">
      <c r="B1414">
        <v>2018</v>
      </c>
      <c r="C1414" t="s">
        <v>27</v>
      </c>
      <c r="D1414" t="s">
        <v>183</v>
      </c>
      <c r="E1414" t="s">
        <v>13</v>
      </c>
      <c r="F1414">
        <v>0.63041180372238159</v>
      </c>
    </row>
    <row r="1415" spans="2:6">
      <c r="B1415">
        <v>2018</v>
      </c>
      <c r="C1415" t="s">
        <v>27</v>
      </c>
      <c r="D1415" t="s">
        <v>183</v>
      </c>
      <c r="E1415" t="s">
        <v>14</v>
      </c>
      <c r="F1415">
        <v>0.74956274032592773</v>
      </c>
    </row>
    <row r="1416" spans="2:6">
      <c r="B1416">
        <v>2018</v>
      </c>
      <c r="C1416" t="s">
        <v>27</v>
      </c>
      <c r="D1416" t="s">
        <v>183</v>
      </c>
      <c r="E1416" t="s">
        <v>15</v>
      </c>
      <c r="F1416">
        <v>0.25029733777046204</v>
      </c>
    </row>
    <row r="1417" spans="2:6">
      <c r="B1417">
        <v>2019</v>
      </c>
      <c r="C1417" t="s">
        <v>27</v>
      </c>
      <c r="D1417" t="s">
        <v>183</v>
      </c>
      <c r="E1417" t="s">
        <v>7</v>
      </c>
      <c r="F1417">
        <v>6.7721381187438965</v>
      </c>
    </row>
    <row r="1418" spans="2:6">
      <c r="B1418">
        <v>2019</v>
      </c>
      <c r="C1418" t="s">
        <v>27</v>
      </c>
      <c r="D1418" t="s">
        <v>183</v>
      </c>
      <c r="E1418" t="s">
        <v>8</v>
      </c>
      <c r="F1418">
        <v>10.853363990783691</v>
      </c>
    </row>
    <row r="1419" spans="2:6">
      <c r="B1419">
        <v>2019</v>
      </c>
      <c r="C1419" t="s">
        <v>27</v>
      </c>
      <c r="D1419" t="s">
        <v>183</v>
      </c>
      <c r="E1419" t="s">
        <v>9</v>
      </c>
      <c r="F1419">
        <v>0.88423049449920654</v>
      </c>
    </row>
    <row r="1420" spans="2:6">
      <c r="B1420">
        <v>2019</v>
      </c>
      <c r="C1420" t="s">
        <v>27</v>
      </c>
      <c r="D1420" t="s">
        <v>183</v>
      </c>
      <c r="E1420" t="s">
        <v>10</v>
      </c>
      <c r="F1420">
        <v>72.199996948242188</v>
      </c>
    </row>
    <row r="1421" spans="2:6">
      <c r="B1421">
        <v>2019</v>
      </c>
      <c r="C1421" t="s">
        <v>27</v>
      </c>
      <c r="D1421" t="s">
        <v>183</v>
      </c>
      <c r="E1421" t="s">
        <v>11</v>
      </c>
      <c r="F1421">
        <v>0.77620363235473633</v>
      </c>
    </row>
    <row r="1422" spans="2:6">
      <c r="B1422">
        <v>2019</v>
      </c>
      <c r="C1422" t="s">
        <v>27</v>
      </c>
      <c r="D1422" t="s">
        <v>183</v>
      </c>
      <c r="E1422" t="s">
        <v>12</v>
      </c>
      <c r="F1422">
        <v>-0.17152146995067596</v>
      </c>
    </row>
    <row r="1423" spans="2:6">
      <c r="B1423">
        <v>2019</v>
      </c>
      <c r="C1423" t="s">
        <v>27</v>
      </c>
      <c r="D1423" t="s">
        <v>183</v>
      </c>
      <c r="E1423" t="s">
        <v>13</v>
      </c>
      <c r="F1423">
        <v>0.67249751091003418</v>
      </c>
    </row>
    <row r="1424" spans="2:6">
      <c r="B1424">
        <v>2019</v>
      </c>
      <c r="C1424" t="s">
        <v>27</v>
      </c>
      <c r="D1424" t="s">
        <v>183</v>
      </c>
      <c r="E1424" t="s">
        <v>14</v>
      </c>
      <c r="F1424">
        <v>0.7334555983543396</v>
      </c>
    </row>
    <row r="1425" spans="2:6">
      <c r="B1425">
        <v>2019</v>
      </c>
      <c r="C1425" t="s">
        <v>27</v>
      </c>
      <c r="D1425" t="s">
        <v>183</v>
      </c>
      <c r="E1425" t="s">
        <v>15</v>
      </c>
      <c r="F1425">
        <v>0.24363084137439728</v>
      </c>
    </row>
    <row r="1426" spans="2:6">
      <c r="B1426">
        <v>2020</v>
      </c>
      <c r="C1426" t="s">
        <v>27</v>
      </c>
      <c r="D1426" t="s">
        <v>183</v>
      </c>
      <c r="E1426" t="s">
        <v>7</v>
      </c>
      <c r="F1426">
        <v>6.8387608528137207</v>
      </c>
    </row>
    <row r="1427" spans="2:6">
      <c r="B1427">
        <v>2020</v>
      </c>
      <c r="C1427" t="s">
        <v>27</v>
      </c>
      <c r="D1427" t="s">
        <v>183</v>
      </c>
      <c r="E1427" t="s">
        <v>8</v>
      </c>
      <c r="F1427">
        <v>10.770537376403809</v>
      </c>
    </row>
    <row r="1428" spans="2:6">
      <c r="B1428">
        <v>2020</v>
      </c>
      <c r="C1428" t="s">
        <v>27</v>
      </c>
      <c r="D1428" t="s">
        <v>183</v>
      </c>
      <c r="E1428" t="s">
        <v>9</v>
      </c>
      <c r="F1428">
        <v>0.90355867147445679</v>
      </c>
    </row>
    <row r="1429" spans="2:6">
      <c r="B1429">
        <v>2020</v>
      </c>
      <c r="C1429" t="s">
        <v>27</v>
      </c>
      <c r="D1429" t="s">
        <v>183</v>
      </c>
      <c r="E1429" t="s">
        <v>10</v>
      </c>
      <c r="F1429">
        <v>72.400001525878906</v>
      </c>
    </row>
    <row r="1430" spans="2:6">
      <c r="B1430">
        <v>2020</v>
      </c>
      <c r="C1430" t="s">
        <v>27</v>
      </c>
      <c r="D1430" t="s">
        <v>183</v>
      </c>
      <c r="E1430" t="s">
        <v>11</v>
      </c>
      <c r="F1430">
        <v>0.76691782474517822</v>
      </c>
    </row>
    <row r="1431" spans="2:6">
      <c r="B1431">
        <v>2020</v>
      </c>
      <c r="C1431" t="s">
        <v>27</v>
      </c>
      <c r="D1431" t="s">
        <v>183</v>
      </c>
      <c r="E1431" t="s">
        <v>12</v>
      </c>
      <c r="F1431">
        <v>-0.16378448903560638</v>
      </c>
    </row>
    <row r="1432" spans="2:6">
      <c r="B1432">
        <v>2020</v>
      </c>
      <c r="C1432" t="s">
        <v>27</v>
      </c>
      <c r="D1432" t="s">
        <v>183</v>
      </c>
      <c r="E1432" t="s">
        <v>13</v>
      </c>
      <c r="F1432">
        <v>0.63362675905227661</v>
      </c>
    </row>
    <row r="1433" spans="2:6">
      <c r="B1433">
        <v>2020</v>
      </c>
      <c r="C1433" t="s">
        <v>27</v>
      </c>
      <c r="D1433" t="s">
        <v>183</v>
      </c>
      <c r="E1433" t="s">
        <v>14</v>
      </c>
      <c r="F1433">
        <v>0.64651030302047729</v>
      </c>
    </row>
    <row r="1434" spans="2:6">
      <c r="B1434">
        <v>2020</v>
      </c>
      <c r="C1434" t="s">
        <v>27</v>
      </c>
      <c r="D1434" t="s">
        <v>183</v>
      </c>
      <c r="E1434" t="s">
        <v>15</v>
      </c>
      <c r="F1434">
        <v>0.26018878817558289</v>
      </c>
    </row>
    <row r="1435" spans="2:6">
      <c r="B1435">
        <v>2007</v>
      </c>
      <c r="C1435" t="s">
        <v>28</v>
      </c>
      <c r="D1435" t="s">
        <v>185</v>
      </c>
      <c r="E1435" t="s">
        <v>7</v>
      </c>
      <c r="F1435">
        <v>6.4506444931030273</v>
      </c>
    </row>
    <row r="1436" spans="2:6">
      <c r="B1436">
        <v>2007</v>
      </c>
      <c r="C1436" t="s">
        <v>28</v>
      </c>
      <c r="D1436" t="s">
        <v>185</v>
      </c>
      <c r="E1436" t="s">
        <v>8</v>
      </c>
      <c r="F1436">
        <v>8.8924789428710938</v>
      </c>
    </row>
    <row r="1437" spans="2:6">
      <c r="B1437">
        <v>2007</v>
      </c>
      <c r="C1437" t="s">
        <v>28</v>
      </c>
      <c r="D1437" t="s">
        <v>185</v>
      </c>
      <c r="E1437" t="s">
        <v>9</v>
      </c>
      <c r="F1437">
        <v>0.87226665019989014</v>
      </c>
    </row>
    <row r="1438" spans="2:6">
      <c r="B1438">
        <v>2007</v>
      </c>
      <c r="C1438" t="s">
        <v>28</v>
      </c>
      <c r="D1438" t="s">
        <v>185</v>
      </c>
      <c r="E1438" t="s">
        <v>10</v>
      </c>
      <c r="F1438">
        <v>61.599998474121094</v>
      </c>
    </row>
    <row r="1439" spans="2:6">
      <c r="B1439">
        <v>2007</v>
      </c>
      <c r="C1439" t="s">
        <v>28</v>
      </c>
      <c r="D1439" t="s">
        <v>185</v>
      </c>
      <c r="E1439" t="s">
        <v>11</v>
      </c>
      <c r="F1439">
        <v>0.70530593395233154</v>
      </c>
    </row>
    <row r="1440" spans="2:6">
      <c r="B1440">
        <v>2007</v>
      </c>
      <c r="C1440" t="s">
        <v>28</v>
      </c>
      <c r="D1440" t="s">
        <v>185</v>
      </c>
      <c r="E1440" t="s">
        <v>12</v>
      </c>
      <c r="F1440">
        <v>3.2754369080066681E-2</v>
      </c>
    </row>
    <row r="1441" spans="2:6">
      <c r="B1441">
        <v>2007</v>
      </c>
      <c r="C1441" t="s">
        <v>28</v>
      </c>
      <c r="D1441" t="s">
        <v>185</v>
      </c>
      <c r="E1441" t="s">
        <v>13</v>
      </c>
      <c r="F1441">
        <v>0.76898443698883057</v>
      </c>
    </row>
    <row r="1442" spans="2:6">
      <c r="B1442">
        <v>2007</v>
      </c>
      <c r="C1442" t="s">
        <v>28</v>
      </c>
      <c r="D1442" t="s">
        <v>185</v>
      </c>
      <c r="E1442" t="s">
        <v>14</v>
      </c>
      <c r="F1442">
        <v>0.75878334045410156</v>
      </c>
    </row>
    <row r="1443" spans="2:6">
      <c r="B1443">
        <v>2007</v>
      </c>
      <c r="C1443" t="s">
        <v>28</v>
      </c>
      <c r="D1443" t="s">
        <v>185</v>
      </c>
      <c r="E1443" t="s">
        <v>15</v>
      </c>
      <c r="F1443">
        <v>0.25059571862220764</v>
      </c>
    </row>
    <row r="1444" spans="2:6">
      <c r="B1444">
        <v>2014</v>
      </c>
      <c r="C1444" t="s">
        <v>28</v>
      </c>
      <c r="D1444" t="s">
        <v>185</v>
      </c>
      <c r="E1444" t="s">
        <v>7</v>
      </c>
      <c r="F1444">
        <v>5.9556465148925781</v>
      </c>
    </row>
    <row r="1445" spans="2:6">
      <c r="B1445">
        <v>2014</v>
      </c>
      <c r="C1445" t="s">
        <v>28</v>
      </c>
      <c r="D1445" t="s">
        <v>185</v>
      </c>
      <c r="E1445" t="s">
        <v>8</v>
      </c>
      <c r="F1445">
        <v>8.8831272125244141</v>
      </c>
    </row>
    <row r="1446" spans="2:6">
      <c r="B1446">
        <v>2014</v>
      </c>
      <c r="C1446" t="s">
        <v>28</v>
      </c>
      <c r="D1446" t="s">
        <v>185</v>
      </c>
      <c r="E1446" t="s">
        <v>9</v>
      </c>
      <c r="F1446">
        <v>0.75693249702453613</v>
      </c>
    </row>
    <row r="1447" spans="2:6">
      <c r="B1447">
        <v>2014</v>
      </c>
      <c r="C1447" t="s">
        <v>28</v>
      </c>
      <c r="D1447" t="s">
        <v>185</v>
      </c>
      <c r="E1447" t="s">
        <v>10</v>
      </c>
      <c r="F1447">
        <v>62.220001220703125</v>
      </c>
    </row>
    <row r="1448" spans="2:6">
      <c r="B1448">
        <v>2014</v>
      </c>
      <c r="C1448" t="s">
        <v>28</v>
      </c>
      <c r="D1448" t="s">
        <v>185</v>
      </c>
      <c r="E1448" t="s">
        <v>11</v>
      </c>
      <c r="F1448">
        <v>0.8735690712928772</v>
      </c>
    </row>
    <row r="1449" spans="2:6">
      <c r="B1449">
        <v>2014</v>
      </c>
      <c r="C1449" t="s">
        <v>28</v>
      </c>
      <c r="D1449" t="s">
        <v>185</v>
      </c>
      <c r="E1449" t="s">
        <v>12</v>
      </c>
      <c r="F1449">
        <v>2.1995628252625465E-2</v>
      </c>
    </row>
    <row r="1450" spans="2:6">
      <c r="B1450">
        <v>2014</v>
      </c>
      <c r="C1450" t="s">
        <v>28</v>
      </c>
      <c r="D1450" t="s">
        <v>185</v>
      </c>
      <c r="E1450" t="s">
        <v>13</v>
      </c>
      <c r="F1450">
        <v>0.78210538625717163</v>
      </c>
    </row>
    <row r="1451" spans="2:6">
      <c r="B1451">
        <v>2014</v>
      </c>
      <c r="C1451" t="s">
        <v>28</v>
      </c>
      <c r="D1451" t="s">
        <v>185</v>
      </c>
      <c r="E1451" t="s">
        <v>14</v>
      </c>
      <c r="F1451">
        <v>0.75497734546661377</v>
      </c>
    </row>
    <row r="1452" spans="2:6">
      <c r="B1452">
        <v>2014</v>
      </c>
      <c r="C1452" t="s">
        <v>28</v>
      </c>
      <c r="D1452" t="s">
        <v>185</v>
      </c>
      <c r="E1452" t="s">
        <v>15</v>
      </c>
      <c r="F1452">
        <v>0.28160440921783447</v>
      </c>
    </row>
    <row r="1453" spans="2:6">
      <c r="B1453">
        <v>2006</v>
      </c>
      <c r="C1453" t="s">
        <v>29</v>
      </c>
      <c r="D1453" t="s">
        <v>184</v>
      </c>
      <c r="E1453" t="s">
        <v>7</v>
      </c>
      <c r="F1453">
        <v>3.3298015594482422</v>
      </c>
    </row>
    <row r="1454" spans="2:6">
      <c r="B1454">
        <v>2006</v>
      </c>
      <c r="C1454" t="s">
        <v>29</v>
      </c>
      <c r="D1454" t="s">
        <v>184</v>
      </c>
      <c r="E1454" t="s">
        <v>8</v>
      </c>
      <c r="F1454">
        <v>7.8658847808837891</v>
      </c>
    </row>
    <row r="1455" spans="2:6">
      <c r="B1455">
        <v>2006</v>
      </c>
      <c r="C1455" t="s">
        <v>29</v>
      </c>
      <c r="D1455" t="s">
        <v>184</v>
      </c>
      <c r="E1455" t="s">
        <v>9</v>
      </c>
      <c r="F1455">
        <v>0.44478121399879456</v>
      </c>
    </row>
    <row r="1456" spans="2:6">
      <c r="B1456">
        <v>2006</v>
      </c>
      <c r="C1456" t="s">
        <v>29</v>
      </c>
      <c r="D1456" t="s">
        <v>184</v>
      </c>
      <c r="E1456" t="s">
        <v>10</v>
      </c>
      <c r="F1456">
        <v>50.099998474121094</v>
      </c>
    </row>
    <row r="1457" spans="2:6">
      <c r="B1457">
        <v>2006</v>
      </c>
      <c r="C1457" t="s">
        <v>29</v>
      </c>
      <c r="D1457" t="s">
        <v>184</v>
      </c>
      <c r="E1457" t="s">
        <v>11</v>
      </c>
      <c r="F1457">
        <v>0.58006930351257324</v>
      </c>
    </row>
    <row r="1458" spans="2:6">
      <c r="B1458">
        <v>2006</v>
      </c>
      <c r="C1458" t="s">
        <v>29</v>
      </c>
      <c r="D1458" t="s">
        <v>184</v>
      </c>
      <c r="E1458" t="s">
        <v>12</v>
      </c>
      <c r="F1458">
        <v>-1.118319109082222E-2</v>
      </c>
    </row>
    <row r="1459" spans="2:6">
      <c r="B1459">
        <v>2006</v>
      </c>
      <c r="C1459" t="s">
        <v>29</v>
      </c>
      <c r="D1459" t="s">
        <v>184</v>
      </c>
      <c r="E1459" t="s">
        <v>13</v>
      </c>
      <c r="F1459">
        <v>0.78986245393753052</v>
      </c>
    </row>
    <row r="1460" spans="2:6">
      <c r="B1460">
        <v>2006</v>
      </c>
      <c r="C1460" t="s">
        <v>29</v>
      </c>
      <c r="D1460" t="s">
        <v>184</v>
      </c>
      <c r="E1460" t="s">
        <v>14</v>
      </c>
      <c r="F1460">
        <v>0.58721035718917847</v>
      </c>
    </row>
    <row r="1461" spans="2:6">
      <c r="B1461">
        <v>2006</v>
      </c>
      <c r="C1461" t="s">
        <v>29</v>
      </c>
      <c r="D1461" t="s">
        <v>184</v>
      </c>
      <c r="E1461" t="s">
        <v>15</v>
      </c>
      <c r="F1461">
        <v>0.30910027027130127</v>
      </c>
    </row>
    <row r="1462" spans="2:6">
      <c r="B1462">
        <v>2008</v>
      </c>
      <c r="C1462" t="s">
        <v>29</v>
      </c>
      <c r="D1462" t="s">
        <v>184</v>
      </c>
      <c r="E1462" t="s">
        <v>7</v>
      </c>
      <c r="F1462">
        <v>3.6671395301818848</v>
      </c>
    </row>
    <row r="1463" spans="2:6">
      <c r="B1463">
        <v>2008</v>
      </c>
      <c r="C1463" t="s">
        <v>29</v>
      </c>
      <c r="D1463" t="s">
        <v>184</v>
      </c>
      <c r="E1463" t="s">
        <v>8</v>
      </c>
      <c r="F1463">
        <v>7.9150533676147461</v>
      </c>
    </row>
    <row r="1464" spans="2:6">
      <c r="B1464">
        <v>2008</v>
      </c>
      <c r="C1464" t="s">
        <v>29</v>
      </c>
      <c r="D1464" t="s">
        <v>184</v>
      </c>
      <c r="E1464" t="s">
        <v>9</v>
      </c>
      <c r="F1464">
        <v>0.38237351179122925</v>
      </c>
    </row>
    <row r="1465" spans="2:6">
      <c r="B1465">
        <v>2008</v>
      </c>
      <c r="C1465" t="s">
        <v>29</v>
      </c>
      <c r="D1465" t="s">
        <v>184</v>
      </c>
      <c r="E1465" t="s">
        <v>10</v>
      </c>
      <c r="F1465">
        <v>50.900001525878906</v>
      </c>
    </row>
    <row r="1466" spans="2:6">
      <c r="B1466">
        <v>2008</v>
      </c>
      <c r="C1466" t="s">
        <v>29</v>
      </c>
      <c r="D1466" t="s">
        <v>184</v>
      </c>
      <c r="E1466" t="s">
        <v>11</v>
      </c>
      <c r="F1466">
        <v>0.70947694778442383</v>
      </c>
    </row>
    <row r="1467" spans="2:6">
      <c r="B1467">
        <v>2008</v>
      </c>
      <c r="C1467" t="s">
        <v>29</v>
      </c>
      <c r="D1467" t="s">
        <v>184</v>
      </c>
      <c r="E1467" t="s">
        <v>12</v>
      </c>
      <c r="F1467">
        <v>-4.3164934031665325E-3</v>
      </c>
    </row>
    <row r="1468" spans="2:6">
      <c r="B1468">
        <v>2008</v>
      </c>
      <c r="C1468" t="s">
        <v>29</v>
      </c>
      <c r="D1468" t="s">
        <v>184</v>
      </c>
      <c r="E1468" t="s">
        <v>13</v>
      </c>
      <c r="F1468">
        <v>0.82524573802947998</v>
      </c>
    </row>
    <row r="1469" spans="2:6">
      <c r="B1469">
        <v>2008</v>
      </c>
      <c r="C1469" t="s">
        <v>29</v>
      </c>
      <c r="D1469" t="s">
        <v>184</v>
      </c>
      <c r="E1469" t="s">
        <v>14</v>
      </c>
      <c r="F1469">
        <v>0.58362311124801636</v>
      </c>
    </row>
    <row r="1470" spans="2:6">
      <c r="B1470">
        <v>2008</v>
      </c>
      <c r="C1470" t="s">
        <v>29</v>
      </c>
      <c r="D1470" t="s">
        <v>184</v>
      </c>
      <c r="E1470" t="s">
        <v>15</v>
      </c>
      <c r="F1470">
        <v>0.3025461733341217</v>
      </c>
    </row>
    <row r="1471" spans="2:6">
      <c r="B1471">
        <v>2011</v>
      </c>
      <c r="C1471" t="s">
        <v>29</v>
      </c>
      <c r="D1471" t="s">
        <v>184</v>
      </c>
      <c r="E1471" t="s">
        <v>7</v>
      </c>
      <c r="F1471">
        <v>3.8702795505523682</v>
      </c>
    </row>
    <row r="1472" spans="2:6">
      <c r="B1472">
        <v>2011</v>
      </c>
      <c r="C1472" t="s">
        <v>29</v>
      </c>
      <c r="D1472" t="s">
        <v>184</v>
      </c>
      <c r="E1472" t="s">
        <v>8</v>
      </c>
      <c r="F1472">
        <v>7.9039173126220703</v>
      </c>
    </row>
    <row r="1473" spans="2:6">
      <c r="B1473">
        <v>2011</v>
      </c>
      <c r="C1473" t="s">
        <v>29</v>
      </c>
      <c r="D1473" t="s">
        <v>184</v>
      </c>
      <c r="E1473" t="s">
        <v>9</v>
      </c>
      <c r="F1473">
        <v>0.47749438881874084</v>
      </c>
    </row>
    <row r="1474" spans="2:6">
      <c r="B1474">
        <v>2011</v>
      </c>
      <c r="C1474" t="s">
        <v>29</v>
      </c>
      <c r="D1474" t="s">
        <v>184</v>
      </c>
      <c r="E1474" t="s">
        <v>10</v>
      </c>
      <c r="F1474">
        <v>51.979999542236328</v>
      </c>
    </row>
    <row r="1475" spans="2:6">
      <c r="B1475">
        <v>2011</v>
      </c>
      <c r="C1475" t="s">
        <v>29</v>
      </c>
      <c r="D1475" t="s">
        <v>184</v>
      </c>
      <c r="E1475" t="s">
        <v>11</v>
      </c>
      <c r="F1475">
        <v>0.77291876077651978</v>
      </c>
    </row>
    <row r="1476" spans="2:6">
      <c r="B1476">
        <v>2011</v>
      </c>
      <c r="C1476" t="s">
        <v>29</v>
      </c>
      <c r="D1476" t="s">
        <v>184</v>
      </c>
      <c r="E1476" t="s">
        <v>12</v>
      </c>
      <c r="F1476">
        <v>-0.14223513007164001</v>
      </c>
    </row>
    <row r="1477" spans="2:6">
      <c r="B1477">
        <v>2011</v>
      </c>
      <c r="C1477" t="s">
        <v>29</v>
      </c>
      <c r="D1477" t="s">
        <v>184</v>
      </c>
      <c r="E1477" t="s">
        <v>13</v>
      </c>
      <c r="F1477">
        <v>0.84947222471237183</v>
      </c>
    </row>
    <row r="1478" spans="2:6">
      <c r="B1478">
        <v>2011</v>
      </c>
      <c r="C1478" t="s">
        <v>29</v>
      </c>
      <c r="D1478" t="s">
        <v>184</v>
      </c>
      <c r="E1478" t="s">
        <v>14</v>
      </c>
      <c r="F1478">
        <v>0.62582015991210938</v>
      </c>
    </row>
    <row r="1479" spans="2:6">
      <c r="B1479">
        <v>2011</v>
      </c>
      <c r="C1479" t="s">
        <v>29</v>
      </c>
      <c r="D1479" t="s">
        <v>184</v>
      </c>
      <c r="E1479" t="s">
        <v>15</v>
      </c>
      <c r="F1479">
        <v>0.21867845952510834</v>
      </c>
    </row>
    <row r="1480" spans="2:6">
      <c r="B1480">
        <v>2012</v>
      </c>
      <c r="C1480" t="s">
        <v>29</v>
      </c>
      <c r="D1480" t="s">
        <v>184</v>
      </c>
      <c r="E1480" t="s">
        <v>7</v>
      </c>
      <c r="F1480">
        <v>3.1934688091278076</v>
      </c>
    </row>
    <row r="1481" spans="2:6">
      <c r="B1481">
        <v>2012</v>
      </c>
      <c r="C1481" t="s">
        <v>29</v>
      </c>
      <c r="D1481" t="s">
        <v>184</v>
      </c>
      <c r="E1481" t="s">
        <v>8</v>
      </c>
      <c r="F1481">
        <v>7.9229316711425781</v>
      </c>
    </row>
    <row r="1482" spans="2:6">
      <c r="B1482">
        <v>2012</v>
      </c>
      <c r="C1482" t="s">
        <v>29</v>
      </c>
      <c r="D1482" t="s">
        <v>184</v>
      </c>
      <c r="E1482" t="s">
        <v>9</v>
      </c>
      <c r="F1482">
        <v>0.52302730083465576</v>
      </c>
    </row>
    <row r="1483" spans="2:6">
      <c r="B1483">
        <v>2012</v>
      </c>
      <c r="C1483" t="s">
        <v>29</v>
      </c>
      <c r="D1483" t="s">
        <v>184</v>
      </c>
      <c r="E1483" t="s">
        <v>10</v>
      </c>
      <c r="F1483">
        <v>52.259998321533203</v>
      </c>
    </row>
    <row r="1484" spans="2:6">
      <c r="B1484">
        <v>2012</v>
      </c>
      <c r="C1484" t="s">
        <v>29</v>
      </c>
      <c r="D1484" t="s">
        <v>184</v>
      </c>
      <c r="E1484" t="s">
        <v>11</v>
      </c>
      <c r="F1484">
        <v>0.76897108554840088</v>
      </c>
    </row>
    <row r="1485" spans="2:6">
      <c r="B1485">
        <v>2012</v>
      </c>
      <c r="C1485" t="s">
        <v>29</v>
      </c>
      <c r="D1485" t="s">
        <v>184</v>
      </c>
      <c r="E1485" t="s">
        <v>12</v>
      </c>
      <c r="F1485">
        <v>-0.11131086200475693</v>
      </c>
    </row>
    <row r="1486" spans="2:6">
      <c r="B1486">
        <v>2012</v>
      </c>
      <c r="C1486" t="s">
        <v>29</v>
      </c>
      <c r="D1486" t="s">
        <v>184</v>
      </c>
      <c r="E1486" t="s">
        <v>13</v>
      </c>
      <c r="F1486">
        <v>0.80597764253616333</v>
      </c>
    </row>
    <row r="1487" spans="2:6">
      <c r="B1487">
        <v>2012</v>
      </c>
      <c r="C1487" t="s">
        <v>29</v>
      </c>
      <c r="D1487" t="s">
        <v>184</v>
      </c>
      <c r="E1487" t="s">
        <v>14</v>
      </c>
      <c r="F1487">
        <v>0.58252429962158203</v>
      </c>
    </row>
    <row r="1488" spans="2:6">
      <c r="B1488">
        <v>2012</v>
      </c>
      <c r="C1488" t="s">
        <v>29</v>
      </c>
      <c r="D1488" t="s">
        <v>184</v>
      </c>
      <c r="E1488" t="s">
        <v>15</v>
      </c>
      <c r="F1488">
        <v>0.23066453635692596</v>
      </c>
    </row>
    <row r="1489" spans="2:6">
      <c r="B1489">
        <v>2013</v>
      </c>
      <c r="C1489" t="s">
        <v>29</v>
      </c>
      <c r="D1489" t="s">
        <v>184</v>
      </c>
      <c r="E1489" t="s">
        <v>7</v>
      </c>
      <c r="F1489">
        <v>3.4794127941131592</v>
      </c>
    </row>
    <row r="1490" spans="2:6">
      <c r="B1490">
        <v>2013</v>
      </c>
      <c r="C1490" t="s">
        <v>29</v>
      </c>
      <c r="D1490" t="s">
        <v>184</v>
      </c>
      <c r="E1490" t="s">
        <v>8</v>
      </c>
      <c r="F1490">
        <v>7.964470386505127</v>
      </c>
    </row>
    <row r="1491" spans="2:6">
      <c r="B1491">
        <v>2013</v>
      </c>
      <c r="C1491" t="s">
        <v>29</v>
      </c>
      <c r="D1491" t="s">
        <v>184</v>
      </c>
      <c r="E1491" t="s">
        <v>9</v>
      </c>
      <c r="F1491">
        <v>0.57682305574417114</v>
      </c>
    </row>
    <row r="1492" spans="2:6">
      <c r="B1492">
        <v>2013</v>
      </c>
      <c r="C1492" t="s">
        <v>29</v>
      </c>
      <c r="D1492" t="s">
        <v>184</v>
      </c>
      <c r="E1492" t="s">
        <v>10</v>
      </c>
      <c r="F1492">
        <v>52.540000915527344</v>
      </c>
    </row>
    <row r="1493" spans="2:6">
      <c r="B1493">
        <v>2013</v>
      </c>
      <c r="C1493" t="s">
        <v>29</v>
      </c>
      <c r="D1493" t="s">
        <v>184</v>
      </c>
      <c r="E1493" t="s">
        <v>11</v>
      </c>
      <c r="F1493">
        <v>0.78324049711227417</v>
      </c>
    </row>
    <row r="1494" spans="2:6">
      <c r="B1494">
        <v>2013</v>
      </c>
      <c r="C1494" t="s">
        <v>29</v>
      </c>
      <c r="D1494" t="s">
        <v>184</v>
      </c>
      <c r="E1494" t="s">
        <v>12</v>
      </c>
      <c r="F1494">
        <v>-8.4774874150753021E-2</v>
      </c>
    </row>
    <row r="1495" spans="2:6">
      <c r="B1495">
        <v>2013</v>
      </c>
      <c r="C1495" t="s">
        <v>29</v>
      </c>
      <c r="D1495" t="s">
        <v>184</v>
      </c>
      <c r="E1495" t="s">
        <v>13</v>
      </c>
      <c r="F1495">
        <v>0.85595554113388062</v>
      </c>
    </row>
    <row r="1496" spans="2:6">
      <c r="B1496">
        <v>2013</v>
      </c>
      <c r="C1496" t="s">
        <v>29</v>
      </c>
      <c r="D1496" t="s">
        <v>184</v>
      </c>
      <c r="E1496" t="s">
        <v>14</v>
      </c>
      <c r="F1496">
        <v>0.7020193338394165</v>
      </c>
    </row>
    <row r="1497" spans="2:6">
      <c r="B1497">
        <v>2013</v>
      </c>
      <c r="C1497" t="s">
        <v>29</v>
      </c>
      <c r="D1497" t="s">
        <v>184</v>
      </c>
      <c r="E1497" t="s">
        <v>15</v>
      </c>
      <c r="F1497">
        <v>0.21633918583393097</v>
      </c>
    </row>
    <row r="1498" spans="2:6">
      <c r="B1498">
        <v>2014</v>
      </c>
      <c r="C1498" t="s">
        <v>29</v>
      </c>
      <c r="D1498" t="s">
        <v>184</v>
      </c>
      <c r="E1498" t="s">
        <v>7</v>
      </c>
      <c r="F1498">
        <v>3.347419261932373</v>
      </c>
    </row>
    <row r="1499" spans="2:6">
      <c r="B1499">
        <v>2014</v>
      </c>
      <c r="C1499" t="s">
        <v>29</v>
      </c>
      <c r="D1499" t="s">
        <v>184</v>
      </c>
      <c r="E1499" t="s">
        <v>8</v>
      </c>
      <c r="F1499">
        <v>7.998286247253418</v>
      </c>
    </row>
    <row r="1500" spans="2:6">
      <c r="B1500">
        <v>2014</v>
      </c>
      <c r="C1500" t="s">
        <v>29</v>
      </c>
      <c r="D1500" t="s">
        <v>184</v>
      </c>
      <c r="E1500" t="s">
        <v>9</v>
      </c>
      <c r="F1500">
        <v>0.50609129667282104</v>
      </c>
    </row>
    <row r="1501" spans="2:6">
      <c r="B1501">
        <v>2014</v>
      </c>
      <c r="C1501" t="s">
        <v>29</v>
      </c>
      <c r="D1501" t="s">
        <v>184</v>
      </c>
      <c r="E1501" t="s">
        <v>10</v>
      </c>
      <c r="F1501">
        <v>52.819999694824219</v>
      </c>
    </row>
    <row r="1502" spans="2:6">
      <c r="B1502">
        <v>2014</v>
      </c>
      <c r="C1502" t="s">
        <v>29</v>
      </c>
      <c r="D1502" t="s">
        <v>184</v>
      </c>
      <c r="E1502" t="s">
        <v>11</v>
      </c>
      <c r="F1502">
        <v>0.77554577589035034</v>
      </c>
    </row>
    <row r="1503" spans="2:6">
      <c r="B1503">
        <v>2014</v>
      </c>
      <c r="C1503" t="s">
        <v>29</v>
      </c>
      <c r="D1503" t="s">
        <v>184</v>
      </c>
      <c r="E1503" t="s">
        <v>12</v>
      </c>
      <c r="F1503">
        <v>-9.5702566206455231E-2</v>
      </c>
    </row>
    <row r="1504" spans="2:6">
      <c r="B1504">
        <v>2014</v>
      </c>
      <c r="C1504" t="s">
        <v>29</v>
      </c>
      <c r="D1504" t="s">
        <v>184</v>
      </c>
      <c r="E1504" t="s">
        <v>13</v>
      </c>
      <c r="F1504">
        <v>0.85482692718505859</v>
      </c>
    </row>
    <row r="1505" spans="2:6">
      <c r="B1505">
        <v>2014</v>
      </c>
      <c r="C1505" t="s">
        <v>29</v>
      </c>
      <c r="D1505" t="s">
        <v>184</v>
      </c>
      <c r="E1505" t="s">
        <v>14</v>
      </c>
      <c r="F1505">
        <v>0.58964508771896362</v>
      </c>
    </row>
    <row r="1506" spans="2:6">
      <c r="B1506">
        <v>2014</v>
      </c>
      <c r="C1506" t="s">
        <v>29</v>
      </c>
      <c r="D1506" t="s">
        <v>184</v>
      </c>
      <c r="E1506" t="s">
        <v>15</v>
      </c>
      <c r="F1506">
        <v>0.27338525652885437</v>
      </c>
    </row>
    <row r="1507" spans="2:6">
      <c r="B1507">
        <v>2015</v>
      </c>
      <c r="C1507" t="s">
        <v>29</v>
      </c>
      <c r="D1507" t="s">
        <v>184</v>
      </c>
      <c r="E1507" t="s">
        <v>7</v>
      </c>
      <c r="F1507">
        <v>3.624664306640625</v>
      </c>
    </row>
    <row r="1508" spans="2:6">
      <c r="B1508">
        <v>2015</v>
      </c>
      <c r="C1508" t="s">
        <v>29</v>
      </c>
      <c r="D1508" t="s">
        <v>184</v>
      </c>
      <c r="E1508" t="s">
        <v>8</v>
      </c>
      <c r="F1508">
        <v>7.988194465637207</v>
      </c>
    </row>
    <row r="1509" spans="2:6">
      <c r="B1509">
        <v>2015</v>
      </c>
      <c r="C1509" t="s">
        <v>29</v>
      </c>
      <c r="D1509" t="s">
        <v>184</v>
      </c>
      <c r="E1509" t="s">
        <v>9</v>
      </c>
      <c r="F1509">
        <v>0.43438851833343506</v>
      </c>
    </row>
    <row r="1510" spans="2:6">
      <c r="B1510">
        <v>2015</v>
      </c>
      <c r="C1510" t="s">
        <v>29</v>
      </c>
      <c r="D1510" t="s">
        <v>184</v>
      </c>
      <c r="E1510" t="s">
        <v>10</v>
      </c>
      <c r="F1510">
        <v>53.099998474121094</v>
      </c>
    </row>
    <row r="1511" spans="2:6">
      <c r="B1511">
        <v>2015</v>
      </c>
      <c r="C1511" t="s">
        <v>29</v>
      </c>
      <c r="D1511" t="s">
        <v>184</v>
      </c>
      <c r="E1511" t="s">
        <v>11</v>
      </c>
      <c r="F1511">
        <v>0.73338359594345093</v>
      </c>
    </row>
    <row r="1512" spans="2:6">
      <c r="B1512">
        <v>2015</v>
      </c>
      <c r="C1512" t="s">
        <v>29</v>
      </c>
      <c r="D1512" t="s">
        <v>184</v>
      </c>
      <c r="E1512" t="s">
        <v>12</v>
      </c>
      <c r="F1512">
        <v>-2.6637520641088486E-2</v>
      </c>
    </row>
    <row r="1513" spans="2:6">
      <c r="B1513">
        <v>2015</v>
      </c>
      <c r="C1513" t="s">
        <v>29</v>
      </c>
      <c r="D1513" t="s">
        <v>184</v>
      </c>
      <c r="E1513" t="s">
        <v>13</v>
      </c>
      <c r="F1513">
        <v>0.85009819269180298</v>
      </c>
    </row>
    <row r="1514" spans="2:6">
      <c r="B1514">
        <v>2015</v>
      </c>
      <c r="C1514" t="s">
        <v>29</v>
      </c>
      <c r="D1514" t="s">
        <v>184</v>
      </c>
      <c r="E1514" t="s">
        <v>14</v>
      </c>
      <c r="F1514">
        <v>0.59222233295440674</v>
      </c>
    </row>
    <row r="1515" spans="2:6">
      <c r="B1515">
        <v>2015</v>
      </c>
      <c r="C1515" t="s">
        <v>29</v>
      </c>
      <c r="D1515" t="s">
        <v>184</v>
      </c>
      <c r="E1515" t="s">
        <v>15</v>
      </c>
      <c r="F1515">
        <v>0.37339654564857483</v>
      </c>
    </row>
    <row r="1516" spans="2:6">
      <c r="B1516">
        <v>2016</v>
      </c>
      <c r="C1516" t="s">
        <v>29</v>
      </c>
      <c r="D1516" t="s">
        <v>184</v>
      </c>
      <c r="E1516" t="s">
        <v>7</v>
      </c>
      <c r="F1516">
        <v>4.0073575973510742</v>
      </c>
    </row>
    <row r="1517" spans="2:6">
      <c r="B1517">
        <v>2016</v>
      </c>
      <c r="C1517" t="s">
        <v>29</v>
      </c>
      <c r="D1517" t="s">
        <v>184</v>
      </c>
      <c r="E1517" t="s">
        <v>8</v>
      </c>
      <c r="F1517">
        <v>7.993431568145752</v>
      </c>
    </row>
    <row r="1518" spans="2:6">
      <c r="B1518">
        <v>2016</v>
      </c>
      <c r="C1518" t="s">
        <v>29</v>
      </c>
      <c r="D1518" t="s">
        <v>184</v>
      </c>
      <c r="E1518" t="s">
        <v>9</v>
      </c>
      <c r="F1518">
        <v>0.49281585216522217</v>
      </c>
    </row>
    <row r="1519" spans="2:6">
      <c r="B1519">
        <v>2016</v>
      </c>
      <c r="C1519" t="s">
        <v>29</v>
      </c>
      <c r="D1519" t="s">
        <v>184</v>
      </c>
      <c r="E1519" t="s">
        <v>10</v>
      </c>
      <c r="F1519">
        <v>53.5</v>
      </c>
    </row>
    <row r="1520" spans="2:6">
      <c r="B1520">
        <v>2016</v>
      </c>
      <c r="C1520" t="s">
        <v>29</v>
      </c>
      <c r="D1520" t="s">
        <v>184</v>
      </c>
      <c r="E1520" t="s">
        <v>11</v>
      </c>
      <c r="F1520">
        <v>0.77979522943496704</v>
      </c>
    </row>
    <row r="1521" spans="2:6">
      <c r="B1521">
        <v>2016</v>
      </c>
      <c r="C1521" t="s">
        <v>29</v>
      </c>
      <c r="D1521" t="s">
        <v>184</v>
      </c>
      <c r="E1521" t="s">
        <v>12</v>
      </c>
      <c r="F1521">
        <v>-6.5071709454059601E-2</v>
      </c>
    </row>
    <row r="1522" spans="2:6">
      <c r="B1522">
        <v>2016</v>
      </c>
      <c r="C1522" t="s">
        <v>29</v>
      </c>
      <c r="D1522" t="s">
        <v>184</v>
      </c>
      <c r="E1522" t="s">
        <v>13</v>
      </c>
      <c r="F1522">
        <v>0.837715744972229</v>
      </c>
    </row>
    <row r="1523" spans="2:6">
      <c r="B1523">
        <v>2016</v>
      </c>
      <c r="C1523" t="s">
        <v>29</v>
      </c>
      <c r="D1523" t="s">
        <v>184</v>
      </c>
      <c r="E1523" t="s">
        <v>14</v>
      </c>
      <c r="F1523">
        <v>0.60823696851730347</v>
      </c>
    </row>
    <row r="1524" spans="2:6">
      <c r="B1524">
        <v>2016</v>
      </c>
      <c r="C1524" t="s">
        <v>29</v>
      </c>
      <c r="D1524" t="s">
        <v>184</v>
      </c>
      <c r="E1524" t="s">
        <v>15</v>
      </c>
      <c r="F1524">
        <v>0.45576760172843933</v>
      </c>
    </row>
    <row r="1525" spans="2:6">
      <c r="B1525">
        <v>2017</v>
      </c>
      <c r="C1525" t="s">
        <v>29</v>
      </c>
      <c r="D1525" t="s">
        <v>184</v>
      </c>
      <c r="E1525" t="s">
        <v>7</v>
      </c>
      <c r="F1525">
        <v>4.8531808853149414</v>
      </c>
    </row>
    <row r="1526" spans="2:6">
      <c r="B1526">
        <v>2017</v>
      </c>
      <c r="C1526" t="s">
        <v>29</v>
      </c>
      <c r="D1526" t="s">
        <v>184</v>
      </c>
      <c r="E1526" t="s">
        <v>8</v>
      </c>
      <c r="F1526">
        <v>8.0210962295532227</v>
      </c>
    </row>
    <row r="1527" spans="2:6">
      <c r="B1527">
        <v>2017</v>
      </c>
      <c r="C1527" t="s">
        <v>29</v>
      </c>
      <c r="D1527" t="s">
        <v>184</v>
      </c>
      <c r="E1527" t="s">
        <v>9</v>
      </c>
      <c r="F1527">
        <v>0.43587899208068848</v>
      </c>
    </row>
    <row r="1528" spans="2:6">
      <c r="B1528">
        <v>2017</v>
      </c>
      <c r="C1528" t="s">
        <v>29</v>
      </c>
      <c r="D1528" t="s">
        <v>184</v>
      </c>
      <c r="E1528" t="s">
        <v>10</v>
      </c>
      <c r="F1528">
        <v>53.900001525878906</v>
      </c>
    </row>
    <row r="1529" spans="2:6">
      <c r="B1529">
        <v>2017</v>
      </c>
      <c r="C1529" t="s">
        <v>29</v>
      </c>
      <c r="D1529" t="s">
        <v>184</v>
      </c>
      <c r="E1529" t="s">
        <v>11</v>
      </c>
      <c r="F1529">
        <v>0.72680824995040894</v>
      </c>
    </row>
    <row r="1530" spans="2:6">
      <c r="B1530">
        <v>2017</v>
      </c>
      <c r="C1530" t="s">
        <v>29</v>
      </c>
      <c r="D1530" t="s">
        <v>184</v>
      </c>
      <c r="E1530" t="s">
        <v>12</v>
      </c>
      <c r="F1530">
        <v>-6.4985968172550201E-2</v>
      </c>
    </row>
    <row r="1531" spans="2:6">
      <c r="B1531">
        <v>2017</v>
      </c>
      <c r="C1531" t="s">
        <v>29</v>
      </c>
      <c r="D1531" t="s">
        <v>184</v>
      </c>
      <c r="E1531" t="s">
        <v>13</v>
      </c>
      <c r="F1531">
        <v>0.76723462343215942</v>
      </c>
    </row>
    <row r="1532" spans="2:6">
      <c r="B1532">
        <v>2017</v>
      </c>
      <c r="C1532" t="s">
        <v>29</v>
      </c>
      <c r="D1532" t="s">
        <v>184</v>
      </c>
      <c r="E1532" t="s">
        <v>14</v>
      </c>
      <c r="F1532">
        <v>0.61472231149673462</v>
      </c>
    </row>
    <row r="1533" spans="2:6">
      <c r="B1533">
        <v>2017</v>
      </c>
      <c r="C1533" t="s">
        <v>29</v>
      </c>
      <c r="D1533" t="s">
        <v>184</v>
      </c>
      <c r="E1533" t="s">
        <v>15</v>
      </c>
      <c r="F1533">
        <v>0.45792034268379211</v>
      </c>
    </row>
    <row r="1534" spans="2:6">
      <c r="B1534">
        <v>2018</v>
      </c>
      <c r="C1534" t="s">
        <v>29</v>
      </c>
      <c r="D1534" t="s">
        <v>184</v>
      </c>
      <c r="E1534" t="s">
        <v>7</v>
      </c>
      <c r="F1534">
        <v>5.8198270797729492</v>
      </c>
    </row>
    <row r="1535" spans="2:6">
      <c r="B1535">
        <v>2018</v>
      </c>
      <c r="C1535" t="s">
        <v>29</v>
      </c>
      <c r="D1535" t="s">
        <v>184</v>
      </c>
      <c r="E1535" t="s">
        <v>8</v>
      </c>
      <c r="F1535">
        <v>8.0585727691650391</v>
      </c>
    </row>
    <row r="1536" spans="2:6">
      <c r="B1536">
        <v>2018</v>
      </c>
      <c r="C1536" t="s">
        <v>29</v>
      </c>
      <c r="D1536" t="s">
        <v>184</v>
      </c>
      <c r="E1536" t="s">
        <v>9</v>
      </c>
      <c r="F1536">
        <v>0.50354403257369995</v>
      </c>
    </row>
    <row r="1537" spans="2:6">
      <c r="B1537">
        <v>2018</v>
      </c>
      <c r="C1537" t="s">
        <v>29</v>
      </c>
      <c r="D1537" t="s">
        <v>184</v>
      </c>
      <c r="E1537" t="s">
        <v>10</v>
      </c>
      <c r="F1537">
        <v>54.299999237060547</v>
      </c>
    </row>
    <row r="1538" spans="2:6">
      <c r="B1538">
        <v>2018</v>
      </c>
      <c r="C1538" t="s">
        <v>29</v>
      </c>
      <c r="D1538" t="s">
        <v>184</v>
      </c>
      <c r="E1538" t="s">
        <v>11</v>
      </c>
      <c r="F1538">
        <v>0.71326404809951782</v>
      </c>
    </row>
    <row r="1539" spans="2:6">
      <c r="B1539">
        <v>2018</v>
      </c>
      <c r="C1539" t="s">
        <v>29</v>
      </c>
      <c r="D1539" t="s">
        <v>184</v>
      </c>
      <c r="E1539" t="s">
        <v>12</v>
      </c>
      <c r="F1539">
        <v>2.1489530336111784E-3</v>
      </c>
    </row>
    <row r="1540" spans="2:6">
      <c r="B1540">
        <v>2018</v>
      </c>
      <c r="C1540" t="s">
        <v>29</v>
      </c>
      <c r="D1540" t="s">
        <v>184</v>
      </c>
      <c r="E1540" t="s">
        <v>13</v>
      </c>
      <c r="F1540">
        <v>0.74651074409484863</v>
      </c>
    </row>
    <row r="1541" spans="2:6">
      <c r="B1541">
        <v>2018</v>
      </c>
      <c r="C1541" t="s">
        <v>29</v>
      </c>
      <c r="D1541" t="s">
        <v>184</v>
      </c>
      <c r="E1541" t="s">
        <v>14</v>
      </c>
      <c r="F1541">
        <v>0.64665514230728149</v>
      </c>
    </row>
    <row r="1542" spans="2:6">
      <c r="B1542">
        <v>2018</v>
      </c>
      <c r="C1542" t="s">
        <v>29</v>
      </c>
      <c r="D1542" t="s">
        <v>184</v>
      </c>
      <c r="E1542" t="s">
        <v>15</v>
      </c>
      <c r="F1542">
        <v>0.46787181496620178</v>
      </c>
    </row>
    <row r="1543" spans="2:6">
      <c r="B1543">
        <v>2019</v>
      </c>
      <c r="C1543" t="s">
        <v>29</v>
      </c>
      <c r="D1543" t="s">
        <v>184</v>
      </c>
      <c r="E1543" t="s">
        <v>7</v>
      </c>
      <c r="F1543">
        <v>4.9763607978820801</v>
      </c>
    </row>
    <row r="1544" spans="2:6">
      <c r="B1544">
        <v>2019</v>
      </c>
      <c r="C1544" t="s">
        <v>29</v>
      </c>
      <c r="D1544" t="s">
        <v>184</v>
      </c>
      <c r="E1544" t="s">
        <v>8</v>
      </c>
      <c r="F1544">
        <v>8.0978250503540039</v>
      </c>
    </row>
    <row r="1545" spans="2:6">
      <c r="B1545">
        <v>2019</v>
      </c>
      <c r="C1545" t="s">
        <v>29</v>
      </c>
      <c r="D1545" t="s">
        <v>184</v>
      </c>
      <c r="E1545" t="s">
        <v>9</v>
      </c>
      <c r="F1545">
        <v>0.4421539306640625</v>
      </c>
    </row>
    <row r="1546" spans="2:6">
      <c r="B1546">
        <v>2019</v>
      </c>
      <c r="C1546" t="s">
        <v>29</v>
      </c>
      <c r="D1546" t="s">
        <v>184</v>
      </c>
      <c r="E1546" t="s">
        <v>10</v>
      </c>
      <c r="F1546">
        <v>54.700000762939453</v>
      </c>
    </row>
    <row r="1547" spans="2:6">
      <c r="B1547">
        <v>2019</v>
      </c>
      <c r="C1547" t="s">
        <v>29</v>
      </c>
      <c r="D1547" t="s">
        <v>184</v>
      </c>
      <c r="E1547" t="s">
        <v>11</v>
      </c>
      <c r="F1547">
        <v>0.77035999298095703</v>
      </c>
    </row>
    <row r="1548" spans="2:6">
      <c r="B1548">
        <v>2019</v>
      </c>
      <c r="C1548" t="s">
        <v>29</v>
      </c>
      <c r="D1548" t="s">
        <v>184</v>
      </c>
      <c r="E1548" t="s">
        <v>12</v>
      </c>
      <c r="F1548">
        <v>-1.6128683462738991E-2</v>
      </c>
    </row>
    <row r="1549" spans="2:6">
      <c r="B1549">
        <v>2019</v>
      </c>
      <c r="C1549" t="s">
        <v>29</v>
      </c>
      <c r="D1549" t="s">
        <v>184</v>
      </c>
      <c r="E1549" t="s">
        <v>13</v>
      </c>
      <c r="F1549">
        <v>0.69834697246551514</v>
      </c>
    </row>
    <row r="1550" spans="2:6">
      <c r="B1550">
        <v>2019</v>
      </c>
      <c r="C1550" t="s">
        <v>29</v>
      </c>
      <c r="D1550" t="s">
        <v>184</v>
      </c>
      <c r="E1550" t="s">
        <v>14</v>
      </c>
      <c r="F1550">
        <v>0.65877354145050049</v>
      </c>
    </row>
    <row r="1551" spans="2:6">
      <c r="B1551">
        <v>2019</v>
      </c>
      <c r="C1551" t="s">
        <v>29</v>
      </c>
      <c r="D1551" t="s">
        <v>184</v>
      </c>
      <c r="E1551" t="s">
        <v>15</v>
      </c>
      <c r="F1551">
        <v>0.44139876961708069</v>
      </c>
    </row>
    <row r="1552" spans="2:6">
      <c r="B1552">
        <v>2020</v>
      </c>
      <c r="C1552" t="s">
        <v>29</v>
      </c>
      <c r="D1552" t="s">
        <v>184</v>
      </c>
      <c r="E1552" t="s">
        <v>7</v>
      </c>
      <c r="F1552">
        <v>4.4077458381652832</v>
      </c>
    </row>
    <row r="1553" spans="2:6">
      <c r="B1553">
        <v>2020</v>
      </c>
      <c r="C1553" t="s">
        <v>29</v>
      </c>
      <c r="D1553" t="s">
        <v>184</v>
      </c>
      <c r="E1553" t="s">
        <v>8</v>
      </c>
      <c r="F1553">
        <v>8.1022920608520508</v>
      </c>
    </row>
    <row r="1554" spans="2:6">
      <c r="B1554">
        <v>2020</v>
      </c>
      <c r="C1554" t="s">
        <v>29</v>
      </c>
      <c r="D1554" t="s">
        <v>184</v>
      </c>
      <c r="E1554" t="s">
        <v>9</v>
      </c>
      <c r="F1554">
        <v>0.50663608312606812</v>
      </c>
    </row>
    <row r="1555" spans="2:6">
      <c r="B1555">
        <v>2020</v>
      </c>
      <c r="C1555" t="s">
        <v>29</v>
      </c>
      <c r="D1555" t="s">
        <v>184</v>
      </c>
      <c r="E1555" t="s">
        <v>10</v>
      </c>
      <c r="F1555">
        <v>55.099998474121094</v>
      </c>
    </row>
    <row r="1556" spans="2:6">
      <c r="B1556">
        <v>2020</v>
      </c>
      <c r="C1556" t="s">
        <v>29</v>
      </c>
      <c r="D1556" t="s">
        <v>184</v>
      </c>
      <c r="E1556" t="s">
        <v>11</v>
      </c>
      <c r="F1556">
        <v>0.78311467170715332</v>
      </c>
    </row>
    <row r="1557" spans="2:6">
      <c r="B1557">
        <v>2020</v>
      </c>
      <c r="C1557" t="s">
        <v>29</v>
      </c>
      <c r="D1557" t="s">
        <v>184</v>
      </c>
      <c r="E1557" t="s">
        <v>12</v>
      </c>
      <c r="F1557">
        <v>-8.3488710224628448E-2</v>
      </c>
    </row>
    <row r="1558" spans="2:6">
      <c r="B1558">
        <v>2020</v>
      </c>
      <c r="C1558" t="s">
        <v>29</v>
      </c>
      <c r="D1558" t="s">
        <v>184</v>
      </c>
      <c r="E1558" t="s">
        <v>13</v>
      </c>
      <c r="F1558">
        <v>0.53188365697860718</v>
      </c>
    </row>
    <row r="1559" spans="2:6">
      <c r="B1559">
        <v>2020</v>
      </c>
      <c r="C1559" t="s">
        <v>29</v>
      </c>
      <c r="D1559" t="s">
        <v>184</v>
      </c>
      <c r="E1559" t="s">
        <v>14</v>
      </c>
      <c r="F1559">
        <v>0.60858464241027832</v>
      </c>
    </row>
    <row r="1560" spans="2:6">
      <c r="B1560">
        <v>2020</v>
      </c>
      <c r="C1560" t="s">
        <v>29</v>
      </c>
      <c r="D1560" t="s">
        <v>184</v>
      </c>
      <c r="E1560" t="s">
        <v>15</v>
      </c>
      <c r="F1560">
        <v>0.30451244115829468</v>
      </c>
    </row>
    <row r="1561" spans="2:6">
      <c r="B1561">
        <v>2013</v>
      </c>
      <c r="C1561" t="s">
        <v>30</v>
      </c>
      <c r="D1561" t="s">
        <v>182</v>
      </c>
      <c r="E1561" t="s">
        <v>7</v>
      </c>
      <c r="F1561">
        <v>5.569091796875</v>
      </c>
    </row>
    <row r="1562" spans="2:6">
      <c r="B1562">
        <v>2013</v>
      </c>
      <c r="C1562" t="s">
        <v>30</v>
      </c>
      <c r="D1562" t="s">
        <v>182</v>
      </c>
      <c r="E1562" t="s">
        <v>8</v>
      </c>
      <c r="F1562">
        <v>9.12298583984375</v>
      </c>
    </row>
    <row r="1563" spans="2:6">
      <c r="B1563">
        <v>2013</v>
      </c>
      <c r="C1563" t="s">
        <v>30</v>
      </c>
      <c r="D1563" t="s">
        <v>182</v>
      </c>
      <c r="E1563" t="s">
        <v>9</v>
      </c>
      <c r="F1563">
        <v>0.81894898414611816</v>
      </c>
    </row>
    <row r="1564" spans="2:6">
      <c r="B1564">
        <v>2013</v>
      </c>
      <c r="C1564" t="s">
        <v>30</v>
      </c>
      <c r="D1564" t="s">
        <v>182</v>
      </c>
      <c r="E1564" t="s">
        <v>10</v>
      </c>
      <c r="F1564">
        <v>59.599998474121094</v>
      </c>
    </row>
    <row r="1565" spans="2:6">
      <c r="B1565">
        <v>2013</v>
      </c>
      <c r="C1565" t="s">
        <v>30</v>
      </c>
      <c r="D1565" t="s">
        <v>182</v>
      </c>
      <c r="E1565" t="s">
        <v>11</v>
      </c>
      <c r="F1565">
        <v>0.81020146608352661</v>
      </c>
    </row>
    <row r="1566" spans="2:6">
      <c r="B1566">
        <v>2013</v>
      </c>
      <c r="C1566" t="s">
        <v>30</v>
      </c>
      <c r="D1566" t="s">
        <v>182</v>
      </c>
      <c r="E1566" t="s">
        <v>12</v>
      </c>
      <c r="F1566">
        <v>0.35263115167617798</v>
      </c>
    </row>
    <row r="1567" spans="2:6">
      <c r="B1567">
        <v>2013</v>
      </c>
      <c r="C1567" t="s">
        <v>30</v>
      </c>
      <c r="D1567" t="s">
        <v>182</v>
      </c>
      <c r="E1567" t="s">
        <v>13</v>
      </c>
      <c r="F1567">
        <v>0.80242812633514404</v>
      </c>
    </row>
    <row r="1568" spans="2:6">
      <c r="B1568">
        <v>2013</v>
      </c>
      <c r="C1568" t="s">
        <v>30</v>
      </c>
      <c r="D1568" t="s">
        <v>182</v>
      </c>
      <c r="E1568" t="s">
        <v>14</v>
      </c>
      <c r="F1568">
        <v>0.77872341871261597</v>
      </c>
    </row>
    <row r="1569" spans="2:6">
      <c r="B1569">
        <v>2013</v>
      </c>
      <c r="C1569" t="s">
        <v>30</v>
      </c>
      <c r="D1569" t="s">
        <v>182</v>
      </c>
      <c r="E1569" t="s">
        <v>15</v>
      </c>
      <c r="F1569">
        <v>0.21734990179538727</v>
      </c>
    </row>
    <row r="1570" spans="2:6">
      <c r="B1570">
        <v>2014</v>
      </c>
      <c r="C1570" t="s">
        <v>30</v>
      </c>
      <c r="D1570" t="s">
        <v>182</v>
      </c>
      <c r="E1570" t="s">
        <v>7</v>
      </c>
      <c r="F1570">
        <v>4.9385781288146973</v>
      </c>
    </row>
    <row r="1571" spans="2:6">
      <c r="B1571">
        <v>2014</v>
      </c>
      <c r="C1571" t="s">
        <v>30</v>
      </c>
      <c r="D1571" t="s">
        <v>182</v>
      </c>
      <c r="E1571" t="s">
        <v>8</v>
      </c>
      <c r="F1571">
        <v>9.1668052673339844</v>
      </c>
    </row>
    <row r="1572" spans="2:6">
      <c r="B1572">
        <v>2014</v>
      </c>
      <c r="C1572" t="s">
        <v>30</v>
      </c>
      <c r="D1572" t="s">
        <v>182</v>
      </c>
      <c r="E1572" t="s">
        <v>9</v>
      </c>
      <c r="F1572">
        <v>0.88034194707870483</v>
      </c>
    </row>
    <row r="1573" spans="2:6">
      <c r="B1573">
        <v>2014</v>
      </c>
      <c r="C1573" t="s">
        <v>30</v>
      </c>
      <c r="D1573" t="s">
        <v>182</v>
      </c>
      <c r="E1573" t="s">
        <v>10</v>
      </c>
      <c r="F1573">
        <v>59.900001525878906</v>
      </c>
    </row>
    <row r="1574" spans="2:6">
      <c r="B1574">
        <v>2014</v>
      </c>
      <c r="C1574" t="s">
        <v>30</v>
      </c>
      <c r="D1574" t="s">
        <v>182</v>
      </c>
      <c r="E1574" t="s">
        <v>11</v>
      </c>
      <c r="F1574">
        <v>0.83422249555587769</v>
      </c>
    </row>
    <row r="1575" spans="2:6">
      <c r="B1575">
        <v>2014</v>
      </c>
      <c r="C1575" t="s">
        <v>30</v>
      </c>
      <c r="D1575" t="s">
        <v>182</v>
      </c>
      <c r="E1575" t="s">
        <v>12</v>
      </c>
      <c r="F1575">
        <v>0.26787298917770386</v>
      </c>
    </row>
    <row r="1576" spans="2:6">
      <c r="B1576">
        <v>2014</v>
      </c>
      <c r="C1576" t="s">
        <v>30</v>
      </c>
      <c r="D1576" t="s">
        <v>182</v>
      </c>
      <c r="E1576" t="s">
        <v>13</v>
      </c>
      <c r="F1576">
        <v>0.65033847093582153</v>
      </c>
    </row>
    <row r="1577" spans="2:6">
      <c r="B1577">
        <v>2014</v>
      </c>
      <c r="C1577" t="s">
        <v>30</v>
      </c>
      <c r="D1577" t="s">
        <v>182</v>
      </c>
      <c r="E1577" t="s">
        <v>14</v>
      </c>
      <c r="F1577">
        <v>0.85886430740356445</v>
      </c>
    </row>
    <row r="1578" spans="2:6">
      <c r="B1578">
        <v>2014</v>
      </c>
      <c r="C1578" t="s">
        <v>30</v>
      </c>
      <c r="D1578" t="s">
        <v>182</v>
      </c>
      <c r="E1578" t="s">
        <v>15</v>
      </c>
      <c r="F1578">
        <v>0.32409787178039551</v>
      </c>
    </row>
    <row r="1579" spans="2:6">
      <c r="B1579">
        <v>2015</v>
      </c>
      <c r="C1579" t="s">
        <v>30</v>
      </c>
      <c r="D1579" t="s">
        <v>182</v>
      </c>
      <c r="E1579" t="s">
        <v>7</v>
      </c>
      <c r="F1579">
        <v>5.0821285247802734</v>
      </c>
    </row>
    <row r="1580" spans="2:6">
      <c r="B1580">
        <v>2015</v>
      </c>
      <c r="C1580" t="s">
        <v>30</v>
      </c>
      <c r="D1580" t="s">
        <v>182</v>
      </c>
      <c r="E1580" t="s">
        <v>8</v>
      </c>
      <c r="F1580">
        <v>9.2189235687255859</v>
      </c>
    </row>
    <row r="1581" spans="2:6">
      <c r="B1581">
        <v>2015</v>
      </c>
      <c r="C1581" t="s">
        <v>30</v>
      </c>
      <c r="D1581" t="s">
        <v>182</v>
      </c>
      <c r="E1581" t="s">
        <v>9</v>
      </c>
      <c r="F1581">
        <v>0.84757441282272339</v>
      </c>
    </row>
    <row r="1582" spans="2:6">
      <c r="B1582">
        <v>2015</v>
      </c>
      <c r="C1582" t="s">
        <v>30</v>
      </c>
      <c r="D1582" t="s">
        <v>182</v>
      </c>
      <c r="E1582" t="s">
        <v>10</v>
      </c>
      <c r="F1582">
        <v>60.200000762939453</v>
      </c>
    </row>
    <row r="1583" spans="2:6">
      <c r="B1583">
        <v>2015</v>
      </c>
      <c r="C1583" t="s">
        <v>30</v>
      </c>
      <c r="D1583" t="s">
        <v>182</v>
      </c>
      <c r="E1583" t="s">
        <v>11</v>
      </c>
      <c r="F1583">
        <v>0.83010154962539673</v>
      </c>
    </row>
    <row r="1584" spans="2:6">
      <c r="B1584">
        <v>2015</v>
      </c>
      <c r="C1584" t="s">
        <v>30</v>
      </c>
      <c r="D1584" t="s">
        <v>182</v>
      </c>
      <c r="E1584" t="s">
        <v>12</v>
      </c>
      <c r="F1584">
        <v>0.27741235494613647</v>
      </c>
    </row>
    <row r="1585" spans="2:6">
      <c r="B1585">
        <v>2015</v>
      </c>
      <c r="C1585" t="s">
        <v>30</v>
      </c>
      <c r="D1585" t="s">
        <v>182</v>
      </c>
      <c r="E1585" t="s">
        <v>13</v>
      </c>
      <c r="F1585">
        <v>0.63395577669143677</v>
      </c>
    </row>
    <row r="1586" spans="2:6">
      <c r="B1586">
        <v>2015</v>
      </c>
      <c r="C1586" t="s">
        <v>30</v>
      </c>
      <c r="D1586" t="s">
        <v>182</v>
      </c>
      <c r="E1586" t="s">
        <v>14</v>
      </c>
      <c r="F1586">
        <v>0.80964148044586182</v>
      </c>
    </row>
    <row r="1587" spans="2:6">
      <c r="B1587">
        <v>2015</v>
      </c>
      <c r="C1587" t="s">
        <v>30</v>
      </c>
      <c r="D1587" t="s">
        <v>182</v>
      </c>
      <c r="E1587" t="s">
        <v>15</v>
      </c>
      <c r="F1587">
        <v>0.31158930063247681</v>
      </c>
    </row>
    <row r="1588" spans="2:6">
      <c r="B1588">
        <v>2006</v>
      </c>
      <c r="C1588" t="s">
        <v>31</v>
      </c>
      <c r="D1588" t="s">
        <v>185</v>
      </c>
      <c r="E1588" t="s">
        <v>7</v>
      </c>
      <c r="F1588">
        <v>5.3739862442016602</v>
      </c>
    </row>
    <row r="1589" spans="2:6">
      <c r="B1589">
        <v>2006</v>
      </c>
      <c r="C1589" t="s">
        <v>31</v>
      </c>
      <c r="D1589" t="s">
        <v>185</v>
      </c>
      <c r="E1589" t="s">
        <v>8</v>
      </c>
      <c r="F1589">
        <v>8.6862115859985352</v>
      </c>
    </row>
    <row r="1590" spans="2:6">
      <c r="B1590">
        <v>2006</v>
      </c>
      <c r="C1590" t="s">
        <v>31</v>
      </c>
      <c r="D1590" t="s">
        <v>185</v>
      </c>
      <c r="E1590" t="s">
        <v>9</v>
      </c>
      <c r="F1590">
        <v>0.83427995443344116</v>
      </c>
    </row>
    <row r="1591" spans="2:6">
      <c r="B1591">
        <v>2006</v>
      </c>
      <c r="C1591" t="s">
        <v>31</v>
      </c>
      <c r="D1591" t="s">
        <v>185</v>
      </c>
      <c r="E1591" t="s">
        <v>10</v>
      </c>
      <c r="F1591">
        <v>59</v>
      </c>
    </row>
    <row r="1592" spans="2:6">
      <c r="B1592">
        <v>2006</v>
      </c>
      <c r="C1592" t="s">
        <v>31</v>
      </c>
      <c r="D1592" t="s">
        <v>185</v>
      </c>
      <c r="E1592" t="s">
        <v>11</v>
      </c>
      <c r="F1592">
        <v>0.77013474702835083</v>
      </c>
    </row>
    <row r="1593" spans="2:6">
      <c r="B1593">
        <v>2006</v>
      </c>
      <c r="C1593" t="s">
        <v>31</v>
      </c>
      <c r="D1593" t="s">
        <v>185</v>
      </c>
      <c r="E1593" t="s">
        <v>12</v>
      </c>
      <c r="F1593">
        <v>-4.4180404394865036E-2</v>
      </c>
    </row>
    <row r="1594" spans="2:6">
      <c r="B1594">
        <v>2006</v>
      </c>
      <c r="C1594" t="s">
        <v>31</v>
      </c>
      <c r="D1594" t="s">
        <v>185</v>
      </c>
      <c r="E1594" t="s">
        <v>13</v>
      </c>
      <c r="F1594">
        <v>0.79448419809341431</v>
      </c>
    </row>
    <row r="1595" spans="2:6">
      <c r="B1595">
        <v>2006</v>
      </c>
      <c r="C1595" t="s">
        <v>31</v>
      </c>
      <c r="D1595" t="s">
        <v>185</v>
      </c>
      <c r="E1595" t="s">
        <v>14</v>
      </c>
      <c r="F1595">
        <v>0.73924261331558228</v>
      </c>
    </row>
    <row r="1596" spans="2:6">
      <c r="B1596">
        <v>2006</v>
      </c>
      <c r="C1596" t="s">
        <v>31</v>
      </c>
      <c r="D1596" t="s">
        <v>185</v>
      </c>
      <c r="E1596" t="s">
        <v>15</v>
      </c>
      <c r="F1596">
        <v>0.43194496631622314</v>
      </c>
    </row>
    <row r="1597" spans="2:6">
      <c r="B1597">
        <v>2007</v>
      </c>
      <c r="C1597" t="s">
        <v>31</v>
      </c>
      <c r="D1597" t="s">
        <v>185</v>
      </c>
      <c r="E1597" t="s">
        <v>7</v>
      </c>
      <c r="F1597">
        <v>5.6284193992614746</v>
      </c>
    </row>
    <row r="1598" spans="2:6">
      <c r="B1598">
        <v>2007</v>
      </c>
      <c r="C1598" t="s">
        <v>31</v>
      </c>
      <c r="D1598" t="s">
        <v>185</v>
      </c>
      <c r="E1598" t="s">
        <v>8</v>
      </c>
      <c r="F1598">
        <v>8.7136449813842773</v>
      </c>
    </row>
    <row r="1599" spans="2:6">
      <c r="B1599">
        <v>2007</v>
      </c>
      <c r="C1599" t="s">
        <v>31</v>
      </c>
      <c r="D1599" t="s">
        <v>185</v>
      </c>
      <c r="E1599" t="s">
        <v>9</v>
      </c>
      <c r="F1599">
        <v>0.79613649845123291</v>
      </c>
    </row>
    <row r="1600" spans="2:6">
      <c r="B1600">
        <v>2007</v>
      </c>
      <c r="C1600" t="s">
        <v>31</v>
      </c>
      <c r="D1600" t="s">
        <v>185</v>
      </c>
      <c r="E1600" t="s">
        <v>10</v>
      </c>
      <c r="F1600">
        <v>59.5</v>
      </c>
    </row>
    <row r="1601" spans="2:6">
      <c r="B1601">
        <v>2007</v>
      </c>
      <c r="C1601" t="s">
        <v>31</v>
      </c>
      <c r="D1601" t="s">
        <v>185</v>
      </c>
      <c r="E1601" t="s">
        <v>11</v>
      </c>
      <c r="F1601">
        <v>0.77993524074554443</v>
      </c>
    </row>
    <row r="1602" spans="2:6">
      <c r="B1602">
        <v>2007</v>
      </c>
      <c r="C1602" t="s">
        <v>31</v>
      </c>
      <c r="D1602" t="s">
        <v>185</v>
      </c>
      <c r="E1602" t="s">
        <v>12</v>
      </c>
      <c r="F1602">
        <v>6.7575584398582578E-4</v>
      </c>
    </row>
    <row r="1603" spans="2:6">
      <c r="B1603">
        <v>2007</v>
      </c>
      <c r="C1603" t="s">
        <v>31</v>
      </c>
      <c r="D1603" t="s">
        <v>185</v>
      </c>
      <c r="E1603" t="s">
        <v>13</v>
      </c>
      <c r="F1603">
        <v>0.81699395179748535</v>
      </c>
    </row>
    <row r="1604" spans="2:6">
      <c r="B1604">
        <v>2007</v>
      </c>
      <c r="C1604" t="s">
        <v>31</v>
      </c>
      <c r="D1604" t="s">
        <v>185</v>
      </c>
      <c r="E1604" t="s">
        <v>14</v>
      </c>
      <c r="F1604">
        <v>0.77107453346252441</v>
      </c>
    </row>
    <row r="1605" spans="2:6">
      <c r="B1605">
        <v>2007</v>
      </c>
      <c r="C1605" t="s">
        <v>31</v>
      </c>
      <c r="D1605" t="s">
        <v>185</v>
      </c>
      <c r="E1605" t="s">
        <v>15</v>
      </c>
      <c r="F1605">
        <v>0.38778623938560486</v>
      </c>
    </row>
    <row r="1606" spans="2:6">
      <c r="B1606">
        <v>2008</v>
      </c>
      <c r="C1606" t="s">
        <v>31</v>
      </c>
      <c r="D1606" t="s">
        <v>185</v>
      </c>
      <c r="E1606" t="s">
        <v>7</v>
      </c>
      <c r="F1606">
        <v>5.2978725433349609</v>
      </c>
    </row>
    <row r="1607" spans="2:6">
      <c r="B1607">
        <v>2008</v>
      </c>
      <c r="C1607" t="s">
        <v>31</v>
      </c>
      <c r="D1607" t="s">
        <v>185</v>
      </c>
      <c r="E1607" t="s">
        <v>8</v>
      </c>
      <c r="F1607">
        <v>8.756403923034668</v>
      </c>
    </row>
    <row r="1608" spans="2:6">
      <c r="B1608">
        <v>2008</v>
      </c>
      <c r="C1608" t="s">
        <v>31</v>
      </c>
      <c r="D1608" t="s">
        <v>185</v>
      </c>
      <c r="E1608" t="s">
        <v>9</v>
      </c>
      <c r="F1608">
        <v>0.7852623462677002</v>
      </c>
    </row>
    <row r="1609" spans="2:6">
      <c r="B1609">
        <v>2008</v>
      </c>
      <c r="C1609" t="s">
        <v>31</v>
      </c>
      <c r="D1609" t="s">
        <v>185</v>
      </c>
      <c r="E1609" t="s">
        <v>10</v>
      </c>
      <c r="F1609">
        <v>60</v>
      </c>
    </row>
    <row r="1610" spans="2:6">
      <c r="B1610">
        <v>2008</v>
      </c>
      <c r="C1610" t="s">
        <v>31</v>
      </c>
      <c r="D1610" t="s">
        <v>185</v>
      </c>
      <c r="E1610" t="s">
        <v>11</v>
      </c>
      <c r="F1610">
        <v>0.72561973333358765</v>
      </c>
    </row>
    <row r="1611" spans="2:6">
      <c r="B1611">
        <v>2008</v>
      </c>
      <c r="C1611" t="s">
        <v>31</v>
      </c>
      <c r="D1611" t="s">
        <v>185</v>
      </c>
      <c r="E1611" t="s">
        <v>12</v>
      </c>
      <c r="F1611">
        <v>-9.170541912317276E-2</v>
      </c>
    </row>
    <row r="1612" spans="2:6">
      <c r="B1612">
        <v>2008</v>
      </c>
      <c r="C1612" t="s">
        <v>31</v>
      </c>
      <c r="D1612" t="s">
        <v>185</v>
      </c>
      <c r="E1612" t="s">
        <v>13</v>
      </c>
      <c r="F1612">
        <v>0.80142039060592651</v>
      </c>
    </row>
    <row r="1613" spans="2:6">
      <c r="B1613">
        <v>2008</v>
      </c>
      <c r="C1613" t="s">
        <v>31</v>
      </c>
      <c r="D1613" t="s">
        <v>185</v>
      </c>
      <c r="E1613" t="s">
        <v>14</v>
      </c>
      <c r="F1613">
        <v>0.7806544303894043</v>
      </c>
    </row>
    <row r="1614" spans="2:6">
      <c r="B1614">
        <v>2008</v>
      </c>
      <c r="C1614" t="s">
        <v>31</v>
      </c>
      <c r="D1614" t="s">
        <v>185</v>
      </c>
      <c r="E1614" t="s">
        <v>15</v>
      </c>
      <c r="F1614">
        <v>0.39207962155342102</v>
      </c>
    </row>
    <row r="1615" spans="2:6">
      <c r="B1615">
        <v>2009</v>
      </c>
      <c r="C1615" t="s">
        <v>31</v>
      </c>
      <c r="D1615" t="s">
        <v>185</v>
      </c>
      <c r="E1615" t="s">
        <v>7</v>
      </c>
      <c r="F1615">
        <v>6.0855793952941895</v>
      </c>
    </row>
    <row r="1616" spans="2:6">
      <c r="B1616">
        <v>2009</v>
      </c>
      <c r="C1616" t="s">
        <v>31</v>
      </c>
      <c r="D1616" t="s">
        <v>185</v>
      </c>
      <c r="E1616" t="s">
        <v>8</v>
      </c>
      <c r="F1616">
        <v>8.772761344909668</v>
      </c>
    </row>
    <row r="1617" spans="2:6">
      <c r="B1617">
        <v>2009</v>
      </c>
      <c r="C1617" t="s">
        <v>31</v>
      </c>
      <c r="D1617" t="s">
        <v>185</v>
      </c>
      <c r="E1617" t="s">
        <v>9</v>
      </c>
      <c r="F1617">
        <v>0.83131992816925049</v>
      </c>
    </row>
    <row r="1618" spans="2:6">
      <c r="B1618">
        <v>2009</v>
      </c>
      <c r="C1618" t="s">
        <v>31</v>
      </c>
      <c r="D1618" t="s">
        <v>185</v>
      </c>
      <c r="E1618" t="s">
        <v>10</v>
      </c>
      <c r="F1618">
        <v>60.5</v>
      </c>
    </row>
    <row r="1619" spans="2:6">
      <c r="B1619">
        <v>2009</v>
      </c>
      <c r="C1619" t="s">
        <v>31</v>
      </c>
      <c r="D1619" t="s">
        <v>185</v>
      </c>
      <c r="E1619" t="s">
        <v>11</v>
      </c>
      <c r="F1619">
        <v>0.77893859148025513</v>
      </c>
    </row>
    <row r="1620" spans="2:6">
      <c r="B1620">
        <v>2009</v>
      </c>
      <c r="C1620" t="s">
        <v>31</v>
      </c>
      <c r="D1620" t="s">
        <v>185</v>
      </c>
      <c r="E1620" t="s">
        <v>12</v>
      </c>
      <c r="F1620">
        <v>-3.6097116768360138E-2</v>
      </c>
    </row>
    <row r="1621" spans="2:6">
      <c r="B1621">
        <v>2009</v>
      </c>
      <c r="C1621" t="s">
        <v>31</v>
      </c>
      <c r="D1621" t="s">
        <v>185</v>
      </c>
      <c r="E1621" t="s">
        <v>13</v>
      </c>
      <c r="F1621">
        <v>0.76260453462600708</v>
      </c>
    </row>
    <row r="1622" spans="2:6">
      <c r="B1622">
        <v>2009</v>
      </c>
      <c r="C1622" t="s">
        <v>31</v>
      </c>
      <c r="D1622" t="s">
        <v>185</v>
      </c>
      <c r="E1622" t="s">
        <v>14</v>
      </c>
      <c r="F1622">
        <v>0.79676437377929688</v>
      </c>
    </row>
    <row r="1623" spans="2:6">
      <c r="B1623">
        <v>2009</v>
      </c>
      <c r="C1623" t="s">
        <v>31</v>
      </c>
      <c r="D1623" t="s">
        <v>185</v>
      </c>
      <c r="E1623" t="s">
        <v>15</v>
      </c>
      <c r="F1623">
        <v>0.37236928939819336</v>
      </c>
    </row>
    <row r="1624" spans="2:6">
      <c r="B1624">
        <v>2010</v>
      </c>
      <c r="C1624" t="s">
        <v>31</v>
      </c>
      <c r="D1624" t="s">
        <v>185</v>
      </c>
      <c r="E1624" t="s">
        <v>7</v>
      </c>
      <c r="F1624">
        <v>5.7806200981140137</v>
      </c>
    </row>
    <row r="1625" spans="2:6">
      <c r="B1625">
        <v>2010</v>
      </c>
      <c r="C1625" t="s">
        <v>31</v>
      </c>
      <c r="D1625" t="s">
        <v>185</v>
      </c>
      <c r="E1625" t="s">
        <v>8</v>
      </c>
      <c r="F1625">
        <v>8.7967634201049805</v>
      </c>
    </row>
    <row r="1626" spans="2:6">
      <c r="B1626">
        <v>2010</v>
      </c>
      <c r="C1626" t="s">
        <v>31</v>
      </c>
      <c r="D1626" t="s">
        <v>185</v>
      </c>
      <c r="E1626" t="s">
        <v>9</v>
      </c>
      <c r="F1626">
        <v>0.8071855902671814</v>
      </c>
    </row>
    <row r="1627" spans="2:6">
      <c r="B1627">
        <v>2010</v>
      </c>
      <c r="C1627" t="s">
        <v>31</v>
      </c>
      <c r="D1627" t="s">
        <v>185</v>
      </c>
      <c r="E1627" t="s">
        <v>10</v>
      </c>
      <c r="F1627">
        <v>61</v>
      </c>
    </row>
    <row r="1628" spans="2:6">
      <c r="B1628">
        <v>2010</v>
      </c>
      <c r="C1628" t="s">
        <v>31</v>
      </c>
      <c r="D1628" t="s">
        <v>185</v>
      </c>
      <c r="E1628" t="s">
        <v>11</v>
      </c>
      <c r="F1628">
        <v>0.70334106683731079</v>
      </c>
    </row>
    <row r="1629" spans="2:6">
      <c r="B1629">
        <v>2010</v>
      </c>
      <c r="C1629" t="s">
        <v>31</v>
      </c>
      <c r="D1629" t="s">
        <v>185</v>
      </c>
      <c r="E1629" t="s">
        <v>12</v>
      </c>
      <c r="F1629">
        <v>-6.8468347191810608E-2</v>
      </c>
    </row>
    <row r="1630" spans="2:6">
      <c r="B1630">
        <v>2010</v>
      </c>
      <c r="C1630" t="s">
        <v>31</v>
      </c>
      <c r="D1630" t="s">
        <v>185</v>
      </c>
      <c r="E1630" t="s">
        <v>13</v>
      </c>
      <c r="F1630">
        <v>0.78134250640869141</v>
      </c>
    </row>
    <row r="1631" spans="2:6">
      <c r="B1631">
        <v>2010</v>
      </c>
      <c r="C1631" t="s">
        <v>31</v>
      </c>
      <c r="D1631" t="s">
        <v>185</v>
      </c>
      <c r="E1631" t="s">
        <v>14</v>
      </c>
      <c r="F1631">
        <v>0.76609957218170166</v>
      </c>
    </row>
    <row r="1632" spans="2:6">
      <c r="B1632">
        <v>2010</v>
      </c>
      <c r="C1632" t="s">
        <v>31</v>
      </c>
      <c r="D1632" t="s">
        <v>185</v>
      </c>
      <c r="E1632" t="s">
        <v>15</v>
      </c>
      <c r="F1632">
        <v>0.34959733486175537</v>
      </c>
    </row>
    <row r="1633" spans="2:6">
      <c r="B1633">
        <v>2011</v>
      </c>
      <c r="C1633" t="s">
        <v>31</v>
      </c>
      <c r="D1633" t="s">
        <v>185</v>
      </c>
      <c r="E1633" t="s">
        <v>7</v>
      </c>
      <c r="F1633">
        <v>5.778874397277832</v>
      </c>
    </row>
    <row r="1634" spans="2:6">
      <c r="B1634">
        <v>2011</v>
      </c>
      <c r="C1634" t="s">
        <v>31</v>
      </c>
      <c r="D1634" t="s">
        <v>185</v>
      </c>
      <c r="E1634" t="s">
        <v>8</v>
      </c>
      <c r="F1634">
        <v>8.8312711715698242</v>
      </c>
    </row>
    <row r="1635" spans="2:6">
      <c r="B1635">
        <v>2011</v>
      </c>
      <c r="C1635" t="s">
        <v>31</v>
      </c>
      <c r="D1635" t="s">
        <v>185</v>
      </c>
      <c r="E1635" t="s">
        <v>9</v>
      </c>
      <c r="F1635">
        <v>0.81678283214569092</v>
      </c>
    </row>
    <row r="1636" spans="2:6">
      <c r="B1636">
        <v>2011</v>
      </c>
      <c r="C1636" t="s">
        <v>31</v>
      </c>
      <c r="D1636" t="s">
        <v>185</v>
      </c>
      <c r="E1636" t="s">
        <v>10</v>
      </c>
      <c r="F1636">
        <v>61.340000152587891</v>
      </c>
    </row>
    <row r="1637" spans="2:6">
      <c r="B1637">
        <v>2011</v>
      </c>
      <c r="C1637" t="s">
        <v>31</v>
      </c>
      <c r="D1637" t="s">
        <v>185</v>
      </c>
      <c r="E1637" t="s">
        <v>11</v>
      </c>
      <c r="F1637">
        <v>0.78167372941970825</v>
      </c>
    </row>
    <row r="1638" spans="2:6">
      <c r="B1638">
        <v>2011</v>
      </c>
      <c r="C1638" t="s">
        <v>31</v>
      </c>
      <c r="D1638" t="s">
        <v>185</v>
      </c>
      <c r="E1638" t="s">
        <v>12</v>
      </c>
      <c r="F1638">
        <v>-3.9203885942697525E-2</v>
      </c>
    </row>
    <row r="1639" spans="2:6">
      <c r="B1639">
        <v>2011</v>
      </c>
      <c r="C1639" t="s">
        <v>31</v>
      </c>
      <c r="D1639" t="s">
        <v>185</v>
      </c>
      <c r="E1639" t="s">
        <v>13</v>
      </c>
      <c r="F1639">
        <v>0.82485431432723999</v>
      </c>
    </row>
    <row r="1640" spans="2:6">
      <c r="B1640">
        <v>2011</v>
      </c>
      <c r="C1640" t="s">
        <v>31</v>
      </c>
      <c r="D1640" t="s">
        <v>185</v>
      </c>
      <c r="E1640" t="s">
        <v>14</v>
      </c>
      <c r="F1640">
        <v>0.76078629493713379</v>
      </c>
    </row>
    <row r="1641" spans="2:6">
      <c r="B1641">
        <v>2011</v>
      </c>
      <c r="C1641" t="s">
        <v>31</v>
      </c>
      <c r="D1641" t="s">
        <v>185</v>
      </c>
      <c r="E1641" t="s">
        <v>15</v>
      </c>
      <c r="F1641">
        <v>0.36148554086685181</v>
      </c>
    </row>
    <row r="1642" spans="2:6">
      <c r="B1642">
        <v>2012</v>
      </c>
      <c r="C1642" t="s">
        <v>31</v>
      </c>
      <c r="D1642" t="s">
        <v>185</v>
      </c>
      <c r="E1642" t="s">
        <v>7</v>
      </c>
      <c r="F1642">
        <v>6.0188946723937988</v>
      </c>
    </row>
    <row r="1643" spans="2:6">
      <c r="B1643">
        <v>2012</v>
      </c>
      <c r="C1643" t="s">
        <v>31</v>
      </c>
      <c r="D1643" t="s">
        <v>185</v>
      </c>
      <c r="E1643" t="s">
        <v>8</v>
      </c>
      <c r="F1643">
        <v>8.8652248382568359</v>
      </c>
    </row>
    <row r="1644" spans="2:6">
      <c r="B1644">
        <v>2012</v>
      </c>
      <c r="C1644" t="s">
        <v>31</v>
      </c>
      <c r="D1644" t="s">
        <v>185</v>
      </c>
      <c r="E1644" t="s">
        <v>9</v>
      </c>
      <c r="F1644">
        <v>0.78081941604614258</v>
      </c>
    </row>
    <row r="1645" spans="2:6">
      <c r="B1645">
        <v>2012</v>
      </c>
      <c r="C1645" t="s">
        <v>31</v>
      </c>
      <c r="D1645" t="s">
        <v>185</v>
      </c>
      <c r="E1645" t="s">
        <v>10</v>
      </c>
      <c r="F1645">
        <v>61.680000305175781</v>
      </c>
    </row>
    <row r="1646" spans="2:6">
      <c r="B1646">
        <v>2012</v>
      </c>
      <c r="C1646" t="s">
        <v>31</v>
      </c>
      <c r="D1646" t="s">
        <v>185</v>
      </c>
      <c r="E1646" t="s">
        <v>11</v>
      </c>
      <c r="F1646">
        <v>0.86237967014312744</v>
      </c>
    </row>
    <row r="1647" spans="2:6">
      <c r="B1647">
        <v>2012</v>
      </c>
      <c r="C1647" t="s">
        <v>31</v>
      </c>
      <c r="D1647" t="s">
        <v>185</v>
      </c>
      <c r="E1647" t="s">
        <v>12</v>
      </c>
      <c r="F1647">
        <v>-1.4860126189887524E-2</v>
      </c>
    </row>
    <row r="1648" spans="2:6">
      <c r="B1648">
        <v>2012</v>
      </c>
      <c r="C1648" t="s">
        <v>31</v>
      </c>
      <c r="D1648" t="s">
        <v>185</v>
      </c>
      <c r="E1648" t="s">
        <v>13</v>
      </c>
      <c r="F1648">
        <v>0.83970141410827637</v>
      </c>
    </row>
    <row r="1649" spans="2:6">
      <c r="B1649">
        <v>2012</v>
      </c>
      <c r="C1649" t="s">
        <v>31</v>
      </c>
      <c r="D1649" t="s">
        <v>185</v>
      </c>
      <c r="E1649" t="s">
        <v>14</v>
      </c>
      <c r="F1649">
        <v>0.78248137235641479</v>
      </c>
    </row>
    <row r="1650" spans="2:6">
      <c r="B1650">
        <v>2012</v>
      </c>
      <c r="C1650" t="s">
        <v>31</v>
      </c>
      <c r="D1650" t="s">
        <v>185</v>
      </c>
      <c r="E1650" t="s">
        <v>15</v>
      </c>
      <c r="F1650">
        <v>0.40888014435768127</v>
      </c>
    </row>
    <row r="1651" spans="2:6">
      <c r="B1651">
        <v>2013</v>
      </c>
      <c r="C1651" t="s">
        <v>31</v>
      </c>
      <c r="D1651" t="s">
        <v>185</v>
      </c>
      <c r="E1651" t="s">
        <v>7</v>
      </c>
      <c r="F1651">
        <v>5.7674288749694824</v>
      </c>
    </row>
    <row r="1652" spans="2:6">
      <c r="B1652">
        <v>2013</v>
      </c>
      <c r="C1652" t="s">
        <v>31</v>
      </c>
      <c r="D1652" t="s">
        <v>185</v>
      </c>
      <c r="E1652" t="s">
        <v>8</v>
      </c>
      <c r="F1652">
        <v>8.9152297973632813</v>
      </c>
    </row>
    <row r="1653" spans="2:6">
      <c r="B1653">
        <v>2013</v>
      </c>
      <c r="C1653" t="s">
        <v>31</v>
      </c>
      <c r="D1653" t="s">
        <v>185</v>
      </c>
      <c r="E1653" t="s">
        <v>9</v>
      </c>
      <c r="F1653">
        <v>0.80273807048797607</v>
      </c>
    </row>
    <row r="1654" spans="2:6">
      <c r="B1654">
        <v>2013</v>
      </c>
      <c r="C1654" t="s">
        <v>31</v>
      </c>
      <c r="D1654" t="s">
        <v>185</v>
      </c>
      <c r="E1654" t="s">
        <v>10</v>
      </c>
      <c r="F1654">
        <v>62.020000457763672</v>
      </c>
    </row>
    <row r="1655" spans="2:6">
      <c r="B1655">
        <v>2013</v>
      </c>
      <c r="C1655" t="s">
        <v>31</v>
      </c>
      <c r="D1655" t="s">
        <v>185</v>
      </c>
      <c r="E1655" t="s">
        <v>11</v>
      </c>
      <c r="F1655">
        <v>0.84593164920806885</v>
      </c>
    </row>
    <row r="1656" spans="2:6">
      <c r="B1656">
        <v>2013</v>
      </c>
      <c r="C1656" t="s">
        <v>31</v>
      </c>
      <c r="D1656" t="s">
        <v>185</v>
      </c>
      <c r="E1656" t="s">
        <v>12</v>
      </c>
      <c r="F1656">
        <v>-6.68373703956604E-2</v>
      </c>
    </row>
    <row r="1657" spans="2:6">
      <c r="B1657">
        <v>2013</v>
      </c>
      <c r="C1657" t="s">
        <v>31</v>
      </c>
      <c r="D1657" t="s">
        <v>185</v>
      </c>
      <c r="E1657" t="s">
        <v>13</v>
      </c>
      <c r="F1657">
        <v>0.81185656785964966</v>
      </c>
    </row>
    <row r="1658" spans="2:6">
      <c r="B1658">
        <v>2013</v>
      </c>
      <c r="C1658" t="s">
        <v>31</v>
      </c>
      <c r="D1658" t="s">
        <v>185</v>
      </c>
      <c r="E1658" t="s">
        <v>14</v>
      </c>
      <c r="F1658">
        <v>0.75909882783889771</v>
      </c>
    </row>
    <row r="1659" spans="2:6">
      <c r="B1659">
        <v>2013</v>
      </c>
      <c r="C1659" t="s">
        <v>31</v>
      </c>
      <c r="D1659" t="s">
        <v>185</v>
      </c>
      <c r="E1659" t="s">
        <v>15</v>
      </c>
      <c r="F1659">
        <v>0.41030153632164001</v>
      </c>
    </row>
    <row r="1660" spans="2:6">
      <c r="B1660">
        <v>2014</v>
      </c>
      <c r="C1660" t="s">
        <v>31</v>
      </c>
      <c r="D1660" t="s">
        <v>185</v>
      </c>
      <c r="E1660" t="s">
        <v>7</v>
      </c>
      <c r="F1660">
        <v>5.8647985458374023</v>
      </c>
    </row>
    <row r="1661" spans="2:6">
      <c r="B1661">
        <v>2014</v>
      </c>
      <c r="C1661" t="s">
        <v>31</v>
      </c>
      <c r="D1661" t="s">
        <v>185</v>
      </c>
      <c r="E1661" t="s">
        <v>8</v>
      </c>
      <c r="F1661">
        <v>8.952946662902832</v>
      </c>
    </row>
    <row r="1662" spans="2:6">
      <c r="B1662">
        <v>2014</v>
      </c>
      <c r="C1662" t="s">
        <v>31</v>
      </c>
      <c r="D1662" t="s">
        <v>185</v>
      </c>
      <c r="E1662" t="s">
        <v>9</v>
      </c>
      <c r="F1662">
        <v>0.82134461402893066</v>
      </c>
    </row>
    <row r="1663" spans="2:6">
      <c r="B1663">
        <v>2014</v>
      </c>
      <c r="C1663" t="s">
        <v>31</v>
      </c>
      <c r="D1663" t="s">
        <v>185</v>
      </c>
      <c r="E1663" t="s">
        <v>10</v>
      </c>
      <c r="F1663">
        <v>62.360000610351563</v>
      </c>
    </row>
    <row r="1664" spans="2:6">
      <c r="B1664">
        <v>2014</v>
      </c>
      <c r="C1664" t="s">
        <v>31</v>
      </c>
      <c r="D1664" t="s">
        <v>185</v>
      </c>
      <c r="E1664" t="s">
        <v>11</v>
      </c>
      <c r="F1664">
        <v>0.88105887174606323</v>
      </c>
    </row>
    <row r="1665" spans="2:6">
      <c r="B1665">
        <v>2014</v>
      </c>
      <c r="C1665" t="s">
        <v>31</v>
      </c>
      <c r="D1665" t="s">
        <v>185</v>
      </c>
      <c r="E1665" t="s">
        <v>12</v>
      </c>
      <c r="F1665">
        <v>1.7844215035438538E-2</v>
      </c>
    </row>
    <row r="1666" spans="2:6">
      <c r="B1666">
        <v>2014</v>
      </c>
      <c r="C1666" t="s">
        <v>31</v>
      </c>
      <c r="D1666" t="s">
        <v>185</v>
      </c>
      <c r="E1666" t="s">
        <v>13</v>
      </c>
      <c r="F1666">
        <v>0.83185446262359619</v>
      </c>
    </row>
    <row r="1667" spans="2:6">
      <c r="B1667">
        <v>2014</v>
      </c>
      <c r="C1667" t="s">
        <v>31</v>
      </c>
      <c r="D1667" t="s">
        <v>185</v>
      </c>
      <c r="E1667" t="s">
        <v>14</v>
      </c>
      <c r="F1667">
        <v>0.80860906839370728</v>
      </c>
    </row>
    <row r="1668" spans="2:6">
      <c r="B1668">
        <v>2014</v>
      </c>
      <c r="C1668" t="s">
        <v>31</v>
      </c>
      <c r="D1668" t="s">
        <v>185</v>
      </c>
      <c r="E1668" t="s">
        <v>15</v>
      </c>
      <c r="F1668">
        <v>0.39821946620941162</v>
      </c>
    </row>
    <row r="1669" spans="2:6">
      <c r="B1669">
        <v>2015</v>
      </c>
      <c r="C1669" t="s">
        <v>31</v>
      </c>
      <c r="D1669" t="s">
        <v>185</v>
      </c>
      <c r="E1669" t="s">
        <v>7</v>
      </c>
      <c r="F1669">
        <v>5.8343291282653809</v>
      </c>
    </row>
    <row r="1670" spans="2:6">
      <c r="B1670">
        <v>2015</v>
      </c>
      <c r="C1670" t="s">
        <v>31</v>
      </c>
      <c r="D1670" t="s">
        <v>185</v>
      </c>
      <c r="E1670" t="s">
        <v>8</v>
      </c>
      <c r="F1670">
        <v>8.9852466583251953</v>
      </c>
    </row>
    <row r="1671" spans="2:6">
      <c r="B1671">
        <v>2015</v>
      </c>
      <c r="C1671" t="s">
        <v>31</v>
      </c>
      <c r="D1671" t="s">
        <v>185</v>
      </c>
      <c r="E1671" t="s">
        <v>9</v>
      </c>
      <c r="F1671">
        <v>0.82870578765869141</v>
      </c>
    </row>
    <row r="1672" spans="2:6">
      <c r="B1672">
        <v>2015</v>
      </c>
      <c r="C1672" t="s">
        <v>31</v>
      </c>
      <c r="D1672" t="s">
        <v>185</v>
      </c>
      <c r="E1672" t="s">
        <v>10</v>
      </c>
      <c r="F1672">
        <v>62.700000762939453</v>
      </c>
    </row>
    <row r="1673" spans="2:6">
      <c r="B1673">
        <v>2015</v>
      </c>
      <c r="C1673" t="s">
        <v>31</v>
      </c>
      <c r="D1673" t="s">
        <v>185</v>
      </c>
      <c r="E1673" t="s">
        <v>11</v>
      </c>
      <c r="F1673">
        <v>0.8836250901222229</v>
      </c>
    </row>
    <row r="1674" spans="2:6">
      <c r="B1674">
        <v>2015</v>
      </c>
      <c r="C1674" t="s">
        <v>31</v>
      </c>
      <c r="D1674" t="s">
        <v>185</v>
      </c>
      <c r="E1674" t="s">
        <v>12</v>
      </c>
      <c r="F1674">
        <v>-2.9515314847230911E-2</v>
      </c>
    </row>
    <row r="1675" spans="2:6">
      <c r="B1675">
        <v>2015</v>
      </c>
      <c r="C1675" t="s">
        <v>31</v>
      </c>
      <c r="D1675" t="s">
        <v>185</v>
      </c>
      <c r="E1675" t="s">
        <v>13</v>
      </c>
      <c r="F1675">
        <v>0.862373948097229</v>
      </c>
    </row>
    <row r="1676" spans="2:6">
      <c r="B1676">
        <v>2015</v>
      </c>
      <c r="C1676" t="s">
        <v>31</v>
      </c>
      <c r="D1676" t="s">
        <v>185</v>
      </c>
      <c r="E1676" t="s">
        <v>14</v>
      </c>
      <c r="F1676">
        <v>0.78576844930648804</v>
      </c>
    </row>
    <row r="1677" spans="2:6">
      <c r="B1677">
        <v>2015</v>
      </c>
      <c r="C1677" t="s">
        <v>31</v>
      </c>
      <c r="D1677" t="s">
        <v>185</v>
      </c>
      <c r="E1677" t="s">
        <v>15</v>
      </c>
      <c r="F1677">
        <v>0.39290285110473633</v>
      </c>
    </row>
    <row r="1678" spans="2:6">
      <c r="B1678">
        <v>2016</v>
      </c>
      <c r="C1678" t="s">
        <v>31</v>
      </c>
      <c r="D1678" t="s">
        <v>185</v>
      </c>
      <c r="E1678" t="s">
        <v>7</v>
      </c>
      <c r="F1678">
        <v>5.7697234153747559</v>
      </c>
    </row>
    <row r="1679" spans="2:6">
      <c r="B1679">
        <v>2016</v>
      </c>
      <c r="C1679" t="s">
        <v>31</v>
      </c>
      <c r="D1679" t="s">
        <v>185</v>
      </c>
      <c r="E1679" t="s">
        <v>8</v>
      </c>
      <c r="F1679">
        <v>9.0122003555297852</v>
      </c>
    </row>
    <row r="1680" spans="2:6">
      <c r="B1680">
        <v>2016</v>
      </c>
      <c r="C1680" t="s">
        <v>31</v>
      </c>
      <c r="D1680" t="s">
        <v>185</v>
      </c>
      <c r="E1680" t="s">
        <v>9</v>
      </c>
      <c r="F1680">
        <v>0.7959587574005127</v>
      </c>
    </row>
    <row r="1681" spans="2:6">
      <c r="B1681">
        <v>2016</v>
      </c>
      <c r="C1681" t="s">
        <v>31</v>
      </c>
      <c r="D1681" t="s">
        <v>185</v>
      </c>
      <c r="E1681" t="s">
        <v>10</v>
      </c>
      <c r="F1681">
        <v>63</v>
      </c>
    </row>
    <row r="1682" spans="2:6">
      <c r="B1682">
        <v>2016</v>
      </c>
      <c r="C1682" t="s">
        <v>31</v>
      </c>
      <c r="D1682" t="s">
        <v>185</v>
      </c>
      <c r="E1682" t="s">
        <v>11</v>
      </c>
      <c r="F1682">
        <v>0.8817487359046936</v>
      </c>
    </row>
    <row r="1683" spans="2:6">
      <c r="B1683">
        <v>2016</v>
      </c>
      <c r="C1683" t="s">
        <v>31</v>
      </c>
      <c r="D1683" t="s">
        <v>185</v>
      </c>
      <c r="E1683" t="s">
        <v>12</v>
      </c>
      <c r="F1683">
        <v>-4.674965888261795E-2</v>
      </c>
    </row>
    <row r="1684" spans="2:6">
      <c r="B1684">
        <v>2016</v>
      </c>
      <c r="C1684" t="s">
        <v>31</v>
      </c>
      <c r="D1684" t="s">
        <v>185</v>
      </c>
      <c r="E1684" t="s">
        <v>13</v>
      </c>
      <c r="F1684">
        <v>0.85259294509887695</v>
      </c>
    </row>
    <row r="1685" spans="2:6">
      <c r="B1685">
        <v>2016</v>
      </c>
      <c r="C1685" t="s">
        <v>31</v>
      </c>
      <c r="D1685" t="s">
        <v>185</v>
      </c>
      <c r="E1685" t="s">
        <v>14</v>
      </c>
      <c r="F1685">
        <v>0.783008873462677</v>
      </c>
    </row>
    <row r="1686" spans="2:6">
      <c r="B1686">
        <v>2016</v>
      </c>
      <c r="C1686" t="s">
        <v>31</v>
      </c>
      <c r="D1686" t="s">
        <v>185</v>
      </c>
      <c r="E1686" t="s">
        <v>15</v>
      </c>
      <c r="F1686">
        <v>0.37641224265098572</v>
      </c>
    </row>
    <row r="1687" spans="2:6">
      <c r="B1687">
        <v>2017</v>
      </c>
      <c r="C1687" t="s">
        <v>31</v>
      </c>
      <c r="D1687" t="s">
        <v>185</v>
      </c>
      <c r="E1687" t="s">
        <v>7</v>
      </c>
      <c r="F1687">
        <v>5.6505527496337891</v>
      </c>
    </row>
    <row r="1688" spans="2:6">
      <c r="B1688">
        <v>2017</v>
      </c>
      <c r="C1688" t="s">
        <v>31</v>
      </c>
      <c r="D1688" t="s">
        <v>185</v>
      </c>
      <c r="E1688" t="s">
        <v>8</v>
      </c>
      <c r="F1688">
        <v>9.0388040542602539</v>
      </c>
    </row>
    <row r="1689" spans="2:6">
      <c r="B1689">
        <v>2017</v>
      </c>
      <c r="C1689" t="s">
        <v>31</v>
      </c>
      <c r="D1689" t="s">
        <v>185</v>
      </c>
      <c r="E1689" t="s">
        <v>9</v>
      </c>
      <c r="F1689">
        <v>0.77866178750991821</v>
      </c>
    </row>
    <row r="1690" spans="2:6">
      <c r="B1690">
        <v>2017</v>
      </c>
      <c r="C1690" t="s">
        <v>31</v>
      </c>
      <c r="D1690" t="s">
        <v>185</v>
      </c>
      <c r="E1690" t="s">
        <v>10</v>
      </c>
      <c r="F1690">
        <v>63.299999237060547</v>
      </c>
    </row>
    <row r="1691" spans="2:6">
      <c r="B1691">
        <v>2017</v>
      </c>
      <c r="C1691" t="s">
        <v>31</v>
      </c>
      <c r="D1691" t="s">
        <v>185</v>
      </c>
      <c r="E1691" t="s">
        <v>11</v>
      </c>
      <c r="F1691">
        <v>0.88390493392944336</v>
      </c>
    </row>
    <row r="1692" spans="2:6">
      <c r="B1692">
        <v>2017</v>
      </c>
      <c r="C1692" t="s">
        <v>31</v>
      </c>
      <c r="D1692" t="s">
        <v>185</v>
      </c>
      <c r="E1692" t="s">
        <v>12</v>
      </c>
      <c r="F1692">
        <v>-0.1203814372420311</v>
      </c>
    </row>
    <row r="1693" spans="2:6">
      <c r="B1693">
        <v>2017</v>
      </c>
      <c r="C1693" t="s">
        <v>31</v>
      </c>
      <c r="D1693" t="s">
        <v>185</v>
      </c>
      <c r="E1693" t="s">
        <v>13</v>
      </c>
      <c r="F1693">
        <v>0.81926196813583374</v>
      </c>
    </row>
    <row r="1694" spans="2:6">
      <c r="B1694">
        <v>2017</v>
      </c>
      <c r="C1694" t="s">
        <v>31</v>
      </c>
      <c r="D1694" t="s">
        <v>185</v>
      </c>
      <c r="E1694" t="s">
        <v>14</v>
      </c>
      <c r="F1694">
        <v>0.69819539785385132</v>
      </c>
    </row>
    <row r="1695" spans="2:6">
      <c r="B1695">
        <v>2017</v>
      </c>
      <c r="C1695" t="s">
        <v>31</v>
      </c>
      <c r="D1695" t="s">
        <v>185</v>
      </c>
      <c r="E1695" t="s">
        <v>15</v>
      </c>
      <c r="F1695">
        <v>0.43394353985786438</v>
      </c>
    </row>
    <row r="1696" spans="2:6">
      <c r="B1696">
        <v>2018</v>
      </c>
      <c r="C1696" t="s">
        <v>31</v>
      </c>
      <c r="D1696" t="s">
        <v>185</v>
      </c>
      <c r="E1696" t="s">
        <v>7</v>
      </c>
      <c r="F1696">
        <v>5.9157342910766602</v>
      </c>
    </row>
    <row r="1697" spans="2:6">
      <c r="B1697">
        <v>2018</v>
      </c>
      <c r="C1697" t="s">
        <v>31</v>
      </c>
      <c r="D1697" t="s">
        <v>185</v>
      </c>
      <c r="E1697" t="s">
        <v>8</v>
      </c>
      <c r="F1697">
        <v>9.0659542083740234</v>
      </c>
    </row>
    <row r="1698" spans="2:6">
      <c r="B1698">
        <v>2018</v>
      </c>
      <c r="C1698" t="s">
        <v>31</v>
      </c>
      <c r="D1698" t="s">
        <v>185</v>
      </c>
      <c r="E1698" t="s">
        <v>9</v>
      </c>
      <c r="F1698">
        <v>0.82715946435928345</v>
      </c>
    </row>
    <row r="1699" spans="2:6">
      <c r="B1699">
        <v>2018</v>
      </c>
      <c r="C1699" t="s">
        <v>31</v>
      </c>
      <c r="D1699" t="s">
        <v>185</v>
      </c>
      <c r="E1699" t="s">
        <v>10</v>
      </c>
      <c r="F1699">
        <v>63.599998474121094</v>
      </c>
    </row>
    <row r="1700" spans="2:6">
      <c r="B1700">
        <v>2018</v>
      </c>
      <c r="C1700" t="s">
        <v>31</v>
      </c>
      <c r="D1700" t="s">
        <v>185</v>
      </c>
      <c r="E1700" t="s">
        <v>11</v>
      </c>
      <c r="F1700">
        <v>0.8632468581199646</v>
      </c>
    </row>
    <row r="1701" spans="2:6">
      <c r="B1701">
        <v>2018</v>
      </c>
      <c r="C1701" t="s">
        <v>31</v>
      </c>
      <c r="D1701" t="s">
        <v>185</v>
      </c>
      <c r="E1701" t="s">
        <v>12</v>
      </c>
      <c r="F1701">
        <v>-9.287695586681366E-2</v>
      </c>
    </row>
    <row r="1702" spans="2:6">
      <c r="B1702">
        <v>2018</v>
      </c>
      <c r="C1702" t="s">
        <v>31</v>
      </c>
      <c r="D1702" t="s">
        <v>185</v>
      </c>
      <c r="E1702" t="s">
        <v>13</v>
      </c>
      <c r="F1702">
        <v>0.78604459762573242</v>
      </c>
    </row>
    <row r="1703" spans="2:6">
      <c r="B1703">
        <v>2018</v>
      </c>
      <c r="C1703" t="s">
        <v>31</v>
      </c>
      <c r="D1703" t="s">
        <v>185</v>
      </c>
      <c r="E1703" t="s">
        <v>14</v>
      </c>
      <c r="F1703">
        <v>0.74197262525558472</v>
      </c>
    </row>
    <row r="1704" spans="2:6">
      <c r="B1704">
        <v>2018</v>
      </c>
      <c r="C1704" t="s">
        <v>31</v>
      </c>
      <c r="D1704" t="s">
        <v>185</v>
      </c>
      <c r="E1704" t="s">
        <v>15</v>
      </c>
      <c r="F1704">
        <v>0.38746887445449829</v>
      </c>
    </row>
    <row r="1705" spans="2:6">
      <c r="B1705">
        <v>2019</v>
      </c>
      <c r="C1705" t="s">
        <v>31</v>
      </c>
      <c r="D1705" t="s">
        <v>185</v>
      </c>
      <c r="E1705" t="s">
        <v>7</v>
      </c>
      <c r="F1705">
        <v>5.6742706298828125</v>
      </c>
    </row>
    <row r="1706" spans="2:6">
      <c r="B1706">
        <v>2019</v>
      </c>
      <c r="C1706" t="s">
        <v>31</v>
      </c>
      <c r="D1706" t="s">
        <v>185</v>
      </c>
      <c r="E1706" t="s">
        <v>8</v>
      </c>
      <c r="F1706">
        <v>9.073887825012207</v>
      </c>
    </row>
    <row r="1707" spans="2:6">
      <c r="B1707">
        <v>2019</v>
      </c>
      <c r="C1707" t="s">
        <v>31</v>
      </c>
      <c r="D1707" t="s">
        <v>185</v>
      </c>
      <c r="E1707" t="s">
        <v>9</v>
      </c>
      <c r="F1707">
        <v>0.78430140018463135</v>
      </c>
    </row>
    <row r="1708" spans="2:6">
      <c r="B1708">
        <v>2019</v>
      </c>
      <c r="C1708" t="s">
        <v>31</v>
      </c>
      <c r="D1708" t="s">
        <v>185</v>
      </c>
      <c r="E1708" t="s">
        <v>10</v>
      </c>
      <c r="F1708">
        <v>63.900001525878906</v>
      </c>
    </row>
    <row r="1709" spans="2:6">
      <c r="B1709">
        <v>2019</v>
      </c>
      <c r="C1709" t="s">
        <v>31</v>
      </c>
      <c r="D1709" t="s">
        <v>185</v>
      </c>
      <c r="E1709" t="s">
        <v>11</v>
      </c>
      <c r="F1709">
        <v>0.88131093978881836</v>
      </c>
    </row>
    <row r="1710" spans="2:6">
      <c r="B1710">
        <v>2019</v>
      </c>
      <c r="C1710" t="s">
        <v>31</v>
      </c>
      <c r="D1710" t="s">
        <v>185</v>
      </c>
      <c r="E1710" t="s">
        <v>12</v>
      </c>
      <c r="F1710">
        <v>-8.567424863576889E-2</v>
      </c>
    </row>
    <row r="1711" spans="2:6">
      <c r="B1711">
        <v>2019</v>
      </c>
      <c r="C1711" t="s">
        <v>31</v>
      </c>
      <c r="D1711" t="s">
        <v>185</v>
      </c>
      <c r="E1711" t="s">
        <v>13</v>
      </c>
      <c r="F1711">
        <v>0.85722041130065918</v>
      </c>
    </row>
    <row r="1712" spans="2:6">
      <c r="B1712">
        <v>2019</v>
      </c>
      <c r="C1712" t="s">
        <v>31</v>
      </c>
      <c r="D1712" t="s">
        <v>185</v>
      </c>
      <c r="E1712" t="s">
        <v>14</v>
      </c>
      <c r="F1712">
        <v>0.7514081597328186</v>
      </c>
    </row>
    <row r="1713" spans="2:6">
      <c r="B1713">
        <v>2019</v>
      </c>
      <c r="C1713" t="s">
        <v>31</v>
      </c>
      <c r="D1713" t="s">
        <v>185</v>
      </c>
      <c r="E1713" t="s">
        <v>15</v>
      </c>
      <c r="F1713">
        <v>0.41932821273803711</v>
      </c>
    </row>
    <row r="1714" spans="2:6">
      <c r="B1714">
        <v>2020</v>
      </c>
      <c r="C1714" t="s">
        <v>31</v>
      </c>
      <c r="D1714" t="s">
        <v>185</v>
      </c>
      <c r="E1714" t="s">
        <v>7</v>
      </c>
      <c r="F1714">
        <v>5.5592589378356934</v>
      </c>
    </row>
    <row r="1715" spans="2:6">
      <c r="B1715">
        <v>2020</v>
      </c>
      <c r="C1715" t="s">
        <v>31</v>
      </c>
      <c r="D1715" t="s">
        <v>185</v>
      </c>
      <c r="E1715" t="s">
        <v>8</v>
      </c>
      <c r="F1715">
        <v>8.9979896545410156</v>
      </c>
    </row>
    <row r="1716" spans="2:6">
      <c r="B1716">
        <v>2020</v>
      </c>
      <c r="C1716" t="s">
        <v>31</v>
      </c>
      <c r="D1716" t="s">
        <v>185</v>
      </c>
      <c r="E1716" t="s">
        <v>9</v>
      </c>
      <c r="F1716">
        <v>0.80481088161468506</v>
      </c>
    </row>
    <row r="1717" spans="2:6">
      <c r="B1717">
        <v>2020</v>
      </c>
      <c r="C1717" t="s">
        <v>31</v>
      </c>
      <c r="D1717" t="s">
        <v>185</v>
      </c>
      <c r="E1717" t="s">
        <v>10</v>
      </c>
      <c r="F1717">
        <v>64.199996948242188</v>
      </c>
    </row>
    <row r="1718" spans="2:6">
      <c r="B1718">
        <v>2020</v>
      </c>
      <c r="C1718" t="s">
        <v>31</v>
      </c>
      <c r="D1718" t="s">
        <v>185</v>
      </c>
      <c r="E1718" t="s">
        <v>11</v>
      </c>
      <c r="F1718">
        <v>0.87703192234039307</v>
      </c>
    </row>
    <row r="1719" spans="2:6">
      <c r="B1719">
        <v>2020</v>
      </c>
      <c r="C1719" t="s">
        <v>31</v>
      </c>
      <c r="D1719" t="s">
        <v>185</v>
      </c>
      <c r="E1719" t="s">
        <v>12</v>
      </c>
      <c r="F1719">
        <v>-5.3763788193464279E-2</v>
      </c>
    </row>
    <row r="1720" spans="2:6">
      <c r="B1720">
        <v>2020</v>
      </c>
      <c r="C1720" t="s">
        <v>31</v>
      </c>
      <c r="D1720" t="s">
        <v>185</v>
      </c>
      <c r="E1720" t="s">
        <v>13</v>
      </c>
      <c r="F1720">
        <v>0.86820828914642334</v>
      </c>
    </row>
    <row r="1721" spans="2:6">
      <c r="B1721">
        <v>2020</v>
      </c>
      <c r="C1721" t="s">
        <v>31</v>
      </c>
      <c r="D1721" t="s">
        <v>185</v>
      </c>
      <c r="E1721" t="s">
        <v>14</v>
      </c>
      <c r="F1721">
        <v>0.78981846570968628</v>
      </c>
    </row>
    <row r="1722" spans="2:6">
      <c r="B1722">
        <v>2020</v>
      </c>
      <c r="C1722" t="s">
        <v>31</v>
      </c>
      <c r="D1722" t="s">
        <v>185</v>
      </c>
      <c r="E1722" t="s">
        <v>15</v>
      </c>
      <c r="F1722">
        <v>0.38179117441177368</v>
      </c>
    </row>
    <row r="1723" spans="2:6">
      <c r="B1723">
        <v>2007</v>
      </c>
      <c r="C1723" t="s">
        <v>32</v>
      </c>
      <c r="D1723" t="s">
        <v>183</v>
      </c>
      <c r="E1723" t="s">
        <v>7</v>
      </c>
      <c r="F1723">
        <v>4.8998069763183594</v>
      </c>
    </row>
    <row r="1724" spans="2:6">
      <c r="B1724">
        <v>2007</v>
      </c>
      <c r="C1724" t="s">
        <v>32</v>
      </c>
      <c r="D1724" t="s">
        <v>183</v>
      </c>
      <c r="E1724" t="s">
        <v>8</v>
      </c>
      <c r="F1724">
        <v>9.266819953918457</v>
      </c>
    </row>
    <row r="1725" spans="2:6">
      <c r="B1725">
        <v>2007</v>
      </c>
      <c r="C1725" t="s">
        <v>32</v>
      </c>
      <c r="D1725" t="s">
        <v>183</v>
      </c>
      <c r="E1725" t="s">
        <v>9</v>
      </c>
      <c r="F1725">
        <v>0.76560384035110474</v>
      </c>
    </row>
    <row r="1726" spans="2:6">
      <c r="B1726">
        <v>2007</v>
      </c>
      <c r="C1726" t="s">
        <v>32</v>
      </c>
      <c r="D1726" t="s">
        <v>183</v>
      </c>
      <c r="E1726" t="s">
        <v>10</v>
      </c>
      <c r="F1726">
        <v>66.040000915527344</v>
      </c>
    </row>
    <row r="1727" spans="2:6">
      <c r="B1727">
        <v>2007</v>
      </c>
      <c r="C1727" t="s">
        <v>32</v>
      </c>
      <c r="D1727" t="s">
        <v>183</v>
      </c>
      <c r="E1727" t="s">
        <v>11</v>
      </c>
      <c r="F1727">
        <v>0.34156566858291626</v>
      </c>
    </row>
    <row r="1728" spans="2:6">
      <c r="B1728">
        <v>2007</v>
      </c>
      <c r="C1728" t="s">
        <v>32</v>
      </c>
      <c r="D1728" t="s">
        <v>183</v>
      </c>
      <c r="E1728" t="s">
        <v>12</v>
      </c>
      <c r="F1728">
        <v>5.9943222440779209E-3</v>
      </c>
    </row>
    <row r="1729" spans="2:6">
      <c r="B1729">
        <v>2007</v>
      </c>
      <c r="C1729" t="s">
        <v>32</v>
      </c>
      <c r="D1729" t="s">
        <v>183</v>
      </c>
      <c r="E1729" t="s">
        <v>13</v>
      </c>
      <c r="F1729">
        <v>0.92612498998641968</v>
      </c>
    </row>
    <row r="1730" spans="2:6">
      <c r="B1730">
        <v>2007</v>
      </c>
      <c r="C1730" t="s">
        <v>32</v>
      </c>
      <c r="D1730" t="s">
        <v>183</v>
      </c>
      <c r="E1730" t="s">
        <v>14</v>
      </c>
      <c r="F1730">
        <v>0.61280369758605957</v>
      </c>
    </row>
    <row r="1731" spans="2:6">
      <c r="B1731">
        <v>2007</v>
      </c>
      <c r="C1731" t="s">
        <v>32</v>
      </c>
      <c r="D1731" t="s">
        <v>183</v>
      </c>
      <c r="E1731" t="s">
        <v>15</v>
      </c>
      <c r="F1731">
        <v>0.29646581411361694</v>
      </c>
    </row>
    <row r="1732" spans="2:6">
      <c r="B1732">
        <v>2009</v>
      </c>
      <c r="C1732" t="s">
        <v>32</v>
      </c>
      <c r="D1732" t="s">
        <v>183</v>
      </c>
      <c r="E1732" t="s">
        <v>7</v>
      </c>
      <c r="F1732">
        <v>4.9634771347045898</v>
      </c>
    </row>
    <row r="1733" spans="2:6">
      <c r="B1733">
        <v>2009</v>
      </c>
      <c r="C1733" t="s">
        <v>32</v>
      </c>
      <c r="D1733" t="s">
        <v>183</v>
      </c>
      <c r="E1733" t="s">
        <v>8</v>
      </c>
      <c r="F1733">
        <v>9.2963390350341797</v>
      </c>
    </row>
    <row r="1734" spans="2:6">
      <c r="B1734">
        <v>2009</v>
      </c>
      <c r="C1734" t="s">
        <v>32</v>
      </c>
      <c r="D1734" t="s">
        <v>183</v>
      </c>
      <c r="E1734" t="s">
        <v>9</v>
      </c>
      <c r="F1734">
        <v>0.73523217439651489</v>
      </c>
    </row>
    <row r="1735" spans="2:6">
      <c r="B1735">
        <v>2009</v>
      </c>
      <c r="C1735" t="s">
        <v>32</v>
      </c>
      <c r="D1735" t="s">
        <v>183</v>
      </c>
      <c r="E1735" t="s">
        <v>10</v>
      </c>
      <c r="F1735">
        <v>66.480003356933594</v>
      </c>
    </row>
    <row r="1736" spans="2:6">
      <c r="B1736">
        <v>2009</v>
      </c>
      <c r="C1736" t="s">
        <v>32</v>
      </c>
      <c r="D1736" t="s">
        <v>183</v>
      </c>
      <c r="E1736" t="s">
        <v>11</v>
      </c>
      <c r="F1736">
        <v>0.25753381848335266</v>
      </c>
    </row>
    <row r="1737" spans="2:6">
      <c r="B1737">
        <v>2009</v>
      </c>
      <c r="C1737" t="s">
        <v>32</v>
      </c>
      <c r="D1737" t="s">
        <v>183</v>
      </c>
      <c r="E1737" t="s">
        <v>12</v>
      </c>
      <c r="F1737">
        <v>-2.5500312447547913E-2</v>
      </c>
    </row>
    <row r="1738" spans="2:6">
      <c r="B1738">
        <v>2009</v>
      </c>
      <c r="C1738" t="s">
        <v>32</v>
      </c>
      <c r="D1738" t="s">
        <v>183</v>
      </c>
      <c r="E1738" t="s">
        <v>13</v>
      </c>
      <c r="F1738">
        <v>0.95873987674713135</v>
      </c>
    </row>
    <row r="1739" spans="2:6">
      <c r="B1739">
        <v>2009</v>
      </c>
      <c r="C1739" t="s">
        <v>32</v>
      </c>
      <c r="D1739" t="s">
        <v>183</v>
      </c>
      <c r="E1739" t="s">
        <v>14</v>
      </c>
      <c r="F1739">
        <v>0.57164943218231201</v>
      </c>
    </row>
    <row r="1740" spans="2:6">
      <c r="B1740">
        <v>2009</v>
      </c>
      <c r="C1740" t="s">
        <v>32</v>
      </c>
      <c r="D1740" t="s">
        <v>183</v>
      </c>
      <c r="E1740" t="s">
        <v>15</v>
      </c>
      <c r="F1740">
        <v>0.39020410180091858</v>
      </c>
    </row>
    <row r="1741" spans="2:6">
      <c r="B1741">
        <v>2010</v>
      </c>
      <c r="C1741" t="s">
        <v>32</v>
      </c>
      <c r="D1741" t="s">
        <v>183</v>
      </c>
      <c r="E1741" t="s">
        <v>7</v>
      </c>
      <c r="F1741">
        <v>4.6685175895690918</v>
      </c>
    </row>
    <row r="1742" spans="2:6">
      <c r="B1742">
        <v>2010</v>
      </c>
      <c r="C1742" t="s">
        <v>32</v>
      </c>
      <c r="D1742" t="s">
        <v>183</v>
      </c>
      <c r="E1742" t="s">
        <v>8</v>
      </c>
      <c r="F1742">
        <v>9.3121700286865234</v>
      </c>
    </row>
    <row r="1743" spans="2:6">
      <c r="B1743">
        <v>2010</v>
      </c>
      <c r="C1743" t="s">
        <v>32</v>
      </c>
      <c r="D1743" t="s">
        <v>183</v>
      </c>
      <c r="E1743" t="s">
        <v>9</v>
      </c>
      <c r="F1743">
        <v>0.77275371551513672</v>
      </c>
    </row>
    <row r="1744" spans="2:6">
      <c r="B1744">
        <v>2010</v>
      </c>
      <c r="C1744" t="s">
        <v>32</v>
      </c>
      <c r="D1744" t="s">
        <v>183</v>
      </c>
      <c r="E1744" t="s">
        <v>10</v>
      </c>
      <c r="F1744">
        <v>66.699996948242188</v>
      </c>
    </row>
    <row r="1745" spans="2:6">
      <c r="B1745">
        <v>2010</v>
      </c>
      <c r="C1745" t="s">
        <v>32</v>
      </c>
      <c r="D1745" t="s">
        <v>183</v>
      </c>
      <c r="E1745" t="s">
        <v>11</v>
      </c>
      <c r="F1745">
        <v>0.36496689915657043</v>
      </c>
    </row>
    <row r="1746" spans="2:6">
      <c r="B1746">
        <v>2010</v>
      </c>
      <c r="C1746" t="s">
        <v>32</v>
      </c>
      <c r="D1746" t="s">
        <v>183</v>
      </c>
      <c r="E1746" t="s">
        <v>12</v>
      </c>
      <c r="F1746">
        <v>-0.12780308723449707</v>
      </c>
    </row>
    <row r="1747" spans="2:6">
      <c r="B1747">
        <v>2010</v>
      </c>
      <c r="C1747" t="s">
        <v>32</v>
      </c>
      <c r="D1747" t="s">
        <v>183</v>
      </c>
      <c r="E1747" t="s">
        <v>13</v>
      </c>
      <c r="F1747">
        <v>0.93303006887435913</v>
      </c>
    </row>
    <row r="1748" spans="2:6">
      <c r="B1748">
        <v>2010</v>
      </c>
      <c r="C1748" t="s">
        <v>32</v>
      </c>
      <c r="D1748" t="s">
        <v>183</v>
      </c>
      <c r="E1748" t="s">
        <v>14</v>
      </c>
      <c r="F1748">
        <v>0.51669526100158691</v>
      </c>
    </row>
    <row r="1749" spans="2:6">
      <c r="B1749">
        <v>2010</v>
      </c>
      <c r="C1749" t="s">
        <v>32</v>
      </c>
      <c r="D1749" t="s">
        <v>183</v>
      </c>
      <c r="E1749" t="s">
        <v>15</v>
      </c>
      <c r="F1749">
        <v>0.40921318531036377</v>
      </c>
    </row>
    <row r="1750" spans="2:6">
      <c r="B1750">
        <v>2011</v>
      </c>
      <c r="C1750" t="s">
        <v>32</v>
      </c>
      <c r="D1750" t="s">
        <v>183</v>
      </c>
      <c r="E1750" t="s">
        <v>7</v>
      </c>
      <c r="F1750">
        <v>4.9946708679199219</v>
      </c>
    </row>
    <row r="1751" spans="2:6">
      <c r="B1751">
        <v>2011</v>
      </c>
      <c r="C1751" t="s">
        <v>32</v>
      </c>
      <c r="D1751" t="s">
        <v>183</v>
      </c>
      <c r="E1751" t="s">
        <v>8</v>
      </c>
      <c r="F1751">
        <v>9.3332386016845703</v>
      </c>
    </row>
    <row r="1752" spans="2:6">
      <c r="B1752">
        <v>2011</v>
      </c>
      <c r="C1752" t="s">
        <v>32</v>
      </c>
      <c r="D1752" t="s">
        <v>183</v>
      </c>
      <c r="E1752" t="s">
        <v>9</v>
      </c>
      <c r="F1752">
        <v>0.72524285316467285</v>
      </c>
    </row>
    <row r="1753" spans="2:6">
      <c r="B1753">
        <v>2011</v>
      </c>
      <c r="C1753" t="s">
        <v>32</v>
      </c>
      <c r="D1753" t="s">
        <v>183</v>
      </c>
      <c r="E1753" t="s">
        <v>10</v>
      </c>
      <c r="F1753">
        <v>66.739997863769531</v>
      </c>
    </row>
    <row r="1754" spans="2:6">
      <c r="B1754">
        <v>2011</v>
      </c>
      <c r="C1754" t="s">
        <v>32</v>
      </c>
      <c r="D1754" t="s">
        <v>183</v>
      </c>
      <c r="E1754" t="s">
        <v>11</v>
      </c>
      <c r="F1754">
        <v>0.33331209421157837</v>
      </c>
    </row>
    <row r="1755" spans="2:6">
      <c r="B1755">
        <v>2011</v>
      </c>
      <c r="C1755" t="s">
        <v>32</v>
      </c>
      <c r="D1755" t="s">
        <v>183</v>
      </c>
      <c r="E1755" t="s">
        <v>12</v>
      </c>
      <c r="F1755">
        <v>-3.4566987305879593E-2</v>
      </c>
    </row>
    <row r="1756" spans="2:6">
      <c r="B1756">
        <v>2011</v>
      </c>
      <c r="C1756" t="s">
        <v>32</v>
      </c>
      <c r="D1756" t="s">
        <v>183</v>
      </c>
      <c r="E1756" t="s">
        <v>13</v>
      </c>
      <c r="F1756">
        <v>0.92478436231613159</v>
      </c>
    </row>
    <row r="1757" spans="2:6">
      <c r="B1757">
        <v>2011</v>
      </c>
      <c r="C1757" t="s">
        <v>32</v>
      </c>
      <c r="D1757" t="s">
        <v>183</v>
      </c>
      <c r="E1757" t="s">
        <v>14</v>
      </c>
      <c r="F1757">
        <v>0.59607255458831787</v>
      </c>
    </row>
    <row r="1758" spans="2:6">
      <c r="B1758">
        <v>2011</v>
      </c>
      <c r="C1758" t="s">
        <v>32</v>
      </c>
      <c r="D1758" t="s">
        <v>183</v>
      </c>
      <c r="E1758" t="s">
        <v>15</v>
      </c>
      <c r="F1758">
        <v>0.3257347047328949</v>
      </c>
    </row>
    <row r="1759" spans="2:6">
      <c r="B1759">
        <v>2012</v>
      </c>
      <c r="C1759" t="s">
        <v>32</v>
      </c>
      <c r="D1759" t="s">
        <v>183</v>
      </c>
      <c r="E1759" t="s">
        <v>7</v>
      </c>
      <c r="F1759">
        <v>4.7731447219848633</v>
      </c>
    </row>
    <row r="1760" spans="2:6">
      <c r="B1760">
        <v>2012</v>
      </c>
      <c r="C1760" t="s">
        <v>32</v>
      </c>
      <c r="D1760" t="s">
        <v>183</v>
      </c>
      <c r="E1760" t="s">
        <v>8</v>
      </c>
      <c r="F1760">
        <v>9.3416872024536133</v>
      </c>
    </row>
    <row r="1761" spans="2:6">
      <c r="B1761">
        <v>2012</v>
      </c>
      <c r="C1761" t="s">
        <v>32</v>
      </c>
      <c r="D1761" t="s">
        <v>183</v>
      </c>
      <c r="E1761" t="s">
        <v>9</v>
      </c>
      <c r="F1761">
        <v>0.77885985374450684</v>
      </c>
    </row>
    <row r="1762" spans="2:6">
      <c r="B1762">
        <v>2012</v>
      </c>
      <c r="C1762" t="s">
        <v>32</v>
      </c>
      <c r="D1762" t="s">
        <v>183</v>
      </c>
      <c r="E1762" t="s">
        <v>10</v>
      </c>
      <c r="F1762">
        <v>66.779998779296875</v>
      </c>
    </row>
    <row r="1763" spans="2:6">
      <c r="B1763">
        <v>2012</v>
      </c>
      <c r="C1763" t="s">
        <v>32</v>
      </c>
      <c r="D1763" t="s">
        <v>183</v>
      </c>
      <c r="E1763" t="s">
        <v>11</v>
      </c>
      <c r="F1763">
        <v>0.41978931427001953</v>
      </c>
    </row>
    <row r="1764" spans="2:6">
      <c r="B1764">
        <v>2012</v>
      </c>
      <c r="C1764" t="s">
        <v>32</v>
      </c>
      <c r="D1764" t="s">
        <v>183</v>
      </c>
      <c r="E1764" t="s">
        <v>12</v>
      </c>
      <c r="F1764">
        <v>-1.2566634453833103E-2</v>
      </c>
    </row>
    <row r="1765" spans="2:6">
      <c r="B1765">
        <v>2012</v>
      </c>
      <c r="C1765" t="s">
        <v>32</v>
      </c>
      <c r="D1765" t="s">
        <v>183</v>
      </c>
      <c r="E1765" t="s">
        <v>13</v>
      </c>
      <c r="F1765">
        <v>0.953421950340271</v>
      </c>
    </row>
    <row r="1766" spans="2:6">
      <c r="B1766">
        <v>2012</v>
      </c>
      <c r="C1766" t="s">
        <v>32</v>
      </c>
      <c r="D1766" t="s">
        <v>183</v>
      </c>
      <c r="E1766" t="s">
        <v>14</v>
      </c>
      <c r="F1766">
        <v>0.54796260595321655</v>
      </c>
    </row>
    <row r="1767" spans="2:6">
      <c r="B1767">
        <v>2012</v>
      </c>
      <c r="C1767" t="s">
        <v>32</v>
      </c>
      <c r="D1767" t="s">
        <v>183</v>
      </c>
      <c r="E1767" t="s">
        <v>15</v>
      </c>
      <c r="F1767">
        <v>0.33824068307876587</v>
      </c>
    </row>
    <row r="1768" spans="2:6">
      <c r="B1768">
        <v>2013</v>
      </c>
      <c r="C1768" t="s">
        <v>32</v>
      </c>
      <c r="D1768" t="s">
        <v>183</v>
      </c>
      <c r="E1768" t="s">
        <v>7</v>
      </c>
      <c r="F1768">
        <v>5.123664379119873</v>
      </c>
    </row>
    <row r="1769" spans="2:6">
      <c r="B1769">
        <v>2013</v>
      </c>
      <c r="C1769" t="s">
        <v>32</v>
      </c>
      <c r="D1769" t="s">
        <v>183</v>
      </c>
      <c r="E1769" t="s">
        <v>8</v>
      </c>
      <c r="F1769">
        <v>9.3823776245117188</v>
      </c>
    </row>
    <row r="1770" spans="2:6">
      <c r="B1770">
        <v>2013</v>
      </c>
      <c r="C1770" t="s">
        <v>32</v>
      </c>
      <c r="D1770" t="s">
        <v>183</v>
      </c>
      <c r="E1770" t="s">
        <v>9</v>
      </c>
      <c r="F1770">
        <v>0.76682776212692261</v>
      </c>
    </row>
    <row r="1771" spans="2:6">
      <c r="B1771">
        <v>2013</v>
      </c>
      <c r="C1771" t="s">
        <v>32</v>
      </c>
      <c r="D1771" t="s">
        <v>183</v>
      </c>
      <c r="E1771" t="s">
        <v>10</v>
      </c>
      <c r="F1771">
        <v>66.819999694824219</v>
      </c>
    </row>
    <row r="1772" spans="2:6">
      <c r="B1772">
        <v>2013</v>
      </c>
      <c r="C1772" t="s">
        <v>32</v>
      </c>
      <c r="D1772" t="s">
        <v>183</v>
      </c>
      <c r="E1772" t="s">
        <v>11</v>
      </c>
      <c r="F1772">
        <v>0.39034157991409302</v>
      </c>
    </row>
    <row r="1773" spans="2:6">
      <c r="B1773">
        <v>2013</v>
      </c>
      <c r="C1773" t="s">
        <v>32</v>
      </c>
      <c r="D1773" t="s">
        <v>183</v>
      </c>
      <c r="E1773" t="s">
        <v>12</v>
      </c>
      <c r="F1773">
        <v>4.1852883994579315E-2</v>
      </c>
    </row>
    <row r="1774" spans="2:6">
      <c r="B1774">
        <v>2013</v>
      </c>
      <c r="C1774" t="s">
        <v>32</v>
      </c>
      <c r="D1774" t="s">
        <v>183</v>
      </c>
      <c r="E1774" t="s">
        <v>13</v>
      </c>
      <c r="F1774">
        <v>0.96983623504638672</v>
      </c>
    </row>
    <row r="1775" spans="2:6">
      <c r="B1775">
        <v>2013</v>
      </c>
      <c r="C1775" t="s">
        <v>32</v>
      </c>
      <c r="D1775" t="s">
        <v>183</v>
      </c>
      <c r="E1775" t="s">
        <v>14</v>
      </c>
      <c r="F1775">
        <v>0.54362952709197998</v>
      </c>
    </row>
    <row r="1776" spans="2:6">
      <c r="B1776">
        <v>2013</v>
      </c>
      <c r="C1776" t="s">
        <v>32</v>
      </c>
      <c r="D1776" t="s">
        <v>183</v>
      </c>
      <c r="E1776" t="s">
        <v>15</v>
      </c>
      <c r="F1776">
        <v>0.31451603770256042</v>
      </c>
    </row>
    <row r="1777" spans="2:6">
      <c r="B1777">
        <v>2014</v>
      </c>
      <c r="C1777" t="s">
        <v>32</v>
      </c>
      <c r="D1777" t="s">
        <v>183</v>
      </c>
      <c r="E1777" t="s">
        <v>7</v>
      </c>
      <c r="F1777">
        <v>5.2489542961120605</v>
      </c>
    </row>
    <row r="1778" spans="2:6">
      <c r="B1778">
        <v>2014</v>
      </c>
      <c r="C1778" t="s">
        <v>32</v>
      </c>
      <c r="D1778" t="s">
        <v>183</v>
      </c>
      <c r="E1778" t="s">
        <v>8</v>
      </c>
      <c r="F1778">
        <v>9.4110183715820313</v>
      </c>
    </row>
    <row r="1779" spans="2:6">
      <c r="B1779">
        <v>2014</v>
      </c>
      <c r="C1779" t="s">
        <v>32</v>
      </c>
      <c r="D1779" t="s">
        <v>183</v>
      </c>
      <c r="E1779" t="s">
        <v>9</v>
      </c>
      <c r="F1779">
        <v>0.78765171766281128</v>
      </c>
    </row>
    <row r="1780" spans="2:6">
      <c r="B1780">
        <v>2014</v>
      </c>
      <c r="C1780" t="s">
        <v>32</v>
      </c>
      <c r="D1780" t="s">
        <v>183</v>
      </c>
      <c r="E1780" t="s">
        <v>10</v>
      </c>
      <c r="F1780">
        <v>66.860000610351563</v>
      </c>
    </row>
    <row r="1781" spans="2:6">
      <c r="B1781">
        <v>2014</v>
      </c>
      <c r="C1781" t="s">
        <v>32</v>
      </c>
      <c r="D1781" t="s">
        <v>183</v>
      </c>
      <c r="E1781" t="s">
        <v>11</v>
      </c>
      <c r="F1781">
        <v>0.41193738579750061</v>
      </c>
    </row>
    <row r="1782" spans="2:6">
      <c r="B1782">
        <v>2014</v>
      </c>
      <c r="C1782" t="s">
        <v>32</v>
      </c>
      <c r="D1782" t="s">
        <v>183</v>
      </c>
      <c r="E1782" t="s">
        <v>12</v>
      </c>
      <c r="F1782">
        <v>0.23183906078338623</v>
      </c>
    </row>
    <row r="1783" spans="2:6">
      <c r="B1783">
        <v>2014</v>
      </c>
      <c r="C1783" t="s">
        <v>32</v>
      </c>
      <c r="D1783" t="s">
        <v>183</v>
      </c>
      <c r="E1783" t="s">
        <v>13</v>
      </c>
      <c r="F1783">
        <v>0.97633963823318481</v>
      </c>
    </row>
    <row r="1784" spans="2:6">
      <c r="B1784">
        <v>2014</v>
      </c>
      <c r="C1784" t="s">
        <v>32</v>
      </c>
      <c r="D1784" t="s">
        <v>183</v>
      </c>
      <c r="E1784" t="s">
        <v>14</v>
      </c>
      <c r="F1784">
        <v>0.53143584728240967</v>
      </c>
    </row>
    <row r="1785" spans="2:6">
      <c r="B1785">
        <v>2014</v>
      </c>
      <c r="C1785" t="s">
        <v>32</v>
      </c>
      <c r="D1785" t="s">
        <v>183</v>
      </c>
      <c r="E1785" t="s">
        <v>15</v>
      </c>
      <c r="F1785">
        <v>0.26217520236968994</v>
      </c>
    </row>
    <row r="1786" spans="2:6">
      <c r="B1786">
        <v>2015</v>
      </c>
      <c r="C1786" t="s">
        <v>32</v>
      </c>
      <c r="D1786" t="s">
        <v>183</v>
      </c>
      <c r="E1786" t="s">
        <v>7</v>
      </c>
      <c r="F1786">
        <v>5.1171779632568359</v>
      </c>
    </row>
    <row r="1787" spans="2:6">
      <c r="B1787">
        <v>2015</v>
      </c>
      <c r="C1787" t="s">
        <v>32</v>
      </c>
      <c r="D1787" t="s">
        <v>183</v>
      </c>
      <c r="E1787" t="s">
        <v>8</v>
      </c>
      <c r="F1787">
        <v>9.456695556640625</v>
      </c>
    </row>
    <row r="1788" spans="2:6">
      <c r="B1788">
        <v>2015</v>
      </c>
      <c r="C1788" t="s">
        <v>32</v>
      </c>
      <c r="D1788" t="s">
        <v>183</v>
      </c>
      <c r="E1788" t="s">
        <v>9</v>
      </c>
      <c r="F1788">
        <v>0.65572363138198853</v>
      </c>
    </row>
    <row r="1789" spans="2:6">
      <c r="B1789">
        <v>2015</v>
      </c>
      <c r="C1789" t="s">
        <v>32</v>
      </c>
      <c r="D1789" t="s">
        <v>183</v>
      </c>
      <c r="E1789" t="s">
        <v>10</v>
      </c>
      <c r="F1789">
        <v>66.900001525878906</v>
      </c>
    </row>
    <row r="1790" spans="2:6">
      <c r="B1790">
        <v>2015</v>
      </c>
      <c r="C1790" t="s">
        <v>32</v>
      </c>
      <c r="D1790" t="s">
        <v>183</v>
      </c>
      <c r="E1790" t="s">
        <v>11</v>
      </c>
      <c r="F1790">
        <v>0.63069802522659302</v>
      </c>
    </row>
    <row r="1791" spans="2:6">
      <c r="B1791">
        <v>2015</v>
      </c>
      <c r="C1791" t="s">
        <v>32</v>
      </c>
      <c r="D1791" t="s">
        <v>183</v>
      </c>
      <c r="E1791" t="s">
        <v>12</v>
      </c>
      <c r="F1791">
        <v>-5.4572060704231262E-2</v>
      </c>
    </row>
    <row r="1792" spans="2:6">
      <c r="B1792">
        <v>2015</v>
      </c>
      <c r="C1792" t="s">
        <v>32</v>
      </c>
      <c r="D1792" t="s">
        <v>183</v>
      </c>
      <c r="E1792" t="s">
        <v>13</v>
      </c>
      <c r="F1792">
        <v>0.9598536491394043</v>
      </c>
    </row>
    <row r="1793" spans="2:6">
      <c r="B1793">
        <v>2015</v>
      </c>
      <c r="C1793" t="s">
        <v>32</v>
      </c>
      <c r="D1793" t="s">
        <v>183</v>
      </c>
      <c r="E1793" t="s">
        <v>14</v>
      </c>
      <c r="F1793">
        <v>0.53398740291595459</v>
      </c>
    </row>
    <row r="1794" spans="2:6">
      <c r="B1794">
        <v>2015</v>
      </c>
      <c r="C1794" t="s">
        <v>32</v>
      </c>
      <c r="D1794" t="s">
        <v>183</v>
      </c>
      <c r="E1794" t="s">
        <v>15</v>
      </c>
      <c r="F1794">
        <v>0.28623414039611816</v>
      </c>
    </row>
    <row r="1795" spans="2:6">
      <c r="B1795">
        <v>2016</v>
      </c>
      <c r="C1795" t="s">
        <v>32</v>
      </c>
      <c r="D1795" t="s">
        <v>183</v>
      </c>
      <c r="E1795" t="s">
        <v>7</v>
      </c>
      <c r="F1795">
        <v>5.1808652877807617</v>
      </c>
    </row>
    <row r="1796" spans="2:6">
      <c r="B1796">
        <v>2016</v>
      </c>
      <c r="C1796" t="s">
        <v>32</v>
      </c>
      <c r="D1796" t="s">
        <v>183</v>
      </c>
      <c r="E1796" t="s">
        <v>8</v>
      </c>
      <c r="F1796">
        <v>9.5003137588500977</v>
      </c>
    </row>
    <row r="1797" spans="2:6">
      <c r="B1797">
        <v>2016</v>
      </c>
      <c r="C1797" t="s">
        <v>32</v>
      </c>
      <c r="D1797" t="s">
        <v>183</v>
      </c>
      <c r="E1797" t="s">
        <v>9</v>
      </c>
      <c r="F1797">
        <v>0.8077051043510437</v>
      </c>
    </row>
    <row r="1798" spans="2:6">
      <c r="B1798">
        <v>2016</v>
      </c>
      <c r="C1798" t="s">
        <v>32</v>
      </c>
      <c r="D1798" t="s">
        <v>183</v>
      </c>
      <c r="E1798" t="s">
        <v>10</v>
      </c>
      <c r="F1798">
        <v>67.199996948242188</v>
      </c>
    </row>
    <row r="1799" spans="2:6">
      <c r="B1799">
        <v>2016</v>
      </c>
      <c r="C1799" t="s">
        <v>32</v>
      </c>
      <c r="D1799" t="s">
        <v>183</v>
      </c>
      <c r="E1799" t="s">
        <v>11</v>
      </c>
      <c r="F1799">
        <v>0.63345372676849365</v>
      </c>
    </row>
    <row r="1800" spans="2:6">
      <c r="B1800">
        <v>2016</v>
      </c>
      <c r="C1800" t="s">
        <v>32</v>
      </c>
      <c r="D1800" t="s">
        <v>183</v>
      </c>
      <c r="E1800" t="s">
        <v>12</v>
      </c>
      <c r="F1800">
        <v>0.13386581838130951</v>
      </c>
    </row>
    <row r="1801" spans="2:6">
      <c r="B1801">
        <v>2016</v>
      </c>
      <c r="C1801" t="s">
        <v>32</v>
      </c>
      <c r="D1801" t="s">
        <v>183</v>
      </c>
      <c r="E1801" t="s">
        <v>13</v>
      </c>
      <c r="F1801">
        <v>0.95731198787689209</v>
      </c>
    </row>
    <row r="1802" spans="2:6">
      <c r="B1802">
        <v>2016</v>
      </c>
      <c r="C1802" t="s">
        <v>32</v>
      </c>
      <c r="D1802" t="s">
        <v>183</v>
      </c>
      <c r="E1802" t="s">
        <v>14</v>
      </c>
      <c r="F1802">
        <v>0.64076435565948486</v>
      </c>
    </row>
    <row r="1803" spans="2:6">
      <c r="B1803">
        <v>2016</v>
      </c>
      <c r="C1803" t="s">
        <v>32</v>
      </c>
      <c r="D1803" t="s">
        <v>183</v>
      </c>
      <c r="E1803" t="s">
        <v>15</v>
      </c>
      <c r="F1803">
        <v>0.30408027768135071</v>
      </c>
    </row>
    <row r="1804" spans="2:6">
      <c r="B1804">
        <v>2017</v>
      </c>
      <c r="C1804" t="s">
        <v>32</v>
      </c>
      <c r="D1804" t="s">
        <v>183</v>
      </c>
      <c r="E1804" t="s">
        <v>7</v>
      </c>
      <c r="F1804">
        <v>5.089902400970459</v>
      </c>
    </row>
    <row r="1805" spans="2:6">
      <c r="B1805">
        <v>2017</v>
      </c>
      <c r="C1805" t="s">
        <v>32</v>
      </c>
      <c r="D1805" t="s">
        <v>183</v>
      </c>
      <c r="E1805" t="s">
        <v>8</v>
      </c>
      <c r="F1805">
        <v>9.5315885543823242</v>
      </c>
    </row>
    <row r="1806" spans="2:6">
      <c r="B1806">
        <v>2017</v>
      </c>
      <c r="C1806" t="s">
        <v>32</v>
      </c>
      <c r="D1806" t="s">
        <v>183</v>
      </c>
      <c r="E1806" t="s">
        <v>9</v>
      </c>
      <c r="F1806">
        <v>0.77529525756835938</v>
      </c>
    </row>
    <row r="1807" spans="2:6">
      <c r="B1807">
        <v>2017</v>
      </c>
      <c r="C1807" t="s">
        <v>32</v>
      </c>
      <c r="D1807" t="s">
        <v>183</v>
      </c>
      <c r="E1807" t="s">
        <v>10</v>
      </c>
      <c r="F1807">
        <v>67.5</v>
      </c>
    </row>
    <row r="1808" spans="2:6">
      <c r="B1808">
        <v>2017</v>
      </c>
      <c r="C1808" t="s">
        <v>32</v>
      </c>
      <c r="D1808" t="s">
        <v>183</v>
      </c>
      <c r="E1808" t="s">
        <v>11</v>
      </c>
      <c r="F1808">
        <v>0.56379866600036621</v>
      </c>
    </row>
    <row r="1809" spans="2:6">
      <c r="B1809">
        <v>2017</v>
      </c>
      <c r="C1809" t="s">
        <v>32</v>
      </c>
      <c r="D1809" t="s">
        <v>183</v>
      </c>
      <c r="E1809" t="s">
        <v>12</v>
      </c>
      <c r="F1809">
        <v>9.1783195734024048E-2</v>
      </c>
    </row>
    <row r="1810" spans="2:6">
      <c r="B1810">
        <v>2017</v>
      </c>
      <c r="C1810" t="s">
        <v>32</v>
      </c>
      <c r="D1810" t="s">
        <v>183</v>
      </c>
      <c r="E1810" t="s">
        <v>13</v>
      </c>
      <c r="F1810">
        <v>0.92334306240081787</v>
      </c>
    </row>
    <row r="1811" spans="2:6">
      <c r="B1811">
        <v>2017</v>
      </c>
      <c r="C1811" t="s">
        <v>32</v>
      </c>
      <c r="D1811" t="s">
        <v>183</v>
      </c>
      <c r="E1811" t="s">
        <v>14</v>
      </c>
      <c r="F1811">
        <v>0.59734165668487549</v>
      </c>
    </row>
    <row r="1812" spans="2:6">
      <c r="B1812">
        <v>2017</v>
      </c>
      <c r="C1812" t="s">
        <v>32</v>
      </c>
      <c r="D1812" t="s">
        <v>183</v>
      </c>
      <c r="E1812" t="s">
        <v>15</v>
      </c>
      <c r="F1812">
        <v>0.27074551582336426</v>
      </c>
    </row>
    <row r="1813" spans="2:6">
      <c r="B1813">
        <v>2018</v>
      </c>
      <c r="C1813" t="s">
        <v>32</v>
      </c>
      <c r="D1813" t="s">
        <v>183</v>
      </c>
      <c r="E1813" t="s">
        <v>7</v>
      </c>
      <c r="F1813">
        <v>5.8874011039733887</v>
      </c>
    </row>
    <row r="1814" spans="2:6">
      <c r="B1814">
        <v>2018</v>
      </c>
      <c r="C1814" t="s">
        <v>32</v>
      </c>
      <c r="D1814" t="s">
        <v>183</v>
      </c>
      <c r="E1814" t="s">
        <v>8</v>
      </c>
      <c r="F1814">
        <v>9.5763463973999023</v>
      </c>
    </row>
    <row r="1815" spans="2:6">
      <c r="B1815">
        <v>2018</v>
      </c>
      <c r="C1815" t="s">
        <v>32</v>
      </c>
      <c r="D1815" t="s">
        <v>183</v>
      </c>
      <c r="E1815" t="s">
        <v>9</v>
      </c>
      <c r="F1815">
        <v>0.83588957786560059</v>
      </c>
    </row>
    <row r="1816" spans="2:6">
      <c r="B1816">
        <v>2018</v>
      </c>
      <c r="C1816" t="s">
        <v>32</v>
      </c>
      <c r="D1816" t="s">
        <v>183</v>
      </c>
      <c r="E1816" t="s">
        <v>10</v>
      </c>
      <c r="F1816">
        <v>67.800003051757813</v>
      </c>
    </row>
    <row r="1817" spans="2:6">
      <c r="B1817">
        <v>2018</v>
      </c>
      <c r="C1817" t="s">
        <v>32</v>
      </c>
      <c r="D1817" t="s">
        <v>183</v>
      </c>
      <c r="E1817" t="s">
        <v>11</v>
      </c>
      <c r="F1817">
        <v>0.65884643793106079</v>
      </c>
    </row>
    <row r="1818" spans="2:6">
      <c r="B1818">
        <v>2018</v>
      </c>
      <c r="C1818" t="s">
        <v>32</v>
      </c>
      <c r="D1818" t="s">
        <v>183</v>
      </c>
      <c r="E1818" t="s">
        <v>12</v>
      </c>
      <c r="F1818">
        <v>0.12326318025588989</v>
      </c>
    </row>
    <row r="1819" spans="2:6">
      <c r="B1819">
        <v>2018</v>
      </c>
      <c r="C1819" t="s">
        <v>32</v>
      </c>
      <c r="D1819" t="s">
        <v>183</v>
      </c>
      <c r="E1819" t="s">
        <v>13</v>
      </c>
      <c r="F1819">
        <v>0.9128577709197998</v>
      </c>
    </row>
    <row r="1820" spans="2:6">
      <c r="B1820">
        <v>2018</v>
      </c>
      <c r="C1820" t="s">
        <v>32</v>
      </c>
      <c r="D1820" t="s">
        <v>183</v>
      </c>
      <c r="E1820" t="s">
        <v>14</v>
      </c>
      <c r="F1820">
        <v>0.64293950796127319</v>
      </c>
    </row>
    <row r="1821" spans="2:6">
      <c r="B1821">
        <v>2018</v>
      </c>
      <c r="C1821" t="s">
        <v>32</v>
      </c>
      <c r="D1821" t="s">
        <v>183</v>
      </c>
      <c r="E1821" t="s">
        <v>15</v>
      </c>
      <c r="F1821">
        <v>0.2773650586605072</v>
      </c>
    </row>
    <row r="1822" spans="2:6">
      <c r="B1822">
        <v>2019</v>
      </c>
      <c r="C1822" t="s">
        <v>32</v>
      </c>
      <c r="D1822" t="s">
        <v>183</v>
      </c>
      <c r="E1822" t="s">
        <v>7</v>
      </c>
      <c r="F1822">
        <v>6.0155224800109863</v>
      </c>
    </row>
    <row r="1823" spans="2:6">
      <c r="B1823">
        <v>2019</v>
      </c>
      <c r="C1823" t="s">
        <v>32</v>
      </c>
      <c r="D1823" t="s">
        <v>183</v>
      </c>
      <c r="E1823" t="s">
        <v>8</v>
      </c>
      <c r="F1823">
        <v>9.6087665557861328</v>
      </c>
    </row>
    <row r="1824" spans="2:6">
      <c r="B1824">
        <v>2019</v>
      </c>
      <c r="C1824" t="s">
        <v>32</v>
      </c>
      <c r="D1824" t="s">
        <v>183</v>
      </c>
      <c r="E1824" t="s">
        <v>9</v>
      </c>
      <c r="F1824">
        <v>0.87314194440841675</v>
      </c>
    </row>
    <row r="1825" spans="2:6">
      <c r="B1825">
        <v>2019</v>
      </c>
      <c r="C1825" t="s">
        <v>32</v>
      </c>
      <c r="D1825" t="s">
        <v>183</v>
      </c>
      <c r="E1825" t="s">
        <v>10</v>
      </c>
      <c r="F1825">
        <v>68.099998474121094</v>
      </c>
    </row>
    <row r="1826" spans="2:6">
      <c r="B1826">
        <v>2019</v>
      </c>
      <c r="C1826" t="s">
        <v>32</v>
      </c>
      <c r="D1826" t="s">
        <v>183</v>
      </c>
      <c r="E1826" t="s">
        <v>11</v>
      </c>
      <c r="F1826">
        <v>0.72156322002410889</v>
      </c>
    </row>
    <row r="1827" spans="2:6">
      <c r="B1827">
        <v>2019</v>
      </c>
      <c r="C1827" t="s">
        <v>32</v>
      </c>
      <c r="D1827" t="s">
        <v>183</v>
      </c>
      <c r="E1827" t="s">
        <v>12</v>
      </c>
      <c r="F1827">
        <v>7.9361870884895325E-2</v>
      </c>
    </row>
    <row r="1828" spans="2:6">
      <c r="B1828">
        <v>2019</v>
      </c>
      <c r="C1828" t="s">
        <v>32</v>
      </c>
      <c r="D1828" t="s">
        <v>183</v>
      </c>
      <c r="E1828" t="s">
        <v>13</v>
      </c>
      <c r="F1828">
        <v>0.96290802955627441</v>
      </c>
    </row>
    <row r="1829" spans="2:6">
      <c r="B1829">
        <v>2019</v>
      </c>
      <c r="C1829" t="s">
        <v>32</v>
      </c>
      <c r="D1829" t="s">
        <v>183</v>
      </c>
      <c r="E1829" t="s">
        <v>14</v>
      </c>
      <c r="F1829">
        <v>0.63298976421356201</v>
      </c>
    </row>
    <row r="1830" spans="2:6">
      <c r="B1830">
        <v>2019</v>
      </c>
      <c r="C1830" t="s">
        <v>32</v>
      </c>
      <c r="D1830" t="s">
        <v>183</v>
      </c>
      <c r="E1830" t="s">
        <v>15</v>
      </c>
      <c r="F1830">
        <v>0.23806855082511902</v>
      </c>
    </row>
    <row r="1831" spans="2:6">
      <c r="B1831">
        <v>2020</v>
      </c>
      <c r="C1831" t="s">
        <v>32</v>
      </c>
      <c r="D1831" t="s">
        <v>183</v>
      </c>
      <c r="E1831" t="s">
        <v>7</v>
      </c>
      <c r="F1831">
        <v>5.5158162117004395</v>
      </c>
    </row>
    <row r="1832" spans="2:6">
      <c r="B1832">
        <v>2020</v>
      </c>
      <c r="C1832" t="s">
        <v>32</v>
      </c>
      <c r="D1832" t="s">
        <v>183</v>
      </c>
      <c r="E1832" t="s">
        <v>8</v>
      </c>
      <c r="F1832">
        <v>9.5833444595336914</v>
      </c>
    </row>
    <row r="1833" spans="2:6">
      <c r="B1833">
        <v>2020</v>
      </c>
      <c r="C1833" t="s">
        <v>32</v>
      </c>
      <c r="D1833" t="s">
        <v>183</v>
      </c>
      <c r="E1833" t="s">
        <v>9</v>
      </c>
      <c r="F1833">
        <v>0.89851868152618408</v>
      </c>
    </row>
    <row r="1834" spans="2:6">
      <c r="B1834">
        <v>2020</v>
      </c>
      <c r="C1834" t="s">
        <v>32</v>
      </c>
      <c r="D1834" t="s">
        <v>183</v>
      </c>
      <c r="E1834" t="s">
        <v>10</v>
      </c>
      <c r="F1834">
        <v>68.400001525878906</v>
      </c>
    </row>
    <row r="1835" spans="2:6">
      <c r="B1835">
        <v>2020</v>
      </c>
      <c r="C1835" t="s">
        <v>32</v>
      </c>
      <c r="D1835" t="s">
        <v>183</v>
      </c>
      <c r="E1835" t="s">
        <v>11</v>
      </c>
      <c r="F1835">
        <v>0.74025082588195801</v>
      </c>
    </row>
    <row r="1836" spans="2:6">
      <c r="B1836">
        <v>2020</v>
      </c>
      <c r="C1836" t="s">
        <v>32</v>
      </c>
      <c r="D1836" t="s">
        <v>183</v>
      </c>
      <c r="E1836" t="s">
        <v>12</v>
      </c>
      <c r="F1836">
        <v>0.13795417547225952</v>
      </c>
    </row>
    <row r="1837" spans="2:6">
      <c r="B1837">
        <v>2020</v>
      </c>
      <c r="C1837" t="s">
        <v>32</v>
      </c>
      <c r="D1837" t="s">
        <v>183</v>
      </c>
      <c r="E1837" t="s">
        <v>13</v>
      </c>
      <c r="F1837">
        <v>0.91605216264724731</v>
      </c>
    </row>
    <row r="1838" spans="2:6">
      <c r="B1838">
        <v>2020</v>
      </c>
      <c r="C1838" t="s">
        <v>32</v>
      </c>
      <c r="D1838" t="s">
        <v>183</v>
      </c>
      <c r="E1838" t="s">
        <v>14</v>
      </c>
      <c r="F1838">
        <v>0.64423733949661255</v>
      </c>
    </row>
    <row r="1839" spans="2:6">
      <c r="B1839">
        <v>2020</v>
      </c>
      <c r="C1839" t="s">
        <v>32</v>
      </c>
      <c r="D1839" t="s">
        <v>183</v>
      </c>
      <c r="E1839" t="s">
        <v>15</v>
      </c>
      <c r="F1839">
        <v>0.32541230320930481</v>
      </c>
    </row>
    <row r="1840" spans="2:6">
      <c r="B1840">
        <v>2006</v>
      </c>
      <c r="C1840" t="s">
        <v>33</v>
      </c>
      <c r="D1840" t="s">
        <v>184</v>
      </c>
      <c r="E1840" t="s">
        <v>7</v>
      </c>
      <c r="F1840">
        <v>4.7393670082092285</v>
      </c>
    </row>
    <row r="1841" spans="2:6">
      <c r="B1841">
        <v>2006</v>
      </c>
      <c r="C1841" t="s">
        <v>33</v>
      </c>
      <c r="D1841" t="s">
        <v>184</v>
      </c>
      <c r="E1841" t="s">
        <v>8</v>
      </c>
      <c r="F1841">
        <v>9.4922780990600586</v>
      </c>
    </row>
    <row r="1842" spans="2:6">
      <c r="B1842">
        <v>2006</v>
      </c>
      <c r="C1842" t="s">
        <v>33</v>
      </c>
      <c r="D1842" t="s">
        <v>184</v>
      </c>
      <c r="E1842" t="s">
        <v>9</v>
      </c>
      <c r="F1842">
        <v>0.88303577899932861</v>
      </c>
    </row>
    <row r="1843" spans="2:6">
      <c r="B1843">
        <v>2006</v>
      </c>
      <c r="C1843" t="s">
        <v>33</v>
      </c>
      <c r="D1843" t="s">
        <v>184</v>
      </c>
      <c r="E1843" t="s">
        <v>10</v>
      </c>
      <c r="F1843">
        <v>46.819999694824219</v>
      </c>
    </row>
    <row r="1844" spans="2:6">
      <c r="B1844">
        <v>2006</v>
      </c>
      <c r="C1844" t="s">
        <v>33</v>
      </c>
      <c r="D1844" t="s">
        <v>184</v>
      </c>
      <c r="E1844" t="s">
        <v>11</v>
      </c>
      <c r="F1844">
        <v>0.82377463579177856</v>
      </c>
    </row>
    <row r="1845" spans="2:6">
      <c r="B1845">
        <v>2006</v>
      </c>
      <c r="C1845" t="s">
        <v>33</v>
      </c>
      <c r="D1845" t="s">
        <v>184</v>
      </c>
      <c r="E1845" t="s">
        <v>12</v>
      </c>
      <c r="F1845">
        <v>-0.19472160935401917</v>
      </c>
    </row>
    <row r="1846" spans="2:6">
      <c r="B1846">
        <v>2006</v>
      </c>
      <c r="C1846" t="s">
        <v>33</v>
      </c>
      <c r="D1846" t="s">
        <v>184</v>
      </c>
      <c r="E1846" t="s">
        <v>13</v>
      </c>
      <c r="F1846">
        <v>0.72323918342590332</v>
      </c>
    </row>
    <row r="1847" spans="2:6">
      <c r="B1847">
        <v>2006</v>
      </c>
      <c r="C1847" t="s">
        <v>33</v>
      </c>
      <c r="D1847" t="s">
        <v>184</v>
      </c>
      <c r="E1847" t="s">
        <v>14</v>
      </c>
      <c r="F1847">
        <v>0.68810939788818359</v>
      </c>
    </row>
    <row r="1848" spans="2:6">
      <c r="B1848">
        <v>2006</v>
      </c>
      <c r="C1848" t="s">
        <v>33</v>
      </c>
      <c r="D1848" t="s">
        <v>184</v>
      </c>
      <c r="E1848" t="s">
        <v>15</v>
      </c>
      <c r="F1848">
        <v>0.22575934231281281</v>
      </c>
    </row>
    <row r="1849" spans="2:6">
      <c r="B1849">
        <v>2008</v>
      </c>
      <c r="C1849" t="s">
        <v>33</v>
      </c>
      <c r="D1849" t="s">
        <v>184</v>
      </c>
      <c r="E1849" t="s">
        <v>7</v>
      </c>
      <c r="F1849">
        <v>5.4511470794677734</v>
      </c>
    </row>
    <row r="1850" spans="2:6">
      <c r="B1850">
        <v>2008</v>
      </c>
      <c r="C1850" t="s">
        <v>33</v>
      </c>
      <c r="D1850" t="s">
        <v>184</v>
      </c>
      <c r="E1850" t="s">
        <v>8</v>
      </c>
      <c r="F1850">
        <v>9.5898675918579102</v>
      </c>
    </row>
    <row r="1851" spans="2:6">
      <c r="B1851">
        <v>2008</v>
      </c>
      <c r="C1851" t="s">
        <v>33</v>
      </c>
      <c r="D1851" t="s">
        <v>184</v>
      </c>
      <c r="E1851" t="s">
        <v>9</v>
      </c>
      <c r="F1851">
        <v>0.8319053053855896</v>
      </c>
    </row>
    <row r="1852" spans="2:6">
      <c r="B1852">
        <v>2008</v>
      </c>
      <c r="C1852" t="s">
        <v>33</v>
      </c>
      <c r="D1852" t="s">
        <v>184</v>
      </c>
      <c r="E1852" t="s">
        <v>10</v>
      </c>
      <c r="F1852">
        <v>49.860000610351563</v>
      </c>
    </row>
    <row r="1853" spans="2:6">
      <c r="B1853">
        <v>2008</v>
      </c>
      <c r="C1853" t="s">
        <v>33</v>
      </c>
      <c r="D1853" t="s">
        <v>184</v>
      </c>
      <c r="E1853" t="s">
        <v>11</v>
      </c>
      <c r="F1853">
        <v>0.85777640342712402</v>
      </c>
    </row>
    <row r="1854" spans="2:6">
      <c r="B1854">
        <v>2008</v>
      </c>
      <c r="C1854" t="s">
        <v>33</v>
      </c>
      <c r="D1854" t="s">
        <v>184</v>
      </c>
      <c r="E1854" t="s">
        <v>12</v>
      </c>
      <c r="F1854">
        <v>-0.1643887460231781</v>
      </c>
    </row>
    <row r="1855" spans="2:6">
      <c r="B1855">
        <v>2008</v>
      </c>
      <c r="C1855" t="s">
        <v>33</v>
      </c>
      <c r="D1855" t="s">
        <v>184</v>
      </c>
      <c r="E1855" t="s">
        <v>13</v>
      </c>
      <c r="F1855">
        <v>0.80622649192810059</v>
      </c>
    </row>
    <row r="1856" spans="2:6">
      <c r="B1856">
        <v>2008</v>
      </c>
      <c r="C1856" t="s">
        <v>33</v>
      </c>
      <c r="D1856" t="s">
        <v>184</v>
      </c>
      <c r="E1856" t="s">
        <v>14</v>
      </c>
      <c r="F1856">
        <v>0.73117995262145996</v>
      </c>
    </row>
    <row r="1857" spans="2:6">
      <c r="B1857">
        <v>2008</v>
      </c>
      <c r="C1857" t="s">
        <v>33</v>
      </c>
      <c r="D1857" t="s">
        <v>184</v>
      </c>
      <c r="E1857" t="s">
        <v>15</v>
      </c>
      <c r="F1857">
        <v>0.21788597106933594</v>
      </c>
    </row>
    <row r="1858" spans="2:6">
      <c r="B1858">
        <v>2010</v>
      </c>
      <c r="C1858" t="s">
        <v>33</v>
      </c>
      <c r="D1858" t="s">
        <v>184</v>
      </c>
      <c r="E1858" t="s">
        <v>7</v>
      </c>
      <c r="F1858">
        <v>3.5530202388763428</v>
      </c>
    </row>
    <row r="1859" spans="2:6">
      <c r="B1859">
        <v>2010</v>
      </c>
      <c r="C1859" t="s">
        <v>33</v>
      </c>
      <c r="D1859" t="s">
        <v>184</v>
      </c>
      <c r="E1859" t="s">
        <v>8</v>
      </c>
      <c r="F1859">
        <v>9.5557975769042969</v>
      </c>
    </row>
    <row r="1860" spans="2:6">
      <c r="B1860">
        <v>2010</v>
      </c>
      <c r="C1860" t="s">
        <v>33</v>
      </c>
      <c r="D1860" t="s">
        <v>184</v>
      </c>
      <c r="E1860" t="s">
        <v>9</v>
      </c>
      <c r="F1860">
        <v>0.86562478542327881</v>
      </c>
    </row>
    <row r="1861" spans="2:6">
      <c r="B1861">
        <v>2010</v>
      </c>
      <c r="C1861" t="s">
        <v>33</v>
      </c>
      <c r="D1861" t="s">
        <v>184</v>
      </c>
      <c r="E1861" t="s">
        <v>10</v>
      </c>
      <c r="F1861">
        <v>52.900001525878906</v>
      </c>
    </row>
    <row r="1862" spans="2:6">
      <c r="B1862">
        <v>2010</v>
      </c>
      <c r="C1862" t="s">
        <v>33</v>
      </c>
      <c r="D1862" t="s">
        <v>184</v>
      </c>
      <c r="E1862" t="s">
        <v>11</v>
      </c>
      <c r="F1862">
        <v>0.82621937990188599</v>
      </c>
    </row>
    <row r="1863" spans="2:6">
      <c r="B1863">
        <v>2010</v>
      </c>
      <c r="C1863" t="s">
        <v>33</v>
      </c>
      <c r="D1863" t="s">
        <v>184</v>
      </c>
      <c r="E1863" t="s">
        <v>12</v>
      </c>
      <c r="F1863">
        <v>-0.14286021888256073</v>
      </c>
    </row>
    <row r="1864" spans="2:6">
      <c r="B1864">
        <v>2010</v>
      </c>
      <c r="C1864" t="s">
        <v>33</v>
      </c>
      <c r="D1864" t="s">
        <v>184</v>
      </c>
      <c r="E1864" t="s">
        <v>13</v>
      </c>
      <c r="F1864">
        <v>0.81398540735244751</v>
      </c>
    </row>
    <row r="1865" spans="2:6">
      <c r="B1865">
        <v>2010</v>
      </c>
      <c r="C1865" t="s">
        <v>33</v>
      </c>
      <c r="D1865" t="s">
        <v>184</v>
      </c>
      <c r="E1865" t="s">
        <v>14</v>
      </c>
      <c r="F1865">
        <v>0.6902734637260437</v>
      </c>
    </row>
    <row r="1866" spans="2:6">
      <c r="B1866">
        <v>2010</v>
      </c>
      <c r="C1866" t="s">
        <v>33</v>
      </c>
      <c r="D1866" t="s">
        <v>184</v>
      </c>
      <c r="E1866" t="s">
        <v>15</v>
      </c>
      <c r="F1866">
        <v>0.17218427360057831</v>
      </c>
    </row>
    <row r="1867" spans="2:6">
      <c r="B1867">
        <v>2011</v>
      </c>
      <c r="C1867" t="s">
        <v>33</v>
      </c>
      <c r="D1867" t="s">
        <v>184</v>
      </c>
      <c r="E1867" t="s">
        <v>7</v>
      </c>
      <c r="F1867">
        <v>3.5199210643768311</v>
      </c>
    </row>
    <row r="1868" spans="2:6">
      <c r="B1868">
        <v>2011</v>
      </c>
      <c r="C1868" t="s">
        <v>33</v>
      </c>
      <c r="D1868" t="s">
        <v>184</v>
      </c>
      <c r="E1868" t="s">
        <v>8</v>
      </c>
      <c r="F1868">
        <v>9.6003818511962891</v>
      </c>
    </row>
    <row r="1869" spans="2:6">
      <c r="B1869">
        <v>2011</v>
      </c>
      <c r="C1869" t="s">
        <v>33</v>
      </c>
      <c r="D1869" t="s">
        <v>184</v>
      </c>
      <c r="E1869" t="s">
        <v>9</v>
      </c>
      <c r="F1869">
        <v>0.86002808809280396</v>
      </c>
    </row>
    <row r="1870" spans="2:6">
      <c r="B1870">
        <v>2011</v>
      </c>
      <c r="C1870" t="s">
        <v>33</v>
      </c>
      <c r="D1870" t="s">
        <v>184</v>
      </c>
      <c r="E1870" t="s">
        <v>10</v>
      </c>
      <c r="F1870">
        <v>53.680000305175781</v>
      </c>
    </row>
    <row r="1871" spans="2:6">
      <c r="B1871">
        <v>2011</v>
      </c>
      <c r="C1871" t="s">
        <v>33</v>
      </c>
      <c r="D1871" t="s">
        <v>184</v>
      </c>
      <c r="E1871" t="s">
        <v>11</v>
      </c>
      <c r="F1871">
        <v>0.81251406669616699</v>
      </c>
    </row>
    <row r="1872" spans="2:6">
      <c r="B1872">
        <v>2011</v>
      </c>
      <c r="C1872" t="s">
        <v>33</v>
      </c>
      <c r="D1872" t="s">
        <v>184</v>
      </c>
      <c r="E1872" t="s">
        <v>12</v>
      </c>
      <c r="F1872">
        <v>-0.25000333786010742</v>
      </c>
    </row>
    <row r="1873" spans="2:6">
      <c r="B1873">
        <v>2011</v>
      </c>
      <c r="C1873" t="s">
        <v>33</v>
      </c>
      <c r="D1873" t="s">
        <v>184</v>
      </c>
      <c r="E1873" t="s">
        <v>13</v>
      </c>
      <c r="F1873">
        <v>0.8161584734916687</v>
      </c>
    </row>
    <row r="1874" spans="2:6">
      <c r="B1874">
        <v>2011</v>
      </c>
      <c r="C1874" t="s">
        <v>33</v>
      </c>
      <c r="D1874" t="s">
        <v>184</v>
      </c>
      <c r="E1874" t="s">
        <v>14</v>
      </c>
      <c r="F1874">
        <v>0.73931461572647095</v>
      </c>
    </row>
    <row r="1875" spans="2:6">
      <c r="B1875">
        <v>2011</v>
      </c>
      <c r="C1875" t="s">
        <v>33</v>
      </c>
      <c r="D1875" t="s">
        <v>184</v>
      </c>
      <c r="E1875" t="s">
        <v>15</v>
      </c>
      <c r="F1875">
        <v>0.15978279709815979</v>
      </c>
    </row>
    <row r="1876" spans="2:6">
      <c r="B1876">
        <v>2012</v>
      </c>
      <c r="C1876" t="s">
        <v>33</v>
      </c>
      <c r="D1876" t="s">
        <v>184</v>
      </c>
      <c r="E1876" t="s">
        <v>7</v>
      </c>
      <c r="F1876">
        <v>4.8359389305114746</v>
      </c>
    </row>
    <row r="1877" spans="2:6">
      <c r="B1877">
        <v>2012</v>
      </c>
      <c r="C1877" t="s">
        <v>33</v>
      </c>
      <c r="D1877" t="s">
        <v>184</v>
      </c>
      <c r="E1877" t="s">
        <v>8</v>
      </c>
      <c r="F1877">
        <v>9.6320686340332031</v>
      </c>
    </row>
    <row r="1878" spans="2:6">
      <c r="B1878">
        <v>2012</v>
      </c>
      <c r="C1878" t="s">
        <v>33</v>
      </c>
      <c r="D1878" t="s">
        <v>184</v>
      </c>
      <c r="E1878" t="s">
        <v>9</v>
      </c>
      <c r="F1878">
        <v>0.83674311637878418</v>
      </c>
    </row>
    <row r="1879" spans="2:6">
      <c r="B1879">
        <v>2012</v>
      </c>
      <c r="C1879" t="s">
        <v>33</v>
      </c>
      <c r="D1879" t="s">
        <v>184</v>
      </c>
      <c r="E1879" t="s">
        <v>10</v>
      </c>
      <c r="F1879">
        <v>54.459999084472656</v>
      </c>
    </row>
    <row r="1880" spans="2:6">
      <c r="B1880">
        <v>2012</v>
      </c>
      <c r="C1880" t="s">
        <v>33</v>
      </c>
      <c r="D1880" t="s">
        <v>184</v>
      </c>
      <c r="E1880" t="s">
        <v>11</v>
      </c>
      <c r="F1880">
        <v>0.79941022396087646</v>
      </c>
    </row>
    <row r="1881" spans="2:6">
      <c r="B1881">
        <v>2012</v>
      </c>
      <c r="C1881" t="s">
        <v>33</v>
      </c>
      <c r="D1881" t="s">
        <v>184</v>
      </c>
      <c r="E1881" t="s">
        <v>12</v>
      </c>
      <c r="F1881">
        <v>-0.20282405614852905</v>
      </c>
    </row>
    <row r="1882" spans="2:6">
      <c r="B1882">
        <v>2012</v>
      </c>
      <c r="C1882" t="s">
        <v>33</v>
      </c>
      <c r="D1882" t="s">
        <v>184</v>
      </c>
      <c r="E1882" t="s">
        <v>13</v>
      </c>
      <c r="F1882">
        <v>0.8144228458404541</v>
      </c>
    </row>
    <row r="1883" spans="2:6">
      <c r="B1883">
        <v>2012</v>
      </c>
      <c r="C1883" t="s">
        <v>33</v>
      </c>
      <c r="D1883" t="s">
        <v>184</v>
      </c>
      <c r="E1883" t="s">
        <v>14</v>
      </c>
      <c r="F1883">
        <v>0.77336388826370239</v>
      </c>
    </row>
    <row r="1884" spans="2:6">
      <c r="B1884">
        <v>2012</v>
      </c>
      <c r="C1884" t="s">
        <v>33</v>
      </c>
      <c r="D1884" t="s">
        <v>184</v>
      </c>
      <c r="E1884" t="s">
        <v>15</v>
      </c>
      <c r="F1884">
        <v>0.17125736176967621</v>
      </c>
    </row>
    <row r="1885" spans="2:6">
      <c r="B1885">
        <v>2013</v>
      </c>
      <c r="C1885" t="s">
        <v>33</v>
      </c>
      <c r="D1885" t="s">
        <v>184</v>
      </c>
      <c r="E1885" t="s">
        <v>7</v>
      </c>
      <c r="F1885">
        <v>4.1282987594604492</v>
      </c>
    </row>
    <row r="1886" spans="2:6">
      <c r="B1886">
        <v>2013</v>
      </c>
      <c r="C1886" t="s">
        <v>33</v>
      </c>
      <c r="D1886" t="s">
        <v>184</v>
      </c>
      <c r="E1886" t="s">
        <v>8</v>
      </c>
      <c r="F1886">
        <v>9.7283105850219727</v>
      </c>
    </row>
    <row r="1887" spans="2:6">
      <c r="B1887">
        <v>2013</v>
      </c>
      <c r="C1887" t="s">
        <v>33</v>
      </c>
      <c r="D1887" t="s">
        <v>184</v>
      </c>
      <c r="E1887" t="s">
        <v>9</v>
      </c>
      <c r="F1887">
        <v>0.85557079315185547</v>
      </c>
    </row>
    <row r="1888" spans="2:6">
      <c r="B1888">
        <v>2013</v>
      </c>
      <c r="C1888" t="s">
        <v>33</v>
      </c>
      <c r="D1888" t="s">
        <v>184</v>
      </c>
      <c r="E1888" t="s">
        <v>10</v>
      </c>
      <c r="F1888">
        <v>55.240001678466797</v>
      </c>
    </row>
    <row r="1889" spans="2:6">
      <c r="B1889">
        <v>2013</v>
      </c>
      <c r="C1889" t="s">
        <v>33</v>
      </c>
      <c r="D1889" t="s">
        <v>184</v>
      </c>
      <c r="E1889" t="s">
        <v>11</v>
      </c>
      <c r="F1889">
        <v>0.76735740900039673</v>
      </c>
    </row>
    <row r="1890" spans="2:6">
      <c r="B1890">
        <v>2013</v>
      </c>
      <c r="C1890" t="s">
        <v>33</v>
      </c>
      <c r="D1890" t="s">
        <v>184</v>
      </c>
      <c r="E1890" t="s">
        <v>12</v>
      </c>
      <c r="F1890">
        <v>-0.15417709946632385</v>
      </c>
    </row>
    <row r="1891" spans="2:6">
      <c r="B1891">
        <v>2013</v>
      </c>
      <c r="C1891" t="s">
        <v>33</v>
      </c>
      <c r="D1891" t="s">
        <v>184</v>
      </c>
      <c r="E1891" t="s">
        <v>13</v>
      </c>
      <c r="F1891">
        <v>0.74884778261184692</v>
      </c>
    </row>
    <row r="1892" spans="2:6">
      <c r="B1892">
        <v>2013</v>
      </c>
      <c r="C1892" t="s">
        <v>33</v>
      </c>
      <c r="D1892" t="s">
        <v>184</v>
      </c>
      <c r="E1892" t="s">
        <v>14</v>
      </c>
      <c r="F1892">
        <v>0.69780868291854858</v>
      </c>
    </row>
    <row r="1893" spans="2:6">
      <c r="B1893">
        <v>2013</v>
      </c>
      <c r="C1893" t="s">
        <v>33</v>
      </c>
      <c r="D1893" t="s">
        <v>184</v>
      </c>
      <c r="E1893" t="s">
        <v>15</v>
      </c>
      <c r="F1893">
        <v>0.2437710165977478</v>
      </c>
    </row>
    <row r="1894" spans="2:6">
      <c r="B1894">
        <v>2014</v>
      </c>
      <c r="C1894" t="s">
        <v>33</v>
      </c>
      <c r="D1894" t="s">
        <v>184</v>
      </c>
      <c r="E1894" t="s">
        <v>7</v>
      </c>
      <c r="F1894">
        <v>4.0311970710754395</v>
      </c>
    </row>
    <row r="1895" spans="2:6">
      <c r="B1895">
        <v>2014</v>
      </c>
      <c r="C1895" t="s">
        <v>33</v>
      </c>
      <c r="D1895" t="s">
        <v>184</v>
      </c>
      <c r="E1895" t="s">
        <v>8</v>
      </c>
      <c r="F1895">
        <v>9.7564020156860352</v>
      </c>
    </row>
    <row r="1896" spans="2:6">
      <c r="B1896">
        <v>2014</v>
      </c>
      <c r="C1896" t="s">
        <v>33</v>
      </c>
      <c r="D1896" t="s">
        <v>184</v>
      </c>
      <c r="E1896" t="s">
        <v>9</v>
      </c>
      <c r="F1896">
        <v>0.85947781801223755</v>
      </c>
    </row>
    <row r="1897" spans="2:6">
      <c r="B1897">
        <v>2014</v>
      </c>
      <c r="C1897" t="s">
        <v>33</v>
      </c>
      <c r="D1897" t="s">
        <v>184</v>
      </c>
      <c r="E1897" t="s">
        <v>10</v>
      </c>
      <c r="F1897">
        <v>56.020000457763672</v>
      </c>
    </row>
    <row r="1898" spans="2:6">
      <c r="B1898">
        <v>2014</v>
      </c>
      <c r="C1898" t="s">
        <v>33</v>
      </c>
      <c r="D1898" t="s">
        <v>184</v>
      </c>
      <c r="E1898" t="s">
        <v>11</v>
      </c>
      <c r="F1898">
        <v>0.79137122631072998</v>
      </c>
    </row>
    <row r="1899" spans="2:6">
      <c r="B1899">
        <v>2014</v>
      </c>
      <c r="C1899" t="s">
        <v>33</v>
      </c>
      <c r="D1899" t="s">
        <v>184</v>
      </c>
      <c r="E1899" t="s">
        <v>12</v>
      </c>
      <c r="F1899">
        <v>-0.10489221662282944</v>
      </c>
    </row>
    <row r="1900" spans="2:6">
      <c r="B1900">
        <v>2014</v>
      </c>
      <c r="C1900" t="s">
        <v>33</v>
      </c>
      <c r="D1900" t="s">
        <v>184</v>
      </c>
      <c r="E1900" t="s">
        <v>13</v>
      </c>
      <c r="F1900">
        <v>0.74307382106781006</v>
      </c>
    </row>
    <row r="1901" spans="2:6">
      <c r="B1901">
        <v>2014</v>
      </c>
      <c r="C1901" t="s">
        <v>33</v>
      </c>
      <c r="D1901" t="s">
        <v>184</v>
      </c>
      <c r="E1901" t="s">
        <v>14</v>
      </c>
      <c r="F1901">
        <v>0.6741904616355896</v>
      </c>
    </row>
    <row r="1902" spans="2:6">
      <c r="B1902">
        <v>2014</v>
      </c>
      <c r="C1902" t="s">
        <v>33</v>
      </c>
      <c r="D1902" t="s">
        <v>184</v>
      </c>
      <c r="E1902" t="s">
        <v>15</v>
      </c>
      <c r="F1902">
        <v>0.24505141377449036</v>
      </c>
    </row>
    <row r="1903" spans="2:6">
      <c r="B1903">
        <v>2015</v>
      </c>
      <c r="C1903" t="s">
        <v>33</v>
      </c>
      <c r="D1903" t="s">
        <v>184</v>
      </c>
      <c r="E1903" t="s">
        <v>7</v>
      </c>
      <c r="F1903">
        <v>3.7619647979736328</v>
      </c>
    </row>
    <row r="1904" spans="2:6">
      <c r="B1904">
        <v>2015</v>
      </c>
      <c r="C1904" t="s">
        <v>33</v>
      </c>
      <c r="D1904" t="s">
        <v>184</v>
      </c>
      <c r="E1904" t="s">
        <v>8</v>
      </c>
      <c r="F1904">
        <v>9.7240228652954102</v>
      </c>
    </row>
    <row r="1905" spans="2:6">
      <c r="B1905">
        <v>2015</v>
      </c>
      <c r="C1905" t="s">
        <v>33</v>
      </c>
      <c r="D1905" t="s">
        <v>184</v>
      </c>
      <c r="E1905" t="s">
        <v>9</v>
      </c>
      <c r="F1905">
        <v>0.81565606594085693</v>
      </c>
    </row>
    <row r="1906" spans="2:6">
      <c r="B1906">
        <v>2015</v>
      </c>
      <c r="C1906" t="s">
        <v>33</v>
      </c>
      <c r="D1906" t="s">
        <v>184</v>
      </c>
      <c r="E1906" t="s">
        <v>10</v>
      </c>
      <c r="F1906">
        <v>56.799999237060547</v>
      </c>
    </row>
    <row r="1907" spans="2:6">
      <c r="B1907">
        <v>2015</v>
      </c>
      <c r="C1907" t="s">
        <v>33</v>
      </c>
      <c r="D1907" t="s">
        <v>184</v>
      </c>
      <c r="E1907" t="s">
        <v>11</v>
      </c>
      <c r="F1907">
        <v>0.85716891288757324</v>
      </c>
    </row>
    <row r="1908" spans="2:6">
      <c r="B1908">
        <v>2015</v>
      </c>
      <c r="C1908" t="s">
        <v>33</v>
      </c>
      <c r="D1908" t="s">
        <v>184</v>
      </c>
      <c r="E1908" t="s">
        <v>12</v>
      </c>
      <c r="F1908">
        <v>-0.11625391244888306</v>
      </c>
    </row>
    <row r="1909" spans="2:6">
      <c r="B1909">
        <v>2015</v>
      </c>
      <c r="C1909" t="s">
        <v>33</v>
      </c>
      <c r="D1909" t="s">
        <v>184</v>
      </c>
      <c r="E1909" t="s">
        <v>13</v>
      </c>
      <c r="F1909">
        <v>0.86029297113418579</v>
      </c>
    </row>
    <row r="1910" spans="2:6">
      <c r="B1910">
        <v>2015</v>
      </c>
      <c r="C1910" t="s">
        <v>33</v>
      </c>
      <c r="D1910" t="s">
        <v>184</v>
      </c>
      <c r="E1910" t="s">
        <v>14</v>
      </c>
      <c r="F1910">
        <v>0.74620401859283447</v>
      </c>
    </row>
    <row r="1911" spans="2:6">
      <c r="B1911">
        <v>2015</v>
      </c>
      <c r="C1911" t="s">
        <v>33</v>
      </c>
      <c r="D1911" t="s">
        <v>184</v>
      </c>
      <c r="E1911" t="s">
        <v>15</v>
      </c>
      <c r="F1911">
        <v>0.26142814755439758</v>
      </c>
    </row>
    <row r="1912" spans="2:6">
      <c r="B1912">
        <v>2016</v>
      </c>
      <c r="C1912" t="s">
        <v>33</v>
      </c>
      <c r="D1912" t="s">
        <v>184</v>
      </c>
      <c r="E1912" t="s">
        <v>7</v>
      </c>
      <c r="F1912">
        <v>3.498936653137207</v>
      </c>
    </row>
    <row r="1913" spans="2:6">
      <c r="B1913">
        <v>2016</v>
      </c>
      <c r="C1913" t="s">
        <v>33</v>
      </c>
      <c r="D1913" t="s">
        <v>184</v>
      </c>
      <c r="E1913" t="s">
        <v>8</v>
      </c>
      <c r="F1913">
        <v>9.7478313446044922</v>
      </c>
    </row>
    <row r="1914" spans="2:6">
      <c r="B1914">
        <v>2016</v>
      </c>
      <c r="C1914" t="s">
        <v>33</v>
      </c>
      <c r="D1914" t="s">
        <v>184</v>
      </c>
      <c r="E1914" t="s">
        <v>9</v>
      </c>
      <c r="F1914">
        <v>0.7683027982711792</v>
      </c>
    </row>
    <row r="1915" spans="2:6">
      <c r="B1915">
        <v>2016</v>
      </c>
      <c r="C1915" t="s">
        <v>33</v>
      </c>
      <c r="D1915" t="s">
        <v>184</v>
      </c>
      <c r="E1915" t="s">
        <v>10</v>
      </c>
      <c r="F1915">
        <v>57.5</v>
      </c>
    </row>
    <row r="1916" spans="2:6">
      <c r="B1916">
        <v>2016</v>
      </c>
      <c r="C1916" t="s">
        <v>33</v>
      </c>
      <c r="D1916" t="s">
        <v>184</v>
      </c>
      <c r="E1916" t="s">
        <v>11</v>
      </c>
      <c r="F1916">
        <v>0.85169488191604614</v>
      </c>
    </row>
    <row r="1917" spans="2:6">
      <c r="B1917">
        <v>2016</v>
      </c>
      <c r="C1917" t="s">
        <v>33</v>
      </c>
      <c r="D1917" t="s">
        <v>184</v>
      </c>
      <c r="E1917" t="s">
        <v>12</v>
      </c>
      <c r="F1917">
        <v>-0.25272351503372192</v>
      </c>
    </row>
    <row r="1918" spans="2:6">
      <c r="B1918">
        <v>2016</v>
      </c>
      <c r="C1918" t="s">
        <v>33</v>
      </c>
      <c r="D1918" t="s">
        <v>184</v>
      </c>
      <c r="E1918" t="s">
        <v>13</v>
      </c>
      <c r="F1918">
        <v>0.72917181253433228</v>
      </c>
    </row>
    <row r="1919" spans="2:6">
      <c r="B1919">
        <v>2016</v>
      </c>
      <c r="C1919" t="s">
        <v>33</v>
      </c>
      <c r="D1919" t="s">
        <v>184</v>
      </c>
      <c r="E1919" t="s">
        <v>14</v>
      </c>
      <c r="F1919">
        <v>0.68566673994064331</v>
      </c>
    </row>
    <row r="1920" spans="2:6">
      <c r="B1920">
        <v>2016</v>
      </c>
      <c r="C1920" t="s">
        <v>33</v>
      </c>
      <c r="D1920" t="s">
        <v>184</v>
      </c>
      <c r="E1920" t="s">
        <v>15</v>
      </c>
      <c r="F1920">
        <v>0.25183659791946411</v>
      </c>
    </row>
    <row r="1921" spans="2:6">
      <c r="B1921">
        <v>2017</v>
      </c>
      <c r="C1921" t="s">
        <v>33</v>
      </c>
      <c r="D1921" t="s">
        <v>184</v>
      </c>
      <c r="E1921" t="s">
        <v>7</v>
      </c>
      <c r="F1921">
        <v>3.5048811435699463</v>
      </c>
    </row>
    <row r="1922" spans="2:6">
      <c r="B1922">
        <v>2017</v>
      </c>
      <c r="C1922" t="s">
        <v>33</v>
      </c>
      <c r="D1922" t="s">
        <v>184</v>
      </c>
      <c r="E1922" t="s">
        <v>8</v>
      </c>
      <c r="F1922">
        <v>9.7557544708251953</v>
      </c>
    </row>
    <row r="1923" spans="2:6">
      <c r="B1923">
        <v>2017</v>
      </c>
      <c r="C1923" t="s">
        <v>33</v>
      </c>
      <c r="D1923" t="s">
        <v>184</v>
      </c>
      <c r="E1923" t="s">
        <v>9</v>
      </c>
      <c r="F1923">
        <v>0.76825863122940063</v>
      </c>
    </row>
    <row r="1924" spans="2:6">
      <c r="B1924">
        <v>2017</v>
      </c>
      <c r="C1924" t="s">
        <v>33</v>
      </c>
      <c r="D1924" t="s">
        <v>184</v>
      </c>
      <c r="E1924" t="s">
        <v>10</v>
      </c>
      <c r="F1924">
        <v>58.200000762939453</v>
      </c>
    </row>
    <row r="1925" spans="2:6">
      <c r="B1925">
        <v>2017</v>
      </c>
      <c r="C1925" t="s">
        <v>33</v>
      </c>
      <c r="D1925" t="s">
        <v>184</v>
      </c>
      <c r="E1925" t="s">
        <v>11</v>
      </c>
      <c r="F1925">
        <v>0.81730800867080688</v>
      </c>
    </row>
    <row r="1926" spans="2:6">
      <c r="B1926">
        <v>2017</v>
      </c>
      <c r="C1926" t="s">
        <v>33</v>
      </c>
      <c r="D1926" t="s">
        <v>184</v>
      </c>
      <c r="E1926" t="s">
        <v>12</v>
      </c>
      <c r="F1926">
        <v>-0.24789166450500488</v>
      </c>
    </row>
    <row r="1927" spans="2:6">
      <c r="B1927">
        <v>2017</v>
      </c>
      <c r="C1927" t="s">
        <v>33</v>
      </c>
      <c r="D1927" t="s">
        <v>184</v>
      </c>
      <c r="E1927" t="s">
        <v>13</v>
      </c>
      <c r="F1927">
        <v>0.73144149780273438</v>
      </c>
    </row>
    <row r="1928" spans="2:6">
      <c r="B1928">
        <v>2017</v>
      </c>
      <c r="C1928" t="s">
        <v>33</v>
      </c>
      <c r="D1928" t="s">
        <v>184</v>
      </c>
      <c r="E1928" t="s">
        <v>14</v>
      </c>
      <c r="F1928">
        <v>0.65639644861221313</v>
      </c>
    </row>
    <row r="1929" spans="2:6">
      <c r="B1929">
        <v>2017</v>
      </c>
      <c r="C1929" t="s">
        <v>33</v>
      </c>
      <c r="D1929" t="s">
        <v>184</v>
      </c>
      <c r="E1929" t="s">
        <v>15</v>
      </c>
      <c r="F1929">
        <v>0.27625250816345215</v>
      </c>
    </row>
    <row r="1930" spans="2:6">
      <c r="B1930">
        <v>2018</v>
      </c>
      <c r="C1930" t="s">
        <v>33</v>
      </c>
      <c r="D1930" t="s">
        <v>184</v>
      </c>
      <c r="E1930" t="s">
        <v>7</v>
      </c>
      <c r="F1930">
        <v>3.4613656997680664</v>
      </c>
    </row>
    <row r="1931" spans="2:6">
      <c r="B1931">
        <v>2018</v>
      </c>
      <c r="C1931" t="s">
        <v>33</v>
      </c>
      <c r="D1931" t="s">
        <v>184</v>
      </c>
      <c r="E1931" t="s">
        <v>8</v>
      </c>
      <c r="F1931">
        <v>9.777592658996582</v>
      </c>
    </row>
    <row r="1932" spans="2:6">
      <c r="B1932">
        <v>2018</v>
      </c>
      <c r="C1932" t="s">
        <v>33</v>
      </c>
      <c r="D1932" t="s">
        <v>184</v>
      </c>
      <c r="E1932" t="s">
        <v>9</v>
      </c>
      <c r="F1932">
        <v>0.79493600130081177</v>
      </c>
    </row>
    <row r="1933" spans="2:6">
      <c r="B1933">
        <v>2018</v>
      </c>
      <c r="C1933" t="s">
        <v>33</v>
      </c>
      <c r="D1933" t="s">
        <v>184</v>
      </c>
      <c r="E1933" t="s">
        <v>10</v>
      </c>
      <c r="F1933">
        <v>58.900001525878906</v>
      </c>
    </row>
    <row r="1934" spans="2:6">
      <c r="B1934">
        <v>2018</v>
      </c>
      <c r="C1934" t="s">
        <v>33</v>
      </c>
      <c r="D1934" t="s">
        <v>184</v>
      </c>
      <c r="E1934" t="s">
        <v>11</v>
      </c>
      <c r="F1934">
        <v>0.81762111186981201</v>
      </c>
    </row>
    <row r="1935" spans="2:6">
      <c r="B1935">
        <v>2018</v>
      </c>
      <c r="C1935" t="s">
        <v>33</v>
      </c>
      <c r="D1935" t="s">
        <v>184</v>
      </c>
      <c r="E1935" t="s">
        <v>12</v>
      </c>
      <c r="F1935">
        <v>-0.25414794683456421</v>
      </c>
    </row>
    <row r="1936" spans="2:6">
      <c r="B1936">
        <v>2018</v>
      </c>
      <c r="C1936" t="s">
        <v>33</v>
      </c>
      <c r="D1936" t="s">
        <v>184</v>
      </c>
      <c r="E1936" t="s">
        <v>13</v>
      </c>
      <c r="F1936">
        <v>0.80694544315338135</v>
      </c>
    </row>
    <row r="1937" spans="2:6">
      <c r="B1937">
        <v>2018</v>
      </c>
      <c r="C1937" t="s">
        <v>33</v>
      </c>
      <c r="D1937" t="s">
        <v>184</v>
      </c>
      <c r="E1937" t="s">
        <v>14</v>
      </c>
      <c r="F1937">
        <v>0.72964322566986084</v>
      </c>
    </row>
    <row r="1938" spans="2:6">
      <c r="B1938">
        <v>2018</v>
      </c>
      <c r="C1938" t="s">
        <v>33</v>
      </c>
      <c r="D1938" t="s">
        <v>184</v>
      </c>
      <c r="E1938" t="s">
        <v>15</v>
      </c>
      <c r="F1938">
        <v>0.26708370447158813</v>
      </c>
    </row>
    <row r="1939" spans="2:6">
      <c r="B1939">
        <v>2019</v>
      </c>
      <c r="C1939" t="s">
        <v>33</v>
      </c>
      <c r="D1939" t="s">
        <v>184</v>
      </c>
      <c r="E1939" t="s">
        <v>7</v>
      </c>
      <c r="F1939">
        <v>3.4710848331451416</v>
      </c>
    </row>
    <row r="1940" spans="2:6">
      <c r="B1940">
        <v>2019</v>
      </c>
      <c r="C1940" t="s">
        <v>33</v>
      </c>
      <c r="D1940" t="s">
        <v>184</v>
      </c>
      <c r="E1940" t="s">
        <v>8</v>
      </c>
      <c r="F1940">
        <v>9.785069465637207</v>
      </c>
    </row>
    <row r="1941" spans="2:6">
      <c r="B1941">
        <v>2019</v>
      </c>
      <c r="C1941" t="s">
        <v>33</v>
      </c>
      <c r="D1941" t="s">
        <v>184</v>
      </c>
      <c r="E1941" t="s">
        <v>9</v>
      </c>
      <c r="F1941">
        <v>0.77366721630096436</v>
      </c>
    </row>
    <row r="1942" spans="2:6">
      <c r="B1942">
        <v>2019</v>
      </c>
      <c r="C1942" t="s">
        <v>33</v>
      </c>
      <c r="D1942" t="s">
        <v>184</v>
      </c>
      <c r="E1942" t="s">
        <v>10</v>
      </c>
      <c r="F1942">
        <v>59.599998474121094</v>
      </c>
    </row>
    <row r="1943" spans="2:6">
      <c r="B1943">
        <v>2019</v>
      </c>
      <c r="C1943" t="s">
        <v>33</v>
      </c>
      <c r="D1943" t="s">
        <v>184</v>
      </c>
      <c r="E1943" t="s">
        <v>11</v>
      </c>
      <c r="F1943">
        <v>0.83254265785217285</v>
      </c>
    </row>
    <row r="1944" spans="2:6">
      <c r="B1944">
        <v>2019</v>
      </c>
      <c r="C1944" t="s">
        <v>33</v>
      </c>
      <c r="D1944" t="s">
        <v>184</v>
      </c>
      <c r="E1944" t="s">
        <v>12</v>
      </c>
      <c r="F1944">
        <v>-0.23900093138217926</v>
      </c>
    </row>
    <row r="1945" spans="2:6">
      <c r="B1945">
        <v>2019</v>
      </c>
      <c r="C1945" t="s">
        <v>33</v>
      </c>
      <c r="D1945" t="s">
        <v>184</v>
      </c>
      <c r="E1945" t="s">
        <v>13</v>
      </c>
      <c r="F1945">
        <v>0.79207950830459595</v>
      </c>
    </row>
    <row r="1946" spans="2:6">
      <c r="B1946">
        <v>2019</v>
      </c>
      <c r="C1946" t="s">
        <v>33</v>
      </c>
      <c r="D1946" t="s">
        <v>184</v>
      </c>
      <c r="E1946" t="s">
        <v>14</v>
      </c>
      <c r="F1946">
        <v>0.7117963433265686</v>
      </c>
    </row>
    <row r="1947" spans="2:6">
      <c r="B1947">
        <v>2019</v>
      </c>
      <c r="C1947" t="s">
        <v>33</v>
      </c>
      <c r="D1947" t="s">
        <v>184</v>
      </c>
      <c r="E1947" t="s">
        <v>15</v>
      </c>
      <c r="F1947">
        <v>0.27272176742553711</v>
      </c>
    </row>
    <row r="1948" spans="2:6">
      <c r="B1948">
        <v>2005</v>
      </c>
      <c r="C1948" t="s">
        <v>34</v>
      </c>
      <c r="D1948" t="s">
        <v>185</v>
      </c>
      <c r="E1948" t="s">
        <v>7</v>
      </c>
      <c r="F1948">
        <v>6.6367712020874023</v>
      </c>
    </row>
    <row r="1949" spans="2:6">
      <c r="B1949">
        <v>2005</v>
      </c>
      <c r="C1949" t="s">
        <v>34</v>
      </c>
      <c r="D1949" t="s">
        <v>185</v>
      </c>
      <c r="E1949" t="s">
        <v>8</v>
      </c>
      <c r="F1949">
        <v>9.4384174346923828</v>
      </c>
    </row>
    <row r="1950" spans="2:6">
      <c r="B1950">
        <v>2005</v>
      </c>
      <c r="C1950" t="s">
        <v>34</v>
      </c>
      <c r="D1950" t="s">
        <v>185</v>
      </c>
      <c r="E1950" t="s">
        <v>9</v>
      </c>
      <c r="F1950">
        <v>0.8829229474067688</v>
      </c>
    </row>
    <row r="1951" spans="2:6">
      <c r="B1951">
        <v>2005</v>
      </c>
      <c r="C1951" t="s">
        <v>34</v>
      </c>
      <c r="D1951" t="s">
        <v>185</v>
      </c>
      <c r="E1951" t="s">
        <v>10</v>
      </c>
      <c r="F1951">
        <v>63.299999237060547</v>
      </c>
    </row>
    <row r="1952" spans="2:6">
      <c r="B1952">
        <v>2005</v>
      </c>
      <c r="C1952" t="s">
        <v>34</v>
      </c>
      <c r="D1952" t="s">
        <v>185</v>
      </c>
      <c r="E1952" t="s">
        <v>11</v>
      </c>
      <c r="F1952">
        <v>0.88218611478805542</v>
      </c>
    </row>
    <row r="1953" spans="2:6">
      <c r="B1953">
        <v>2005</v>
      </c>
      <c r="C1953" t="s">
        <v>34</v>
      </c>
      <c r="D1953" t="s">
        <v>185</v>
      </c>
      <c r="E1953" t="s">
        <v>13</v>
      </c>
      <c r="F1953">
        <v>0.74499404430389404</v>
      </c>
    </row>
    <row r="1954" spans="2:6">
      <c r="B1954">
        <v>2005</v>
      </c>
      <c r="C1954" t="s">
        <v>34</v>
      </c>
      <c r="D1954" t="s">
        <v>185</v>
      </c>
      <c r="E1954" t="s">
        <v>14</v>
      </c>
      <c r="F1954">
        <v>0.81833744049072266</v>
      </c>
    </row>
    <row r="1955" spans="2:6">
      <c r="B1955">
        <v>2005</v>
      </c>
      <c r="C1955" t="s">
        <v>34</v>
      </c>
      <c r="D1955" t="s">
        <v>185</v>
      </c>
      <c r="E1955" t="s">
        <v>15</v>
      </c>
      <c r="F1955">
        <v>0.30177983641624451</v>
      </c>
    </row>
    <row r="1956" spans="2:6">
      <c r="B1956">
        <v>2007</v>
      </c>
      <c r="C1956" t="s">
        <v>34</v>
      </c>
      <c r="D1956" t="s">
        <v>185</v>
      </c>
      <c r="E1956" t="s">
        <v>7</v>
      </c>
      <c r="F1956">
        <v>6.3206729888916016</v>
      </c>
    </row>
    <row r="1957" spans="2:6">
      <c r="B1957">
        <v>2007</v>
      </c>
      <c r="C1957" t="s">
        <v>34</v>
      </c>
      <c r="D1957" t="s">
        <v>185</v>
      </c>
      <c r="E1957" t="s">
        <v>8</v>
      </c>
      <c r="F1957">
        <v>9.5149192810058594</v>
      </c>
    </row>
    <row r="1958" spans="2:6">
      <c r="B1958">
        <v>2007</v>
      </c>
      <c r="C1958" t="s">
        <v>34</v>
      </c>
      <c r="D1958" t="s">
        <v>185</v>
      </c>
      <c r="E1958" t="s">
        <v>9</v>
      </c>
      <c r="F1958">
        <v>0.886402428150177</v>
      </c>
    </row>
    <row r="1959" spans="2:6">
      <c r="B1959">
        <v>2007</v>
      </c>
      <c r="C1959" t="s">
        <v>34</v>
      </c>
      <c r="D1959" t="s">
        <v>185</v>
      </c>
      <c r="E1959" t="s">
        <v>10</v>
      </c>
      <c r="F1959">
        <v>63.779998779296875</v>
      </c>
    </row>
    <row r="1960" spans="2:6">
      <c r="B1960">
        <v>2007</v>
      </c>
      <c r="C1960" t="s">
        <v>34</v>
      </c>
      <c r="D1960" t="s">
        <v>185</v>
      </c>
      <c r="E1960" t="s">
        <v>11</v>
      </c>
      <c r="F1960">
        <v>0.77664482593536377</v>
      </c>
    </row>
    <row r="1961" spans="2:6">
      <c r="B1961">
        <v>2007</v>
      </c>
      <c r="C1961" t="s">
        <v>34</v>
      </c>
      <c r="D1961" t="s">
        <v>185</v>
      </c>
      <c r="E1961" t="s">
        <v>12</v>
      </c>
      <c r="F1961">
        <v>-1.6235250979661942E-2</v>
      </c>
    </row>
    <row r="1962" spans="2:6">
      <c r="B1962">
        <v>2007</v>
      </c>
      <c r="C1962" t="s">
        <v>34</v>
      </c>
      <c r="D1962" t="s">
        <v>185</v>
      </c>
      <c r="E1962" t="s">
        <v>13</v>
      </c>
      <c r="F1962">
        <v>0.728038489818573</v>
      </c>
    </row>
    <row r="1963" spans="2:6">
      <c r="B1963">
        <v>2007</v>
      </c>
      <c r="C1963" t="s">
        <v>34</v>
      </c>
      <c r="D1963" t="s">
        <v>185</v>
      </c>
      <c r="E1963" t="s">
        <v>14</v>
      </c>
      <c r="F1963">
        <v>0.85897642374038696</v>
      </c>
    </row>
    <row r="1964" spans="2:6">
      <c r="B1964">
        <v>2007</v>
      </c>
      <c r="C1964" t="s">
        <v>34</v>
      </c>
      <c r="D1964" t="s">
        <v>185</v>
      </c>
      <c r="E1964" t="s">
        <v>15</v>
      </c>
      <c r="F1964">
        <v>0.29922276735305786</v>
      </c>
    </row>
    <row r="1965" spans="2:6">
      <c r="B1965">
        <v>2008</v>
      </c>
      <c r="C1965" t="s">
        <v>34</v>
      </c>
      <c r="D1965" t="s">
        <v>185</v>
      </c>
      <c r="E1965" t="s">
        <v>7</v>
      </c>
      <c r="F1965">
        <v>6.6914248466491699</v>
      </c>
    </row>
    <row r="1966" spans="2:6">
      <c r="B1966">
        <v>2008</v>
      </c>
      <c r="C1966" t="s">
        <v>34</v>
      </c>
      <c r="D1966" t="s">
        <v>185</v>
      </c>
      <c r="E1966" t="s">
        <v>8</v>
      </c>
      <c r="F1966">
        <v>9.5546636581420898</v>
      </c>
    </row>
    <row r="1967" spans="2:6">
      <c r="B1967">
        <v>2008</v>
      </c>
      <c r="C1967" t="s">
        <v>34</v>
      </c>
      <c r="D1967" t="s">
        <v>185</v>
      </c>
      <c r="E1967" t="s">
        <v>9</v>
      </c>
      <c r="F1967">
        <v>0.87810754776000977</v>
      </c>
    </row>
    <row r="1968" spans="2:6">
      <c r="B1968">
        <v>2008</v>
      </c>
      <c r="C1968" t="s">
        <v>34</v>
      </c>
      <c r="D1968" t="s">
        <v>185</v>
      </c>
      <c r="E1968" t="s">
        <v>10</v>
      </c>
      <c r="F1968">
        <v>64.019996643066406</v>
      </c>
    </row>
    <row r="1969" spans="2:6">
      <c r="B1969">
        <v>2008</v>
      </c>
      <c r="C1969" t="s">
        <v>34</v>
      </c>
      <c r="D1969" t="s">
        <v>185</v>
      </c>
      <c r="E1969" t="s">
        <v>11</v>
      </c>
      <c r="F1969">
        <v>0.78193110227584839</v>
      </c>
    </row>
    <row r="1970" spans="2:6">
      <c r="B1970">
        <v>2008</v>
      </c>
      <c r="C1970" t="s">
        <v>34</v>
      </c>
      <c r="D1970" t="s">
        <v>185</v>
      </c>
      <c r="E1970" t="s">
        <v>12</v>
      </c>
      <c r="F1970">
        <v>-7.7661357820034027E-2</v>
      </c>
    </row>
    <row r="1971" spans="2:6">
      <c r="B1971">
        <v>2008</v>
      </c>
      <c r="C1971" t="s">
        <v>34</v>
      </c>
      <c r="D1971" t="s">
        <v>185</v>
      </c>
      <c r="E1971" t="s">
        <v>13</v>
      </c>
      <c r="F1971">
        <v>0.68827277421951294</v>
      </c>
    </row>
    <row r="1972" spans="2:6">
      <c r="B1972">
        <v>2008</v>
      </c>
      <c r="C1972" t="s">
        <v>34</v>
      </c>
      <c r="D1972" t="s">
        <v>185</v>
      </c>
      <c r="E1972" t="s">
        <v>14</v>
      </c>
      <c r="F1972">
        <v>0.82027167081832886</v>
      </c>
    </row>
    <row r="1973" spans="2:6">
      <c r="B1973">
        <v>2008</v>
      </c>
      <c r="C1973" t="s">
        <v>34</v>
      </c>
      <c r="D1973" t="s">
        <v>185</v>
      </c>
      <c r="E1973" t="s">
        <v>15</v>
      </c>
      <c r="F1973">
        <v>0.26548552513122559</v>
      </c>
    </row>
    <row r="1974" spans="2:6">
      <c r="B1974">
        <v>2009</v>
      </c>
      <c r="C1974" t="s">
        <v>34</v>
      </c>
      <c r="D1974" t="s">
        <v>185</v>
      </c>
      <c r="E1974" t="s">
        <v>7</v>
      </c>
      <c r="F1974">
        <v>7.0008316040039063</v>
      </c>
    </row>
    <row r="1975" spans="2:6">
      <c r="B1975">
        <v>2009</v>
      </c>
      <c r="C1975" t="s">
        <v>34</v>
      </c>
      <c r="D1975" t="s">
        <v>185</v>
      </c>
      <c r="E1975" t="s">
        <v>8</v>
      </c>
      <c r="F1975">
        <v>9.5437850952148438</v>
      </c>
    </row>
    <row r="1976" spans="2:6">
      <c r="B1976">
        <v>2009</v>
      </c>
      <c r="C1976" t="s">
        <v>34</v>
      </c>
      <c r="D1976" t="s">
        <v>185</v>
      </c>
      <c r="E1976" t="s">
        <v>9</v>
      </c>
      <c r="F1976">
        <v>0.91281807422637939</v>
      </c>
    </row>
    <row r="1977" spans="2:6">
      <c r="B1977">
        <v>2009</v>
      </c>
      <c r="C1977" t="s">
        <v>34</v>
      </c>
      <c r="D1977" t="s">
        <v>185</v>
      </c>
      <c r="E1977" t="s">
        <v>10</v>
      </c>
      <c r="F1977">
        <v>64.260002136230469</v>
      </c>
    </row>
    <row r="1978" spans="2:6">
      <c r="B1978">
        <v>2009</v>
      </c>
      <c r="C1978" t="s">
        <v>34</v>
      </c>
      <c r="D1978" t="s">
        <v>185</v>
      </c>
      <c r="E1978" t="s">
        <v>11</v>
      </c>
      <c r="F1978">
        <v>0.76671606302261353</v>
      </c>
    </row>
    <row r="1979" spans="2:6">
      <c r="B1979">
        <v>2009</v>
      </c>
      <c r="C1979" t="s">
        <v>34</v>
      </c>
      <c r="D1979" t="s">
        <v>185</v>
      </c>
      <c r="E1979" t="s">
        <v>12</v>
      </c>
      <c r="F1979">
        <v>-5.5251944810152054E-2</v>
      </c>
    </row>
    <row r="1980" spans="2:6">
      <c r="B1980">
        <v>2009</v>
      </c>
      <c r="C1980" t="s">
        <v>34</v>
      </c>
      <c r="D1980" t="s">
        <v>185</v>
      </c>
      <c r="E1980" t="s">
        <v>13</v>
      </c>
      <c r="F1980">
        <v>0.72251498699188232</v>
      </c>
    </row>
    <row r="1981" spans="2:6">
      <c r="B1981">
        <v>2009</v>
      </c>
      <c r="C1981" t="s">
        <v>34</v>
      </c>
      <c r="D1981" t="s">
        <v>185</v>
      </c>
      <c r="E1981" t="s">
        <v>14</v>
      </c>
      <c r="F1981">
        <v>0.83250480890274048</v>
      </c>
    </row>
    <row r="1982" spans="2:6">
      <c r="B1982">
        <v>2009</v>
      </c>
      <c r="C1982" t="s">
        <v>34</v>
      </c>
      <c r="D1982" t="s">
        <v>185</v>
      </c>
      <c r="E1982" t="s">
        <v>15</v>
      </c>
      <c r="F1982">
        <v>0.27410316467285156</v>
      </c>
    </row>
    <row r="1983" spans="2:6">
      <c r="B1983">
        <v>2010</v>
      </c>
      <c r="C1983" t="s">
        <v>34</v>
      </c>
      <c r="D1983" t="s">
        <v>185</v>
      </c>
      <c r="E1983" t="s">
        <v>7</v>
      </c>
      <c r="F1983">
        <v>6.8373312950134277</v>
      </c>
    </row>
    <row r="1984" spans="2:6">
      <c r="B1984">
        <v>2010</v>
      </c>
      <c r="C1984" t="s">
        <v>34</v>
      </c>
      <c r="D1984" t="s">
        <v>185</v>
      </c>
      <c r="E1984" t="s">
        <v>8</v>
      </c>
      <c r="F1984">
        <v>9.6069889068603516</v>
      </c>
    </row>
    <row r="1985" spans="2:6">
      <c r="B1985">
        <v>2010</v>
      </c>
      <c r="C1985" t="s">
        <v>34</v>
      </c>
      <c r="D1985" t="s">
        <v>185</v>
      </c>
      <c r="E1985" t="s">
        <v>9</v>
      </c>
      <c r="F1985">
        <v>0.90552812814712524</v>
      </c>
    </row>
    <row r="1986" spans="2:6">
      <c r="B1986">
        <v>2010</v>
      </c>
      <c r="C1986" t="s">
        <v>34</v>
      </c>
      <c r="D1986" t="s">
        <v>185</v>
      </c>
      <c r="E1986" t="s">
        <v>10</v>
      </c>
      <c r="F1986">
        <v>64.5</v>
      </c>
    </row>
    <row r="1987" spans="2:6">
      <c r="B1987">
        <v>2010</v>
      </c>
      <c r="C1987" t="s">
        <v>34</v>
      </c>
      <c r="D1987" t="s">
        <v>185</v>
      </c>
      <c r="E1987" t="s">
        <v>11</v>
      </c>
      <c r="F1987">
        <v>0.80594927072525024</v>
      </c>
    </row>
    <row r="1988" spans="2:6">
      <c r="B1988">
        <v>2010</v>
      </c>
      <c r="C1988" t="s">
        <v>34</v>
      </c>
      <c r="D1988" t="s">
        <v>185</v>
      </c>
      <c r="E1988" t="s">
        <v>12</v>
      </c>
      <c r="F1988">
        <v>-5.3968582302331924E-2</v>
      </c>
    </row>
    <row r="1989" spans="2:6">
      <c r="B1989">
        <v>2010</v>
      </c>
      <c r="C1989" t="s">
        <v>34</v>
      </c>
      <c r="D1989" t="s">
        <v>185</v>
      </c>
      <c r="E1989" t="s">
        <v>13</v>
      </c>
      <c r="F1989">
        <v>0.65603607892990112</v>
      </c>
    </row>
    <row r="1990" spans="2:6">
      <c r="B1990">
        <v>2010</v>
      </c>
      <c r="C1990" t="s">
        <v>34</v>
      </c>
      <c r="D1990" t="s">
        <v>185</v>
      </c>
      <c r="E1990" t="s">
        <v>14</v>
      </c>
      <c r="F1990">
        <v>0.81665492057800293</v>
      </c>
    </row>
    <row r="1991" spans="2:6">
      <c r="B1991">
        <v>2010</v>
      </c>
      <c r="C1991" t="s">
        <v>34</v>
      </c>
      <c r="D1991" t="s">
        <v>185</v>
      </c>
      <c r="E1991" t="s">
        <v>15</v>
      </c>
      <c r="F1991">
        <v>0.24988122284412384</v>
      </c>
    </row>
    <row r="1992" spans="2:6">
      <c r="B1992">
        <v>2011</v>
      </c>
      <c r="C1992" t="s">
        <v>34</v>
      </c>
      <c r="D1992" t="s">
        <v>185</v>
      </c>
      <c r="E1992" t="s">
        <v>7</v>
      </c>
      <c r="F1992">
        <v>7.0378165245056152</v>
      </c>
    </row>
    <row r="1993" spans="2:6">
      <c r="B1993">
        <v>2011</v>
      </c>
      <c r="C1993" t="s">
        <v>34</v>
      </c>
      <c r="D1993" t="s">
        <v>185</v>
      </c>
      <c r="E1993" t="s">
        <v>8</v>
      </c>
      <c r="F1993">
        <v>9.6368036270141602</v>
      </c>
    </row>
    <row r="1994" spans="2:6">
      <c r="B1994">
        <v>2011</v>
      </c>
      <c r="C1994" t="s">
        <v>34</v>
      </c>
      <c r="D1994" t="s">
        <v>185</v>
      </c>
      <c r="E1994" t="s">
        <v>9</v>
      </c>
      <c r="F1994">
        <v>0.91625291109085083</v>
      </c>
    </row>
    <row r="1995" spans="2:6">
      <c r="B1995">
        <v>2011</v>
      </c>
      <c r="C1995" t="s">
        <v>34</v>
      </c>
      <c r="D1995" t="s">
        <v>185</v>
      </c>
      <c r="E1995" t="s">
        <v>10</v>
      </c>
      <c r="F1995">
        <v>64.760002136230469</v>
      </c>
    </row>
    <row r="1996" spans="2:6">
      <c r="B1996">
        <v>2011</v>
      </c>
      <c r="C1996" t="s">
        <v>34</v>
      </c>
      <c r="D1996" t="s">
        <v>185</v>
      </c>
      <c r="E1996" t="s">
        <v>11</v>
      </c>
      <c r="F1996">
        <v>0.83365577459335327</v>
      </c>
    </row>
    <row r="1997" spans="2:6">
      <c r="B1997">
        <v>2011</v>
      </c>
      <c r="C1997" t="s">
        <v>34</v>
      </c>
      <c r="D1997" t="s">
        <v>185</v>
      </c>
      <c r="E1997" t="s">
        <v>12</v>
      </c>
      <c r="F1997">
        <v>-7.2337277233600616E-2</v>
      </c>
    </row>
    <row r="1998" spans="2:6">
      <c r="B1998">
        <v>2011</v>
      </c>
      <c r="C1998" t="s">
        <v>34</v>
      </c>
      <c r="D1998" t="s">
        <v>185</v>
      </c>
      <c r="E1998" t="s">
        <v>13</v>
      </c>
      <c r="F1998">
        <v>0.66216671466827393</v>
      </c>
    </row>
    <row r="1999" spans="2:6">
      <c r="B1999">
        <v>2011</v>
      </c>
      <c r="C1999" t="s">
        <v>34</v>
      </c>
      <c r="D1999" t="s">
        <v>185</v>
      </c>
      <c r="E1999" t="s">
        <v>14</v>
      </c>
      <c r="F1999">
        <v>0.80746698379516602</v>
      </c>
    </row>
    <row r="2000" spans="2:6">
      <c r="B2000">
        <v>2011</v>
      </c>
      <c r="C2000" t="s">
        <v>34</v>
      </c>
      <c r="D2000" t="s">
        <v>185</v>
      </c>
      <c r="E2000" t="s">
        <v>15</v>
      </c>
      <c r="F2000">
        <v>0.26752421259880066</v>
      </c>
    </row>
    <row r="2001" spans="2:6">
      <c r="B2001">
        <v>2012</v>
      </c>
      <c r="C2001" t="s">
        <v>34</v>
      </c>
      <c r="D2001" t="s">
        <v>185</v>
      </c>
      <c r="E2001" t="s">
        <v>7</v>
      </c>
      <c r="F2001">
        <v>6.660003662109375</v>
      </c>
    </row>
    <row r="2002" spans="2:6">
      <c r="B2002">
        <v>2012</v>
      </c>
      <c r="C2002" t="s">
        <v>34</v>
      </c>
      <c r="D2002" t="s">
        <v>185</v>
      </c>
      <c r="E2002" t="s">
        <v>8</v>
      </c>
      <c r="F2002">
        <v>9.6468982696533203</v>
      </c>
    </row>
    <row r="2003" spans="2:6">
      <c r="B2003">
        <v>2012</v>
      </c>
      <c r="C2003" t="s">
        <v>34</v>
      </c>
      <c r="D2003" t="s">
        <v>185</v>
      </c>
      <c r="E2003" t="s">
        <v>9</v>
      </c>
      <c r="F2003">
        <v>0.89031410217285156</v>
      </c>
    </row>
    <row r="2004" spans="2:6">
      <c r="B2004">
        <v>2012</v>
      </c>
      <c r="C2004" t="s">
        <v>34</v>
      </c>
      <c r="D2004" t="s">
        <v>185</v>
      </c>
      <c r="E2004" t="s">
        <v>10</v>
      </c>
      <c r="F2004">
        <v>65.019996643066406</v>
      </c>
    </row>
    <row r="2005" spans="2:6">
      <c r="B2005">
        <v>2012</v>
      </c>
      <c r="C2005" t="s">
        <v>34</v>
      </c>
      <c r="D2005" t="s">
        <v>185</v>
      </c>
      <c r="E2005" t="s">
        <v>11</v>
      </c>
      <c r="F2005">
        <v>0.84860634803771973</v>
      </c>
    </row>
    <row r="2006" spans="2:6">
      <c r="B2006">
        <v>2012</v>
      </c>
      <c r="C2006" t="s">
        <v>34</v>
      </c>
      <c r="D2006" t="s">
        <v>185</v>
      </c>
      <c r="E2006" t="s">
        <v>13</v>
      </c>
      <c r="F2006">
        <v>0.62254315614700317</v>
      </c>
    </row>
    <row r="2007" spans="2:6">
      <c r="B2007">
        <v>2012</v>
      </c>
      <c r="C2007" t="s">
        <v>34</v>
      </c>
      <c r="D2007" t="s">
        <v>185</v>
      </c>
      <c r="E2007" t="s">
        <v>14</v>
      </c>
      <c r="F2007">
        <v>0.75462490320205688</v>
      </c>
    </row>
    <row r="2008" spans="2:6">
      <c r="B2008">
        <v>2012</v>
      </c>
      <c r="C2008" t="s">
        <v>34</v>
      </c>
      <c r="D2008" t="s">
        <v>185</v>
      </c>
      <c r="E2008" t="s">
        <v>15</v>
      </c>
      <c r="F2008">
        <v>0.34975868463516235</v>
      </c>
    </row>
    <row r="2009" spans="2:6">
      <c r="B2009">
        <v>2013</v>
      </c>
      <c r="C2009" t="s">
        <v>34</v>
      </c>
      <c r="D2009" t="s">
        <v>185</v>
      </c>
      <c r="E2009" t="s">
        <v>7</v>
      </c>
      <c r="F2009">
        <v>7.1402826309204102</v>
      </c>
    </row>
    <row r="2010" spans="2:6">
      <c r="B2010">
        <v>2013</v>
      </c>
      <c r="C2010" t="s">
        <v>34</v>
      </c>
      <c r="D2010" t="s">
        <v>185</v>
      </c>
      <c r="E2010" t="s">
        <v>8</v>
      </c>
      <c r="F2010">
        <v>9.6677675247192383</v>
      </c>
    </row>
    <row r="2011" spans="2:6">
      <c r="B2011">
        <v>2013</v>
      </c>
      <c r="C2011" t="s">
        <v>34</v>
      </c>
      <c r="D2011" t="s">
        <v>185</v>
      </c>
      <c r="E2011" t="s">
        <v>9</v>
      </c>
      <c r="F2011">
        <v>0.91042172908782959</v>
      </c>
    </row>
    <row r="2012" spans="2:6">
      <c r="B2012">
        <v>2013</v>
      </c>
      <c r="C2012" t="s">
        <v>34</v>
      </c>
      <c r="D2012" t="s">
        <v>185</v>
      </c>
      <c r="E2012" t="s">
        <v>10</v>
      </c>
      <c r="F2012">
        <v>65.279998779296875</v>
      </c>
    </row>
    <row r="2013" spans="2:6">
      <c r="B2013">
        <v>2013</v>
      </c>
      <c r="C2013" t="s">
        <v>34</v>
      </c>
      <c r="D2013" t="s">
        <v>185</v>
      </c>
      <c r="E2013" t="s">
        <v>11</v>
      </c>
      <c r="F2013">
        <v>0.78481495380401611</v>
      </c>
    </row>
    <row r="2014" spans="2:6">
      <c r="B2014">
        <v>2013</v>
      </c>
      <c r="C2014" t="s">
        <v>34</v>
      </c>
      <c r="D2014" t="s">
        <v>185</v>
      </c>
      <c r="E2014" t="s">
        <v>12</v>
      </c>
      <c r="F2014">
        <v>-9.4682380557060242E-2</v>
      </c>
    </row>
    <row r="2015" spans="2:6">
      <c r="B2015">
        <v>2013</v>
      </c>
      <c r="C2015" t="s">
        <v>34</v>
      </c>
      <c r="D2015" t="s">
        <v>185</v>
      </c>
      <c r="E2015" t="s">
        <v>13</v>
      </c>
      <c r="F2015">
        <v>0.70695418119430542</v>
      </c>
    </row>
    <row r="2016" spans="2:6">
      <c r="B2016">
        <v>2013</v>
      </c>
      <c r="C2016" t="s">
        <v>34</v>
      </c>
      <c r="D2016" t="s">
        <v>185</v>
      </c>
      <c r="E2016" t="s">
        <v>14</v>
      </c>
      <c r="F2016">
        <v>0.81766206026077271</v>
      </c>
    </row>
    <row r="2017" spans="2:6">
      <c r="B2017">
        <v>2013</v>
      </c>
      <c r="C2017" t="s">
        <v>34</v>
      </c>
      <c r="D2017" t="s">
        <v>185</v>
      </c>
      <c r="E2017" t="s">
        <v>15</v>
      </c>
      <c r="F2017">
        <v>0.27566775679588318</v>
      </c>
    </row>
    <row r="2018" spans="2:6">
      <c r="B2018">
        <v>2014</v>
      </c>
      <c r="C2018" t="s">
        <v>34</v>
      </c>
      <c r="D2018" t="s">
        <v>185</v>
      </c>
      <c r="E2018" t="s">
        <v>7</v>
      </c>
      <c r="F2018">
        <v>6.9809989929199219</v>
      </c>
    </row>
    <row r="2019" spans="2:6">
      <c r="B2019">
        <v>2014</v>
      </c>
      <c r="C2019" t="s">
        <v>34</v>
      </c>
      <c r="D2019" t="s">
        <v>185</v>
      </c>
      <c r="E2019" t="s">
        <v>8</v>
      </c>
      <c r="F2019">
        <v>9.6642370223999023</v>
      </c>
    </row>
    <row r="2020" spans="2:6">
      <c r="B2020">
        <v>2014</v>
      </c>
      <c r="C2020" t="s">
        <v>34</v>
      </c>
      <c r="D2020" t="s">
        <v>185</v>
      </c>
      <c r="E2020" t="s">
        <v>9</v>
      </c>
      <c r="F2020">
        <v>0.89831644296646118</v>
      </c>
    </row>
    <row r="2021" spans="2:6">
      <c r="B2021">
        <v>2014</v>
      </c>
      <c r="C2021" t="s">
        <v>34</v>
      </c>
      <c r="D2021" t="s">
        <v>185</v>
      </c>
      <c r="E2021" t="s">
        <v>10</v>
      </c>
      <c r="F2021">
        <v>65.540000915527344</v>
      </c>
    </row>
    <row r="2022" spans="2:6">
      <c r="B2022">
        <v>2014</v>
      </c>
      <c r="C2022" t="s">
        <v>34</v>
      </c>
      <c r="D2022" t="s">
        <v>185</v>
      </c>
      <c r="E2022" t="s">
        <v>11</v>
      </c>
      <c r="F2022">
        <v>0.71381431818008423</v>
      </c>
    </row>
    <row r="2023" spans="2:6">
      <c r="B2023">
        <v>2014</v>
      </c>
      <c r="C2023" t="s">
        <v>34</v>
      </c>
      <c r="D2023" t="s">
        <v>185</v>
      </c>
      <c r="E2023" t="s">
        <v>12</v>
      </c>
      <c r="F2023">
        <v>-0.11517127603292465</v>
      </c>
    </row>
    <row r="2024" spans="2:6">
      <c r="B2024">
        <v>2014</v>
      </c>
      <c r="C2024" t="s">
        <v>34</v>
      </c>
      <c r="D2024" t="s">
        <v>185</v>
      </c>
      <c r="E2024" t="s">
        <v>13</v>
      </c>
      <c r="F2024">
        <v>0.71030342578887939</v>
      </c>
    </row>
    <row r="2025" spans="2:6">
      <c r="B2025">
        <v>2014</v>
      </c>
      <c r="C2025" t="s">
        <v>34</v>
      </c>
      <c r="D2025" t="s">
        <v>185</v>
      </c>
      <c r="E2025" t="s">
        <v>14</v>
      </c>
      <c r="F2025">
        <v>0.78822994232177734</v>
      </c>
    </row>
    <row r="2026" spans="2:6">
      <c r="B2026">
        <v>2014</v>
      </c>
      <c r="C2026" t="s">
        <v>34</v>
      </c>
      <c r="D2026" t="s">
        <v>185</v>
      </c>
      <c r="E2026" t="s">
        <v>15</v>
      </c>
      <c r="F2026">
        <v>0.27354052662849426</v>
      </c>
    </row>
    <row r="2027" spans="2:6">
      <c r="B2027">
        <v>2015</v>
      </c>
      <c r="C2027" t="s">
        <v>34</v>
      </c>
      <c r="D2027" t="s">
        <v>185</v>
      </c>
      <c r="E2027" t="s">
        <v>7</v>
      </c>
      <c r="F2027">
        <v>6.5468969345092773</v>
      </c>
    </row>
    <row r="2028" spans="2:6">
      <c r="B2028">
        <v>2015</v>
      </c>
      <c r="C2028" t="s">
        <v>34</v>
      </c>
      <c r="D2028" t="s">
        <v>185</v>
      </c>
      <c r="E2028" t="s">
        <v>8</v>
      </c>
      <c r="F2028">
        <v>9.619746208190918</v>
      </c>
    </row>
    <row r="2029" spans="2:6">
      <c r="B2029">
        <v>2015</v>
      </c>
      <c r="C2029" t="s">
        <v>34</v>
      </c>
      <c r="D2029" t="s">
        <v>185</v>
      </c>
      <c r="E2029" t="s">
        <v>9</v>
      </c>
      <c r="F2029">
        <v>0.90669310092926025</v>
      </c>
    </row>
    <row r="2030" spans="2:6">
      <c r="B2030">
        <v>2015</v>
      </c>
      <c r="C2030" t="s">
        <v>34</v>
      </c>
      <c r="D2030" t="s">
        <v>185</v>
      </c>
      <c r="E2030" t="s">
        <v>10</v>
      </c>
      <c r="F2030">
        <v>65.800003051757813</v>
      </c>
    </row>
    <row r="2031" spans="2:6">
      <c r="B2031">
        <v>2015</v>
      </c>
      <c r="C2031" t="s">
        <v>34</v>
      </c>
      <c r="D2031" t="s">
        <v>185</v>
      </c>
      <c r="E2031" t="s">
        <v>11</v>
      </c>
      <c r="F2031">
        <v>0.79893529415130615</v>
      </c>
    </row>
    <row r="2032" spans="2:6">
      <c r="B2032">
        <v>2015</v>
      </c>
      <c r="C2032" t="s">
        <v>34</v>
      </c>
      <c r="D2032" t="s">
        <v>185</v>
      </c>
      <c r="E2032" t="s">
        <v>12</v>
      </c>
      <c r="F2032">
        <v>-1.5561512671411037E-2</v>
      </c>
    </row>
    <row r="2033" spans="2:6">
      <c r="B2033">
        <v>2015</v>
      </c>
      <c r="C2033" t="s">
        <v>34</v>
      </c>
      <c r="D2033" t="s">
        <v>185</v>
      </c>
      <c r="E2033" t="s">
        <v>13</v>
      </c>
      <c r="F2033">
        <v>0.7713390588760376</v>
      </c>
    </row>
    <row r="2034" spans="2:6">
      <c r="B2034">
        <v>2015</v>
      </c>
      <c r="C2034" t="s">
        <v>34</v>
      </c>
      <c r="D2034" t="s">
        <v>185</v>
      </c>
      <c r="E2034" t="s">
        <v>14</v>
      </c>
      <c r="F2034">
        <v>0.75519400835037231</v>
      </c>
    </row>
    <row r="2035" spans="2:6">
      <c r="B2035">
        <v>2015</v>
      </c>
      <c r="C2035" t="s">
        <v>34</v>
      </c>
      <c r="D2035" t="s">
        <v>185</v>
      </c>
      <c r="E2035" t="s">
        <v>15</v>
      </c>
      <c r="F2035">
        <v>0.32469910383224487</v>
      </c>
    </row>
    <row r="2036" spans="2:6">
      <c r="B2036">
        <v>2016</v>
      </c>
      <c r="C2036" t="s">
        <v>34</v>
      </c>
      <c r="D2036" t="s">
        <v>185</v>
      </c>
      <c r="E2036" t="s">
        <v>7</v>
      </c>
      <c r="F2036">
        <v>6.3748173713684082</v>
      </c>
    </row>
    <row r="2037" spans="2:6">
      <c r="B2037">
        <v>2016</v>
      </c>
      <c r="C2037" t="s">
        <v>34</v>
      </c>
      <c r="D2037" t="s">
        <v>185</v>
      </c>
      <c r="E2037" t="s">
        <v>8</v>
      </c>
      <c r="F2037">
        <v>9.5782012939453125</v>
      </c>
    </row>
    <row r="2038" spans="2:6">
      <c r="B2038">
        <v>2016</v>
      </c>
      <c r="C2038" t="s">
        <v>34</v>
      </c>
      <c r="D2038" t="s">
        <v>185</v>
      </c>
      <c r="E2038" t="s">
        <v>9</v>
      </c>
      <c r="F2038">
        <v>0.91245514154434204</v>
      </c>
    </row>
    <row r="2039" spans="2:6">
      <c r="B2039">
        <v>2016</v>
      </c>
      <c r="C2039" t="s">
        <v>34</v>
      </c>
      <c r="D2039" t="s">
        <v>185</v>
      </c>
      <c r="E2039" t="s">
        <v>10</v>
      </c>
      <c r="F2039">
        <v>66</v>
      </c>
    </row>
    <row r="2040" spans="2:6">
      <c r="B2040">
        <v>2016</v>
      </c>
      <c r="C2040" t="s">
        <v>34</v>
      </c>
      <c r="D2040" t="s">
        <v>185</v>
      </c>
      <c r="E2040" t="s">
        <v>11</v>
      </c>
      <c r="F2040">
        <v>0.80657154321670532</v>
      </c>
    </row>
    <row r="2041" spans="2:6">
      <c r="B2041">
        <v>2016</v>
      </c>
      <c r="C2041" t="s">
        <v>34</v>
      </c>
      <c r="D2041" t="s">
        <v>185</v>
      </c>
      <c r="E2041" t="s">
        <v>12</v>
      </c>
      <c r="F2041">
        <v>-0.10031595081090927</v>
      </c>
    </row>
    <row r="2042" spans="2:6">
      <c r="B2042">
        <v>2016</v>
      </c>
      <c r="C2042" t="s">
        <v>34</v>
      </c>
      <c r="D2042" t="s">
        <v>185</v>
      </c>
      <c r="E2042" t="s">
        <v>13</v>
      </c>
      <c r="F2042">
        <v>0.78109276294708252</v>
      </c>
    </row>
    <row r="2043" spans="2:6">
      <c r="B2043">
        <v>2016</v>
      </c>
      <c r="C2043" t="s">
        <v>34</v>
      </c>
      <c r="D2043" t="s">
        <v>185</v>
      </c>
      <c r="E2043" t="s">
        <v>14</v>
      </c>
      <c r="F2043">
        <v>0.76311242580413818</v>
      </c>
    </row>
    <row r="2044" spans="2:6">
      <c r="B2044">
        <v>2016</v>
      </c>
      <c r="C2044" t="s">
        <v>34</v>
      </c>
      <c r="D2044" t="s">
        <v>185</v>
      </c>
      <c r="E2044" t="s">
        <v>15</v>
      </c>
      <c r="F2044">
        <v>0.302083820104599</v>
      </c>
    </row>
    <row r="2045" spans="2:6">
      <c r="B2045">
        <v>2017</v>
      </c>
      <c r="C2045" t="s">
        <v>34</v>
      </c>
      <c r="D2045" t="s">
        <v>185</v>
      </c>
      <c r="E2045" t="s">
        <v>7</v>
      </c>
      <c r="F2045">
        <v>6.3329291343688965</v>
      </c>
    </row>
    <row r="2046" spans="2:6">
      <c r="B2046">
        <v>2017</v>
      </c>
      <c r="C2046" t="s">
        <v>34</v>
      </c>
      <c r="D2046" t="s">
        <v>185</v>
      </c>
      <c r="E2046" t="s">
        <v>8</v>
      </c>
      <c r="F2046">
        <v>9.5832719802856445</v>
      </c>
    </row>
    <row r="2047" spans="2:6">
      <c r="B2047">
        <v>2017</v>
      </c>
      <c r="C2047" t="s">
        <v>34</v>
      </c>
      <c r="D2047" t="s">
        <v>185</v>
      </c>
      <c r="E2047" t="s">
        <v>9</v>
      </c>
      <c r="F2047">
        <v>0.90469425916671753</v>
      </c>
    </row>
    <row r="2048" spans="2:6">
      <c r="B2048">
        <v>2017</v>
      </c>
      <c r="C2048" t="s">
        <v>34</v>
      </c>
      <c r="D2048" t="s">
        <v>185</v>
      </c>
      <c r="E2048" t="s">
        <v>10</v>
      </c>
      <c r="F2048">
        <v>66.199996948242188</v>
      </c>
    </row>
    <row r="2049" spans="2:6">
      <c r="B2049">
        <v>2017</v>
      </c>
      <c r="C2049" t="s">
        <v>34</v>
      </c>
      <c r="D2049" t="s">
        <v>185</v>
      </c>
      <c r="E2049" t="s">
        <v>11</v>
      </c>
      <c r="F2049">
        <v>0.76479256153106689</v>
      </c>
    </row>
    <row r="2050" spans="2:6">
      <c r="B2050">
        <v>2017</v>
      </c>
      <c r="C2050" t="s">
        <v>34</v>
      </c>
      <c r="D2050" t="s">
        <v>185</v>
      </c>
      <c r="E2050" t="s">
        <v>12</v>
      </c>
      <c r="F2050">
        <v>-0.1751282662153244</v>
      </c>
    </row>
    <row r="2051" spans="2:6">
      <c r="B2051">
        <v>2017</v>
      </c>
      <c r="C2051" t="s">
        <v>34</v>
      </c>
      <c r="D2051" t="s">
        <v>185</v>
      </c>
      <c r="E2051" t="s">
        <v>13</v>
      </c>
      <c r="F2051">
        <v>0.79445737600326538</v>
      </c>
    </row>
    <row r="2052" spans="2:6">
      <c r="B2052">
        <v>2017</v>
      </c>
      <c r="C2052" t="s">
        <v>34</v>
      </c>
      <c r="D2052" t="s">
        <v>185</v>
      </c>
      <c r="E2052" t="s">
        <v>14</v>
      </c>
      <c r="F2052">
        <v>0.71594512462615967</v>
      </c>
    </row>
    <row r="2053" spans="2:6">
      <c r="B2053">
        <v>2017</v>
      </c>
      <c r="C2053" t="s">
        <v>34</v>
      </c>
      <c r="D2053" t="s">
        <v>185</v>
      </c>
      <c r="E2053" t="s">
        <v>15</v>
      </c>
      <c r="F2053">
        <v>0.30771690607070923</v>
      </c>
    </row>
    <row r="2054" spans="2:6">
      <c r="B2054">
        <v>2018</v>
      </c>
      <c r="C2054" t="s">
        <v>34</v>
      </c>
      <c r="D2054" t="s">
        <v>185</v>
      </c>
      <c r="E2054" t="s">
        <v>7</v>
      </c>
      <c r="F2054">
        <v>6.1909217834472656</v>
      </c>
    </row>
    <row r="2055" spans="2:6">
      <c r="B2055">
        <v>2018</v>
      </c>
      <c r="C2055" t="s">
        <v>34</v>
      </c>
      <c r="D2055" t="s">
        <v>185</v>
      </c>
      <c r="E2055" t="s">
        <v>8</v>
      </c>
      <c r="F2055">
        <v>9.5885200500488281</v>
      </c>
    </row>
    <row r="2056" spans="2:6">
      <c r="B2056">
        <v>2018</v>
      </c>
      <c r="C2056" t="s">
        <v>34</v>
      </c>
      <c r="D2056" t="s">
        <v>185</v>
      </c>
      <c r="E2056" t="s">
        <v>9</v>
      </c>
      <c r="F2056">
        <v>0.88150525093078613</v>
      </c>
    </row>
    <row r="2057" spans="2:6">
      <c r="B2057">
        <v>2018</v>
      </c>
      <c r="C2057" t="s">
        <v>34</v>
      </c>
      <c r="D2057" t="s">
        <v>185</v>
      </c>
      <c r="E2057" t="s">
        <v>10</v>
      </c>
      <c r="F2057">
        <v>66.400001525878906</v>
      </c>
    </row>
    <row r="2058" spans="2:6">
      <c r="B2058">
        <v>2018</v>
      </c>
      <c r="C2058" t="s">
        <v>34</v>
      </c>
      <c r="D2058" t="s">
        <v>185</v>
      </c>
      <c r="E2058" t="s">
        <v>11</v>
      </c>
      <c r="F2058">
        <v>0.75060904026031494</v>
      </c>
    </row>
    <row r="2059" spans="2:6">
      <c r="B2059">
        <v>2018</v>
      </c>
      <c r="C2059" t="s">
        <v>34</v>
      </c>
      <c r="D2059" t="s">
        <v>185</v>
      </c>
      <c r="E2059" t="s">
        <v>12</v>
      </c>
      <c r="F2059">
        <v>-0.11700194329023361</v>
      </c>
    </row>
    <row r="2060" spans="2:6">
      <c r="B2060">
        <v>2018</v>
      </c>
      <c r="C2060" t="s">
        <v>34</v>
      </c>
      <c r="D2060" t="s">
        <v>185</v>
      </c>
      <c r="E2060" t="s">
        <v>13</v>
      </c>
      <c r="F2060">
        <v>0.76325130462646484</v>
      </c>
    </row>
    <row r="2061" spans="2:6">
      <c r="B2061">
        <v>2018</v>
      </c>
      <c r="C2061" t="s">
        <v>34</v>
      </c>
      <c r="D2061" t="s">
        <v>185</v>
      </c>
      <c r="E2061" t="s">
        <v>14</v>
      </c>
      <c r="F2061">
        <v>0.74972784519195557</v>
      </c>
    </row>
    <row r="2062" spans="2:6">
      <c r="B2062">
        <v>2018</v>
      </c>
      <c r="C2062" t="s">
        <v>34</v>
      </c>
      <c r="D2062" t="s">
        <v>185</v>
      </c>
      <c r="E2062" t="s">
        <v>15</v>
      </c>
      <c r="F2062">
        <v>0.34965625405311584</v>
      </c>
    </row>
    <row r="2063" spans="2:6">
      <c r="B2063">
        <v>2019</v>
      </c>
      <c r="C2063" t="s">
        <v>34</v>
      </c>
      <c r="D2063" t="s">
        <v>185</v>
      </c>
      <c r="E2063" t="s">
        <v>7</v>
      </c>
      <c r="F2063">
        <v>6.4511489868164063</v>
      </c>
    </row>
    <row r="2064" spans="2:6">
      <c r="B2064">
        <v>2019</v>
      </c>
      <c r="C2064" t="s">
        <v>34</v>
      </c>
      <c r="D2064" t="s">
        <v>185</v>
      </c>
      <c r="E2064" t="s">
        <v>8</v>
      </c>
      <c r="F2064">
        <v>9.5923061370849609</v>
      </c>
    </row>
    <row r="2065" spans="2:6">
      <c r="B2065">
        <v>2019</v>
      </c>
      <c r="C2065" t="s">
        <v>34</v>
      </c>
      <c r="D2065" t="s">
        <v>185</v>
      </c>
      <c r="E2065" t="s">
        <v>9</v>
      </c>
      <c r="F2065">
        <v>0.89917504787445068</v>
      </c>
    </row>
    <row r="2066" spans="2:6">
      <c r="B2066">
        <v>2019</v>
      </c>
      <c r="C2066" t="s">
        <v>34</v>
      </c>
      <c r="D2066" t="s">
        <v>185</v>
      </c>
      <c r="E2066" t="s">
        <v>10</v>
      </c>
      <c r="F2066">
        <v>66.599998474121094</v>
      </c>
    </row>
    <row r="2067" spans="2:6">
      <c r="B2067">
        <v>2019</v>
      </c>
      <c r="C2067" t="s">
        <v>34</v>
      </c>
      <c r="D2067" t="s">
        <v>185</v>
      </c>
      <c r="E2067" t="s">
        <v>11</v>
      </c>
      <c r="F2067">
        <v>0.83020603656768799</v>
      </c>
    </row>
    <row r="2068" spans="2:6">
      <c r="B2068">
        <v>2019</v>
      </c>
      <c r="C2068" t="s">
        <v>34</v>
      </c>
      <c r="D2068" t="s">
        <v>185</v>
      </c>
      <c r="E2068" t="s">
        <v>12</v>
      </c>
      <c r="F2068">
        <v>-6.1973221600055695E-2</v>
      </c>
    </row>
    <row r="2069" spans="2:6">
      <c r="B2069">
        <v>2019</v>
      </c>
      <c r="C2069" t="s">
        <v>34</v>
      </c>
      <c r="D2069" t="s">
        <v>185</v>
      </c>
      <c r="E2069" t="s">
        <v>13</v>
      </c>
      <c r="F2069">
        <v>0.7618405818939209</v>
      </c>
    </row>
    <row r="2070" spans="2:6">
      <c r="B2070">
        <v>2019</v>
      </c>
      <c r="C2070" t="s">
        <v>34</v>
      </c>
      <c r="D2070" t="s">
        <v>185</v>
      </c>
      <c r="E2070" t="s">
        <v>14</v>
      </c>
      <c r="F2070">
        <v>0.76084554195404053</v>
      </c>
    </row>
    <row r="2071" spans="2:6">
      <c r="B2071">
        <v>2019</v>
      </c>
      <c r="C2071" t="s">
        <v>34</v>
      </c>
      <c r="D2071" t="s">
        <v>185</v>
      </c>
      <c r="E2071" t="s">
        <v>15</v>
      </c>
      <c r="F2071">
        <v>0.33705133199691772</v>
      </c>
    </row>
    <row r="2072" spans="2:6">
      <c r="B2072">
        <v>2020</v>
      </c>
      <c r="C2072" t="s">
        <v>34</v>
      </c>
      <c r="D2072" t="s">
        <v>185</v>
      </c>
      <c r="E2072" t="s">
        <v>7</v>
      </c>
      <c r="F2072">
        <v>6.109717845916748</v>
      </c>
    </row>
    <row r="2073" spans="2:6">
      <c r="B2073">
        <v>2020</v>
      </c>
      <c r="C2073" t="s">
        <v>34</v>
      </c>
      <c r="D2073" t="s">
        <v>185</v>
      </c>
      <c r="E2073" t="s">
        <v>8</v>
      </c>
      <c r="F2073">
        <v>9.5221405029296875</v>
      </c>
    </row>
    <row r="2074" spans="2:6">
      <c r="B2074">
        <v>2020</v>
      </c>
      <c r="C2074" t="s">
        <v>34</v>
      </c>
      <c r="D2074" t="s">
        <v>185</v>
      </c>
      <c r="E2074" t="s">
        <v>9</v>
      </c>
      <c r="F2074">
        <v>0.83083212375640869</v>
      </c>
    </row>
    <row r="2075" spans="2:6">
      <c r="B2075">
        <v>2020</v>
      </c>
      <c r="C2075" t="s">
        <v>34</v>
      </c>
      <c r="D2075" t="s">
        <v>185</v>
      </c>
      <c r="E2075" t="s">
        <v>10</v>
      </c>
      <c r="F2075">
        <v>66.800003051757813</v>
      </c>
    </row>
    <row r="2076" spans="2:6">
      <c r="B2076">
        <v>2020</v>
      </c>
      <c r="C2076" t="s">
        <v>34</v>
      </c>
      <c r="D2076" t="s">
        <v>185</v>
      </c>
      <c r="E2076" t="s">
        <v>11</v>
      </c>
      <c r="F2076">
        <v>0.78623509407043457</v>
      </c>
    </row>
    <row r="2077" spans="2:6">
      <c r="B2077">
        <v>2020</v>
      </c>
      <c r="C2077" t="s">
        <v>34</v>
      </c>
      <c r="D2077" t="s">
        <v>185</v>
      </c>
      <c r="E2077" t="s">
        <v>12</v>
      </c>
      <c r="F2077">
        <v>-5.2820019423961639E-2</v>
      </c>
    </row>
    <row r="2078" spans="2:6">
      <c r="B2078">
        <v>2020</v>
      </c>
      <c r="C2078" t="s">
        <v>34</v>
      </c>
      <c r="D2078" t="s">
        <v>185</v>
      </c>
      <c r="E2078" t="s">
        <v>13</v>
      </c>
      <c r="F2078">
        <v>0.72877222299575806</v>
      </c>
    </row>
    <row r="2079" spans="2:6">
      <c r="B2079">
        <v>2020</v>
      </c>
      <c r="C2079" t="s">
        <v>34</v>
      </c>
      <c r="D2079" t="s">
        <v>185</v>
      </c>
      <c r="E2079" t="s">
        <v>14</v>
      </c>
      <c r="F2079">
        <v>0.6920238733291626</v>
      </c>
    </row>
    <row r="2080" spans="2:6">
      <c r="B2080">
        <v>2020</v>
      </c>
      <c r="C2080" t="s">
        <v>34</v>
      </c>
      <c r="D2080" t="s">
        <v>185</v>
      </c>
      <c r="E2080" t="s">
        <v>15</v>
      </c>
      <c r="F2080">
        <v>0.38913854956626892</v>
      </c>
    </row>
    <row r="2081" spans="2:6">
      <c r="B2081">
        <v>2007</v>
      </c>
      <c r="C2081" t="s">
        <v>35</v>
      </c>
      <c r="D2081" t="s">
        <v>183</v>
      </c>
      <c r="E2081" t="s">
        <v>7</v>
      </c>
      <c r="F2081">
        <v>3.8437979221343994</v>
      </c>
    </row>
    <row r="2082" spans="2:6">
      <c r="B2082">
        <v>2007</v>
      </c>
      <c r="C2082" t="s">
        <v>35</v>
      </c>
      <c r="D2082" t="s">
        <v>183</v>
      </c>
      <c r="E2082" t="s">
        <v>8</v>
      </c>
      <c r="F2082">
        <v>9.7154855728149414</v>
      </c>
    </row>
    <row r="2083" spans="2:6">
      <c r="B2083">
        <v>2007</v>
      </c>
      <c r="C2083" t="s">
        <v>35</v>
      </c>
      <c r="D2083" t="s">
        <v>183</v>
      </c>
      <c r="E2083" t="s">
        <v>9</v>
      </c>
      <c r="F2083">
        <v>0.83150762319564819</v>
      </c>
    </row>
    <row r="2084" spans="2:6">
      <c r="B2084">
        <v>2007</v>
      </c>
      <c r="C2084" t="s">
        <v>35</v>
      </c>
      <c r="D2084" t="s">
        <v>183</v>
      </c>
      <c r="E2084" t="s">
        <v>10</v>
      </c>
      <c r="F2084">
        <v>65.099998474121094</v>
      </c>
    </row>
    <row r="2085" spans="2:6">
      <c r="B2085">
        <v>2007</v>
      </c>
      <c r="C2085" t="s">
        <v>35</v>
      </c>
      <c r="D2085" t="s">
        <v>183</v>
      </c>
      <c r="E2085" t="s">
        <v>11</v>
      </c>
      <c r="F2085">
        <v>0.56578660011291504</v>
      </c>
    </row>
    <row r="2086" spans="2:6">
      <c r="B2086">
        <v>2007</v>
      </c>
      <c r="C2086" t="s">
        <v>35</v>
      </c>
      <c r="D2086" t="s">
        <v>183</v>
      </c>
      <c r="E2086" t="s">
        <v>12</v>
      </c>
      <c r="F2086">
        <v>-0.13779003918170929</v>
      </c>
    </row>
    <row r="2087" spans="2:6">
      <c r="B2087">
        <v>2007</v>
      </c>
      <c r="C2087" t="s">
        <v>35</v>
      </c>
      <c r="D2087" t="s">
        <v>183</v>
      </c>
      <c r="E2087" t="s">
        <v>13</v>
      </c>
      <c r="F2087">
        <v>0.97606104612350464</v>
      </c>
    </row>
    <row r="2088" spans="2:6">
      <c r="B2088">
        <v>2007</v>
      </c>
      <c r="C2088" t="s">
        <v>35</v>
      </c>
      <c r="D2088" t="s">
        <v>183</v>
      </c>
      <c r="E2088" t="s">
        <v>14</v>
      </c>
      <c r="F2088">
        <v>0.5944334864616394</v>
      </c>
    </row>
    <row r="2089" spans="2:6">
      <c r="B2089">
        <v>2007</v>
      </c>
      <c r="C2089" t="s">
        <v>35</v>
      </c>
      <c r="D2089" t="s">
        <v>183</v>
      </c>
      <c r="E2089" t="s">
        <v>15</v>
      </c>
      <c r="F2089">
        <v>0.22625605762004852</v>
      </c>
    </row>
    <row r="2090" spans="2:6">
      <c r="B2090">
        <v>2010</v>
      </c>
      <c r="C2090" t="s">
        <v>35</v>
      </c>
      <c r="D2090" t="s">
        <v>183</v>
      </c>
      <c r="E2090" t="s">
        <v>7</v>
      </c>
      <c r="F2090">
        <v>3.9122762680053711</v>
      </c>
    </row>
    <row r="2091" spans="2:6">
      <c r="B2091">
        <v>2010</v>
      </c>
      <c r="C2091" t="s">
        <v>35</v>
      </c>
      <c r="D2091" t="s">
        <v>183</v>
      </c>
      <c r="E2091" t="s">
        <v>8</v>
      </c>
      <c r="F2091">
        <v>9.7654533386230469</v>
      </c>
    </row>
    <row r="2092" spans="2:6">
      <c r="B2092">
        <v>2010</v>
      </c>
      <c r="C2092" t="s">
        <v>35</v>
      </c>
      <c r="D2092" t="s">
        <v>183</v>
      </c>
      <c r="E2092" t="s">
        <v>9</v>
      </c>
      <c r="F2092">
        <v>0.84327203035354614</v>
      </c>
    </row>
    <row r="2093" spans="2:6">
      <c r="B2093">
        <v>2010</v>
      </c>
      <c r="C2093" t="s">
        <v>35</v>
      </c>
      <c r="D2093" t="s">
        <v>183</v>
      </c>
      <c r="E2093" t="s">
        <v>10</v>
      </c>
      <c r="F2093">
        <v>65.699996948242188</v>
      </c>
    </row>
    <row r="2094" spans="2:6">
      <c r="B2094">
        <v>2010</v>
      </c>
      <c r="C2094" t="s">
        <v>35</v>
      </c>
      <c r="D2094" t="s">
        <v>183</v>
      </c>
      <c r="E2094" t="s">
        <v>11</v>
      </c>
      <c r="F2094">
        <v>0.54453641176223755</v>
      </c>
    </row>
    <row r="2095" spans="2:6">
      <c r="B2095">
        <v>2010</v>
      </c>
      <c r="C2095" t="s">
        <v>35</v>
      </c>
      <c r="D2095" t="s">
        <v>183</v>
      </c>
      <c r="E2095" t="s">
        <v>12</v>
      </c>
      <c r="F2095">
        <v>-0.14425349235534668</v>
      </c>
    </row>
    <row r="2096" spans="2:6">
      <c r="B2096">
        <v>2010</v>
      </c>
      <c r="C2096" t="s">
        <v>35</v>
      </c>
      <c r="D2096" t="s">
        <v>183</v>
      </c>
      <c r="E2096" t="s">
        <v>13</v>
      </c>
      <c r="F2096">
        <v>0.94097000360488892</v>
      </c>
    </row>
    <row r="2097" spans="2:6">
      <c r="B2097">
        <v>2010</v>
      </c>
      <c r="C2097" t="s">
        <v>35</v>
      </c>
      <c r="D2097" t="s">
        <v>183</v>
      </c>
      <c r="E2097" t="s">
        <v>14</v>
      </c>
      <c r="F2097">
        <v>0.54582363367080688</v>
      </c>
    </row>
    <row r="2098" spans="2:6">
      <c r="B2098">
        <v>2010</v>
      </c>
      <c r="C2098" t="s">
        <v>35</v>
      </c>
      <c r="D2098" t="s">
        <v>183</v>
      </c>
      <c r="E2098" t="s">
        <v>15</v>
      </c>
      <c r="F2098">
        <v>0.23759418725967407</v>
      </c>
    </row>
    <row r="2099" spans="2:6">
      <c r="B2099">
        <v>2011</v>
      </c>
      <c r="C2099" t="s">
        <v>35</v>
      </c>
      <c r="D2099" t="s">
        <v>183</v>
      </c>
      <c r="E2099" t="s">
        <v>7</v>
      </c>
      <c r="F2099">
        <v>3.8753824234008789</v>
      </c>
    </row>
    <row r="2100" spans="2:6">
      <c r="B2100">
        <v>2011</v>
      </c>
      <c r="C2100" t="s">
        <v>35</v>
      </c>
      <c r="D2100" t="s">
        <v>183</v>
      </c>
      <c r="E2100" t="s">
        <v>8</v>
      </c>
      <c r="F2100">
        <v>9.7951030731201172</v>
      </c>
    </row>
    <row r="2101" spans="2:6">
      <c r="B2101">
        <v>2011</v>
      </c>
      <c r="C2101" t="s">
        <v>35</v>
      </c>
      <c r="D2101" t="s">
        <v>183</v>
      </c>
      <c r="E2101" t="s">
        <v>9</v>
      </c>
      <c r="F2101">
        <v>0.86027228832244873</v>
      </c>
    </row>
    <row r="2102" spans="2:6">
      <c r="B2102">
        <v>2011</v>
      </c>
      <c r="C2102" t="s">
        <v>35</v>
      </c>
      <c r="D2102" t="s">
        <v>183</v>
      </c>
      <c r="E2102" t="s">
        <v>10</v>
      </c>
      <c r="F2102">
        <v>65.800003051757813</v>
      </c>
    </row>
    <row r="2103" spans="2:6">
      <c r="B2103">
        <v>2011</v>
      </c>
      <c r="C2103" t="s">
        <v>35</v>
      </c>
      <c r="D2103" t="s">
        <v>183</v>
      </c>
      <c r="E2103" t="s">
        <v>11</v>
      </c>
      <c r="F2103">
        <v>0.66352790594100952</v>
      </c>
    </row>
    <row r="2104" spans="2:6">
      <c r="B2104">
        <v>2011</v>
      </c>
      <c r="C2104" t="s">
        <v>35</v>
      </c>
      <c r="D2104" t="s">
        <v>183</v>
      </c>
      <c r="E2104" t="s">
        <v>12</v>
      </c>
      <c r="F2104">
        <v>-0.22783017158508301</v>
      </c>
    </row>
    <row r="2105" spans="2:6">
      <c r="B2105">
        <v>2011</v>
      </c>
      <c r="C2105" t="s">
        <v>35</v>
      </c>
      <c r="D2105" t="s">
        <v>183</v>
      </c>
      <c r="E2105" t="s">
        <v>13</v>
      </c>
      <c r="F2105">
        <v>0.947978675365448</v>
      </c>
    </row>
    <row r="2106" spans="2:6">
      <c r="B2106">
        <v>2011</v>
      </c>
      <c r="C2106" t="s">
        <v>35</v>
      </c>
      <c r="D2106" t="s">
        <v>183</v>
      </c>
      <c r="E2106" t="s">
        <v>14</v>
      </c>
      <c r="F2106">
        <v>0.53373807668685913</v>
      </c>
    </row>
    <row r="2107" spans="2:6">
      <c r="B2107">
        <v>2011</v>
      </c>
      <c r="C2107" t="s">
        <v>35</v>
      </c>
      <c r="D2107" t="s">
        <v>183</v>
      </c>
      <c r="E2107" t="s">
        <v>15</v>
      </c>
      <c r="F2107">
        <v>0.27093103528022766</v>
      </c>
    </row>
    <row r="2108" spans="2:6">
      <c r="B2108">
        <v>2012</v>
      </c>
      <c r="C2108" t="s">
        <v>35</v>
      </c>
      <c r="D2108" t="s">
        <v>183</v>
      </c>
      <c r="E2108" t="s">
        <v>7</v>
      </c>
      <c r="F2108">
        <v>4.222297191619873</v>
      </c>
    </row>
    <row r="2109" spans="2:6">
      <c r="B2109">
        <v>2012</v>
      </c>
      <c r="C2109" t="s">
        <v>35</v>
      </c>
      <c r="D2109" t="s">
        <v>183</v>
      </c>
      <c r="E2109" t="s">
        <v>8</v>
      </c>
      <c r="F2109">
        <v>9.8044948577880859</v>
      </c>
    </row>
    <row r="2110" spans="2:6">
      <c r="B2110">
        <v>2012</v>
      </c>
      <c r="C2110" t="s">
        <v>35</v>
      </c>
      <c r="D2110" t="s">
        <v>183</v>
      </c>
      <c r="E2110" t="s">
        <v>9</v>
      </c>
      <c r="F2110">
        <v>0.83796662092208862</v>
      </c>
    </row>
    <row r="2111" spans="2:6">
      <c r="B2111">
        <v>2012</v>
      </c>
      <c r="C2111" t="s">
        <v>35</v>
      </c>
      <c r="D2111" t="s">
        <v>183</v>
      </c>
      <c r="E2111" t="s">
        <v>10</v>
      </c>
      <c r="F2111">
        <v>65.900001525878906</v>
      </c>
    </row>
    <row r="2112" spans="2:6">
      <c r="B2112">
        <v>2012</v>
      </c>
      <c r="C2112" t="s">
        <v>35</v>
      </c>
      <c r="D2112" t="s">
        <v>183</v>
      </c>
      <c r="E2112" t="s">
        <v>11</v>
      </c>
      <c r="F2112">
        <v>0.64125645160675049</v>
      </c>
    </row>
    <row r="2113" spans="2:6">
      <c r="B2113">
        <v>2012</v>
      </c>
      <c r="C2113" t="s">
        <v>35</v>
      </c>
      <c r="D2113" t="s">
        <v>183</v>
      </c>
      <c r="E2113" t="s">
        <v>12</v>
      </c>
      <c r="F2113">
        <v>-0.17194071412086487</v>
      </c>
    </row>
    <row r="2114" spans="2:6">
      <c r="B2114">
        <v>2012</v>
      </c>
      <c r="C2114" t="s">
        <v>35</v>
      </c>
      <c r="D2114" t="s">
        <v>183</v>
      </c>
      <c r="E2114" t="s">
        <v>13</v>
      </c>
      <c r="F2114">
        <v>0.93820869922637939</v>
      </c>
    </row>
    <row r="2115" spans="2:6">
      <c r="B2115">
        <v>2012</v>
      </c>
      <c r="C2115" t="s">
        <v>35</v>
      </c>
      <c r="D2115" t="s">
        <v>183</v>
      </c>
      <c r="E2115" t="s">
        <v>14</v>
      </c>
      <c r="F2115">
        <v>0.57309120893478394</v>
      </c>
    </row>
    <row r="2116" spans="2:6">
      <c r="B2116">
        <v>2012</v>
      </c>
      <c r="C2116" t="s">
        <v>35</v>
      </c>
      <c r="D2116" t="s">
        <v>183</v>
      </c>
      <c r="E2116" t="s">
        <v>15</v>
      </c>
      <c r="F2116">
        <v>0.2366328239440918</v>
      </c>
    </row>
    <row r="2117" spans="2:6">
      <c r="B2117">
        <v>2013</v>
      </c>
      <c r="C2117" t="s">
        <v>35</v>
      </c>
      <c r="D2117" t="s">
        <v>183</v>
      </c>
      <c r="E2117" t="s">
        <v>7</v>
      </c>
      <c r="F2117">
        <v>3.9930205345153809</v>
      </c>
    </row>
    <row r="2118" spans="2:6">
      <c r="B2118">
        <v>2013</v>
      </c>
      <c r="C2118" t="s">
        <v>35</v>
      </c>
      <c r="D2118" t="s">
        <v>183</v>
      </c>
      <c r="E2118" t="s">
        <v>8</v>
      </c>
      <c r="F2118">
        <v>9.8132734298706055</v>
      </c>
    </row>
    <row r="2119" spans="2:6">
      <c r="B2119">
        <v>2013</v>
      </c>
      <c r="C2119" t="s">
        <v>35</v>
      </c>
      <c r="D2119" t="s">
        <v>183</v>
      </c>
      <c r="E2119" t="s">
        <v>9</v>
      </c>
      <c r="F2119">
        <v>0.8291323184967041</v>
      </c>
    </row>
    <row r="2120" spans="2:6">
      <c r="B2120">
        <v>2013</v>
      </c>
      <c r="C2120" t="s">
        <v>35</v>
      </c>
      <c r="D2120" t="s">
        <v>183</v>
      </c>
      <c r="E2120" t="s">
        <v>10</v>
      </c>
      <c r="F2120">
        <v>66</v>
      </c>
    </row>
    <row r="2121" spans="2:6">
      <c r="B2121">
        <v>2013</v>
      </c>
      <c r="C2121" t="s">
        <v>35</v>
      </c>
      <c r="D2121" t="s">
        <v>183</v>
      </c>
      <c r="E2121" t="s">
        <v>11</v>
      </c>
      <c r="F2121">
        <v>0.60321336984634399</v>
      </c>
    </row>
    <row r="2122" spans="2:6">
      <c r="B2122">
        <v>2013</v>
      </c>
      <c r="C2122" t="s">
        <v>35</v>
      </c>
      <c r="D2122" t="s">
        <v>183</v>
      </c>
      <c r="E2122" t="s">
        <v>12</v>
      </c>
      <c r="F2122">
        <v>-0.19094359874725342</v>
      </c>
    </row>
    <row r="2123" spans="2:6">
      <c r="B2123">
        <v>2013</v>
      </c>
      <c r="C2123" t="s">
        <v>35</v>
      </c>
      <c r="D2123" t="s">
        <v>183</v>
      </c>
      <c r="E2123" t="s">
        <v>13</v>
      </c>
      <c r="F2123">
        <v>0.96204710006713867</v>
      </c>
    </row>
    <row r="2124" spans="2:6">
      <c r="B2124">
        <v>2013</v>
      </c>
      <c r="C2124" t="s">
        <v>35</v>
      </c>
      <c r="D2124" t="s">
        <v>183</v>
      </c>
      <c r="E2124" t="s">
        <v>14</v>
      </c>
      <c r="F2124">
        <v>0.62275004386901855</v>
      </c>
    </row>
    <row r="2125" spans="2:6">
      <c r="B2125">
        <v>2013</v>
      </c>
      <c r="C2125" t="s">
        <v>35</v>
      </c>
      <c r="D2125" t="s">
        <v>183</v>
      </c>
      <c r="E2125" t="s">
        <v>15</v>
      </c>
      <c r="F2125">
        <v>0.27831301093101501</v>
      </c>
    </row>
    <row r="2126" spans="2:6">
      <c r="B2126">
        <v>2014</v>
      </c>
      <c r="C2126" t="s">
        <v>35</v>
      </c>
      <c r="D2126" t="s">
        <v>183</v>
      </c>
      <c r="E2126" t="s">
        <v>7</v>
      </c>
      <c r="F2126">
        <v>4.4384398460388184</v>
      </c>
    </row>
    <row r="2127" spans="2:6">
      <c r="B2127">
        <v>2014</v>
      </c>
      <c r="C2127" t="s">
        <v>35</v>
      </c>
      <c r="D2127" t="s">
        <v>183</v>
      </c>
      <c r="E2127" t="s">
        <v>8</v>
      </c>
      <c r="F2127">
        <v>9.8377256393432617</v>
      </c>
    </row>
    <row r="2128" spans="2:6">
      <c r="B2128">
        <v>2014</v>
      </c>
      <c r="C2128" t="s">
        <v>35</v>
      </c>
      <c r="D2128" t="s">
        <v>183</v>
      </c>
      <c r="E2128" t="s">
        <v>9</v>
      </c>
      <c r="F2128">
        <v>0.88594919443130493</v>
      </c>
    </row>
    <row r="2129" spans="2:6">
      <c r="B2129">
        <v>2014</v>
      </c>
      <c r="C2129" t="s">
        <v>35</v>
      </c>
      <c r="D2129" t="s">
        <v>183</v>
      </c>
      <c r="E2129" t="s">
        <v>10</v>
      </c>
      <c r="F2129">
        <v>66.099998474121094</v>
      </c>
    </row>
    <row r="2130" spans="2:6">
      <c r="B2130">
        <v>2014</v>
      </c>
      <c r="C2130" t="s">
        <v>35</v>
      </c>
      <c r="D2130" t="s">
        <v>183</v>
      </c>
      <c r="E2130" t="s">
        <v>11</v>
      </c>
      <c r="F2130">
        <v>0.5755959153175354</v>
      </c>
    </row>
    <row r="2131" spans="2:6">
      <c r="B2131">
        <v>2014</v>
      </c>
      <c r="C2131" t="s">
        <v>35</v>
      </c>
      <c r="D2131" t="s">
        <v>183</v>
      </c>
      <c r="E2131" t="s">
        <v>12</v>
      </c>
      <c r="F2131">
        <v>-5.4811920970678329E-2</v>
      </c>
    </row>
    <row r="2132" spans="2:6">
      <c r="B2132">
        <v>2014</v>
      </c>
      <c r="C2132" t="s">
        <v>35</v>
      </c>
      <c r="D2132" t="s">
        <v>183</v>
      </c>
      <c r="E2132" t="s">
        <v>13</v>
      </c>
      <c r="F2132">
        <v>0.95463693141937256</v>
      </c>
    </row>
    <row r="2133" spans="2:6">
      <c r="B2133">
        <v>2014</v>
      </c>
      <c r="C2133" t="s">
        <v>35</v>
      </c>
      <c r="D2133" t="s">
        <v>183</v>
      </c>
      <c r="E2133" t="s">
        <v>14</v>
      </c>
      <c r="F2133">
        <v>0.62781012058258057</v>
      </c>
    </row>
    <row r="2134" spans="2:6">
      <c r="B2134">
        <v>2014</v>
      </c>
      <c r="C2134" t="s">
        <v>35</v>
      </c>
      <c r="D2134" t="s">
        <v>183</v>
      </c>
      <c r="E2134" t="s">
        <v>15</v>
      </c>
      <c r="F2134">
        <v>0.23559372127056122</v>
      </c>
    </row>
    <row r="2135" spans="2:6">
      <c r="B2135">
        <v>2015</v>
      </c>
      <c r="C2135" t="s">
        <v>35</v>
      </c>
      <c r="D2135" t="s">
        <v>183</v>
      </c>
      <c r="E2135" t="s">
        <v>7</v>
      </c>
      <c r="F2135">
        <v>4.8654012680053711</v>
      </c>
    </row>
    <row r="2136" spans="2:6">
      <c r="B2136">
        <v>2015</v>
      </c>
      <c r="C2136" t="s">
        <v>35</v>
      </c>
      <c r="D2136" t="s">
        <v>183</v>
      </c>
      <c r="E2136" t="s">
        <v>8</v>
      </c>
      <c r="F2136">
        <v>9.8832263946533203</v>
      </c>
    </row>
    <row r="2137" spans="2:6">
      <c r="B2137">
        <v>2015</v>
      </c>
      <c r="C2137" t="s">
        <v>35</v>
      </c>
      <c r="D2137" t="s">
        <v>183</v>
      </c>
      <c r="E2137" t="s">
        <v>9</v>
      </c>
      <c r="F2137">
        <v>0.90751701593399048</v>
      </c>
    </row>
    <row r="2138" spans="2:6">
      <c r="B2138">
        <v>2015</v>
      </c>
      <c r="C2138" t="s">
        <v>35</v>
      </c>
      <c r="D2138" t="s">
        <v>183</v>
      </c>
      <c r="E2138" t="s">
        <v>10</v>
      </c>
      <c r="F2138">
        <v>66.199996948242188</v>
      </c>
    </row>
    <row r="2139" spans="2:6">
      <c r="B2139">
        <v>2015</v>
      </c>
      <c r="C2139" t="s">
        <v>35</v>
      </c>
      <c r="D2139" t="s">
        <v>183</v>
      </c>
      <c r="E2139" t="s">
        <v>11</v>
      </c>
      <c r="F2139">
        <v>0.6368178129196167</v>
      </c>
    </row>
    <row r="2140" spans="2:6">
      <c r="B2140">
        <v>2015</v>
      </c>
      <c r="C2140" t="s">
        <v>35</v>
      </c>
      <c r="D2140" t="s">
        <v>183</v>
      </c>
      <c r="E2140" t="s">
        <v>12</v>
      </c>
      <c r="F2140">
        <v>-0.19982804358005524</v>
      </c>
    </row>
    <row r="2141" spans="2:6">
      <c r="B2141">
        <v>2015</v>
      </c>
      <c r="C2141" t="s">
        <v>35</v>
      </c>
      <c r="D2141" t="s">
        <v>183</v>
      </c>
      <c r="E2141" t="s">
        <v>13</v>
      </c>
      <c r="F2141">
        <v>0.94127994775772095</v>
      </c>
    </row>
    <row r="2142" spans="2:6">
      <c r="B2142">
        <v>2015</v>
      </c>
      <c r="C2142" t="s">
        <v>35</v>
      </c>
      <c r="D2142" t="s">
        <v>183</v>
      </c>
      <c r="E2142" t="s">
        <v>14</v>
      </c>
      <c r="F2142">
        <v>0.64279448986053467</v>
      </c>
    </row>
    <row r="2143" spans="2:6">
      <c r="B2143">
        <v>2015</v>
      </c>
      <c r="C2143" t="s">
        <v>35</v>
      </c>
      <c r="D2143" t="s">
        <v>183</v>
      </c>
      <c r="E2143" t="s">
        <v>15</v>
      </c>
      <c r="F2143">
        <v>0.21422383189201355</v>
      </c>
    </row>
    <row r="2144" spans="2:6">
      <c r="B2144">
        <v>2016</v>
      </c>
      <c r="C2144" t="s">
        <v>35</v>
      </c>
      <c r="D2144" t="s">
        <v>183</v>
      </c>
      <c r="E2144" t="s">
        <v>7</v>
      </c>
      <c r="F2144">
        <v>4.8375606536865234</v>
      </c>
    </row>
    <row r="2145" spans="2:6">
      <c r="B2145">
        <v>2016</v>
      </c>
      <c r="C2145" t="s">
        <v>35</v>
      </c>
      <c r="D2145" t="s">
        <v>183</v>
      </c>
      <c r="E2145" t="s">
        <v>8</v>
      </c>
      <c r="F2145">
        <v>9.927647590637207</v>
      </c>
    </row>
    <row r="2146" spans="2:6">
      <c r="B2146">
        <v>2016</v>
      </c>
      <c r="C2146" t="s">
        <v>35</v>
      </c>
      <c r="D2146" t="s">
        <v>183</v>
      </c>
      <c r="E2146" t="s">
        <v>9</v>
      </c>
      <c r="F2146">
        <v>0.92603605985641479</v>
      </c>
    </row>
    <row r="2147" spans="2:6">
      <c r="B2147">
        <v>2016</v>
      </c>
      <c r="C2147" t="s">
        <v>35</v>
      </c>
      <c r="D2147" t="s">
        <v>183</v>
      </c>
      <c r="E2147" t="s">
        <v>10</v>
      </c>
      <c r="F2147">
        <v>66.400001525878906</v>
      </c>
    </row>
    <row r="2148" spans="2:6">
      <c r="B2148">
        <v>2016</v>
      </c>
      <c r="C2148" t="s">
        <v>35</v>
      </c>
      <c r="D2148" t="s">
        <v>183</v>
      </c>
      <c r="E2148" t="s">
        <v>11</v>
      </c>
      <c r="F2148">
        <v>0.70026552677154541</v>
      </c>
    </row>
    <row r="2149" spans="2:6">
      <c r="B2149">
        <v>2016</v>
      </c>
      <c r="C2149" t="s">
        <v>35</v>
      </c>
      <c r="D2149" t="s">
        <v>183</v>
      </c>
      <c r="E2149" t="s">
        <v>12</v>
      </c>
      <c r="F2149">
        <v>-0.17019306123256683</v>
      </c>
    </row>
    <row r="2150" spans="2:6">
      <c r="B2150">
        <v>2016</v>
      </c>
      <c r="C2150" t="s">
        <v>35</v>
      </c>
      <c r="D2150" t="s">
        <v>183</v>
      </c>
      <c r="E2150" t="s">
        <v>13</v>
      </c>
      <c r="F2150">
        <v>0.93598818778991699</v>
      </c>
    </row>
    <row r="2151" spans="2:6">
      <c r="B2151">
        <v>2016</v>
      </c>
      <c r="C2151" t="s">
        <v>35</v>
      </c>
      <c r="D2151" t="s">
        <v>183</v>
      </c>
      <c r="E2151" t="s">
        <v>14</v>
      </c>
      <c r="F2151">
        <v>0.62185513973236084</v>
      </c>
    </row>
    <row r="2152" spans="2:6">
      <c r="B2152">
        <v>2016</v>
      </c>
      <c r="C2152" t="s">
        <v>35</v>
      </c>
      <c r="D2152" t="s">
        <v>183</v>
      </c>
      <c r="E2152" t="s">
        <v>15</v>
      </c>
      <c r="F2152">
        <v>0.17169985175132751</v>
      </c>
    </row>
    <row r="2153" spans="2:6">
      <c r="B2153">
        <v>2017</v>
      </c>
      <c r="C2153" t="s">
        <v>35</v>
      </c>
      <c r="D2153" t="s">
        <v>183</v>
      </c>
      <c r="E2153" t="s">
        <v>7</v>
      </c>
      <c r="F2153">
        <v>5.0969018936157227</v>
      </c>
    </row>
    <row r="2154" spans="2:6">
      <c r="B2154">
        <v>2017</v>
      </c>
      <c r="C2154" t="s">
        <v>35</v>
      </c>
      <c r="D2154" t="s">
        <v>183</v>
      </c>
      <c r="E2154" t="s">
        <v>8</v>
      </c>
      <c r="F2154">
        <v>9.9694175720214844</v>
      </c>
    </row>
    <row r="2155" spans="2:6">
      <c r="B2155">
        <v>2017</v>
      </c>
      <c r="C2155" t="s">
        <v>35</v>
      </c>
      <c r="D2155" t="s">
        <v>183</v>
      </c>
      <c r="E2155" t="s">
        <v>9</v>
      </c>
      <c r="F2155">
        <v>0.94175457954406738</v>
      </c>
    </row>
    <row r="2156" spans="2:6">
      <c r="B2156">
        <v>2017</v>
      </c>
      <c r="C2156" t="s">
        <v>35</v>
      </c>
      <c r="D2156" t="s">
        <v>183</v>
      </c>
      <c r="E2156" t="s">
        <v>10</v>
      </c>
      <c r="F2156">
        <v>66.599998474121094</v>
      </c>
    </row>
    <row r="2157" spans="2:6">
      <c r="B2157">
        <v>2017</v>
      </c>
      <c r="C2157" t="s">
        <v>35</v>
      </c>
      <c r="D2157" t="s">
        <v>183</v>
      </c>
      <c r="E2157" t="s">
        <v>11</v>
      </c>
      <c r="F2157">
        <v>0.68904703855514526</v>
      </c>
    </row>
    <row r="2158" spans="2:6">
      <c r="B2158">
        <v>2017</v>
      </c>
      <c r="C2158" t="s">
        <v>35</v>
      </c>
      <c r="D2158" t="s">
        <v>183</v>
      </c>
      <c r="E2158" t="s">
        <v>12</v>
      </c>
      <c r="F2158">
        <v>-0.15414053201675415</v>
      </c>
    </row>
    <row r="2159" spans="2:6">
      <c r="B2159">
        <v>2017</v>
      </c>
      <c r="C2159" t="s">
        <v>35</v>
      </c>
      <c r="D2159" t="s">
        <v>183</v>
      </c>
      <c r="E2159" t="s">
        <v>13</v>
      </c>
      <c r="F2159">
        <v>0.91079974174499512</v>
      </c>
    </row>
    <row r="2160" spans="2:6">
      <c r="B2160">
        <v>2017</v>
      </c>
      <c r="C2160" t="s">
        <v>35</v>
      </c>
      <c r="D2160" t="s">
        <v>183</v>
      </c>
      <c r="E2160" t="s">
        <v>14</v>
      </c>
      <c r="F2160">
        <v>0.61421674489974976</v>
      </c>
    </row>
    <row r="2161" spans="2:6">
      <c r="B2161">
        <v>2017</v>
      </c>
      <c r="C2161" t="s">
        <v>35</v>
      </c>
      <c r="D2161" t="s">
        <v>183</v>
      </c>
      <c r="E2161" t="s">
        <v>15</v>
      </c>
      <c r="F2161">
        <v>0.18863734602928162</v>
      </c>
    </row>
    <row r="2162" spans="2:6">
      <c r="B2162">
        <v>2018</v>
      </c>
      <c r="C2162" t="s">
        <v>35</v>
      </c>
      <c r="D2162" t="s">
        <v>183</v>
      </c>
      <c r="E2162" t="s">
        <v>7</v>
      </c>
      <c r="F2162">
        <v>5.098813533782959</v>
      </c>
    </row>
    <row r="2163" spans="2:6">
      <c r="B2163">
        <v>2018</v>
      </c>
      <c r="C2163" t="s">
        <v>35</v>
      </c>
      <c r="D2163" t="s">
        <v>183</v>
      </c>
      <c r="E2163" t="s">
        <v>8</v>
      </c>
      <c r="F2163">
        <v>10.007013320922852</v>
      </c>
    </row>
    <row r="2164" spans="2:6">
      <c r="B2164">
        <v>2018</v>
      </c>
      <c r="C2164" t="s">
        <v>35</v>
      </c>
      <c r="D2164" t="s">
        <v>183</v>
      </c>
      <c r="E2164" t="s">
        <v>9</v>
      </c>
      <c r="F2164">
        <v>0.92385327816009521</v>
      </c>
    </row>
    <row r="2165" spans="2:6">
      <c r="B2165">
        <v>2018</v>
      </c>
      <c r="C2165" t="s">
        <v>35</v>
      </c>
      <c r="D2165" t="s">
        <v>183</v>
      </c>
      <c r="E2165" t="s">
        <v>10</v>
      </c>
      <c r="F2165">
        <v>66.800003051757813</v>
      </c>
    </row>
    <row r="2166" spans="2:6">
      <c r="B2166">
        <v>2018</v>
      </c>
      <c r="C2166" t="s">
        <v>35</v>
      </c>
      <c r="D2166" t="s">
        <v>183</v>
      </c>
      <c r="E2166" t="s">
        <v>11</v>
      </c>
      <c r="F2166">
        <v>0.72433590888977051</v>
      </c>
    </row>
    <row r="2167" spans="2:6">
      <c r="B2167">
        <v>2018</v>
      </c>
      <c r="C2167" t="s">
        <v>35</v>
      </c>
      <c r="D2167" t="s">
        <v>183</v>
      </c>
      <c r="E2167" t="s">
        <v>12</v>
      </c>
      <c r="F2167">
        <v>-0.17617738246917725</v>
      </c>
    </row>
    <row r="2168" spans="2:6">
      <c r="B2168">
        <v>2018</v>
      </c>
      <c r="C2168" t="s">
        <v>35</v>
      </c>
      <c r="D2168" t="s">
        <v>183</v>
      </c>
      <c r="E2168" t="s">
        <v>13</v>
      </c>
      <c r="F2168">
        <v>0.95201444625854492</v>
      </c>
    </row>
    <row r="2169" spans="2:6">
      <c r="B2169">
        <v>2018</v>
      </c>
      <c r="C2169" t="s">
        <v>35</v>
      </c>
      <c r="D2169" t="s">
        <v>183</v>
      </c>
      <c r="E2169" t="s">
        <v>14</v>
      </c>
      <c r="F2169">
        <v>0.63902187347412109</v>
      </c>
    </row>
    <row r="2170" spans="2:6">
      <c r="B2170">
        <v>2018</v>
      </c>
      <c r="C2170" t="s">
        <v>35</v>
      </c>
      <c r="D2170" t="s">
        <v>183</v>
      </c>
      <c r="E2170" t="s">
        <v>15</v>
      </c>
      <c r="F2170">
        <v>0.18909098207950592</v>
      </c>
    </row>
    <row r="2171" spans="2:6">
      <c r="B2171">
        <v>2019</v>
      </c>
      <c r="C2171" t="s">
        <v>35</v>
      </c>
      <c r="D2171" t="s">
        <v>183</v>
      </c>
      <c r="E2171" t="s">
        <v>7</v>
      </c>
      <c r="F2171">
        <v>5.1084380149841309</v>
      </c>
    </row>
    <row r="2172" spans="2:6">
      <c r="B2172">
        <v>2019</v>
      </c>
      <c r="C2172" t="s">
        <v>35</v>
      </c>
      <c r="D2172" t="s">
        <v>183</v>
      </c>
      <c r="E2172" t="s">
        <v>8</v>
      </c>
      <c r="F2172">
        <v>10.047212600708008</v>
      </c>
    </row>
    <row r="2173" spans="2:6">
      <c r="B2173">
        <v>2019</v>
      </c>
      <c r="C2173" t="s">
        <v>35</v>
      </c>
      <c r="D2173" t="s">
        <v>183</v>
      </c>
      <c r="E2173" t="s">
        <v>9</v>
      </c>
      <c r="F2173">
        <v>0.9482043981552124</v>
      </c>
    </row>
    <row r="2174" spans="2:6">
      <c r="B2174">
        <v>2019</v>
      </c>
      <c r="C2174" t="s">
        <v>35</v>
      </c>
      <c r="D2174" t="s">
        <v>183</v>
      </c>
      <c r="E2174" t="s">
        <v>10</v>
      </c>
      <c r="F2174">
        <v>67</v>
      </c>
    </row>
    <row r="2175" spans="2:6">
      <c r="B2175">
        <v>2019</v>
      </c>
      <c r="C2175" t="s">
        <v>35</v>
      </c>
      <c r="D2175" t="s">
        <v>183</v>
      </c>
      <c r="E2175" t="s">
        <v>11</v>
      </c>
      <c r="F2175">
        <v>0.82192987203598022</v>
      </c>
    </row>
    <row r="2176" spans="2:6">
      <c r="B2176">
        <v>2019</v>
      </c>
      <c r="C2176" t="s">
        <v>35</v>
      </c>
      <c r="D2176" t="s">
        <v>183</v>
      </c>
      <c r="E2176" t="s">
        <v>12</v>
      </c>
      <c r="F2176">
        <v>-0.10858744382858276</v>
      </c>
    </row>
    <row r="2177" spans="2:6">
      <c r="B2177">
        <v>2019</v>
      </c>
      <c r="C2177" t="s">
        <v>35</v>
      </c>
      <c r="D2177" t="s">
        <v>183</v>
      </c>
      <c r="E2177" t="s">
        <v>13</v>
      </c>
      <c r="F2177">
        <v>0.94280648231506348</v>
      </c>
    </row>
    <row r="2178" spans="2:6">
      <c r="B2178">
        <v>2019</v>
      </c>
      <c r="C2178" t="s">
        <v>35</v>
      </c>
      <c r="D2178" t="s">
        <v>183</v>
      </c>
      <c r="E2178" t="s">
        <v>14</v>
      </c>
      <c r="F2178">
        <v>0.66282540559768677</v>
      </c>
    </row>
    <row r="2179" spans="2:6">
      <c r="B2179">
        <v>2019</v>
      </c>
      <c r="C2179" t="s">
        <v>35</v>
      </c>
      <c r="D2179" t="s">
        <v>183</v>
      </c>
      <c r="E2179" t="s">
        <v>15</v>
      </c>
      <c r="F2179">
        <v>0.19988831877708435</v>
      </c>
    </row>
    <row r="2180" spans="2:6">
      <c r="B2180">
        <v>2020</v>
      </c>
      <c r="C2180" t="s">
        <v>35</v>
      </c>
      <c r="D2180" t="s">
        <v>183</v>
      </c>
      <c r="E2180" t="s">
        <v>7</v>
      </c>
      <c r="F2180">
        <v>5.5977230072021484</v>
      </c>
    </row>
    <row r="2181" spans="2:6">
      <c r="B2181">
        <v>2020</v>
      </c>
      <c r="C2181" t="s">
        <v>35</v>
      </c>
      <c r="D2181" t="s">
        <v>183</v>
      </c>
      <c r="E2181" t="s">
        <v>8</v>
      </c>
      <c r="F2181">
        <v>9.9906578063964844</v>
      </c>
    </row>
    <row r="2182" spans="2:6">
      <c r="B2182">
        <v>2020</v>
      </c>
      <c r="C2182" t="s">
        <v>35</v>
      </c>
      <c r="D2182" t="s">
        <v>183</v>
      </c>
      <c r="E2182" t="s">
        <v>9</v>
      </c>
      <c r="F2182">
        <v>0.91624236106872559</v>
      </c>
    </row>
    <row r="2183" spans="2:6">
      <c r="B2183">
        <v>2020</v>
      </c>
      <c r="C2183" t="s">
        <v>35</v>
      </c>
      <c r="D2183" t="s">
        <v>183</v>
      </c>
      <c r="E2183" t="s">
        <v>10</v>
      </c>
      <c r="F2183">
        <v>67.199996948242188</v>
      </c>
    </row>
    <row r="2184" spans="2:6">
      <c r="B2184">
        <v>2020</v>
      </c>
      <c r="C2184" t="s">
        <v>35</v>
      </c>
      <c r="D2184" t="s">
        <v>183</v>
      </c>
      <c r="E2184" t="s">
        <v>11</v>
      </c>
      <c r="F2184">
        <v>0.81822478771209717</v>
      </c>
    </row>
    <row r="2185" spans="2:6">
      <c r="B2185">
        <v>2020</v>
      </c>
      <c r="C2185" t="s">
        <v>35</v>
      </c>
      <c r="D2185" t="s">
        <v>183</v>
      </c>
      <c r="E2185" t="s">
        <v>12</v>
      </c>
      <c r="F2185">
        <v>-4.3223137035965919E-3</v>
      </c>
    </row>
    <row r="2186" spans="2:6">
      <c r="B2186">
        <v>2020</v>
      </c>
      <c r="C2186" t="s">
        <v>35</v>
      </c>
      <c r="D2186" t="s">
        <v>183</v>
      </c>
      <c r="E2186" t="s">
        <v>13</v>
      </c>
      <c r="F2186">
        <v>0.90063297748565674</v>
      </c>
    </row>
    <row r="2187" spans="2:6">
      <c r="B2187">
        <v>2020</v>
      </c>
      <c r="C2187" t="s">
        <v>35</v>
      </c>
      <c r="D2187" t="s">
        <v>183</v>
      </c>
      <c r="E2187" t="s">
        <v>14</v>
      </c>
      <c r="F2187">
        <v>0.70583462715148926</v>
      </c>
    </row>
    <row r="2188" spans="2:6">
      <c r="B2188">
        <v>2020</v>
      </c>
      <c r="C2188" t="s">
        <v>35</v>
      </c>
      <c r="D2188" t="s">
        <v>183</v>
      </c>
      <c r="E2188" t="s">
        <v>15</v>
      </c>
      <c r="F2188">
        <v>0.22135105729103088</v>
      </c>
    </row>
    <row r="2189" spans="2:6">
      <c r="B2189">
        <v>2006</v>
      </c>
      <c r="C2189" t="s">
        <v>36</v>
      </c>
      <c r="D2189" t="s">
        <v>184</v>
      </c>
      <c r="E2189" t="s">
        <v>7</v>
      </c>
      <c r="F2189">
        <v>3.8014907836914063</v>
      </c>
    </row>
    <row r="2190" spans="2:6">
      <c r="B2190">
        <v>2006</v>
      </c>
      <c r="C2190" t="s">
        <v>36</v>
      </c>
      <c r="D2190" t="s">
        <v>184</v>
      </c>
      <c r="E2190" t="s">
        <v>8</v>
      </c>
      <c r="F2190">
        <v>7.3668045997619629</v>
      </c>
    </row>
    <row r="2191" spans="2:6">
      <c r="B2191">
        <v>2006</v>
      </c>
      <c r="C2191" t="s">
        <v>36</v>
      </c>
      <c r="D2191" t="s">
        <v>184</v>
      </c>
      <c r="E2191" t="s">
        <v>9</v>
      </c>
      <c r="F2191">
        <v>0.79640501737594604</v>
      </c>
    </row>
    <row r="2192" spans="2:6">
      <c r="B2192">
        <v>2006</v>
      </c>
      <c r="C2192" t="s">
        <v>36</v>
      </c>
      <c r="D2192" t="s">
        <v>184</v>
      </c>
      <c r="E2192" t="s">
        <v>10</v>
      </c>
      <c r="F2192">
        <v>46.659999847412109</v>
      </c>
    </row>
    <row r="2193" spans="2:6">
      <c r="B2193">
        <v>2006</v>
      </c>
      <c r="C2193" t="s">
        <v>36</v>
      </c>
      <c r="D2193" t="s">
        <v>184</v>
      </c>
      <c r="E2193" t="s">
        <v>11</v>
      </c>
      <c r="F2193">
        <v>0.58833801746368408</v>
      </c>
    </row>
    <row r="2194" spans="2:6">
      <c r="B2194">
        <v>2006</v>
      </c>
      <c r="C2194" t="s">
        <v>36</v>
      </c>
      <c r="D2194" t="s">
        <v>184</v>
      </c>
      <c r="E2194" t="s">
        <v>12</v>
      </c>
      <c r="F2194">
        <v>2.8232552111148834E-2</v>
      </c>
    </row>
    <row r="2195" spans="2:6">
      <c r="B2195">
        <v>2006</v>
      </c>
      <c r="C2195" t="s">
        <v>36</v>
      </c>
      <c r="D2195" t="s">
        <v>184</v>
      </c>
      <c r="E2195" t="s">
        <v>13</v>
      </c>
      <c r="F2195">
        <v>0.79770058393478394</v>
      </c>
    </row>
    <row r="2196" spans="2:6">
      <c r="B2196">
        <v>2006</v>
      </c>
      <c r="C2196" t="s">
        <v>36</v>
      </c>
      <c r="D2196" t="s">
        <v>184</v>
      </c>
      <c r="E2196" t="s">
        <v>14</v>
      </c>
      <c r="F2196">
        <v>0.71625339984893799</v>
      </c>
    </row>
    <row r="2197" spans="2:6">
      <c r="B2197">
        <v>2006</v>
      </c>
      <c r="C2197" t="s">
        <v>36</v>
      </c>
      <c r="D2197" t="s">
        <v>184</v>
      </c>
      <c r="E2197" t="s">
        <v>15</v>
      </c>
      <c r="F2197">
        <v>0.26557201147079468</v>
      </c>
    </row>
    <row r="2198" spans="2:6">
      <c r="B2198">
        <v>2007</v>
      </c>
      <c r="C2198" t="s">
        <v>36</v>
      </c>
      <c r="D2198" t="s">
        <v>184</v>
      </c>
      <c r="E2198" t="s">
        <v>7</v>
      </c>
      <c r="F2198">
        <v>4.0171303749084473</v>
      </c>
    </row>
    <row r="2199" spans="2:6">
      <c r="B2199">
        <v>2007</v>
      </c>
      <c r="C2199" t="s">
        <v>36</v>
      </c>
      <c r="D2199" t="s">
        <v>184</v>
      </c>
      <c r="E2199" t="s">
        <v>8</v>
      </c>
      <c r="F2199">
        <v>7.3769774436950684</v>
      </c>
    </row>
    <row r="2200" spans="2:6">
      <c r="B2200">
        <v>2007</v>
      </c>
      <c r="C2200" t="s">
        <v>36</v>
      </c>
      <c r="D2200" t="s">
        <v>184</v>
      </c>
      <c r="E2200" t="s">
        <v>9</v>
      </c>
      <c r="F2200">
        <v>0.77078503370285034</v>
      </c>
    </row>
    <row r="2201" spans="2:6">
      <c r="B2201">
        <v>2007</v>
      </c>
      <c r="C2201" t="s">
        <v>36</v>
      </c>
      <c r="D2201" t="s">
        <v>184</v>
      </c>
      <c r="E2201" t="s">
        <v>10</v>
      </c>
      <c r="F2201">
        <v>47.419998168945313</v>
      </c>
    </row>
    <row r="2202" spans="2:6">
      <c r="B2202">
        <v>2007</v>
      </c>
      <c r="C2202" t="s">
        <v>36</v>
      </c>
      <c r="D2202" t="s">
        <v>184</v>
      </c>
      <c r="E2202" t="s">
        <v>11</v>
      </c>
      <c r="F2202">
        <v>0.58229237794876099</v>
      </c>
    </row>
    <row r="2203" spans="2:6">
      <c r="B2203">
        <v>2007</v>
      </c>
      <c r="C2203" t="s">
        <v>36</v>
      </c>
      <c r="D2203" t="s">
        <v>184</v>
      </c>
      <c r="E2203" t="s">
        <v>12</v>
      </c>
      <c r="F2203">
        <v>-6.0115557163953781E-2</v>
      </c>
    </row>
    <row r="2204" spans="2:6">
      <c r="B2204">
        <v>2007</v>
      </c>
      <c r="C2204" t="s">
        <v>36</v>
      </c>
      <c r="D2204" t="s">
        <v>184</v>
      </c>
      <c r="E2204" t="s">
        <v>13</v>
      </c>
      <c r="F2204">
        <v>0.83276492357254028</v>
      </c>
    </row>
    <row r="2205" spans="2:6">
      <c r="B2205">
        <v>2007</v>
      </c>
      <c r="C2205" t="s">
        <v>36</v>
      </c>
      <c r="D2205" t="s">
        <v>184</v>
      </c>
      <c r="E2205" t="s">
        <v>14</v>
      </c>
      <c r="F2205">
        <v>0.65069752931594849</v>
      </c>
    </row>
    <row r="2206" spans="2:6">
      <c r="B2206">
        <v>2007</v>
      </c>
      <c r="C2206" t="s">
        <v>36</v>
      </c>
      <c r="D2206" t="s">
        <v>184</v>
      </c>
      <c r="E2206" t="s">
        <v>15</v>
      </c>
      <c r="F2206">
        <v>0.28069484233856201</v>
      </c>
    </row>
    <row r="2207" spans="2:6">
      <c r="B2207">
        <v>2008</v>
      </c>
      <c r="C2207" t="s">
        <v>36</v>
      </c>
      <c r="D2207" t="s">
        <v>184</v>
      </c>
      <c r="E2207" t="s">
        <v>7</v>
      </c>
      <c r="F2207">
        <v>3.8464388847351074</v>
      </c>
    </row>
    <row r="2208" spans="2:6">
      <c r="B2208">
        <v>2008</v>
      </c>
      <c r="C2208" t="s">
        <v>36</v>
      </c>
      <c r="D2208" t="s">
        <v>184</v>
      </c>
      <c r="E2208" t="s">
        <v>8</v>
      </c>
      <c r="F2208">
        <v>7.4031081199645996</v>
      </c>
    </row>
    <row r="2209" spans="2:6">
      <c r="B2209">
        <v>2008</v>
      </c>
      <c r="C2209" t="s">
        <v>36</v>
      </c>
      <c r="D2209" t="s">
        <v>184</v>
      </c>
      <c r="E2209" t="s">
        <v>9</v>
      </c>
      <c r="F2209">
        <v>0.72665059566497803</v>
      </c>
    </row>
    <row r="2210" spans="2:6">
      <c r="B2210">
        <v>2008</v>
      </c>
      <c r="C2210" t="s">
        <v>36</v>
      </c>
      <c r="D2210" t="s">
        <v>184</v>
      </c>
      <c r="E2210" t="s">
        <v>10</v>
      </c>
      <c r="F2210">
        <v>48.180000305175781</v>
      </c>
    </row>
    <row r="2211" spans="2:6">
      <c r="B2211">
        <v>2008</v>
      </c>
      <c r="C2211" t="s">
        <v>36</v>
      </c>
      <c r="D2211" t="s">
        <v>184</v>
      </c>
      <c r="E2211" t="s">
        <v>11</v>
      </c>
      <c r="F2211">
        <v>0.6120641827583313</v>
      </c>
    </row>
    <row r="2212" spans="2:6">
      <c r="B2212">
        <v>2008</v>
      </c>
      <c r="C2212" t="s">
        <v>36</v>
      </c>
      <c r="D2212" t="s">
        <v>184</v>
      </c>
      <c r="E2212" t="s">
        <v>12</v>
      </c>
      <c r="F2212">
        <v>-0.10082502663135529</v>
      </c>
    </row>
    <row r="2213" spans="2:6">
      <c r="B2213">
        <v>2008</v>
      </c>
      <c r="C2213" t="s">
        <v>36</v>
      </c>
      <c r="D2213" t="s">
        <v>184</v>
      </c>
      <c r="E2213" t="s">
        <v>13</v>
      </c>
      <c r="F2213">
        <v>0.88712435960769653</v>
      </c>
    </row>
    <row r="2214" spans="2:6">
      <c r="B2214">
        <v>2008</v>
      </c>
      <c r="C2214" t="s">
        <v>36</v>
      </c>
      <c r="D2214" t="s">
        <v>184</v>
      </c>
      <c r="E2214" t="s">
        <v>14</v>
      </c>
      <c r="F2214">
        <v>0.52347373962402344</v>
      </c>
    </row>
    <row r="2215" spans="2:6">
      <c r="B2215">
        <v>2008</v>
      </c>
      <c r="C2215" t="s">
        <v>36</v>
      </c>
      <c r="D2215" t="s">
        <v>184</v>
      </c>
      <c r="E2215" t="s">
        <v>15</v>
      </c>
      <c r="F2215">
        <v>0.30389222502708435</v>
      </c>
    </row>
    <row r="2216" spans="2:6">
      <c r="B2216">
        <v>2010</v>
      </c>
      <c r="C2216" t="s">
        <v>36</v>
      </c>
      <c r="D2216" t="s">
        <v>184</v>
      </c>
      <c r="E2216" t="s">
        <v>7</v>
      </c>
      <c r="F2216">
        <v>4.0355606079101563</v>
      </c>
    </row>
    <row r="2217" spans="2:6">
      <c r="B2217">
        <v>2010</v>
      </c>
      <c r="C2217" t="s">
        <v>36</v>
      </c>
      <c r="D2217" t="s">
        <v>184</v>
      </c>
      <c r="E2217" t="s">
        <v>8</v>
      </c>
      <c r="F2217">
        <v>7.4529252052307129</v>
      </c>
    </row>
    <row r="2218" spans="2:6">
      <c r="B2218">
        <v>2010</v>
      </c>
      <c r="C2218" t="s">
        <v>36</v>
      </c>
      <c r="D2218" t="s">
        <v>184</v>
      </c>
      <c r="E2218" t="s">
        <v>9</v>
      </c>
      <c r="F2218">
        <v>0.77310353517532349</v>
      </c>
    </row>
    <row r="2219" spans="2:6">
      <c r="B2219">
        <v>2010</v>
      </c>
      <c r="C2219" t="s">
        <v>36</v>
      </c>
      <c r="D2219" t="s">
        <v>184</v>
      </c>
      <c r="E2219" t="s">
        <v>10</v>
      </c>
      <c r="F2219">
        <v>49.700000762939453</v>
      </c>
    </row>
    <row r="2220" spans="2:6">
      <c r="B2220">
        <v>2010</v>
      </c>
      <c r="C2220" t="s">
        <v>36</v>
      </c>
      <c r="D2220" t="s">
        <v>184</v>
      </c>
      <c r="E2220" t="s">
        <v>11</v>
      </c>
      <c r="F2220">
        <v>0.58658075332641602</v>
      </c>
    </row>
    <row r="2221" spans="2:6">
      <c r="B2221">
        <v>2010</v>
      </c>
      <c r="C2221" t="s">
        <v>36</v>
      </c>
      <c r="D2221" t="s">
        <v>184</v>
      </c>
      <c r="E2221" t="s">
        <v>12</v>
      </c>
      <c r="F2221">
        <v>-3.6144863814115524E-2</v>
      </c>
    </row>
    <row r="2222" spans="2:6">
      <c r="B2222">
        <v>2010</v>
      </c>
      <c r="C2222" t="s">
        <v>36</v>
      </c>
      <c r="D2222" t="s">
        <v>184</v>
      </c>
      <c r="E2222" t="s">
        <v>13</v>
      </c>
      <c r="F2222">
        <v>0.76733511686325073</v>
      </c>
    </row>
    <row r="2223" spans="2:6">
      <c r="B2223">
        <v>2010</v>
      </c>
      <c r="C2223" t="s">
        <v>36</v>
      </c>
      <c r="D2223" t="s">
        <v>184</v>
      </c>
      <c r="E2223" t="s">
        <v>14</v>
      </c>
      <c r="F2223">
        <v>0.59003919363021851</v>
      </c>
    </row>
    <row r="2224" spans="2:6">
      <c r="B2224">
        <v>2010</v>
      </c>
      <c r="C2224" t="s">
        <v>36</v>
      </c>
      <c r="D2224" t="s">
        <v>184</v>
      </c>
      <c r="E2224" t="s">
        <v>15</v>
      </c>
      <c r="F2224">
        <v>0.21667347848415375</v>
      </c>
    </row>
    <row r="2225" spans="2:6">
      <c r="B2225">
        <v>2011</v>
      </c>
      <c r="C2225" t="s">
        <v>36</v>
      </c>
      <c r="D2225" t="s">
        <v>184</v>
      </c>
      <c r="E2225" t="s">
        <v>7</v>
      </c>
      <c r="F2225">
        <v>4.785367488861084</v>
      </c>
    </row>
    <row r="2226" spans="2:6">
      <c r="B2226">
        <v>2011</v>
      </c>
      <c r="C2226" t="s">
        <v>36</v>
      </c>
      <c r="D2226" t="s">
        <v>184</v>
      </c>
      <c r="E2226" t="s">
        <v>8</v>
      </c>
      <c r="F2226">
        <v>7.4869604110717773</v>
      </c>
    </row>
    <row r="2227" spans="2:6">
      <c r="B2227">
        <v>2011</v>
      </c>
      <c r="C2227" t="s">
        <v>36</v>
      </c>
      <c r="D2227" t="s">
        <v>184</v>
      </c>
      <c r="E2227" t="s">
        <v>9</v>
      </c>
      <c r="F2227">
        <v>0.70952814817428589</v>
      </c>
    </row>
    <row r="2228" spans="2:6">
      <c r="B2228">
        <v>2011</v>
      </c>
      <c r="C2228" t="s">
        <v>36</v>
      </c>
      <c r="D2228" t="s">
        <v>184</v>
      </c>
      <c r="E2228" t="s">
        <v>10</v>
      </c>
      <c r="F2228">
        <v>50.240001678466797</v>
      </c>
    </row>
    <row r="2229" spans="2:6">
      <c r="B2229">
        <v>2011</v>
      </c>
      <c r="C2229" t="s">
        <v>36</v>
      </c>
      <c r="D2229" t="s">
        <v>184</v>
      </c>
      <c r="E2229" t="s">
        <v>11</v>
      </c>
      <c r="F2229">
        <v>0.72456848621368408</v>
      </c>
    </row>
    <row r="2230" spans="2:6">
      <c r="B2230">
        <v>2011</v>
      </c>
      <c r="C2230" t="s">
        <v>36</v>
      </c>
      <c r="D2230" t="s">
        <v>184</v>
      </c>
      <c r="E2230" t="s">
        <v>12</v>
      </c>
      <c r="F2230">
        <v>-0.10456785559654236</v>
      </c>
    </row>
    <row r="2231" spans="2:6">
      <c r="B2231">
        <v>2011</v>
      </c>
      <c r="C2231" t="s">
        <v>36</v>
      </c>
      <c r="D2231" t="s">
        <v>184</v>
      </c>
      <c r="E2231" t="s">
        <v>13</v>
      </c>
      <c r="F2231">
        <v>0.70679837465286255</v>
      </c>
    </row>
    <row r="2232" spans="2:6">
      <c r="B2232">
        <v>2011</v>
      </c>
      <c r="C2232" t="s">
        <v>36</v>
      </c>
      <c r="D2232" t="s">
        <v>184</v>
      </c>
      <c r="E2232" t="s">
        <v>14</v>
      </c>
      <c r="F2232">
        <v>0.57862502336502075</v>
      </c>
    </row>
    <row r="2233" spans="2:6">
      <c r="B2233">
        <v>2011</v>
      </c>
      <c r="C2233" t="s">
        <v>36</v>
      </c>
      <c r="D2233" t="s">
        <v>184</v>
      </c>
      <c r="E2233" t="s">
        <v>15</v>
      </c>
      <c r="F2233">
        <v>0.20473584532737732</v>
      </c>
    </row>
    <row r="2234" spans="2:6">
      <c r="B2234">
        <v>2012</v>
      </c>
      <c r="C2234" t="s">
        <v>36</v>
      </c>
      <c r="D2234" t="s">
        <v>184</v>
      </c>
      <c r="E2234" t="s">
        <v>7</v>
      </c>
      <c r="F2234">
        <v>3.9550080299377441</v>
      </c>
    </row>
    <row r="2235" spans="2:6">
      <c r="B2235">
        <v>2012</v>
      </c>
      <c r="C2235" t="s">
        <v>36</v>
      </c>
      <c r="D2235" t="s">
        <v>184</v>
      </c>
      <c r="E2235" t="s">
        <v>8</v>
      </c>
      <c r="F2235">
        <v>7.5195169448852539</v>
      </c>
    </row>
    <row r="2236" spans="2:6">
      <c r="B2236">
        <v>2012</v>
      </c>
      <c r="C2236" t="s">
        <v>36</v>
      </c>
      <c r="D2236" t="s">
        <v>184</v>
      </c>
      <c r="E2236" t="s">
        <v>9</v>
      </c>
      <c r="F2236">
        <v>0.74376577138900757</v>
      </c>
    </row>
    <row r="2237" spans="2:6">
      <c r="B2237">
        <v>2012</v>
      </c>
      <c r="C2237" t="s">
        <v>36</v>
      </c>
      <c r="D2237" t="s">
        <v>184</v>
      </c>
      <c r="E2237" t="s">
        <v>10</v>
      </c>
      <c r="F2237">
        <v>50.779998779296875</v>
      </c>
    </row>
    <row r="2238" spans="2:6">
      <c r="B2238">
        <v>2012</v>
      </c>
      <c r="C2238" t="s">
        <v>36</v>
      </c>
      <c r="D2238" t="s">
        <v>184</v>
      </c>
      <c r="E2238" t="s">
        <v>11</v>
      </c>
      <c r="F2238">
        <v>0.6218487024307251</v>
      </c>
    </row>
    <row r="2239" spans="2:6">
      <c r="B2239">
        <v>2012</v>
      </c>
      <c r="C2239" t="s">
        <v>36</v>
      </c>
      <c r="D2239" t="s">
        <v>184</v>
      </c>
      <c r="E2239" t="s">
        <v>12</v>
      </c>
      <c r="F2239">
        <v>-6.95967897772789E-2</v>
      </c>
    </row>
    <row r="2240" spans="2:6">
      <c r="B2240">
        <v>2012</v>
      </c>
      <c r="C2240" t="s">
        <v>36</v>
      </c>
      <c r="D2240" t="s">
        <v>184</v>
      </c>
      <c r="E2240" t="s">
        <v>13</v>
      </c>
      <c r="F2240">
        <v>0.72628688812255859</v>
      </c>
    </row>
    <row r="2241" spans="2:6">
      <c r="B2241">
        <v>2012</v>
      </c>
      <c r="C2241" t="s">
        <v>36</v>
      </c>
      <c r="D2241" t="s">
        <v>184</v>
      </c>
      <c r="E2241" t="s">
        <v>14</v>
      </c>
      <c r="F2241">
        <v>0.54485142230987549</v>
      </c>
    </row>
    <row r="2242" spans="2:6">
      <c r="B2242">
        <v>2012</v>
      </c>
      <c r="C2242" t="s">
        <v>36</v>
      </c>
      <c r="D2242" t="s">
        <v>184</v>
      </c>
      <c r="E2242" t="s">
        <v>15</v>
      </c>
      <c r="F2242">
        <v>0.29972293972969055</v>
      </c>
    </row>
    <row r="2243" spans="2:6">
      <c r="B2243">
        <v>2013</v>
      </c>
      <c r="C2243" t="s">
        <v>36</v>
      </c>
      <c r="D2243" t="s">
        <v>184</v>
      </c>
      <c r="E2243" t="s">
        <v>7</v>
      </c>
      <c r="F2243">
        <v>3.3259496688842773</v>
      </c>
    </row>
    <row r="2244" spans="2:6">
      <c r="B2244">
        <v>2013</v>
      </c>
      <c r="C2244" t="s">
        <v>36</v>
      </c>
      <c r="D2244" t="s">
        <v>184</v>
      </c>
      <c r="E2244" t="s">
        <v>8</v>
      </c>
      <c r="F2244">
        <v>7.5460114479064941</v>
      </c>
    </row>
    <row r="2245" spans="2:6">
      <c r="B2245">
        <v>2013</v>
      </c>
      <c r="C2245" t="s">
        <v>36</v>
      </c>
      <c r="D2245" t="s">
        <v>184</v>
      </c>
      <c r="E2245" t="s">
        <v>9</v>
      </c>
      <c r="F2245">
        <v>0.74521660804748535</v>
      </c>
    </row>
    <row r="2246" spans="2:6">
      <c r="B2246">
        <v>2013</v>
      </c>
      <c r="C2246" t="s">
        <v>36</v>
      </c>
      <c r="D2246" t="s">
        <v>184</v>
      </c>
      <c r="E2246" t="s">
        <v>10</v>
      </c>
      <c r="F2246">
        <v>51.319999694824219</v>
      </c>
    </row>
    <row r="2247" spans="2:6">
      <c r="B2247">
        <v>2013</v>
      </c>
      <c r="C2247" t="s">
        <v>36</v>
      </c>
      <c r="D2247" t="s">
        <v>184</v>
      </c>
      <c r="E2247" t="s">
        <v>11</v>
      </c>
      <c r="F2247">
        <v>0.7412574291229248</v>
      </c>
    </row>
    <row r="2248" spans="2:6">
      <c r="B2248">
        <v>2013</v>
      </c>
      <c r="C2248" t="s">
        <v>36</v>
      </c>
      <c r="D2248" t="s">
        <v>184</v>
      </c>
      <c r="E2248" t="s">
        <v>12</v>
      </c>
      <c r="F2248">
        <v>-1.5849445015192032E-2</v>
      </c>
    </row>
    <row r="2249" spans="2:6">
      <c r="B2249">
        <v>2013</v>
      </c>
      <c r="C2249" t="s">
        <v>36</v>
      </c>
      <c r="D2249" t="s">
        <v>184</v>
      </c>
      <c r="E2249" t="s">
        <v>13</v>
      </c>
      <c r="F2249">
        <v>0.76472145318984985</v>
      </c>
    </row>
    <row r="2250" spans="2:6">
      <c r="B2250">
        <v>2013</v>
      </c>
      <c r="C2250" t="s">
        <v>36</v>
      </c>
      <c r="D2250" t="s">
        <v>184</v>
      </c>
      <c r="E2250" t="s">
        <v>14</v>
      </c>
      <c r="F2250">
        <v>0.62977051734924316</v>
      </c>
    </row>
    <row r="2251" spans="2:6">
      <c r="B2251">
        <v>2013</v>
      </c>
      <c r="C2251" t="s">
        <v>36</v>
      </c>
      <c r="D2251" t="s">
        <v>184</v>
      </c>
      <c r="E2251" t="s">
        <v>15</v>
      </c>
      <c r="F2251">
        <v>0.28676575422286987</v>
      </c>
    </row>
    <row r="2252" spans="2:6">
      <c r="B2252">
        <v>2014</v>
      </c>
      <c r="C2252" t="s">
        <v>36</v>
      </c>
      <c r="D2252" t="s">
        <v>184</v>
      </c>
      <c r="E2252" t="s">
        <v>7</v>
      </c>
      <c r="F2252">
        <v>3.4813477993011475</v>
      </c>
    </row>
    <row r="2253" spans="2:6">
      <c r="B2253">
        <v>2014</v>
      </c>
      <c r="C2253" t="s">
        <v>36</v>
      </c>
      <c r="D2253" t="s">
        <v>184</v>
      </c>
      <c r="E2253" t="s">
        <v>8</v>
      </c>
      <c r="F2253">
        <v>7.5587506294250488</v>
      </c>
    </row>
    <row r="2254" spans="2:6">
      <c r="B2254">
        <v>2014</v>
      </c>
      <c r="C2254" t="s">
        <v>36</v>
      </c>
      <c r="D2254" t="s">
        <v>184</v>
      </c>
      <c r="E2254" t="s">
        <v>9</v>
      </c>
      <c r="F2254">
        <v>0.74226206541061401</v>
      </c>
    </row>
    <row r="2255" spans="2:6">
      <c r="B2255">
        <v>2014</v>
      </c>
      <c r="C2255" t="s">
        <v>36</v>
      </c>
      <c r="D2255" t="s">
        <v>184</v>
      </c>
      <c r="E2255" t="s">
        <v>10</v>
      </c>
      <c r="F2255">
        <v>51.860000610351563</v>
      </c>
    </row>
    <row r="2256" spans="2:6">
      <c r="B2256">
        <v>2014</v>
      </c>
      <c r="C2256" t="s">
        <v>36</v>
      </c>
      <c r="D2256" t="s">
        <v>184</v>
      </c>
      <c r="E2256" t="s">
        <v>11</v>
      </c>
      <c r="F2256">
        <v>0.70996451377868652</v>
      </c>
    </row>
    <row r="2257" spans="2:6">
      <c r="B2257">
        <v>2014</v>
      </c>
      <c r="C2257" t="s">
        <v>36</v>
      </c>
      <c r="D2257" t="s">
        <v>184</v>
      </c>
      <c r="E2257" t="s">
        <v>12</v>
      </c>
      <c r="F2257">
        <v>-3.698775777593255E-3</v>
      </c>
    </row>
    <row r="2258" spans="2:6">
      <c r="B2258">
        <v>2014</v>
      </c>
      <c r="C2258" t="s">
        <v>36</v>
      </c>
      <c r="D2258" t="s">
        <v>184</v>
      </c>
      <c r="E2258" t="s">
        <v>13</v>
      </c>
      <c r="F2258">
        <v>0.80075782537460327</v>
      </c>
    </row>
    <row r="2259" spans="2:6">
      <c r="B2259">
        <v>2014</v>
      </c>
      <c r="C2259" t="s">
        <v>36</v>
      </c>
      <c r="D2259" t="s">
        <v>184</v>
      </c>
      <c r="E2259" t="s">
        <v>14</v>
      </c>
      <c r="F2259">
        <v>0.61373180150985718</v>
      </c>
    </row>
    <row r="2260" spans="2:6">
      <c r="B2260">
        <v>2014</v>
      </c>
      <c r="C2260" t="s">
        <v>36</v>
      </c>
      <c r="D2260" t="s">
        <v>184</v>
      </c>
      <c r="E2260" t="s">
        <v>15</v>
      </c>
      <c r="F2260">
        <v>0.25564411282539368</v>
      </c>
    </row>
    <row r="2261" spans="2:6">
      <c r="B2261">
        <v>2015</v>
      </c>
      <c r="C2261" t="s">
        <v>36</v>
      </c>
      <c r="D2261" t="s">
        <v>184</v>
      </c>
      <c r="E2261" t="s">
        <v>7</v>
      </c>
      <c r="F2261">
        <v>4.4189300537109375</v>
      </c>
    </row>
    <row r="2262" spans="2:6">
      <c r="B2262">
        <v>2015</v>
      </c>
      <c r="C2262" t="s">
        <v>36</v>
      </c>
      <c r="D2262" t="s">
        <v>184</v>
      </c>
      <c r="E2262" t="s">
        <v>8</v>
      </c>
      <c r="F2262">
        <v>7.5677356719970703</v>
      </c>
    </row>
    <row r="2263" spans="2:6">
      <c r="B2263">
        <v>2015</v>
      </c>
      <c r="C2263" t="s">
        <v>36</v>
      </c>
      <c r="D2263" t="s">
        <v>184</v>
      </c>
      <c r="E2263" t="s">
        <v>9</v>
      </c>
      <c r="F2263">
        <v>0.70539349317550659</v>
      </c>
    </row>
    <row r="2264" spans="2:6">
      <c r="B2264">
        <v>2015</v>
      </c>
      <c r="C2264" t="s">
        <v>36</v>
      </c>
      <c r="D2264" t="s">
        <v>184</v>
      </c>
      <c r="E2264" t="s">
        <v>10</v>
      </c>
      <c r="F2264">
        <v>52.400001525878906</v>
      </c>
    </row>
    <row r="2265" spans="2:6">
      <c r="B2265">
        <v>2015</v>
      </c>
      <c r="C2265" t="s">
        <v>36</v>
      </c>
      <c r="D2265" t="s">
        <v>184</v>
      </c>
      <c r="E2265" t="s">
        <v>11</v>
      </c>
      <c r="F2265">
        <v>0.65910273790359497</v>
      </c>
    </row>
    <row r="2266" spans="2:6">
      <c r="B2266">
        <v>2015</v>
      </c>
      <c r="C2266" t="s">
        <v>36</v>
      </c>
      <c r="D2266" t="s">
        <v>184</v>
      </c>
      <c r="E2266" t="s">
        <v>12</v>
      </c>
      <c r="F2266">
        <v>3.5707743372768164E-3</v>
      </c>
    </row>
    <row r="2267" spans="2:6">
      <c r="B2267">
        <v>2015</v>
      </c>
      <c r="C2267" t="s">
        <v>36</v>
      </c>
      <c r="D2267" t="s">
        <v>184</v>
      </c>
      <c r="E2267" t="s">
        <v>13</v>
      </c>
      <c r="F2267">
        <v>0.69272398948669434</v>
      </c>
    </row>
    <row r="2268" spans="2:6">
      <c r="B2268">
        <v>2015</v>
      </c>
      <c r="C2268" t="s">
        <v>36</v>
      </c>
      <c r="D2268" t="s">
        <v>184</v>
      </c>
      <c r="E2268" t="s">
        <v>14</v>
      </c>
      <c r="F2268">
        <v>0.57935595512390137</v>
      </c>
    </row>
    <row r="2269" spans="2:6">
      <c r="B2269">
        <v>2015</v>
      </c>
      <c r="C2269" t="s">
        <v>36</v>
      </c>
      <c r="D2269" t="s">
        <v>184</v>
      </c>
      <c r="E2269" t="s">
        <v>15</v>
      </c>
      <c r="F2269">
        <v>0.35928764939308167</v>
      </c>
    </row>
    <row r="2270" spans="2:6">
      <c r="B2270">
        <v>2016</v>
      </c>
      <c r="C2270" t="s">
        <v>36</v>
      </c>
      <c r="D2270" t="s">
        <v>184</v>
      </c>
      <c r="E2270" t="s">
        <v>7</v>
      </c>
      <c r="F2270">
        <v>4.205634593963623</v>
      </c>
    </row>
    <row r="2271" spans="2:6">
      <c r="B2271">
        <v>2016</v>
      </c>
      <c r="C2271" t="s">
        <v>36</v>
      </c>
      <c r="D2271" t="s">
        <v>184</v>
      </c>
      <c r="E2271" t="s">
        <v>8</v>
      </c>
      <c r="F2271">
        <v>7.5964617729187012</v>
      </c>
    </row>
    <row r="2272" spans="2:6">
      <c r="B2272">
        <v>2016</v>
      </c>
      <c r="C2272" t="s">
        <v>36</v>
      </c>
      <c r="D2272" t="s">
        <v>184</v>
      </c>
      <c r="E2272" t="s">
        <v>9</v>
      </c>
      <c r="F2272">
        <v>0.7644011378288269</v>
      </c>
    </row>
    <row r="2273" spans="2:6">
      <c r="B2273">
        <v>2016</v>
      </c>
      <c r="C2273" t="s">
        <v>36</v>
      </c>
      <c r="D2273" t="s">
        <v>184</v>
      </c>
      <c r="E2273" t="s">
        <v>10</v>
      </c>
      <c r="F2273">
        <v>52.900001525878906</v>
      </c>
    </row>
    <row r="2274" spans="2:6">
      <c r="B2274">
        <v>2016</v>
      </c>
      <c r="C2274" t="s">
        <v>36</v>
      </c>
      <c r="D2274" t="s">
        <v>184</v>
      </c>
      <c r="E2274" t="s">
        <v>11</v>
      </c>
      <c r="F2274">
        <v>0.64468151330947876</v>
      </c>
    </row>
    <row r="2275" spans="2:6">
      <c r="B2275">
        <v>2016</v>
      </c>
      <c r="C2275" t="s">
        <v>36</v>
      </c>
      <c r="D2275" t="s">
        <v>184</v>
      </c>
      <c r="E2275" t="s">
        <v>12</v>
      </c>
      <c r="F2275">
        <v>-5.4310663836076856E-4</v>
      </c>
    </row>
    <row r="2276" spans="2:6">
      <c r="B2276">
        <v>2016</v>
      </c>
      <c r="C2276" t="s">
        <v>36</v>
      </c>
      <c r="D2276" t="s">
        <v>184</v>
      </c>
      <c r="E2276" t="s">
        <v>13</v>
      </c>
      <c r="F2276">
        <v>0.72054243087768555</v>
      </c>
    </row>
    <row r="2277" spans="2:6">
      <c r="B2277">
        <v>2016</v>
      </c>
      <c r="C2277" t="s">
        <v>36</v>
      </c>
      <c r="D2277" t="s">
        <v>184</v>
      </c>
      <c r="E2277" t="s">
        <v>14</v>
      </c>
      <c r="F2277">
        <v>0.61606687307357788</v>
      </c>
    </row>
    <row r="2278" spans="2:6">
      <c r="B2278">
        <v>2016</v>
      </c>
      <c r="C2278" t="s">
        <v>36</v>
      </c>
      <c r="D2278" t="s">
        <v>184</v>
      </c>
      <c r="E2278" t="s">
        <v>15</v>
      </c>
      <c r="F2278">
        <v>0.33730018138885498</v>
      </c>
    </row>
    <row r="2279" spans="2:6">
      <c r="B2279">
        <v>2017</v>
      </c>
      <c r="C2279" t="s">
        <v>36</v>
      </c>
      <c r="D2279" t="s">
        <v>184</v>
      </c>
      <c r="E2279" t="s">
        <v>7</v>
      </c>
      <c r="F2279">
        <v>4.6468911170959473</v>
      </c>
    </row>
    <row r="2280" spans="2:6">
      <c r="B2280">
        <v>2017</v>
      </c>
      <c r="C2280" t="s">
        <v>36</v>
      </c>
      <c r="D2280" t="s">
        <v>184</v>
      </c>
      <c r="E2280" t="s">
        <v>8</v>
      </c>
      <c r="F2280">
        <v>7.6273031234741211</v>
      </c>
    </row>
    <row r="2281" spans="2:6">
      <c r="B2281">
        <v>2017</v>
      </c>
      <c r="C2281" t="s">
        <v>36</v>
      </c>
      <c r="D2281" t="s">
        <v>184</v>
      </c>
      <c r="E2281" t="s">
        <v>9</v>
      </c>
      <c r="F2281">
        <v>0.78476136922836304</v>
      </c>
    </row>
    <row r="2282" spans="2:6">
      <c r="B2282">
        <v>2017</v>
      </c>
      <c r="C2282" t="s">
        <v>36</v>
      </c>
      <c r="D2282" t="s">
        <v>184</v>
      </c>
      <c r="E2282" t="s">
        <v>10</v>
      </c>
      <c r="F2282">
        <v>53.400001525878906</v>
      </c>
    </row>
    <row r="2283" spans="2:6">
      <c r="B2283">
        <v>2017</v>
      </c>
      <c r="C2283" t="s">
        <v>36</v>
      </c>
      <c r="D2283" t="s">
        <v>184</v>
      </c>
      <c r="E2283" t="s">
        <v>11</v>
      </c>
      <c r="F2283">
        <v>0.61377471685409546</v>
      </c>
    </row>
    <row r="2284" spans="2:6">
      <c r="B2284">
        <v>2017</v>
      </c>
      <c r="C2284" t="s">
        <v>36</v>
      </c>
      <c r="D2284" t="s">
        <v>184</v>
      </c>
      <c r="E2284" t="s">
        <v>12</v>
      </c>
      <c r="F2284">
        <v>-6.3231714069843292E-2</v>
      </c>
    </row>
    <row r="2285" spans="2:6">
      <c r="B2285">
        <v>2017</v>
      </c>
      <c r="C2285" t="s">
        <v>36</v>
      </c>
      <c r="D2285" t="s">
        <v>184</v>
      </c>
      <c r="E2285" t="s">
        <v>13</v>
      </c>
      <c r="F2285">
        <v>0.72745132446289063</v>
      </c>
    </row>
    <row r="2286" spans="2:6">
      <c r="B2286">
        <v>2017</v>
      </c>
      <c r="C2286" t="s">
        <v>36</v>
      </c>
      <c r="D2286" t="s">
        <v>184</v>
      </c>
      <c r="E2286" t="s">
        <v>14</v>
      </c>
      <c r="F2286">
        <v>0.58517247438430786</v>
      </c>
    </row>
    <row r="2287" spans="2:6">
      <c r="B2287">
        <v>2017</v>
      </c>
      <c r="C2287" t="s">
        <v>36</v>
      </c>
      <c r="D2287" t="s">
        <v>184</v>
      </c>
      <c r="E2287" t="s">
        <v>15</v>
      </c>
      <c r="F2287">
        <v>0.35382106900215149</v>
      </c>
    </row>
    <row r="2288" spans="2:6">
      <c r="B2288">
        <v>2018</v>
      </c>
      <c r="C2288" t="s">
        <v>36</v>
      </c>
      <c r="D2288" t="s">
        <v>184</v>
      </c>
      <c r="E2288" t="s">
        <v>7</v>
      </c>
      <c r="F2288">
        <v>4.9272360801696777</v>
      </c>
    </row>
    <row r="2289" spans="2:6">
      <c r="B2289">
        <v>2018</v>
      </c>
      <c r="C2289" t="s">
        <v>36</v>
      </c>
      <c r="D2289" t="s">
        <v>184</v>
      </c>
      <c r="E2289" t="s">
        <v>8</v>
      </c>
      <c r="F2289">
        <v>7.6646037101745605</v>
      </c>
    </row>
    <row r="2290" spans="2:6">
      <c r="B2290">
        <v>2018</v>
      </c>
      <c r="C2290" t="s">
        <v>36</v>
      </c>
      <c r="D2290" t="s">
        <v>184</v>
      </c>
      <c r="E2290" t="s">
        <v>9</v>
      </c>
      <c r="F2290">
        <v>0.66485947370529175</v>
      </c>
    </row>
    <row r="2291" spans="2:6">
      <c r="B2291">
        <v>2018</v>
      </c>
      <c r="C2291" t="s">
        <v>36</v>
      </c>
      <c r="D2291" t="s">
        <v>184</v>
      </c>
      <c r="E2291" t="s">
        <v>10</v>
      </c>
      <c r="F2291">
        <v>53.900001525878906</v>
      </c>
    </row>
    <row r="2292" spans="2:6">
      <c r="B2292">
        <v>2018</v>
      </c>
      <c r="C2292" t="s">
        <v>36</v>
      </c>
      <c r="D2292" t="s">
        <v>184</v>
      </c>
      <c r="E2292" t="s">
        <v>11</v>
      </c>
      <c r="F2292">
        <v>0.72074347734451294</v>
      </c>
    </row>
    <row r="2293" spans="2:6">
      <c r="B2293">
        <v>2018</v>
      </c>
      <c r="C2293" t="s">
        <v>36</v>
      </c>
      <c r="D2293" t="s">
        <v>184</v>
      </c>
      <c r="E2293" t="s">
        <v>12</v>
      </c>
      <c r="F2293">
        <v>-1.317454781383276E-2</v>
      </c>
    </row>
    <row r="2294" spans="2:6">
      <c r="B2294">
        <v>2018</v>
      </c>
      <c r="C2294" t="s">
        <v>36</v>
      </c>
      <c r="D2294" t="s">
        <v>184</v>
      </c>
      <c r="E2294" t="s">
        <v>13</v>
      </c>
      <c r="F2294">
        <v>0.75739860534667969</v>
      </c>
    </row>
    <row r="2295" spans="2:6">
      <c r="B2295">
        <v>2018</v>
      </c>
      <c r="C2295" t="s">
        <v>36</v>
      </c>
      <c r="D2295" t="s">
        <v>184</v>
      </c>
      <c r="E2295" t="s">
        <v>14</v>
      </c>
      <c r="F2295">
        <v>0.71088355779647827</v>
      </c>
    </row>
    <row r="2296" spans="2:6">
      <c r="B2296">
        <v>2018</v>
      </c>
      <c r="C2296" t="s">
        <v>36</v>
      </c>
      <c r="D2296" t="s">
        <v>184</v>
      </c>
      <c r="E2296" t="s">
        <v>15</v>
      </c>
      <c r="F2296">
        <v>0.34286552667617798</v>
      </c>
    </row>
    <row r="2297" spans="2:6">
      <c r="B2297">
        <v>2019</v>
      </c>
      <c r="C2297" t="s">
        <v>36</v>
      </c>
      <c r="D2297" t="s">
        <v>184</v>
      </c>
      <c r="E2297" t="s">
        <v>7</v>
      </c>
      <c r="F2297">
        <v>4.7408928871154785</v>
      </c>
    </row>
    <row r="2298" spans="2:6">
      <c r="B2298">
        <v>2019</v>
      </c>
      <c r="C2298" t="s">
        <v>36</v>
      </c>
      <c r="D2298" t="s">
        <v>184</v>
      </c>
      <c r="E2298" t="s">
        <v>8</v>
      </c>
      <c r="F2298">
        <v>7.6914882659912109</v>
      </c>
    </row>
    <row r="2299" spans="2:6">
      <c r="B2299">
        <v>2019</v>
      </c>
      <c r="C2299" t="s">
        <v>36</v>
      </c>
      <c r="D2299" t="s">
        <v>184</v>
      </c>
      <c r="E2299" t="s">
        <v>9</v>
      </c>
      <c r="F2299">
        <v>0.68310236930847168</v>
      </c>
    </row>
    <row r="2300" spans="2:6">
      <c r="B2300">
        <v>2019</v>
      </c>
      <c r="C2300" t="s">
        <v>36</v>
      </c>
      <c r="D2300" t="s">
        <v>184</v>
      </c>
      <c r="E2300" t="s">
        <v>10</v>
      </c>
      <c r="F2300">
        <v>54.400001525878906</v>
      </c>
    </row>
    <row r="2301" spans="2:6">
      <c r="B2301">
        <v>2019</v>
      </c>
      <c r="C2301" t="s">
        <v>36</v>
      </c>
      <c r="D2301" t="s">
        <v>184</v>
      </c>
      <c r="E2301" t="s">
        <v>11</v>
      </c>
      <c r="F2301">
        <v>0.67754685878753662</v>
      </c>
    </row>
    <row r="2302" spans="2:6">
      <c r="B2302">
        <v>2019</v>
      </c>
      <c r="C2302" t="s">
        <v>36</v>
      </c>
      <c r="D2302" t="s">
        <v>184</v>
      </c>
      <c r="E2302" t="s">
        <v>12</v>
      </c>
      <c r="F2302">
        <v>-4.0898942388594151E-3</v>
      </c>
    </row>
    <row r="2303" spans="2:6">
      <c r="B2303">
        <v>2019</v>
      </c>
      <c r="C2303" t="s">
        <v>36</v>
      </c>
      <c r="D2303" t="s">
        <v>184</v>
      </c>
      <c r="E2303" t="s">
        <v>13</v>
      </c>
      <c r="F2303">
        <v>0.72939658164978027</v>
      </c>
    </row>
    <row r="2304" spans="2:6">
      <c r="B2304">
        <v>2019</v>
      </c>
      <c r="C2304" t="s">
        <v>36</v>
      </c>
      <c r="D2304" t="s">
        <v>184</v>
      </c>
      <c r="E2304" t="s">
        <v>14</v>
      </c>
      <c r="F2304">
        <v>0.69092589616775513</v>
      </c>
    </row>
    <row r="2305" spans="2:6">
      <c r="B2305">
        <v>2019</v>
      </c>
      <c r="C2305" t="s">
        <v>36</v>
      </c>
      <c r="D2305" t="s">
        <v>184</v>
      </c>
      <c r="E2305" t="s">
        <v>15</v>
      </c>
      <c r="F2305">
        <v>0.3647753894329071</v>
      </c>
    </row>
    <row r="2306" spans="2:6">
      <c r="B2306">
        <v>2008</v>
      </c>
      <c r="C2306" t="s">
        <v>37</v>
      </c>
      <c r="D2306" t="s">
        <v>184</v>
      </c>
      <c r="E2306" t="s">
        <v>7</v>
      </c>
      <c r="F2306">
        <v>3.563227653503418</v>
      </c>
    </row>
    <row r="2307" spans="2:6">
      <c r="B2307">
        <v>2008</v>
      </c>
      <c r="C2307" t="s">
        <v>37</v>
      </c>
      <c r="D2307" t="s">
        <v>184</v>
      </c>
      <c r="E2307" t="s">
        <v>8</v>
      </c>
      <c r="F2307">
        <v>6.7187623977661133</v>
      </c>
    </row>
    <row r="2308" spans="2:6">
      <c r="B2308">
        <v>2008</v>
      </c>
      <c r="C2308" t="s">
        <v>37</v>
      </c>
      <c r="D2308" t="s">
        <v>184</v>
      </c>
      <c r="E2308" t="s">
        <v>9</v>
      </c>
      <c r="F2308">
        <v>0.29093381762504578</v>
      </c>
    </row>
    <row r="2309" spans="2:6">
      <c r="B2309">
        <v>2008</v>
      </c>
      <c r="C2309" t="s">
        <v>37</v>
      </c>
      <c r="D2309" t="s">
        <v>184</v>
      </c>
      <c r="E2309" t="s">
        <v>10</v>
      </c>
      <c r="F2309">
        <v>49.020000457763672</v>
      </c>
    </row>
    <row r="2310" spans="2:6">
      <c r="B2310">
        <v>2008</v>
      </c>
      <c r="C2310" t="s">
        <v>37</v>
      </c>
      <c r="D2310" t="s">
        <v>184</v>
      </c>
      <c r="E2310" t="s">
        <v>11</v>
      </c>
      <c r="F2310">
        <v>0.26006931066513062</v>
      </c>
    </row>
    <row r="2311" spans="2:6">
      <c r="B2311">
        <v>2008</v>
      </c>
      <c r="C2311" t="s">
        <v>37</v>
      </c>
      <c r="D2311" t="s">
        <v>184</v>
      </c>
      <c r="E2311" t="s">
        <v>12</v>
      </c>
      <c r="F2311">
        <v>-1.889403723180294E-2</v>
      </c>
    </row>
    <row r="2312" spans="2:6">
      <c r="B2312">
        <v>2008</v>
      </c>
      <c r="C2312" t="s">
        <v>37</v>
      </c>
      <c r="D2312" t="s">
        <v>184</v>
      </c>
      <c r="E2312" t="s">
        <v>13</v>
      </c>
      <c r="F2312">
        <v>0.8598136305809021</v>
      </c>
    </row>
    <row r="2313" spans="2:6">
      <c r="B2313">
        <v>2008</v>
      </c>
      <c r="C2313" t="s">
        <v>37</v>
      </c>
      <c r="D2313" t="s">
        <v>184</v>
      </c>
      <c r="E2313" t="s">
        <v>14</v>
      </c>
      <c r="F2313">
        <v>0.43969830870628357</v>
      </c>
    </row>
    <row r="2314" spans="2:6">
      <c r="B2314">
        <v>2008</v>
      </c>
      <c r="C2314" t="s">
        <v>37</v>
      </c>
      <c r="D2314" t="s">
        <v>184</v>
      </c>
      <c r="E2314" t="s">
        <v>15</v>
      </c>
      <c r="F2314">
        <v>0.25277146697044373</v>
      </c>
    </row>
    <row r="2315" spans="2:6">
      <c r="B2315">
        <v>2009</v>
      </c>
      <c r="C2315" t="s">
        <v>37</v>
      </c>
      <c r="D2315" t="s">
        <v>184</v>
      </c>
      <c r="E2315" t="s">
        <v>7</v>
      </c>
      <c r="F2315">
        <v>3.7916808128356934</v>
      </c>
    </row>
    <row r="2316" spans="2:6">
      <c r="B2316">
        <v>2009</v>
      </c>
      <c r="C2316" t="s">
        <v>37</v>
      </c>
      <c r="D2316" t="s">
        <v>184</v>
      </c>
      <c r="E2316" t="s">
        <v>8</v>
      </c>
      <c r="F2316">
        <v>6.7233085632324219</v>
      </c>
    </row>
    <row r="2317" spans="2:6">
      <c r="B2317">
        <v>2009</v>
      </c>
      <c r="C2317" t="s">
        <v>37</v>
      </c>
      <c r="D2317" t="s">
        <v>184</v>
      </c>
      <c r="E2317" t="s">
        <v>9</v>
      </c>
      <c r="F2317">
        <v>0.32569253444671631</v>
      </c>
    </row>
    <row r="2318" spans="2:6">
      <c r="B2318">
        <v>2009</v>
      </c>
      <c r="C2318" t="s">
        <v>37</v>
      </c>
      <c r="D2318" t="s">
        <v>184</v>
      </c>
      <c r="E2318" t="s">
        <v>10</v>
      </c>
      <c r="F2318">
        <v>49.659999847412109</v>
      </c>
    </row>
    <row r="2319" spans="2:6">
      <c r="B2319">
        <v>2009</v>
      </c>
      <c r="C2319" t="s">
        <v>37</v>
      </c>
      <c r="D2319" t="s">
        <v>184</v>
      </c>
      <c r="E2319" t="s">
        <v>11</v>
      </c>
      <c r="F2319">
        <v>0.42735591530799866</v>
      </c>
    </row>
    <row r="2320" spans="2:6">
      <c r="B2320">
        <v>2009</v>
      </c>
      <c r="C2320" t="s">
        <v>37</v>
      </c>
      <c r="D2320" t="s">
        <v>184</v>
      </c>
      <c r="E2320" t="s">
        <v>12</v>
      </c>
      <c r="F2320">
        <v>-1.927788183093071E-2</v>
      </c>
    </row>
    <row r="2321" spans="2:6">
      <c r="B2321">
        <v>2009</v>
      </c>
      <c r="C2321" t="s">
        <v>37</v>
      </c>
      <c r="D2321" t="s">
        <v>184</v>
      </c>
      <c r="E2321" t="s">
        <v>13</v>
      </c>
      <c r="F2321">
        <v>0.71820342540740967</v>
      </c>
    </row>
    <row r="2322" spans="2:6">
      <c r="B2322">
        <v>2009</v>
      </c>
      <c r="C2322" t="s">
        <v>37</v>
      </c>
      <c r="D2322" t="s">
        <v>184</v>
      </c>
      <c r="E2322" t="s">
        <v>14</v>
      </c>
      <c r="F2322">
        <v>0.64062225818634033</v>
      </c>
    </row>
    <row r="2323" spans="2:6">
      <c r="B2323">
        <v>2009</v>
      </c>
      <c r="C2323" t="s">
        <v>37</v>
      </c>
      <c r="D2323" t="s">
        <v>184</v>
      </c>
      <c r="E2323" t="s">
        <v>15</v>
      </c>
      <c r="F2323">
        <v>0.16364283859729767</v>
      </c>
    </row>
    <row r="2324" spans="2:6">
      <c r="B2324">
        <v>2011</v>
      </c>
      <c r="C2324" t="s">
        <v>37</v>
      </c>
      <c r="D2324" t="s">
        <v>184</v>
      </c>
      <c r="E2324" t="s">
        <v>7</v>
      </c>
      <c r="F2324">
        <v>3.7058942317962646</v>
      </c>
    </row>
    <row r="2325" spans="2:6">
      <c r="B2325">
        <v>2011</v>
      </c>
      <c r="C2325" t="s">
        <v>37</v>
      </c>
      <c r="D2325" t="s">
        <v>184</v>
      </c>
      <c r="E2325" t="s">
        <v>8</v>
      </c>
      <c r="F2325">
        <v>6.748176097869873</v>
      </c>
    </row>
    <row r="2326" spans="2:6">
      <c r="B2326">
        <v>2011</v>
      </c>
      <c r="C2326" t="s">
        <v>37</v>
      </c>
      <c r="D2326" t="s">
        <v>184</v>
      </c>
      <c r="E2326" t="s">
        <v>9</v>
      </c>
      <c r="F2326">
        <v>0.42224001884460449</v>
      </c>
    </row>
    <row r="2327" spans="2:6">
      <c r="B2327">
        <v>2011</v>
      </c>
      <c r="C2327" t="s">
        <v>37</v>
      </c>
      <c r="D2327" t="s">
        <v>184</v>
      </c>
      <c r="E2327" t="s">
        <v>10</v>
      </c>
      <c r="F2327">
        <v>50.680000305175781</v>
      </c>
    </row>
    <row r="2328" spans="2:6">
      <c r="B2328">
        <v>2011</v>
      </c>
      <c r="C2328" t="s">
        <v>37</v>
      </c>
      <c r="D2328" t="s">
        <v>184</v>
      </c>
      <c r="E2328" t="s">
        <v>11</v>
      </c>
      <c r="F2328">
        <v>0.48986303806304932</v>
      </c>
    </row>
    <row r="2329" spans="2:6">
      <c r="B2329">
        <v>2011</v>
      </c>
      <c r="C2329" t="s">
        <v>37</v>
      </c>
      <c r="D2329" t="s">
        <v>184</v>
      </c>
      <c r="E2329" t="s">
        <v>12</v>
      </c>
      <c r="F2329">
        <v>-6.2433786690235138E-2</v>
      </c>
    </row>
    <row r="2330" spans="2:6">
      <c r="B2330">
        <v>2011</v>
      </c>
      <c r="C2330" t="s">
        <v>37</v>
      </c>
      <c r="D2330" t="s">
        <v>184</v>
      </c>
      <c r="E2330" t="s">
        <v>13</v>
      </c>
      <c r="F2330">
        <v>0.67710769176483154</v>
      </c>
    </row>
    <row r="2331" spans="2:6">
      <c r="B2331">
        <v>2011</v>
      </c>
      <c r="C2331" t="s">
        <v>37</v>
      </c>
      <c r="D2331" t="s">
        <v>184</v>
      </c>
      <c r="E2331" t="s">
        <v>14</v>
      </c>
      <c r="F2331">
        <v>0.68890672922134399</v>
      </c>
    </row>
    <row r="2332" spans="2:6">
      <c r="B2332">
        <v>2011</v>
      </c>
      <c r="C2332" t="s">
        <v>37</v>
      </c>
      <c r="D2332" t="s">
        <v>184</v>
      </c>
      <c r="E2332" t="s">
        <v>15</v>
      </c>
      <c r="F2332">
        <v>0.19034494459629059</v>
      </c>
    </row>
    <row r="2333" spans="2:6">
      <c r="B2333">
        <v>2014</v>
      </c>
      <c r="C2333" t="s">
        <v>37</v>
      </c>
      <c r="D2333" t="s">
        <v>184</v>
      </c>
      <c r="E2333" t="s">
        <v>7</v>
      </c>
      <c r="F2333">
        <v>2.9045350551605225</v>
      </c>
    </row>
    <row r="2334" spans="2:6">
      <c r="B2334">
        <v>2014</v>
      </c>
      <c r="C2334" t="s">
        <v>37</v>
      </c>
      <c r="D2334" t="s">
        <v>184</v>
      </c>
      <c r="E2334" t="s">
        <v>8</v>
      </c>
      <c r="F2334">
        <v>6.7869830131530762</v>
      </c>
    </row>
    <row r="2335" spans="2:6">
      <c r="B2335">
        <v>2014</v>
      </c>
      <c r="C2335" t="s">
        <v>37</v>
      </c>
      <c r="D2335" t="s">
        <v>184</v>
      </c>
      <c r="E2335" t="s">
        <v>9</v>
      </c>
      <c r="F2335">
        <v>0.5646781325340271</v>
      </c>
    </row>
    <row r="2336" spans="2:6">
      <c r="B2336">
        <v>2014</v>
      </c>
      <c r="C2336" t="s">
        <v>37</v>
      </c>
      <c r="D2336" t="s">
        <v>184</v>
      </c>
      <c r="E2336" t="s">
        <v>10</v>
      </c>
      <c r="F2336">
        <v>51.819999694824219</v>
      </c>
    </row>
    <row r="2337" spans="2:6">
      <c r="B2337">
        <v>2014</v>
      </c>
      <c r="C2337" t="s">
        <v>37</v>
      </c>
      <c r="D2337" t="s">
        <v>184</v>
      </c>
      <c r="E2337" t="s">
        <v>11</v>
      </c>
      <c r="F2337">
        <v>0.43138498067855835</v>
      </c>
    </row>
    <row r="2338" spans="2:6">
      <c r="B2338">
        <v>2014</v>
      </c>
      <c r="C2338" t="s">
        <v>37</v>
      </c>
      <c r="D2338" t="s">
        <v>184</v>
      </c>
      <c r="E2338" t="s">
        <v>12</v>
      </c>
      <c r="F2338">
        <v>-5.8799687772989273E-2</v>
      </c>
    </row>
    <row r="2339" spans="2:6">
      <c r="B2339">
        <v>2014</v>
      </c>
      <c r="C2339" t="s">
        <v>37</v>
      </c>
      <c r="D2339" t="s">
        <v>184</v>
      </c>
      <c r="E2339" t="s">
        <v>13</v>
      </c>
      <c r="F2339">
        <v>0.80761885643005371</v>
      </c>
    </row>
    <row r="2340" spans="2:6">
      <c r="B2340">
        <v>2014</v>
      </c>
      <c r="C2340" t="s">
        <v>37</v>
      </c>
      <c r="D2340" t="s">
        <v>184</v>
      </c>
      <c r="E2340" t="s">
        <v>14</v>
      </c>
      <c r="F2340">
        <v>0.65566372871398926</v>
      </c>
    </row>
    <row r="2341" spans="2:6">
      <c r="B2341">
        <v>2014</v>
      </c>
      <c r="C2341" t="s">
        <v>37</v>
      </c>
      <c r="D2341" t="s">
        <v>184</v>
      </c>
      <c r="E2341" t="s">
        <v>15</v>
      </c>
      <c r="F2341">
        <v>0.25109463930130005</v>
      </c>
    </row>
    <row r="2342" spans="2:6">
      <c r="B2342">
        <v>2018</v>
      </c>
      <c r="C2342" t="s">
        <v>37</v>
      </c>
      <c r="D2342" t="s">
        <v>184</v>
      </c>
      <c r="E2342" t="s">
        <v>7</v>
      </c>
      <c r="F2342">
        <v>3.7752830982208252</v>
      </c>
    </row>
    <row r="2343" spans="2:6">
      <c r="B2343">
        <v>2018</v>
      </c>
      <c r="C2343" t="s">
        <v>37</v>
      </c>
      <c r="D2343" t="s">
        <v>184</v>
      </c>
      <c r="E2343" t="s">
        <v>8</v>
      </c>
      <c r="F2343">
        <v>6.635322093963623</v>
      </c>
    </row>
    <row r="2344" spans="2:6">
      <c r="B2344">
        <v>2018</v>
      </c>
      <c r="C2344" t="s">
        <v>37</v>
      </c>
      <c r="D2344" t="s">
        <v>184</v>
      </c>
      <c r="E2344" t="s">
        <v>9</v>
      </c>
      <c r="F2344">
        <v>0.48471522331237793</v>
      </c>
    </row>
    <row r="2345" spans="2:6">
      <c r="B2345">
        <v>2018</v>
      </c>
      <c r="C2345" t="s">
        <v>37</v>
      </c>
      <c r="D2345" t="s">
        <v>184</v>
      </c>
      <c r="E2345" t="s">
        <v>10</v>
      </c>
      <c r="F2345">
        <v>53.400001525878906</v>
      </c>
    </row>
    <row r="2346" spans="2:6">
      <c r="B2346">
        <v>2018</v>
      </c>
      <c r="C2346" t="s">
        <v>37</v>
      </c>
      <c r="D2346" t="s">
        <v>184</v>
      </c>
      <c r="E2346" t="s">
        <v>11</v>
      </c>
      <c r="F2346">
        <v>0.64639860391616821</v>
      </c>
    </row>
    <row r="2347" spans="2:6">
      <c r="B2347">
        <v>2018</v>
      </c>
      <c r="C2347" t="s">
        <v>37</v>
      </c>
      <c r="D2347" t="s">
        <v>184</v>
      </c>
      <c r="E2347" t="s">
        <v>12</v>
      </c>
      <c r="F2347">
        <v>-2.3876165971159935E-2</v>
      </c>
    </row>
    <row r="2348" spans="2:6">
      <c r="B2348">
        <v>2018</v>
      </c>
      <c r="C2348" t="s">
        <v>37</v>
      </c>
      <c r="D2348" t="s">
        <v>184</v>
      </c>
      <c r="E2348" t="s">
        <v>13</v>
      </c>
      <c r="F2348">
        <v>0.59860765933990479</v>
      </c>
    </row>
    <row r="2349" spans="2:6">
      <c r="B2349">
        <v>2018</v>
      </c>
      <c r="C2349" t="s">
        <v>37</v>
      </c>
      <c r="D2349" t="s">
        <v>184</v>
      </c>
      <c r="E2349" t="s">
        <v>14</v>
      </c>
      <c r="F2349">
        <v>0.66644150018692017</v>
      </c>
    </row>
    <row r="2350" spans="2:6">
      <c r="B2350">
        <v>2018</v>
      </c>
      <c r="C2350" t="s">
        <v>37</v>
      </c>
      <c r="D2350" t="s">
        <v>184</v>
      </c>
      <c r="E2350" t="s">
        <v>15</v>
      </c>
      <c r="F2350">
        <v>0.36276659369468689</v>
      </c>
    </row>
    <row r="2351" spans="2:6">
      <c r="B2351">
        <v>2006</v>
      </c>
      <c r="C2351" t="s">
        <v>38</v>
      </c>
      <c r="D2351" t="s">
        <v>182</v>
      </c>
      <c r="E2351" t="s">
        <v>7</v>
      </c>
      <c r="F2351">
        <v>3.5687446594238281</v>
      </c>
    </row>
    <row r="2352" spans="2:6">
      <c r="B2352">
        <v>2006</v>
      </c>
      <c r="C2352" t="s">
        <v>38</v>
      </c>
      <c r="D2352" t="s">
        <v>182</v>
      </c>
      <c r="E2352" t="s">
        <v>8</v>
      </c>
      <c r="F2352">
        <v>7.7464485168457031</v>
      </c>
    </row>
    <row r="2353" spans="2:6">
      <c r="B2353">
        <v>2006</v>
      </c>
      <c r="C2353" t="s">
        <v>38</v>
      </c>
      <c r="D2353" t="s">
        <v>182</v>
      </c>
      <c r="E2353" t="s">
        <v>9</v>
      </c>
      <c r="F2353">
        <v>0.79308146238327026</v>
      </c>
    </row>
    <row r="2354" spans="2:6">
      <c r="B2354">
        <v>2006</v>
      </c>
      <c r="C2354" t="s">
        <v>38</v>
      </c>
      <c r="D2354" t="s">
        <v>182</v>
      </c>
      <c r="E2354" t="s">
        <v>10</v>
      </c>
      <c r="F2354">
        <v>55.299999237060547</v>
      </c>
    </row>
    <row r="2355" spans="2:6">
      <c r="B2355">
        <v>2006</v>
      </c>
      <c r="C2355" t="s">
        <v>38</v>
      </c>
      <c r="D2355" t="s">
        <v>182</v>
      </c>
      <c r="E2355" t="s">
        <v>12</v>
      </c>
      <c r="F2355">
        <v>0.25520747900009155</v>
      </c>
    </row>
    <row r="2356" spans="2:6">
      <c r="B2356">
        <v>2006</v>
      </c>
      <c r="C2356" t="s">
        <v>38</v>
      </c>
      <c r="D2356" t="s">
        <v>182</v>
      </c>
      <c r="E2356" t="s">
        <v>13</v>
      </c>
      <c r="F2356">
        <v>0.82918113470077515</v>
      </c>
    </row>
    <row r="2357" spans="2:6">
      <c r="B2357">
        <v>2006</v>
      </c>
      <c r="C2357" t="s">
        <v>38</v>
      </c>
      <c r="D2357" t="s">
        <v>182</v>
      </c>
      <c r="E2357" t="s">
        <v>14</v>
      </c>
      <c r="F2357">
        <v>0.71854120492935181</v>
      </c>
    </row>
    <row r="2358" spans="2:6">
      <c r="B2358">
        <v>2006</v>
      </c>
      <c r="C2358" t="s">
        <v>38</v>
      </c>
      <c r="D2358" t="s">
        <v>182</v>
      </c>
      <c r="E2358" t="s">
        <v>15</v>
      </c>
      <c r="F2358">
        <v>0.34102329611778259</v>
      </c>
    </row>
    <row r="2359" spans="2:6">
      <c r="B2359">
        <v>2007</v>
      </c>
      <c r="C2359" t="s">
        <v>38</v>
      </c>
      <c r="D2359" t="s">
        <v>182</v>
      </c>
      <c r="E2359" t="s">
        <v>7</v>
      </c>
      <c r="F2359">
        <v>4.1559710502624512</v>
      </c>
    </row>
    <row r="2360" spans="2:6">
      <c r="B2360">
        <v>2007</v>
      </c>
      <c r="C2360" t="s">
        <v>38</v>
      </c>
      <c r="D2360" t="s">
        <v>182</v>
      </c>
      <c r="E2360" t="s">
        <v>8</v>
      </c>
      <c r="F2360">
        <v>7.8287944793701172</v>
      </c>
    </row>
    <row r="2361" spans="2:6">
      <c r="B2361">
        <v>2007</v>
      </c>
      <c r="C2361" t="s">
        <v>38</v>
      </c>
      <c r="D2361" t="s">
        <v>182</v>
      </c>
      <c r="E2361" t="s">
        <v>9</v>
      </c>
      <c r="F2361">
        <v>0.67513209581375122</v>
      </c>
    </row>
    <row r="2362" spans="2:6">
      <c r="B2362">
        <v>2007</v>
      </c>
      <c r="C2362" t="s">
        <v>38</v>
      </c>
      <c r="D2362" t="s">
        <v>182</v>
      </c>
      <c r="E2362" t="s">
        <v>10</v>
      </c>
      <c r="F2362">
        <v>56.099998474121094</v>
      </c>
    </row>
    <row r="2363" spans="2:6">
      <c r="B2363">
        <v>2007</v>
      </c>
      <c r="C2363" t="s">
        <v>38</v>
      </c>
      <c r="D2363" t="s">
        <v>182</v>
      </c>
      <c r="E2363" t="s">
        <v>11</v>
      </c>
      <c r="F2363">
        <v>0.81869953870773315</v>
      </c>
    </row>
    <row r="2364" spans="2:6">
      <c r="B2364">
        <v>2007</v>
      </c>
      <c r="C2364" t="s">
        <v>38</v>
      </c>
      <c r="D2364" t="s">
        <v>182</v>
      </c>
      <c r="E2364" t="s">
        <v>12</v>
      </c>
      <c r="F2364">
        <v>0.11551723629236221</v>
      </c>
    </row>
    <row r="2365" spans="2:6">
      <c r="B2365">
        <v>2007</v>
      </c>
      <c r="C2365" t="s">
        <v>38</v>
      </c>
      <c r="D2365" t="s">
        <v>182</v>
      </c>
      <c r="E2365" t="s">
        <v>13</v>
      </c>
      <c r="F2365">
        <v>0.87850755453109741</v>
      </c>
    </row>
    <row r="2366" spans="2:6">
      <c r="B2366">
        <v>2007</v>
      </c>
      <c r="C2366" t="s">
        <v>38</v>
      </c>
      <c r="D2366" t="s">
        <v>182</v>
      </c>
      <c r="E2366" t="s">
        <v>15</v>
      </c>
      <c r="F2366">
        <v>0.32033541798591614</v>
      </c>
    </row>
    <row r="2367" spans="2:6">
      <c r="B2367">
        <v>2008</v>
      </c>
      <c r="C2367" t="s">
        <v>38</v>
      </c>
      <c r="D2367" t="s">
        <v>182</v>
      </c>
      <c r="E2367" t="s">
        <v>7</v>
      </c>
      <c r="F2367">
        <v>4.4621639251708984</v>
      </c>
    </row>
    <row r="2368" spans="2:6">
      <c r="B2368">
        <v>2008</v>
      </c>
      <c r="C2368" t="s">
        <v>38</v>
      </c>
      <c r="D2368" t="s">
        <v>182</v>
      </c>
      <c r="E2368" t="s">
        <v>8</v>
      </c>
      <c r="F2368">
        <v>7.8787736892700195</v>
      </c>
    </row>
    <row r="2369" spans="2:6">
      <c r="B2369">
        <v>2008</v>
      </c>
      <c r="C2369" t="s">
        <v>38</v>
      </c>
      <c r="D2369" t="s">
        <v>182</v>
      </c>
      <c r="E2369" t="s">
        <v>9</v>
      </c>
      <c r="F2369">
        <v>0.61926430463790894</v>
      </c>
    </row>
    <row r="2370" spans="2:6">
      <c r="B2370">
        <v>2008</v>
      </c>
      <c r="C2370" t="s">
        <v>38</v>
      </c>
      <c r="D2370" t="s">
        <v>182</v>
      </c>
      <c r="E2370" t="s">
        <v>10</v>
      </c>
      <c r="F2370">
        <v>56.900001525878906</v>
      </c>
    </row>
    <row r="2371" spans="2:6">
      <c r="B2371">
        <v>2008</v>
      </c>
      <c r="C2371" t="s">
        <v>38</v>
      </c>
      <c r="D2371" t="s">
        <v>182</v>
      </c>
      <c r="E2371" t="s">
        <v>11</v>
      </c>
      <c r="F2371">
        <v>0.9141729474067688</v>
      </c>
    </row>
    <row r="2372" spans="2:6">
      <c r="B2372">
        <v>2008</v>
      </c>
      <c r="C2372" t="s">
        <v>38</v>
      </c>
      <c r="D2372" t="s">
        <v>182</v>
      </c>
      <c r="E2372" t="s">
        <v>12</v>
      </c>
      <c r="F2372">
        <v>4.5450914651155472E-2</v>
      </c>
    </row>
    <row r="2373" spans="2:6">
      <c r="B2373">
        <v>2008</v>
      </c>
      <c r="C2373" t="s">
        <v>38</v>
      </c>
      <c r="D2373" t="s">
        <v>182</v>
      </c>
      <c r="E2373" t="s">
        <v>13</v>
      </c>
      <c r="F2373">
        <v>0.88839203119277954</v>
      </c>
    </row>
    <row r="2374" spans="2:6">
      <c r="B2374">
        <v>2008</v>
      </c>
      <c r="C2374" t="s">
        <v>38</v>
      </c>
      <c r="D2374" t="s">
        <v>182</v>
      </c>
      <c r="E2374" t="s">
        <v>14</v>
      </c>
      <c r="F2374">
        <v>0.73918282985687256</v>
      </c>
    </row>
    <row r="2375" spans="2:6">
      <c r="B2375">
        <v>2008</v>
      </c>
      <c r="C2375" t="s">
        <v>38</v>
      </c>
      <c r="D2375" t="s">
        <v>182</v>
      </c>
      <c r="E2375" t="s">
        <v>15</v>
      </c>
      <c r="F2375">
        <v>0.33532401919364929</v>
      </c>
    </row>
    <row r="2376" spans="2:6">
      <c r="B2376">
        <v>2009</v>
      </c>
      <c r="C2376" t="s">
        <v>38</v>
      </c>
      <c r="D2376" t="s">
        <v>182</v>
      </c>
      <c r="E2376" t="s">
        <v>7</v>
      </c>
      <c r="F2376">
        <v>4.1106257438659668</v>
      </c>
    </row>
    <row r="2377" spans="2:6">
      <c r="B2377">
        <v>2009</v>
      </c>
      <c r="C2377" t="s">
        <v>38</v>
      </c>
      <c r="D2377" t="s">
        <v>182</v>
      </c>
      <c r="E2377" t="s">
        <v>8</v>
      </c>
      <c r="F2377">
        <v>7.8646440505981445</v>
      </c>
    </row>
    <row r="2378" spans="2:6">
      <c r="B2378">
        <v>2009</v>
      </c>
      <c r="C2378" t="s">
        <v>38</v>
      </c>
      <c r="D2378" t="s">
        <v>182</v>
      </c>
      <c r="E2378" t="s">
        <v>9</v>
      </c>
      <c r="F2378">
        <v>0.81825804710388184</v>
      </c>
    </row>
    <row r="2379" spans="2:6">
      <c r="B2379">
        <v>2009</v>
      </c>
      <c r="C2379" t="s">
        <v>38</v>
      </c>
      <c r="D2379" t="s">
        <v>182</v>
      </c>
      <c r="E2379" t="s">
        <v>10</v>
      </c>
      <c r="F2379">
        <v>57.700000762939453</v>
      </c>
    </row>
    <row r="2380" spans="2:6">
      <c r="B2380">
        <v>2009</v>
      </c>
      <c r="C2380" t="s">
        <v>38</v>
      </c>
      <c r="D2380" t="s">
        <v>182</v>
      </c>
      <c r="E2380" t="s">
        <v>11</v>
      </c>
      <c r="F2380">
        <v>0.9372333288192749</v>
      </c>
    </row>
    <row r="2381" spans="2:6">
      <c r="B2381">
        <v>2009</v>
      </c>
      <c r="C2381" t="s">
        <v>38</v>
      </c>
      <c r="D2381" t="s">
        <v>182</v>
      </c>
      <c r="E2381" t="s">
        <v>12</v>
      </c>
      <c r="F2381">
        <v>0.15249282121658325</v>
      </c>
    </row>
    <row r="2382" spans="2:6">
      <c r="B2382">
        <v>2009</v>
      </c>
      <c r="C2382" t="s">
        <v>38</v>
      </c>
      <c r="D2382" t="s">
        <v>182</v>
      </c>
      <c r="E2382" t="s">
        <v>13</v>
      </c>
      <c r="F2382">
        <v>0.96477895975112915</v>
      </c>
    </row>
    <row r="2383" spans="2:6">
      <c r="B2383">
        <v>2009</v>
      </c>
      <c r="C2383" t="s">
        <v>38</v>
      </c>
      <c r="D2383" t="s">
        <v>182</v>
      </c>
      <c r="E2383" t="s">
        <v>14</v>
      </c>
      <c r="F2383">
        <v>0.79620778560638428</v>
      </c>
    </row>
    <row r="2384" spans="2:6">
      <c r="B2384">
        <v>2009</v>
      </c>
      <c r="C2384" t="s">
        <v>38</v>
      </c>
      <c r="D2384" t="s">
        <v>182</v>
      </c>
      <c r="E2384" t="s">
        <v>15</v>
      </c>
      <c r="F2384">
        <v>0.18768699467182159</v>
      </c>
    </row>
    <row r="2385" spans="2:6">
      <c r="B2385">
        <v>2010</v>
      </c>
      <c r="C2385" t="s">
        <v>38</v>
      </c>
      <c r="D2385" t="s">
        <v>182</v>
      </c>
      <c r="E2385" t="s">
        <v>7</v>
      </c>
      <c r="F2385">
        <v>4.1410722732543945</v>
      </c>
    </row>
    <row r="2386" spans="2:6">
      <c r="B2386">
        <v>2010</v>
      </c>
      <c r="C2386" t="s">
        <v>38</v>
      </c>
      <c r="D2386" t="s">
        <v>182</v>
      </c>
      <c r="E2386" t="s">
        <v>8</v>
      </c>
      <c r="F2386">
        <v>7.907172679901123</v>
      </c>
    </row>
    <row r="2387" spans="2:6">
      <c r="B2387">
        <v>2010</v>
      </c>
      <c r="C2387" t="s">
        <v>38</v>
      </c>
      <c r="D2387" t="s">
        <v>182</v>
      </c>
      <c r="E2387" t="s">
        <v>9</v>
      </c>
      <c r="F2387">
        <v>0.69716382026672363</v>
      </c>
    </row>
    <row r="2388" spans="2:6">
      <c r="B2388">
        <v>2010</v>
      </c>
      <c r="C2388" t="s">
        <v>38</v>
      </c>
      <c r="D2388" t="s">
        <v>182</v>
      </c>
      <c r="E2388" t="s">
        <v>10</v>
      </c>
      <c r="F2388">
        <v>58.5</v>
      </c>
    </row>
    <row r="2389" spans="2:6">
      <c r="B2389">
        <v>2010</v>
      </c>
      <c r="C2389" t="s">
        <v>38</v>
      </c>
      <c r="D2389" t="s">
        <v>182</v>
      </c>
      <c r="E2389" t="s">
        <v>11</v>
      </c>
      <c r="F2389">
        <v>0.94013118743896484</v>
      </c>
    </row>
    <row r="2390" spans="2:6">
      <c r="B2390">
        <v>2010</v>
      </c>
      <c r="C2390" t="s">
        <v>38</v>
      </c>
      <c r="D2390" t="s">
        <v>182</v>
      </c>
      <c r="E2390" t="s">
        <v>12</v>
      </c>
      <c r="F2390">
        <v>0.34986472129821777</v>
      </c>
    </row>
    <row r="2391" spans="2:6">
      <c r="B2391">
        <v>2010</v>
      </c>
      <c r="C2391" t="s">
        <v>38</v>
      </c>
      <c r="D2391" t="s">
        <v>182</v>
      </c>
      <c r="E2391" t="s">
        <v>13</v>
      </c>
      <c r="F2391">
        <v>0.89571446180343628</v>
      </c>
    </row>
    <row r="2392" spans="2:6">
      <c r="B2392">
        <v>2010</v>
      </c>
      <c r="C2392" t="s">
        <v>38</v>
      </c>
      <c r="D2392" t="s">
        <v>182</v>
      </c>
      <c r="E2392" t="s">
        <v>14</v>
      </c>
      <c r="F2392">
        <v>0.7744448184967041</v>
      </c>
    </row>
    <row r="2393" spans="2:6">
      <c r="B2393">
        <v>2010</v>
      </c>
      <c r="C2393" t="s">
        <v>38</v>
      </c>
      <c r="D2393" t="s">
        <v>182</v>
      </c>
      <c r="E2393" t="s">
        <v>15</v>
      </c>
      <c r="F2393">
        <v>0.42196634411811829</v>
      </c>
    </row>
    <row r="2394" spans="2:6">
      <c r="B2394">
        <v>2011</v>
      </c>
      <c r="C2394" t="s">
        <v>38</v>
      </c>
      <c r="D2394" t="s">
        <v>182</v>
      </c>
      <c r="E2394" t="s">
        <v>7</v>
      </c>
      <c r="F2394">
        <v>4.1612253189086914</v>
      </c>
    </row>
    <row r="2395" spans="2:6">
      <c r="B2395">
        <v>2011</v>
      </c>
      <c r="C2395" t="s">
        <v>38</v>
      </c>
      <c r="D2395" t="s">
        <v>182</v>
      </c>
      <c r="E2395" t="s">
        <v>8</v>
      </c>
      <c r="F2395">
        <v>7.9595932960510254</v>
      </c>
    </row>
    <row r="2396" spans="2:6">
      <c r="B2396">
        <v>2011</v>
      </c>
      <c r="C2396" t="s">
        <v>38</v>
      </c>
      <c r="D2396" t="s">
        <v>182</v>
      </c>
      <c r="E2396" t="s">
        <v>9</v>
      </c>
      <c r="F2396">
        <v>0.71551895141601563</v>
      </c>
    </row>
    <row r="2397" spans="2:6">
      <c r="B2397">
        <v>2011</v>
      </c>
      <c r="C2397" t="s">
        <v>38</v>
      </c>
      <c r="D2397" t="s">
        <v>182</v>
      </c>
      <c r="E2397" t="s">
        <v>10</v>
      </c>
      <c r="F2397">
        <v>58.880001068115234</v>
      </c>
    </row>
    <row r="2398" spans="2:6">
      <c r="B2398">
        <v>2011</v>
      </c>
      <c r="C2398" t="s">
        <v>38</v>
      </c>
      <c r="D2398" t="s">
        <v>182</v>
      </c>
      <c r="E2398" t="s">
        <v>11</v>
      </c>
      <c r="F2398">
        <v>0.92746239900588989</v>
      </c>
    </row>
    <row r="2399" spans="2:6">
      <c r="B2399">
        <v>2011</v>
      </c>
      <c r="C2399" t="s">
        <v>38</v>
      </c>
      <c r="D2399" t="s">
        <v>182</v>
      </c>
      <c r="E2399" t="s">
        <v>12</v>
      </c>
      <c r="F2399">
        <v>0.41849872469902039</v>
      </c>
    </row>
    <row r="2400" spans="2:6">
      <c r="B2400">
        <v>2011</v>
      </c>
      <c r="C2400" t="s">
        <v>38</v>
      </c>
      <c r="D2400" t="s">
        <v>182</v>
      </c>
      <c r="E2400" t="s">
        <v>13</v>
      </c>
      <c r="F2400">
        <v>0.77535563707351685</v>
      </c>
    </row>
    <row r="2401" spans="2:6">
      <c r="B2401">
        <v>2011</v>
      </c>
      <c r="C2401" t="s">
        <v>38</v>
      </c>
      <c r="D2401" t="s">
        <v>182</v>
      </c>
      <c r="E2401" t="s">
        <v>14</v>
      </c>
      <c r="F2401">
        <v>0.79923123121261597</v>
      </c>
    </row>
    <row r="2402" spans="2:6">
      <c r="B2402">
        <v>2011</v>
      </c>
      <c r="C2402" t="s">
        <v>38</v>
      </c>
      <c r="D2402" t="s">
        <v>182</v>
      </c>
      <c r="E2402" t="s">
        <v>15</v>
      </c>
      <c r="F2402">
        <v>0.30786868929862976</v>
      </c>
    </row>
    <row r="2403" spans="2:6">
      <c r="B2403">
        <v>2012</v>
      </c>
      <c r="C2403" t="s">
        <v>38</v>
      </c>
      <c r="D2403" t="s">
        <v>182</v>
      </c>
      <c r="E2403" t="s">
        <v>7</v>
      </c>
      <c r="F2403">
        <v>3.8987069129943848</v>
      </c>
    </row>
    <row r="2404" spans="2:6">
      <c r="B2404">
        <v>2012</v>
      </c>
      <c r="C2404" t="s">
        <v>38</v>
      </c>
      <c r="D2404" t="s">
        <v>182</v>
      </c>
      <c r="E2404" t="s">
        <v>8</v>
      </c>
      <c r="F2404">
        <v>8.0138711929321289</v>
      </c>
    </row>
    <row r="2405" spans="2:6">
      <c r="B2405">
        <v>2012</v>
      </c>
      <c r="C2405" t="s">
        <v>38</v>
      </c>
      <c r="D2405" t="s">
        <v>182</v>
      </c>
      <c r="E2405" t="s">
        <v>9</v>
      </c>
      <c r="F2405">
        <v>0.60552859306335449</v>
      </c>
    </row>
    <row r="2406" spans="2:6">
      <c r="B2406">
        <v>2012</v>
      </c>
      <c r="C2406" t="s">
        <v>38</v>
      </c>
      <c r="D2406" t="s">
        <v>182</v>
      </c>
      <c r="E2406" t="s">
        <v>10</v>
      </c>
      <c r="F2406">
        <v>59.259998321533203</v>
      </c>
    </row>
    <row r="2407" spans="2:6">
      <c r="B2407">
        <v>2012</v>
      </c>
      <c r="C2407" t="s">
        <v>38</v>
      </c>
      <c r="D2407" t="s">
        <v>182</v>
      </c>
      <c r="E2407" t="s">
        <v>11</v>
      </c>
      <c r="F2407">
        <v>0.95559579133987427</v>
      </c>
    </row>
    <row r="2408" spans="2:6">
      <c r="B2408">
        <v>2012</v>
      </c>
      <c r="C2408" t="s">
        <v>38</v>
      </c>
      <c r="D2408" t="s">
        <v>182</v>
      </c>
      <c r="E2408" t="s">
        <v>12</v>
      </c>
      <c r="F2408">
        <v>0.24672472476959229</v>
      </c>
    </row>
    <row r="2409" spans="2:6">
      <c r="B2409">
        <v>2012</v>
      </c>
      <c r="C2409" t="s">
        <v>38</v>
      </c>
      <c r="D2409" t="s">
        <v>182</v>
      </c>
      <c r="E2409" t="s">
        <v>13</v>
      </c>
      <c r="F2409">
        <v>0.89013612270355225</v>
      </c>
    </row>
    <row r="2410" spans="2:6">
      <c r="B2410">
        <v>2012</v>
      </c>
      <c r="C2410" t="s">
        <v>38</v>
      </c>
      <c r="D2410" t="s">
        <v>182</v>
      </c>
      <c r="E2410" t="s">
        <v>14</v>
      </c>
      <c r="F2410">
        <v>0.82046133279800415</v>
      </c>
    </row>
    <row r="2411" spans="2:6">
      <c r="B2411">
        <v>2012</v>
      </c>
      <c r="C2411" t="s">
        <v>38</v>
      </c>
      <c r="D2411" t="s">
        <v>182</v>
      </c>
      <c r="E2411" t="s">
        <v>15</v>
      </c>
      <c r="F2411">
        <v>0.35185858607292175</v>
      </c>
    </row>
    <row r="2412" spans="2:6">
      <c r="B2412">
        <v>2013</v>
      </c>
      <c r="C2412" t="s">
        <v>38</v>
      </c>
      <c r="D2412" t="s">
        <v>182</v>
      </c>
      <c r="E2412" t="s">
        <v>7</v>
      </c>
      <c r="F2412">
        <v>3.6744668483734131</v>
      </c>
    </row>
    <row r="2413" spans="2:6">
      <c r="B2413">
        <v>2013</v>
      </c>
      <c r="C2413" t="s">
        <v>38</v>
      </c>
      <c r="D2413" t="s">
        <v>182</v>
      </c>
      <c r="E2413" t="s">
        <v>8</v>
      </c>
      <c r="F2413">
        <v>8.068359375</v>
      </c>
    </row>
    <row r="2414" spans="2:6">
      <c r="B2414">
        <v>2013</v>
      </c>
      <c r="C2414" t="s">
        <v>38</v>
      </c>
      <c r="D2414" t="s">
        <v>182</v>
      </c>
      <c r="E2414" t="s">
        <v>9</v>
      </c>
      <c r="F2414">
        <v>0.65058958530426025</v>
      </c>
    </row>
    <row r="2415" spans="2:6">
      <c r="B2415">
        <v>2013</v>
      </c>
      <c r="C2415" t="s">
        <v>38</v>
      </c>
      <c r="D2415" t="s">
        <v>182</v>
      </c>
      <c r="E2415" t="s">
        <v>10</v>
      </c>
      <c r="F2415">
        <v>59.639999389648438</v>
      </c>
    </row>
    <row r="2416" spans="2:6">
      <c r="B2416">
        <v>2013</v>
      </c>
      <c r="C2416" t="s">
        <v>38</v>
      </c>
      <c r="D2416" t="s">
        <v>182</v>
      </c>
      <c r="E2416" t="s">
        <v>11</v>
      </c>
      <c r="F2416">
        <v>0.94059294462203979</v>
      </c>
    </row>
    <row r="2417" spans="2:6">
      <c r="B2417">
        <v>2013</v>
      </c>
      <c r="C2417" t="s">
        <v>38</v>
      </c>
      <c r="D2417" t="s">
        <v>182</v>
      </c>
      <c r="E2417" t="s">
        <v>12</v>
      </c>
      <c r="F2417">
        <v>0.16384732723236084</v>
      </c>
    </row>
    <row r="2418" spans="2:6">
      <c r="B2418">
        <v>2013</v>
      </c>
      <c r="C2418" t="s">
        <v>38</v>
      </c>
      <c r="D2418" t="s">
        <v>182</v>
      </c>
      <c r="E2418" t="s">
        <v>13</v>
      </c>
      <c r="F2418">
        <v>0.81199163198471069</v>
      </c>
    </row>
    <row r="2419" spans="2:6">
      <c r="B2419">
        <v>2013</v>
      </c>
      <c r="C2419" t="s">
        <v>38</v>
      </c>
      <c r="D2419" t="s">
        <v>182</v>
      </c>
      <c r="E2419" t="s">
        <v>14</v>
      </c>
      <c r="F2419">
        <v>0.79168933629989624</v>
      </c>
    </row>
    <row r="2420" spans="2:6">
      <c r="B2420">
        <v>2013</v>
      </c>
      <c r="C2420" t="s">
        <v>38</v>
      </c>
      <c r="D2420" t="s">
        <v>182</v>
      </c>
      <c r="E2420" t="s">
        <v>15</v>
      </c>
      <c r="F2420">
        <v>0.44031167030334473</v>
      </c>
    </row>
    <row r="2421" spans="2:6">
      <c r="B2421">
        <v>2014</v>
      </c>
      <c r="C2421" t="s">
        <v>38</v>
      </c>
      <c r="D2421" t="s">
        <v>182</v>
      </c>
      <c r="E2421" t="s">
        <v>7</v>
      </c>
      <c r="F2421">
        <v>3.883305549621582</v>
      </c>
    </row>
    <row r="2422" spans="2:6">
      <c r="B2422">
        <v>2014</v>
      </c>
      <c r="C2422" t="s">
        <v>38</v>
      </c>
      <c r="D2422" t="s">
        <v>182</v>
      </c>
      <c r="E2422" t="s">
        <v>8</v>
      </c>
      <c r="F2422">
        <v>8.1209688186645508</v>
      </c>
    </row>
    <row r="2423" spans="2:6">
      <c r="B2423">
        <v>2014</v>
      </c>
      <c r="C2423" t="s">
        <v>38</v>
      </c>
      <c r="D2423" t="s">
        <v>182</v>
      </c>
      <c r="E2423" t="s">
        <v>9</v>
      </c>
      <c r="F2423">
        <v>0.69343417882919312</v>
      </c>
    </row>
    <row r="2424" spans="2:6">
      <c r="B2424">
        <v>2014</v>
      </c>
      <c r="C2424" t="s">
        <v>38</v>
      </c>
      <c r="D2424" t="s">
        <v>182</v>
      </c>
      <c r="E2424" t="s">
        <v>10</v>
      </c>
      <c r="F2424">
        <v>60.020000457763672</v>
      </c>
    </row>
    <row r="2425" spans="2:6">
      <c r="B2425">
        <v>2014</v>
      </c>
      <c r="C2425" t="s">
        <v>38</v>
      </c>
      <c r="D2425" t="s">
        <v>182</v>
      </c>
      <c r="E2425" t="s">
        <v>11</v>
      </c>
      <c r="F2425">
        <v>0.93754458427429199</v>
      </c>
    </row>
    <row r="2426" spans="2:6">
      <c r="B2426">
        <v>2014</v>
      </c>
      <c r="C2426" t="s">
        <v>38</v>
      </c>
      <c r="D2426" t="s">
        <v>182</v>
      </c>
      <c r="E2426" t="s">
        <v>12</v>
      </c>
      <c r="F2426">
        <v>0.2393975555896759</v>
      </c>
    </row>
    <row r="2427" spans="2:6">
      <c r="B2427">
        <v>2014</v>
      </c>
      <c r="C2427" t="s">
        <v>38</v>
      </c>
      <c r="D2427" t="s">
        <v>182</v>
      </c>
      <c r="E2427" t="s">
        <v>13</v>
      </c>
      <c r="F2427">
        <v>0.84255510568618774</v>
      </c>
    </row>
    <row r="2428" spans="2:6">
      <c r="B2428">
        <v>2014</v>
      </c>
      <c r="C2428" t="s">
        <v>38</v>
      </c>
      <c r="D2428" t="s">
        <v>182</v>
      </c>
      <c r="E2428" t="s">
        <v>14</v>
      </c>
      <c r="F2428">
        <v>0.78324031829833984</v>
      </c>
    </row>
    <row r="2429" spans="2:6">
      <c r="B2429">
        <v>2014</v>
      </c>
      <c r="C2429" t="s">
        <v>38</v>
      </c>
      <c r="D2429" t="s">
        <v>182</v>
      </c>
      <c r="E2429" t="s">
        <v>15</v>
      </c>
      <c r="F2429">
        <v>0.48193401098251343</v>
      </c>
    </row>
    <row r="2430" spans="2:6">
      <c r="B2430">
        <v>2015</v>
      </c>
      <c r="C2430" t="s">
        <v>38</v>
      </c>
      <c r="D2430" t="s">
        <v>182</v>
      </c>
      <c r="E2430" t="s">
        <v>7</v>
      </c>
      <c r="F2430">
        <v>4.1621646881103516</v>
      </c>
    </row>
    <row r="2431" spans="2:6">
      <c r="B2431">
        <v>2015</v>
      </c>
      <c r="C2431" t="s">
        <v>38</v>
      </c>
      <c r="D2431" t="s">
        <v>182</v>
      </c>
      <c r="E2431" t="s">
        <v>8</v>
      </c>
      <c r="F2431">
        <v>8.1729278564453125</v>
      </c>
    </row>
    <row r="2432" spans="2:6">
      <c r="B2432">
        <v>2015</v>
      </c>
      <c r="C2432" t="s">
        <v>38</v>
      </c>
      <c r="D2432" t="s">
        <v>182</v>
      </c>
      <c r="E2432" t="s">
        <v>9</v>
      </c>
      <c r="F2432">
        <v>0.72861027717590332</v>
      </c>
    </row>
    <row r="2433" spans="2:6">
      <c r="B2433">
        <v>2015</v>
      </c>
      <c r="C2433" t="s">
        <v>38</v>
      </c>
      <c r="D2433" t="s">
        <v>182</v>
      </c>
      <c r="E2433" t="s">
        <v>10</v>
      </c>
      <c r="F2433">
        <v>60.400001525878906</v>
      </c>
    </row>
    <row r="2434" spans="2:6">
      <c r="B2434">
        <v>2015</v>
      </c>
      <c r="C2434" t="s">
        <v>38</v>
      </c>
      <c r="D2434" t="s">
        <v>182</v>
      </c>
      <c r="E2434" t="s">
        <v>11</v>
      </c>
      <c r="F2434">
        <v>0.95631980895996094</v>
      </c>
    </row>
    <row r="2435" spans="2:6">
      <c r="B2435">
        <v>2015</v>
      </c>
      <c r="C2435" t="s">
        <v>38</v>
      </c>
      <c r="D2435" t="s">
        <v>182</v>
      </c>
      <c r="E2435" t="s">
        <v>12</v>
      </c>
      <c r="F2435">
        <v>0.2100825160741806</v>
      </c>
    </row>
    <row r="2436" spans="2:6">
      <c r="B2436">
        <v>2015</v>
      </c>
      <c r="C2436" t="s">
        <v>38</v>
      </c>
      <c r="D2436" t="s">
        <v>182</v>
      </c>
      <c r="E2436" t="s">
        <v>13</v>
      </c>
      <c r="F2436">
        <v>0.82513022422790527</v>
      </c>
    </row>
    <row r="2437" spans="2:6">
      <c r="B2437">
        <v>2015</v>
      </c>
      <c r="C2437" t="s">
        <v>38</v>
      </c>
      <c r="D2437" t="s">
        <v>182</v>
      </c>
      <c r="E2437" t="s">
        <v>14</v>
      </c>
      <c r="F2437">
        <v>0.81252968311309814</v>
      </c>
    </row>
    <row r="2438" spans="2:6">
      <c r="B2438">
        <v>2015</v>
      </c>
      <c r="C2438" t="s">
        <v>38</v>
      </c>
      <c r="D2438" t="s">
        <v>182</v>
      </c>
      <c r="E2438" t="s">
        <v>15</v>
      </c>
      <c r="F2438">
        <v>0.39910268783569336</v>
      </c>
    </row>
    <row r="2439" spans="2:6">
      <c r="B2439">
        <v>2016</v>
      </c>
      <c r="C2439" t="s">
        <v>38</v>
      </c>
      <c r="D2439" t="s">
        <v>182</v>
      </c>
      <c r="E2439" t="s">
        <v>7</v>
      </c>
      <c r="F2439">
        <v>4.4612593650817871</v>
      </c>
    </row>
    <row r="2440" spans="2:6">
      <c r="B2440">
        <v>2016</v>
      </c>
      <c r="C2440" t="s">
        <v>38</v>
      </c>
      <c r="D2440" t="s">
        <v>182</v>
      </c>
      <c r="E2440" t="s">
        <v>8</v>
      </c>
      <c r="F2440">
        <v>8.2252235412597656</v>
      </c>
    </row>
    <row r="2441" spans="2:6">
      <c r="B2441">
        <v>2016</v>
      </c>
      <c r="C2441" t="s">
        <v>38</v>
      </c>
      <c r="D2441" t="s">
        <v>182</v>
      </c>
      <c r="E2441" t="s">
        <v>9</v>
      </c>
      <c r="F2441">
        <v>0.74590122699737549</v>
      </c>
    </row>
    <row r="2442" spans="2:6">
      <c r="B2442">
        <v>2016</v>
      </c>
      <c r="C2442" t="s">
        <v>38</v>
      </c>
      <c r="D2442" t="s">
        <v>182</v>
      </c>
      <c r="E2442" t="s">
        <v>10</v>
      </c>
      <c r="F2442">
        <v>60.799999237060547</v>
      </c>
    </row>
    <row r="2443" spans="2:6">
      <c r="B2443">
        <v>2016</v>
      </c>
      <c r="C2443" t="s">
        <v>38</v>
      </c>
      <c r="D2443" t="s">
        <v>182</v>
      </c>
      <c r="E2443" t="s">
        <v>11</v>
      </c>
      <c r="F2443">
        <v>0.95782148838043213</v>
      </c>
    </row>
    <row r="2444" spans="2:6">
      <c r="B2444">
        <v>2016</v>
      </c>
      <c r="C2444" t="s">
        <v>38</v>
      </c>
      <c r="D2444" t="s">
        <v>182</v>
      </c>
      <c r="E2444" t="s">
        <v>12</v>
      </c>
      <c r="F2444">
        <v>7.606024295091629E-2</v>
      </c>
    </row>
    <row r="2445" spans="2:6">
      <c r="B2445">
        <v>2016</v>
      </c>
      <c r="C2445" t="s">
        <v>38</v>
      </c>
      <c r="D2445" t="s">
        <v>182</v>
      </c>
      <c r="E2445" t="s">
        <v>13</v>
      </c>
      <c r="F2445">
        <v>0.84041684865951538</v>
      </c>
    </row>
    <row r="2446" spans="2:6">
      <c r="B2446">
        <v>2016</v>
      </c>
      <c r="C2446" t="s">
        <v>38</v>
      </c>
      <c r="D2446" t="s">
        <v>182</v>
      </c>
      <c r="E2446" t="s">
        <v>14</v>
      </c>
      <c r="F2446">
        <v>0.83855199813842773</v>
      </c>
    </row>
    <row r="2447" spans="2:6">
      <c r="B2447">
        <v>2016</v>
      </c>
      <c r="C2447" t="s">
        <v>38</v>
      </c>
      <c r="D2447" t="s">
        <v>182</v>
      </c>
      <c r="E2447" t="s">
        <v>15</v>
      </c>
      <c r="F2447">
        <v>0.39820030331611633</v>
      </c>
    </row>
    <row r="2448" spans="2:6">
      <c r="B2448">
        <v>2017</v>
      </c>
      <c r="C2448" t="s">
        <v>38</v>
      </c>
      <c r="D2448" t="s">
        <v>182</v>
      </c>
      <c r="E2448" t="s">
        <v>7</v>
      </c>
      <c r="F2448">
        <v>4.5858421325683594</v>
      </c>
    </row>
    <row r="2449" spans="2:6">
      <c r="B2449">
        <v>2017</v>
      </c>
      <c r="C2449" t="s">
        <v>38</v>
      </c>
      <c r="D2449" t="s">
        <v>182</v>
      </c>
      <c r="E2449" t="s">
        <v>8</v>
      </c>
      <c r="F2449">
        <v>8.2759809494018555</v>
      </c>
    </row>
    <row r="2450" spans="2:6">
      <c r="B2450">
        <v>2017</v>
      </c>
      <c r="C2450" t="s">
        <v>38</v>
      </c>
      <c r="D2450" t="s">
        <v>182</v>
      </c>
      <c r="E2450" t="s">
        <v>9</v>
      </c>
      <c r="F2450">
        <v>0.76509493589401245</v>
      </c>
    </row>
    <row r="2451" spans="2:6">
      <c r="B2451">
        <v>2017</v>
      </c>
      <c r="C2451" t="s">
        <v>38</v>
      </c>
      <c r="D2451" t="s">
        <v>182</v>
      </c>
      <c r="E2451" t="s">
        <v>10</v>
      </c>
      <c r="F2451">
        <v>61.200000762939453</v>
      </c>
    </row>
    <row r="2452" spans="2:6">
      <c r="B2452">
        <v>2017</v>
      </c>
      <c r="C2452" t="s">
        <v>38</v>
      </c>
      <c r="D2452" t="s">
        <v>182</v>
      </c>
      <c r="E2452" t="s">
        <v>11</v>
      </c>
      <c r="F2452">
        <v>0.96377468109130859</v>
      </c>
    </row>
    <row r="2453" spans="2:6">
      <c r="B2453">
        <v>2017</v>
      </c>
      <c r="C2453" t="s">
        <v>38</v>
      </c>
      <c r="D2453" t="s">
        <v>182</v>
      </c>
      <c r="E2453" t="s">
        <v>12</v>
      </c>
      <c r="F2453">
        <v>8.7969206273555756E-2</v>
      </c>
    </row>
    <row r="2454" spans="2:6">
      <c r="B2454">
        <v>2017</v>
      </c>
      <c r="C2454" t="s">
        <v>38</v>
      </c>
      <c r="D2454" t="s">
        <v>182</v>
      </c>
      <c r="E2454" t="s">
        <v>13</v>
      </c>
      <c r="F2454">
        <v>0.82102292776107788</v>
      </c>
    </row>
    <row r="2455" spans="2:6">
      <c r="B2455">
        <v>2017</v>
      </c>
      <c r="C2455" t="s">
        <v>38</v>
      </c>
      <c r="D2455" t="s">
        <v>182</v>
      </c>
      <c r="E2455" t="s">
        <v>14</v>
      </c>
      <c r="F2455">
        <v>0.79861664772033691</v>
      </c>
    </row>
    <row r="2456" spans="2:6">
      <c r="B2456">
        <v>2017</v>
      </c>
      <c r="C2456" t="s">
        <v>38</v>
      </c>
      <c r="D2456" t="s">
        <v>182</v>
      </c>
      <c r="E2456" t="s">
        <v>15</v>
      </c>
      <c r="F2456">
        <v>0.40828382968902588</v>
      </c>
    </row>
    <row r="2457" spans="2:6">
      <c r="B2457">
        <v>2018</v>
      </c>
      <c r="C2457" t="s">
        <v>38</v>
      </c>
      <c r="D2457" t="s">
        <v>182</v>
      </c>
      <c r="E2457" t="s">
        <v>7</v>
      </c>
      <c r="F2457">
        <v>5.1218376159667969</v>
      </c>
    </row>
    <row r="2458" spans="2:6">
      <c r="B2458">
        <v>2018</v>
      </c>
      <c r="C2458" t="s">
        <v>38</v>
      </c>
      <c r="D2458" t="s">
        <v>182</v>
      </c>
      <c r="E2458" t="s">
        <v>8</v>
      </c>
      <c r="F2458">
        <v>8.3331108093261719</v>
      </c>
    </row>
    <row r="2459" spans="2:6">
      <c r="B2459">
        <v>2018</v>
      </c>
      <c r="C2459" t="s">
        <v>38</v>
      </c>
      <c r="D2459" t="s">
        <v>182</v>
      </c>
      <c r="E2459" t="s">
        <v>9</v>
      </c>
      <c r="F2459">
        <v>0.79460537433624268</v>
      </c>
    </row>
    <row r="2460" spans="2:6">
      <c r="B2460">
        <v>2018</v>
      </c>
      <c r="C2460" t="s">
        <v>38</v>
      </c>
      <c r="D2460" t="s">
        <v>182</v>
      </c>
      <c r="E2460" t="s">
        <v>10</v>
      </c>
      <c r="F2460">
        <v>61.599998474121094</v>
      </c>
    </row>
    <row r="2461" spans="2:6">
      <c r="B2461">
        <v>2018</v>
      </c>
      <c r="C2461" t="s">
        <v>38</v>
      </c>
      <c r="D2461" t="s">
        <v>182</v>
      </c>
      <c r="E2461" t="s">
        <v>11</v>
      </c>
      <c r="F2461">
        <v>0.95830482244491577</v>
      </c>
    </row>
    <row r="2462" spans="2:6">
      <c r="B2462">
        <v>2018</v>
      </c>
      <c r="C2462" t="s">
        <v>38</v>
      </c>
      <c r="D2462" t="s">
        <v>182</v>
      </c>
      <c r="E2462" t="s">
        <v>12</v>
      </c>
      <c r="F2462">
        <v>3.5571631044149399E-2</v>
      </c>
    </row>
    <row r="2463" spans="2:6">
      <c r="B2463">
        <v>2018</v>
      </c>
      <c r="C2463" t="s">
        <v>38</v>
      </c>
      <c r="D2463" t="s">
        <v>182</v>
      </c>
      <c r="E2463" t="s">
        <v>14</v>
      </c>
      <c r="F2463">
        <v>0.84459251165390015</v>
      </c>
    </row>
    <row r="2464" spans="2:6">
      <c r="B2464">
        <v>2018</v>
      </c>
      <c r="C2464" t="s">
        <v>38</v>
      </c>
      <c r="D2464" t="s">
        <v>182</v>
      </c>
      <c r="E2464" t="s">
        <v>15</v>
      </c>
      <c r="F2464">
        <v>0.41434580087661743</v>
      </c>
    </row>
    <row r="2465" spans="2:6">
      <c r="B2465">
        <v>2019</v>
      </c>
      <c r="C2465" t="s">
        <v>38</v>
      </c>
      <c r="D2465" t="s">
        <v>182</v>
      </c>
      <c r="E2465" t="s">
        <v>7</v>
      </c>
      <c r="F2465">
        <v>4.9982848167419434</v>
      </c>
    </row>
    <row r="2466" spans="2:6">
      <c r="B2466">
        <v>2019</v>
      </c>
      <c r="C2466" t="s">
        <v>38</v>
      </c>
      <c r="D2466" t="s">
        <v>182</v>
      </c>
      <c r="E2466" t="s">
        <v>8</v>
      </c>
      <c r="F2466">
        <v>8.3868112564086914</v>
      </c>
    </row>
    <row r="2467" spans="2:6">
      <c r="B2467">
        <v>2019</v>
      </c>
      <c r="C2467" t="s">
        <v>38</v>
      </c>
      <c r="D2467" t="s">
        <v>182</v>
      </c>
      <c r="E2467" t="s">
        <v>9</v>
      </c>
      <c r="F2467">
        <v>0.75917547941207886</v>
      </c>
    </row>
    <row r="2468" spans="2:6">
      <c r="B2468">
        <v>2019</v>
      </c>
      <c r="C2468" t="s">
        <v>38</v>
      </c>
      <c r="D2468" t="s">
        <v>182</v>
      </c>
      <c r="E2468" t="s">
        <v>10</v>
      </c>
      <c r="F2468">
        <v>62</v>
      </c>
    </row>
    <row r="2469" spans="2:6">
      <c r="B2469">
        <v>2019</v>
      </c>
      <c r="C2469" t="s">
        <v>38</v>
      </c>
      <c r="D2469" t="s">
        <v>182</v>
      </c>
      <c r="E2469" t="s">
        <v>11</v>
      </c>
      <c r="F2469">
        <v>0.9567992091178894</v>
      </c>
    </row>
    <row r="2470" spans="2:6">
      <c r="B2470">
        <v>2019</v>
      </c>
      <c r="C2470" t="s">
        <v>38</v>
      </c>
      <c r="D2470" t="s">
        <v>182</v>
      </c>
      <c r="E2470" t="s">
        <v>12</v>
      </c>
      <c r="F2470">
        <v>1.3222623616456985E-2</v>
      </c>
    </row>
    <row r="2471" spans="2:6">
      <c r="B2471">
        <v>2019</v>
      </c>
      <c r="C2471" t="s">
        <v>38</v>
      </c>
      <c r="D2471" t="s">
        <v>182</v>
      </c>
      <c r="E2471" t="s">
        <v>13</v>
      </c>
      <c r="F2471">
        <v>0.82844448089599609</v>
      </c>
    </row>
    <row r="2472" spans="2:6">
      <c r="B2472">
        <v>2019</v>
      </c>
      <c r="C2472" t="s">
        <v>38</v>
      </c>
      <c r="D2472" t="s">
        <v>182</v>
      </c>
      <c r="E2472" t="s">
        <v>14</v>
      </c>
      <c r="F2472">
        <v>0.84435373544692993</v>
      </c>
    </row>
    <row r="2473" spans="2:6">
      <c r="B2473">
        <v>2019</v>
      </c>
      <c r="C2473" t="s">
        <v>38</v>
      </c>
      <c r="D2473" t="s">
        <v>182</v>
      </c>
      <c r="E2473" t="s">
        <v>15</v>
      </c>
      <c r="F2473">
        <v>0.38958629965782166</v>
      </c>
    </row>
    <row r="2474" spans="2:6">
      <c r="B2474">
        <v>2020</v>
      </c>
      <c r="C2474" t="s">
        <v>38</v>
      </c>
      <c r="D2474" t="s">
        <v>182</v>
      </c>
      <c r="E2474" t="s">
        <v>7</v>
      </c>
      <c r="F2474">
        <v>4.3769850730895996</v>
      </c>
    </row>
    <row r="2475" spans="2:6">
      <c r="B2475">
        <v>2020</v>
      </c>
      <c r="C2475" t="s">
        <v>38</v>
      </c>
      <c r="D2475" t="s">
        <v>182</v>
      </c>
      <c r="E2475" t="s">
        <v>8</v>
      </c>
      <c r="F2475">
        <v>8.3619356155395508</v>
      </c>
    </row>
    <row r="2476" spans="2:6">
      <c r="B2476">
        <v>2020</v>
      </c>
      <c r="C2476" t="s">
        <v>38</v>
      </c>
      <c r="D2476" t="s">
        <v>182</v>
      </c>
      <c r="E2476" t="s">
        <v>9</v>
      </c>
      <c r="F2476">
        <v>0.7244226336479187</v>
      </c>
    </row>
    <row r="2477" spans="2:6">
      <c r="B2477">
        <v>2020</v>
      </c>
      <c r="C2477" t="s">
        <v>38</v>
      </c>
      <c r="D2477" t="s">
        <v>182</v>
      </c>
      <c r="E2477" t="s">
        <v>10</v>
      </c>
      <c r="F2477">
        <v>62.400001525878906</v>
      </c>
    </row>
    <row r="2478" spans="2:6">
      <c r="B2478">
        <v>2020</v>
      </c>
      <c r="C2478" t="s">
        <v>38</v>
      </c>
      <c r="D2478" t="s">
        <v>182</v>
      </c>
      <c r="E2478" t="s">
        <v>11</v>
      </c>
      <c r="F2478">
        <v>0.96307545900344849</v>
      </c>
    </row>
    <row r="2479" spans="2:6">
      <c r="B2479">
        <v>2020</v>
      </c>
      <c r="C2479" t="s">
        <v>38</v>
      </c>
      <c r="D2479" t="s">
        <v>182</v>
      </c>
      <c r="E2479" t="s">
        <v>12</v>
      </c>
      <c r="F2479">
        <v>5.2429765462875366E-2</v>
      </c>
    </row>
    <row r="2480" spans="2:6">
      <c r="B2480">
        <v>2020</v>
      </c>
      <c r="C2480" t="s">
        <v>38</v>
      </c>
      <c r="D2480" t="s">
        <v>182</v>
      </c>
      <c r="E2480" t="s">
        <v>13</v>
      </c>
      <c r="F2480">
        <v>0.86305397748947144</v>
      </c>
    </row>
    <row r="2481" spans="2:6">
      <c r="B2481">
        <v>2020</v>
      </c>
      <c r="C2481" t="s">
        <v>38</v>
      </c>
      <c r="D2481" t="s">
        <v>182</v>
      </c>
      <c r="E2481" t="s">
        <v>14</v>
      </c>
      <c r="F2481">
        <v>0.87795352935791016</v>
      </c>
    </row>
    <row r="2482" spans="2:6">
      <c r="B2482">
        <v>2020</v>
      </c>
      <c r="C2482" t="s">
        <v>38</v>
      </c>
      <c r="D2482" t="s">
        <v>182</v>
      </c>
      <c r="E2482" t="s">
        <v>15</v>
      </c>
      <c r="F2482">
        <v>0.38985162973403931</v>
      </c>
    </row>
    <row r="2483" spans="2:6">
      <c r="B2483">
        <v>2006</v>
      </c>
      <c r="C2483" t="s">
        <v>39</v>
      </c>
      <c r="D2483" t="s">
        <v>184</v>
      </c>
      <c r="E2483" t="s">
        <v>7</v>
      </c>
      <c r="F2483">
        <v>3.8510720729827881</v>
      </c>
    </row>
    <row r="2484" spans="2:6">
      <c r="B2484">
        <v>2006</v>
      </c>
      <c r="C2484" t="s">
        <v>39</v>
      </c>
      <c r="D2484" t="s">
        <v>184</v>
      </c>
      <c r="E2484" t="s">
        <v>8</v>
      </c>
      <c r="F2484">
        <v>8.0070791244506836</v>
      </c>
    </row>
    <row r="2485" spans="2:6">
      <c r="B2485">
        <v>2006</v>
      </c>
      <c r="C2485" t="s">
        <v>39</v>
      </c>
      <c r="D2485" t="s">
        <v>184</v>
      </c>
      <c r="E2485" t="s">
        <v>9</v>
      </c>
      <c r="F2485">
        <v>0.68960076570510864</v>
      </c>
    </row>
    <row r="2486" spans="2:6">
      <c r="B2486">
        <v>2006</v>
      </c>
      <c r="C2486" t="s">
        <v>39</v>
      </c>
      <c r="D2486" t="s">
        <v>184</v>
      </c>
      <c r="E2486" t="s">
        <v>10</v>
      </c>
      <c r="F2486">
        <v>45.979999542236328</v>
      </c>
    </row>
    <row r="2487" spans="2:6">
      <c r="B2487">
        <v>2006</v>
      </c>
      <c r="C2487" t="s">
        <v>39</v>
      </c>
      <c r="D2487" t="s">
        <v>184</v>
      </c>
      <c r="E2487" t="s">
        <v>11</v>
      </c>
      <c r="F2487">
        <v>0.65342265367507935</v>
      </c>
    </row>
    <row r="2488" spans="2:6">
      <c r="B2488">
        <v>2006</v>
      </c>
      <c r="C2488" t="s">
        <v>39</v>
      </c>
      <c r="D2488" t="s">
        <v>184</v>
      </c>
      <c r="E2488" t="s">
        <v>12</v>
      </c>
      <c r="F2488">
        <v>-9.3503724783658981E-3</v>
      </c>
    </row>
    <row r="2489" spans="2:6">
      <c r="B2489">
        <v>2006</v>
      </c>
      <c r="C2489" t="s">
        <v>39</v>
      </c>
      <c r="D2489" t="s">
        <v>184</v>
      </c>
      <c r="E2489" t="s">
        <v>13</v>
      </c>
      <c r="F2489">
        <v>0.90706765651702881</v>
      </c>
    </row>
    <row r="2490" spans="2:6">
      <c r="B2490">
        <v>2006</v>
      </c>
      <c r="C2490" t="s">
        <v>39</v>
      </c>
      <c r="D2490" t="s">
        <v>184</v>
      </c>
      <c r="E2490" t="s">
        <v>14</v>
      </c>
      <c r="F2490">
        <v>0.60558801889419556</v>
      </c>
    </row>
    <row r="2491" spans="2:6">
      <c r="B2491">
        <v>2006</v>
      </c>
      <c r="C2491" t="s">
        <v>39</v>
      </c>
      <c r="D2491" t="s">
        <v>184</v>
      </c>
      <c r="E2491" t="s">
        <v>15</v>
      </c>
      <c r="F2491">
        <v>0.27087369561195374</v>
      </c>
    </row>
    <row r="2492" spans="2:6">
      <c r="B2492">
        <v>2007</v>
      </c>
      <c r="C2492" t="s">
        <v>39</v>
      </c>
      <c r="D2492" t="s">
        <v>184</v>
      </c>
      <c r="E2492" t="s">
        <v>7</v>
      </c>
      <c r="F2492">
        <v>4.3499393463134766</v>
      </c>
    </row>
    <row r="2493" spans="2:6">
      <c r="B2493">
        <v>2007</v>
      </c>
      <c r="C2493" t="s">
        <v>39</v>
      </c>
      <c r="D2493" t="s">
        <v>184</v>
      </c>
      <c r="E2493" t="s">
        <v>8</v>
      </c>
      <c r="F2493">
        <v>8.0275173187255859</v>
      </c>
    </row>
    <row r="2494" spans="2:6">
      <c r="B2494">
        <v>2007</v>
      </c>
      <c r="C2494" t="s">
        <v>39</v>
      </c>
      <c r="D2494" t="s">
        <v>184</v>
      </c>
      <c r="E2494" t="s">
        <v>9</v>
      </c>
      <c r="F2494">
        <v>0.71739417314529419</v>
      </c>
    </row>
    <row r="2495" spans="2:6">
      <c r="B2495">
        <v>2007</v>
      </c>
      <c r="C2495" t="s">
        <v>39</v>
      </c>
      <c r="D2495" t="s">
        <v>184</v>
      </c>
      <c r="E2495" t="s">
        <v>10</v>
      </c>
      <c r="F2495">
        <v>46.560001373291016</v>
      </c>
    </row>
    <row r="2496" spans="2:6">
      <c r="B2496">
        <v>2007</v>
      </c>
      <c r="C2496" t="s">
        <v>39</v>
      </c>
      <c r="D2496" t="s">
        <v>184</v>
      </c>
      <c r="E2496" t="s">
        <v>11</v>
      </c>
      <c r="F2496">
        <v>0.64388394355773926</v>
      </c>
    </row>
    <row r="2497" spans="2:6">
      <c r="B2497">
        <v>2007</v>
      </c>
      <c r="C2497" t="s">
        <v>39</v>
      </c>
      <c r="D2497" t="s">
        <v>184</v>
      </c>
      <c r="E2497" t="s">
        <v>12</v>
      </c>
      <c r="F2497">
        <v>-3.139055147767067E-2</v>
      </c>
    </row>
    <row r="2498" spans="2:6">
      <c r="B2498">
        <v>2007</v>
      </c>
      <c r="C2498" t="s">
        <v>39</v>
      </c>
      <c r="D2498" t="s">
        <v>184</v>
      </c>
      <c r="E2498" t="s">
        <v>13</v>
      </c>
      <c r="F2498">
        <v>0.91034972667694092</v>
      </c>
    </row>
    <row r="2499" spans="2:6">
      <c r="B2499">
        <v>2007</v>
      </c>
      <c r="C2499" t="s">
        <v>39</v>
      </c>
      <c r="D2499" t="s">
        <v>184</v>
      </c>
      <c r="E2499" t="s">
        <v>14</v>
      </c>
      <c r="F2499">
        <v>0.6347891092300415</v>
      </c>
    </row>
    <row r="2500" spans="2:6">
      <c r="B2500">
        <v>2007</v>
      </c>
      <c r="C2500" t="s">
        <v>39</v>
      </c>
      <c r="D2500" t="s">
        <v>184</v>
      </c>
      <c r="E2500" t="s">
        <v>15</v>
      </c>
      <c r="F2500">
        <v>0.24863132834434509</v>
      </c>
    </row>
    <row r="2501" spans="2:6">
      <c r="B2501">
        <v>2008</v>
      </c>
      <c r="C2501" t="s">
        <v>39</v>
      </c>
      <c r="D2501" t="s">
        <v>184</v>
      </c>
      <c r="E2501" t="s">
        <v>7</v>
      </c>
      <c r="F2501">
        <v>4.2918004989624023</v>
      </c>
    </row>
    <row r="2502" spans="2:6">
      <c r="B2502">
        <v>2008</v>
      </c>
      <c r="C2502" t="s">
        <v>39</v>
      </c>
      <c r="D2502" t="s">
        <v>184</v>
      </c>
      <c r="E2502" t="s">
        <v>8</v>
      </c>
      <c r="F2502">
        <v>8.0343027114868164</v>
      </c>
    </row>
    <row r="2503" spans="2:6">
      <c r="B2503">
        <v>2008</v>
      </c>
      <c r="C2503" t="s">
        <v>39</v>
      </c>
      <c r="D2503" t="s">
        <v>184</v>
      </c>
      <c r="E2503" t="s">
        <v>9</v>
      </c>
      <c r="F2503">
        <v>0.69671577215194702</v>
      </c>
    </row>
    <row r="2504" spans="2:6">
      <c r="B2504">
        <v>2008</v>
      </c>
      <c r="C2504" t="s">
        <v>39</v>
      </c>
      <c r="D2504" t="s">
        <v>184</v>
      </c>
      <c r="E2504" t="s">
        <v>10</v>
      </c>
      <c r="F2504">
        <v>47.139999389648438</v>
      </c>
    </row>
    <row r="2505" spans="2:6">
      <c r="B2505">
        <v>2008</v>
      </c>
      <c r="C2505" t="s">
        <v>39</v>
      </c>
      <c r="D2505" t="s">
        <v>184</v>
      </c>
      <c r="E2505" t="s">
        <v>11</v>
      </c>
      <c r="F2505">
        <v>0.58025723695755005</v>
      </c>
    </row>
    <row r="2506" spans="2:6">
      <c r="B2506">
        <v>2008</v>
      </c>
      <c r="C2506" t="s">
        <v>39</v>
      </c>
      <c r="D2506" t="s">
        <v>184</v>
      </c>
      <c r="E2506" t="s">
        <v>12</v>
      </c>
      <c r="F2506">
        <v>-6.8992957472801208E-2</v>
      </c>
    </row>
    <row r="2507" spans="2:6">
      <c r="B2507">
        <v>2008</v>
      </c>
      <c r="C2507" t="s">
        <v>39</v>
      </c>
      <c r="D2507" t="s">
        <v>184</v>
      </c>
      <c r="E2507" t="s">
        <v>13</v>
      </c>
      <c r="F2507">
        <v>0.94500279426574707</v>
      </c>
    </row>
    <row r="2508" spans="2:6">
      <c r="B2508">
        <v>2008</v>
      </c>
      <c r="C2508" t="s">
        <v>39</v>
      </c>
      <c r="D2508" t="s">
        <v>184</v>
      </c>
      <c r="E2508" t="s">
        <v>14</v>
      </c>
      <c r="F2508">
        <v>0.60021078586578369</v>
      </c>
    </row>
    <row r="2509" spans="2:6">
      <c r="B2509">
        <v>2008</v>
      </c>
      <c r="C2509" t="s">
        <v>39</v>
      </c>
      <c r="D2509" t="s">
        <v>184</v>
      </c>
      <c r="E2509" t="s">
        <v>15</v>
      </c>
      <c r="F2509">
        <v>0.3124849796295166</v>
      </c>
    </row>
    <row r="2510" spans="2:6">
      <c r="B2510">
        <v>2009</v>
      </c>
      <c r="C2510" t="s">
        <v>39</v>
      </c>
      <c r="D2510" t="s">
        <v>184</v>
      </c>
      <c r="E2510" t="s">
        <v>7</v>
      </c>
      <c r="F2510">
        <v>4.7414083480834961</v>
      </c>
    </row>
    <row r="2511" spans="2:6">
      <c r="B2511">
        <v>2009</v>
      </c>
      <c r="C2511" t="s">
        <v>39</v>
      </c>
      <c r="D2511" t="s">
        <v>184</v>
      </c>
      <c r="E2511" t="s">
        <v>8</v>
      </c>
      <c r="F2511">
        <v>8.0285282135009766</v>
      </c>
    </row>
    <row r="2512" spans="2:6">
      <c r="B2512">
        <v>2009</v>
      </c>
      <c r="C2512" t="s">
        <v>39</v>
      </c>
      <c r="D2512" t="s">
        <v>184</v>
      </c>
      <c r="E2512" t="s">
        <v>9</v>
      </c>
      <c r="F2512">
        <v>0.72869390249252319</v>
      </c>
    </row>
    <row r="2513" spans="2:6">
      <c r="B2513">
        <v>2009</v>
      </c>
      <c r="C2513" t="s">
        <v>39</v>
      </c>
      <c r="D2513" t="s">
        <v>184</v>
      </c>
      <c r="E2513" t="s">
        <v>10</v>
      </c>
      <c r="F2513">
        <v>47.720001220703125</v>
      </c>
    </row>
    <row r="2514" spans="2:6">
      <c r="B2514">
        <v>2009</v>
      </c>
      <c r="C2514" t="s">
        <v>39</v>
      </c>
      <c r="D2514" t="s">
        <v>184</v>
      </c>
      <c r="E2514" t="s">
        <v>11</v>
      </c>
      <c r="F2514">
        <v>0.69803041219711304</v>
      </c>
    </row>
    <row r="2515" spans="2:6">
      <c r="B2515">
        <v>2009</v>
      </c>
      <c r="C2515" t="s">
        <v>39</v>
      </c>
      <c r="D2515" t="s">
        <v>184</v>
      </c>
      <c r="E2515" t="s">
        <v>12</v>
      </c>
      <c r="F2515">
        <v>-1.6778485849499702E-2</v>
      </c>
    </row>
    <row r="2516" spans="2:6">
      <c r="B2516">
        <v>2009</v>
      </c>
      <c r="C2516" t="s">
        <v>39</v>
      </c>
      <c r="D2516" t="s">
        <v>184</v>
      </c>
      <c r="E2516" t="s">
        <v>13</v>
      </c>
      <c r="F2516">
        <v>0.92544728517532349</v>
      </c>
    </row>
    <row r="2517" spans="2:6">
      <c r="B2517">
        <v>2009</v>
      </c>
      <c r="C2517" t="s">
        <v>39</v>
      </c>
      <c r="D2517" t="s">
        <v>184</v>
      </c>
      <c r="E2517" t="s">
        <v>14</v>
      </c>
      <c r="F2517">
        <v>0.59313857555389404</v>
      </c>
    </row>
    <row r="2518" spans="2:6">
      <c r="B2518">
        <v>2009</v>
      </c>
      <c r="C2518" t="s">
        <v>39</v>
      </c>
      <c r="D2518" t="s">
        <v>184</v>
      </c>
      <c r="E2518" t="s">
        <v>15</v>
      </c>
      <c r="F2518">
        <v>0.24982151389122009</v>
      </c>
    </row>
    <row r="2519" spans="2:6">
      <c r="B2519">
        <v>2010</v>
      </c>
      <c r="C2519" t="s">
        <v>39</v>
      </c>
      <c r="D2519" t="s">
        <v>184</v>
      </c>
      <c r="E2519" t="s">
        <v>7</v>
      </c>
      <c r="F2519">
        <v>4.5542569160461426</v>
      </c>
    </row>
    <row r="2520" spans="2:6">
      <c r="B2520">
        <v>2010</v>
      </c>
      <c r="C2520" t="s">
        <v>39</v>
      </c>
      <c r="D2520" t="s">
        <v>184</v>
      </c>
      <c r="E2520" t="s">
        <v>8</v>
      </c>
      <c r="F2520">
        <v>8.0347023010253906</v>
      </c>
    </row>
    <row r="2521" spans="2:6">
      <c r="B2521">
        <v>2010</v>
      </c>
      <c r="C2521" t="s">
        <v>39</v>
      </c>
      <c r="D2521" t="s">
        <v>184</v>
      </c>
      <c r="E2521" t="s">
        <v>9</v>
      </c>
      <c r="F2521">
        <v>0.75864070653915405</v>
      </c>
    </row>
    <row r="2522" spans="2:6">
      <c r="B2522">
        <v>2010</v>
      </c>
      <c r="C2522" t="s">
        <v>39</v>
      </c>
      <c r="D2522" t="s">
        <v>184</v>
      </c>
      <c r="E2522" t="s">
        <v>10</v>
      </c>
      <c r="F2522">
        <v>48.299999237060547</v>
      </c>
    </row>
    <row r="2523" spans="2:6">
      <c r="B2523">
        <v>2010</v>
      </c>
      <c r="C2523" t="s">
        <v>39</v>
      </c>
      <c r="D2523" t="s">
        <v>184</v>
      </c>
      <c r="E2523" t="s">
        <v>11</v>
      </c>
      <c r="F2523">
        <v>0.79222017526626587</v>
      </c>
    </row>
    <row r="2524" spans="2:6">
      <c r="B2524">
        <v>2010</v>
      </c>
      <c r="C2524" t="s">
        <v>39</v>
      </c>
      <c r="D2524" t="s">
        <v>184</v>
      </c>
      <c r="E2524" t="s">
        <v>12</v>
      </c>
      <c r="F2524">
        <v>2.3025583941489458E-3</v>
      </c>
    </row>
    <row r="2525" spans="2:6">
      <c r="B2525">
        <v>2010</v>
      </c>
      <c r="C2525" t="s">
        <v>39</v>
      </c>
      <c r="D2525" t="s">
        <v>184</v>
      </c>
      <c r="E2525" t="s">
        <v>13</v>
      </c>
      <c r="F2525">
        <v>0.87471866607666016</v>
      </c>
    </row>
    <row r="2526" spans="2:6">
      <c r="B2526">
        <v>2010</v>
      </c>
      <c r="C2526" t="s">
        <v>39</v>
      </c>
      <c r="D2526" t="s">
        <v>184</v>
      </c>
      <c r="E2526" t="s">
        <v>14</v>
      </c>
      <c r="F2526">
        <v>0.6063573956489563</v>
      </c>
    </row>
    <row r="2527" spans="2:6">
      <c r="B2527">
        <v>2010</v>
      </c>
      <c r="C2527" t="s">
        <v>39</v>
      </c>
      <c r="D2527" t="s">
        <v>184</v>
      </c>
      <c r="E2527" t="s">
        <v>15</v>
      </c>
      <c r="F2527">
        <v>0.27378633618354797</v>
      </c>
    </row>
    <row r="2528" spans="2:6">
      <c r="B2528">
        <v>2011</v>
      </c>
      <c r="C2528" t="s">
        <v>39</v>
      </c>
      <c r="D2528" t="s">
        <v>184</v>
      </c>
      <c r="E2528" t="s">
        <v>7</v>
      </c>
      <c r="F2528">
        <v>4.4338850975036621</v>
      </c>
    </row>
    <row r="2529" spans="2:6">
      <c r="B2529">
        <v>2011</v>
      </c>
      <c r="C2529" t="s">
        <v>39</v>
      </c>
      <c r="D2529" t="s">
        <v>184</v>
      </c>
      <c r="E2529" t="s">
        <v>8</v>
      </c>
      <c r="F2529">
        <v>8.0477609634399414</v>
      </c>
    </row>
    <row r="2530" spans="2:6">
      <c r="B2530">
        <v>2011</v>
      </c>
      <c r="C2530" t="s">
        <v>39</v>
      </c>
      <c r="D2530" t="s">
        <v>184</v>
      </c>
      <c r="E2530" t="s">
        <v>9</v>
      </c>
      <c r="F2530">
        <v>0.73799282312393188</v>
      </c>
    </row>
    <row r="2531" spans="2:6">
      <c r="B2531">
        <v>2011</v>
      </c>
      <c r="C2531" t="s">
        <v>39</v>
      </c>
      <c r="D2531" t="s">
        <v>184</v>
      </c>
      <c r="E2531" t="s">
        <v>10</v>
      </c>
      <c r="F2531">
        <v>48.700000762939453</v>
      </c>
    </row>
    <row r="2532" spans="2:6">
      <c r="B2532">
        <v>2011</v>
      </c>
      <c r="C2532" t="s">
        <v>39</v>
      </c>
      <c r="D2532" t="s">
        <v>184</v>
      </c>
      <c r="E2532" t="s">
        <v>11</v>
      </c>
      <c r="F2532">
        <v>0.81669378280639648</v>
      </c>
    </row>
    <row r="2533" spans="2:6">
      <c r="B2533">
        <v>2011</v>
      </c>
      <c r="C2533" t="s">
        <v>39</v>
      </c>
      <c r="D2533" t="s">
        <v>184</v>
      </c>
      <c r="E2533" t="s">
        <v>12</v>
      </c>
      <c r="F2533">
        <v>-2.8885969892144203E-2</v>
      </c>
    </row>
    <row r="2534" spans="2:6">
      <c r="B2534">
        <v>2011</v>
      </c>
      <c r="C2534" t="s">
        <v>39</v>
      </c>
      <c r="D2534" t="s">
        <v>184</v>
      </c>
      <c r="E2534" t="s">
        <v>13</v>
      </c>
      <c r="F2534">
        <v>0.86961567401885986</v>
      </c>
    </row>
    <row r="2535" spans="2:6">
      <c r="B2535">
        <v>2011</v>
      </c>
      <c r="C2535" t="s">
        <v>39</v>
      </c>
      <c r="D2535" t="s">
        <v>184</v>
      </c>
      <c r="E2535" t="s">
        <v>14</v>
      </c>
      <c r="F2535">
        <v>0.59782648086547852</v>
      </c>
    </row>
    <row r="2536" spans="2:6">
      <c r="B2536">
        <v>2011</v>
      </c>
      <c r="C2536" t="s">
        <v>39</v>
      </c>
      <c r="D2536" t="s">
        <v>184</v>
      </c>
      <c r="E2536" t="s">
        <v>15</v>
      </c>
      <c r="F2536">
        <v>0.27167633175849915</v>
      </c>
    </row>
    <row r="2537" spans="2:6">
      <c r="B2537">
        <v>2012</v>
      </c>
      <c r="C2537" t="s">
        <v>39</v>
      </c>
      <c r="D2537" t="s">
        <v>184</v>
      </c>
      <c r="E2537" t="s">
        <v>7</v>
      </c>
      <c r="F2537">
        <v>4.2446341514587402</v>
      </c>
    </row>
    <row r="2538" spans="2:6">
      <c r="B2538">
        <v>2012</v>
      </c>
      <c r="C2538" t="s">
        <v>39</v>
      </c>
      <c r="D2538" t="s">
        <v>184</v>
      </c>
      <c r="E2538" t="s">
        <v>8</v>
      </c>
      <c r="F2538">
        <v>8.0648794174194336</v>
      </c>
    </row>
    <row r="2539" spans="2:6">
      <c r="B2539">
        <v>2012</v>
      </c>
      <c r="C2539" t="s">
        <v>39</v>
      </c>
      <c r="D2539" t="s">
        <v>184</v>
      </c>
      <c r="E2539" t="s">
        <v>9</v>
      </c>
      <c r="F2539">
        <v>0.74283730983734131</v>
      </c>
    </row>
    <row r="2540" spans="2:6">
      <c r="B2540">
        <v>2012</v>
      </c>
      <c r="C2540" t="s">
        <v>39</v>
      </c>
      <c r="D2540" t="s">
        <v>184</v>
      </c>
      <c r="E2540" t="s">
        <v>10</v>
      </c>
      <c r="F2540">
        <v>49.099998474121094</v>
      </c>
    </row>
    <row r="2541" spans="2:6">
      <c r="B2541">
        <v>2012</v>
      </c>
      <c r="C2541" t="s">
        <v>39</v>
      </c>
      <c r="D2541" t="s">
        <v>184</v>
      </c>
      <c r="E2541" t="s">
        <v>11</v>
      </c>
      <c r="F2541">
        <v>0.76606422662734985</v>
      </c>
    </row>
    <row r="2542" spans="2:6">
      <c r="B2542">
        <v>2012</v>
      </c>
      <c r="C2542" t="s">
        <v>39</v>
      </c>
      <c r="D2542" t="s">
        <v>184</v>
      </c>
      <c r="E2542" t="s">
        <v>12</v>
      </c>
      <c r="F2542">
        <v>-3.2058149576187134E-2</v>
      </c>
    </row>
    <row r="2543" spans="2:6">
      <c r="B2543">
        <v>2012</v>
      </c>
      <c r="C2543" t="s">
        <v>39</v>
      </c>
      <c r="D2543" t="s">
        <v>184</v>
      </c>
      <c r="E2543" t="s">
        <v>13</v>
      </c>
      <c r="F2543">
        <v>0.89802879095077515</v>
      </c>
    </row>
    <row r="2544" spans="2:6">
      <c r="B2544">
        <v>2012</v>
      </c>
      <c r="C2544" t="s">
        <v>39</v>
      </c>
      <c r="D2544" t="s">
        <v>184</v>
      </c>
      <c r="E2544" t="s">
        <v>14</v>
      </c>
      <c r="F2544">
        <v>0.61799889802932739</v>
      </c>
    </row>
    <row r="2545" spans="2:6">
      <c r="B2545">
        <v>2012</v>
      </c>
      <c r="C2545" t="s">
        <v>39</v>
      </c>
      <c r="D2545" t="s">
        <v>184</v>
      </c>
      <c r="E2545" t="s">
        <v>15</v>
      </c>
      <c r="F2545">
        <v>0.28444787859916687</v>
      </c>
    </row>
    <row r="2546" spans="2:6">
      <c r="B2546">
        <v>2013</v>
      </c>
      <c r="C2546" t="s">
        <v>39</v>
      </c>
      <c r="D2546" t="s">
        <v>184</v>
      </c>
      <c r="E2546" t="s">
        <v>7</v>
      </c>
      <c r="F2546">
        <v>4.2710380554199219</v>
      </c>
    </row>
    <row r="2547" spans="2:6">
      <c r="B2547">
        <v>2013</v>
      </c>
      <c r="C2547" t="s">
        <v>39</v>
      </c>
      <c r="D2547" t="s">
        <v>184</v>
      </c>
      <c r="E2547" t="s">
        <v>8</v>
      </c>
      <c r="F2547">
        <v>8.0903301239013672</v>
      </c>
    </row>
    <row r="2548" spans="2:6">
      <c r="B2548">
        <v>2013</v>
      </c>
      <c r="C2548" t="s">
        <v>39</v>
      </c>
      <c r="D2548" t="s">
        <v>184</v>
      </c>
      <c r="E2548" t="s">
        <v>9</v>
      </c>
      <c r="F2548">
        <v>0.76019436120986938</v>
      </c>
    </row>
    <row r="2549" spans="2:6">
      <c r="B2549">
        <v>2013</v>
      </c>
      <c r="C2549" t="s">
        <v>39</v>
      </c>
      <c r="D2549" t="s">
        <v>184</v>
      </c>
      <c r="E2549" t="s">
        <v>10</v>
      </c>
      <c r="F2549">
        <v>49.5</v>
      </c>
    </row>
    <row r="2550" spans="2:6">
      <c r="B2550">
        <v>2013</v>
      </c>
      <c r="C2550" t="s">
        <v>39</v>
      </c>
      <c r="D2550" t="s">
        <v>184</v>
      </c>
      <c r="E2550" t="s">
        <v>11</v>
      </c>
      <c r="F2550">
        <v>0.79407596588134766</v>
      </c>
    </row>
    <row r="2551" spans="2:6">
      <c r="B2551">
        <v>2013</v>
      </c>
      <c r="C2551" t="s">
        <v>39</v>
      </c>
      <c r="D2551" t="s">
        <v>184</v>
      </c>
      <c r="E2551" t="s">
        <v>12</v>
      </c>
      <c r="F2551">
        <v>-3.028363361954689E-2</v>
      </c>
    </row>
    <row r="2552" spans="2:6">
      <c r="B2552">
        <v>2013</v>
      </c>
      <c r="C2552" t="s">
        <v>39</v>
      </c>
      <c r="D2552" t="s">
        <v>184</v>
      </c>
      <c r="E2552" t="s">
        <v>13</v>
      </c>
      <c r="F2552">
        <v>0.86725741624832153</v>
      </c>
    </row>
    <row r="2553" spans="2:6">
      <c r="B2553">
        <v>2013</v>
      </c>
      <c r="C2553" t="s">
        <v>39</v>
      </c>
      <c r="D2553" t="s">
        <v>184</v>
      </c>
      <c r="E2553" t="s">
        <v>14</v>
      </c>
      <c r="F2553">
        <v>0.68113231658935547</v>
      </c>
    </row>
    <row r="2554" spans="2:6">
      <c r="B2554">
        <v>2013</v>
      </c>
      <c r="C2554" t="s">
        <v>39</v>
      </c>
      <c r="D2554" t="s">
        <v>184</v>
      </c>
      <c r="E2554" t="s">
        <v>15</v>
      </c>
      <c r="F2554">
        <v>0.26819923520088196</v>
      </c>
    </row>
    <row r="2555" spans="2:6">
      <c r="B2555">
        <v>2014</v>
      </c>
      <c r="C2555" t="s">
        <v>39</v>
      </c>
      <c r="D2555" t="s">
        <v>184</v>
      </c>
      <c r="E2555" t="s">
        <v>7</v>
      </c>
      <c r="F2555">
        <v>4.2404413223266602</v>
      </c>
    </row>
    <row r="2556" spans="2:6">
      <c r="B2556">
        <v>2014</v>
      </c>
      <c r="C2556" t="s">
        <v>39</v>
      </c>
      <c r="D2556" t="s">
        <v>184</v>
      </c>
      <c r="E2556" t="s">
        <v>8</v>
      </c>
      <c r="F2556">
        <v>8.1204891204833984</v>
      </c>
    </row>
    <row r="2557" spans="2:6">
      <c r="B2557">
        <v>2014</v>
      </c>
      <c r="C2557" t="s">
        <v>39</v>
      </c>
      <c r="D2557" t="s">
        <v>184</v>
      </c>
      <c r="E2557" t="s">
        <v>9</v>
      </c>
      <c r="F2557">
        <v>0.77777707576751709</v>
      </c>
    </row>
    <row r="2558" spans="2:6">
      <c r="B2558">
        <v>2014</v>
      </c>
      <c r="C2558" t="s">
        <v>39</v>
      </c>
      <c r="D2558" t="s">
        <v>184</v>
      </c>
      <c r="E2558" t="s">
        <v>10</v>
      </c>
      <c r="F2558">
        <v>49.900001525878906</v>
      </c>
    </row>
    <row r="2559" spans="2:6">
      <c r="B2559">
        <v>2014</v>
      </c>
      <c r="C2559" t="s">
        <v>39</v>
      </c>
      <c r="D2559" t="s">
        <v>184</v>
      </c>
      <c r="E2559" t="s">
        <v>11</v>
      </c>
      <c r="F2559">
        <v>0.79464554786682129</v>
      </c>
    </row>
    <row r="2560" spans="2:6">
      <c r="B2560">
        <v>2014</v>
      </c>
      <c r="C2560" t="s">
        <v>39</v>
      </c>
      <c r="D2560" t="s">
        <v>184</v>
      </c>
      <c r="E2560" t="s">
        <v>12</v>
      </c>
      <c r="F2560">
        <v>-7.1319647133350372E-2</v>
      </c>
    </row>
    <row r="2561" spans="2:6">
      <c r="B2561">
        <v>2014</v>
      </c>
      <c r="C2561" t="s">
        <v>39</v>
      </c>
      <c r="D2561" t="s">
        <v>184</v>
      </c>
      <c r="E2561" t="s">
        <v>13</v>
      </c>
      <c r="F2561">
        <v>0.8558497428894043</v>
      </c>
    </row>
    <row r="2562" spans="2:6">
      <c r="B2562">
        <v>2014</v>
      </c>
      <c r="C2562" t="s">
        <v>39</v>
      </c>
      <c r="D2562" t="s">
        <v>184</v>
      </c>
      <c r="E2562" t="s">
        <v>14</v>
      </c>
      <c r="F2562">
        <v>0.62273269891738892</v>
      </c>
    </row>
    <row r="2563" spans="2:6">
      <c r="B2563">
        <v>2014</v>
      </c>
      <c r="C2563" t="s">
        <v>39</v>
      </c>
      <c r="D2563" t="s">
        <v>184</v>
      </c>
      <c r="E2563" t="s">
        <v>15</v>
      </c>
      <c r="F2563">
        <v>0.21603962779045105</v>
      </c>
    </row>
    <row r="2564" spans="2:6">
      <c r="B2564">
        <v>2015</v>
      </c>
      <c r="C2564" t="s">
        <v>39</v>
      </c>
      <c r="D2564" t="s">
        <v>184</v>
      </c>
      <c r="E2564" t="s">
        <v>7</v>
      </c>
      <c r="F2564">
        <v>5.0379648208618164</v>
      </c>
    </row>
    <row r="2565" spans="2:6">
      <c r="B2565">
        <v>2015</v>
      </c>
      <c r="C2565" t="s">
        <v>39</v>
      </c>
      <c r="D2565" t="s">
        <v>184</v>
      </c>
      <c r="E2565" t="s">
        <v>8</v>
      </c>
      <c r="F2565">
        <v>8.148646354675293</v>
      </c>
    </row>
    <row r="2566" spans="2:6">
      <c r="B2566">
        <v>2015</v>
      </c>
      <c r="C2566" t="s">
        <v>39</v>
      </c>
      <c r="D2566" t="s">
        <v>184</v>
      </c>
      <c r="E2566" t="s">
        <v>9</v>
      </c>
      <c r="F2566">
        <v>0.64631247520446777</v>
      </c>
    </row>
    <row r="2567" spans="2:6">
      <c r="B2567">
        <v>2015</v>
      </c>
      <c r="C2567" t="s">
        <v>39</v>
      </c>
      <c r="D2567" t="s">
        <v>184</v>
      </c>
      <c r="E2567" t="s">
        <v>10</v>
      </c>
      <c r="F2567">
        <v>50.299999237060547</v>
      </c>
    </row>
    <row r="2568" spans="2:6">
      <c r="B2568">
        <v>2015</v>
      </c>
      <c r="C2568" t="s">
        <v>39</v>
      </c>
      <c r="D2568" t="s">
        <v>184</v>
      </c>
      <c r="E2568" t="s">
        <v>11</v>
      </c>
      <c r="F2568">
        <v>0.79142856597900391</v>
      </c>
    </row>
    <row r="2569" spans="2:6">
      <c r="B2569">
        <v>2015</v>
      </c>
      <c r="C2569" t="s">
        <v>39</v>
      </c>
      <c r="D2569" t="s">
        <v>184</v>
      </c>
      <c r="E2569" t="s">
        <v>12</v>
      </c>
      <c r="F2569">
        <v>4.9315236508846283E-2</v>
      </c>
    </row>
    <row r="2570" spans="2:6">
      <c r="B2570">
        <v>2015</v>
      </c>
      <c r="C2570" t="s">
        <v>39</v>
      </c>
      <c r="D2570" t="s">
        <v>184</v>
      </c>
      <c r="E2570" t="s">
        <v>13</v>
      </c>
      <c r="F2570">
        <v>0.8680490255355835</v>
      </c>
    </row>
    <row r="2571" spans="2:6">
      <c r="B2571">
        <v>2015</v>
      </c>
      <c r="C2571" t="s">
        <v>39</v>
      </c>
      <c r="D2571" t="s">
        <v>184</v>
      </c>
      <c r="E2571" t="s">
        <v>14</v>
      </c>
      <c r="F2571">
        <v>0.6508745551109314</v>
      </c>
    </row>
    <row r="2572" spans="2:6">
      <c r="B2572">
        <v>2015</v>
      </c>
      <c r="C2572" t="s">
        <v>39</v>
      </c>
      <c r="D2572" t="s">
        <v>184</v>
      </c>
      <c r="E2572" t="s">
        <v>15</v>
      </c>
      <c r="F2572">
        <v>0.34643000364303589</v>
      </c>
    </row>
    <row r="2573" spans="2:6">
      <c r="B2573">
        <v>2016</v>
      </c>
      <c r="C2573" t="s">
        <v>39</v>
      </c>
      <c r="D2573" t="s">
        <v>184</v>
      </c>
      <c r="E2573" t="s">
        <v>7</v>
      </c>
      <c r="F2573">
        <v>4.8162322044372559</v>
      </c>
    </row>
    <row r="2574" spans="2:6">
      <c r="B2574">
        <v>2016</v>
      </c>
      <c r="C2574" t="s">
        <v>39</v>
      </c>
      <c r="D2574" t="s">
        <v>184</v>
      </c>
      <c r="E2574" t="s">
        <v>8</v>
      </c>
      <c r="F2574">
        <v>8.1674785614013672</v>
      </c>
    </row>
    <row r="2575" spans="2:6">
      <c r="B2575">
        <v>2016</v>
      </c>
      <c r="C2575" t="s">
        <v>39</v>
      </c>
      <c r="D2575" t="s">
        <v>184</v>
      </c>
      <c r="E2575" t="s">
        <v>9</v>
      </c>
      <c r="F2575">
        <v>0.65929979085922241</v>
      </c>
    </row>
    <row r="2576" spans="2:6">
      <c r="B2576">
        <v>2016</v>
      </c>
      <c r="C2576" t="s">
        <v>39</v>
      </c>
      <c r="D2576" t="s">
        <v>184</v>
      </c>
      <c r="E2576" t="s">
        <v>10</v>
      </c>
      <c r="F2576">
        <v>51.099998474121094</v>
      </c>
    </row>
    <row r="2577" spans="2:6">
      <c r="B2577">
        <v>2016</v>
      </c>
      <c r="C2577" t="s">
        <v>39</v>
      </c>
      <c r="D2577" t="s">
        <v>184</v>
      </c>
      <c r="E2577" t="s">
        <v>11</v>
      </c>
      <c r="F2577">
        <v>0.71250700950622559</v>
      </c>
    </row>
    <row r="2578" spans="2:6">
      <c r="B2578">
        <v>2016</v>
      </c>
      <c r="C2578" t="s">
        <v>39</v>
      </c>
      <c r="D2578" t="s">
        <v>184</v>
      </c>
      <c r="E2578" t="s">
        <v>12</v>
      </c>
      <c r="F2578">
        <v>-3.4864014014601707E-3</v>
      </c>
    </row>
    <row r="2579" spans="2:6">
      <c r="B2579">
        <v>2016</v>
      </c>
      <c r="C2579" t="s">
        <v>39</v>
      </c>
      <c r="D2579" t="s">
        <v>184</v>
      </c>
      <c r="E2579" t="s">
        <v>13</v>
      </c>
      <c r="F2579">
        <v>0.87945055961608887</v>
      </c>
    </row>
    <row r="2580" spans="2:6">
      <c r="B2580">
        <v>2016</v>
      </c>
      <c r="C2580" t="s">
        <v>39</v>
      </c>
      <c r="D2580" t="s">
        <v>184</v>
      </c>
      <c r="E2580" t="s">
        <v>14</v>
      </c>
      <c r="F2580">
        <v>0.66152346134185791</v>
      </c>
    </row>
    <row r="2581" spans="2:6">
      <c r="B2581">
        <v>2016</v>
      </c>
      <c r="C2581" t="s">
        <v>39</v>
      </c>
      <c r="D2581" t="s">
        <v>184</v>
      </c>
      <c r="E2581" t="s">
        <v>15</v>
      </c>
      <c r="F2581">
        <v>0.36709338426589966</v>
      </c>
    </row>
    <row r="2582" spans="2:6">
      <c r="B2582">
        <v>2017</v>
      </c>
      <c r="C2582" t="s">
        <v>39</v>
      </c>
      <c r="D2582" t="s">
        <v>184</v>
      </c>
      <c r="E2582" t="s">
        <v>7</v>
      </c>
      <c r="F2582">
        <v>5.0740513801574707</v>
      </c>
    </row>
    <row r="2583" spans="2:6">
      <c r="B2583">
        <v>2017</v>
      </c>
      <c r="C2583" t="s">
        <v>39</v>
      </c>
      <c r="D2583" t="s">
        <v>184</v>
      </c>
      <c r="E2583" t="s">
        <v>8</v>
      </c>
      <c r="F2583">
        <v>8.1759767532348633</v>
      </c>
    </row>
    <row r="2584" spans="2:6">
      <c r="B2584">
        <v>2017</v>
      </c>
      <c r="C2584" t="s">
        <v>39</v>
      </c>
      <c r="D2584" t="s">
        <v>184</v>
      </c>
      <c r="E2584" t="s">
        <v>9</v>
      </c>
      <c r="F2584">
        <v>0.69459640979766846</v>
      </c>
    </row>
    <row r="2585" spans="2:6">
      <c r="B2585">
        <v>2017</v>
      </c>
      <c r="C2585" t="s">
        <v>39</v>
      </c>
      <c r="D2585" t="s">
        <v>184</v>
      </c>
      <c r="E2585" t="s">
        <v>10</v>
      </c>
      <c r="F2585">
        <v>51.900001525878906</v>
      </c>
    </row>
    <row r="2586" spans="2:6">
      <c r="B2586">
        <v>2017</v>
      </c>
      <c r="C2586" t="s">
        <v>39</v>
      </c>
      <c r="D2586" t="s">
        <v>184</v>
      </c>
      <c r="E2586" t="s">
        <v>11</v>
      </c>
      <c r="F2586">
        <v>0.7669450044631958</v>
      </c>
    </row>
    <row r="2587" spans="2:6">
      <c r="B2587">
        <v>2017</v>
      </c>
      <c r="C2587" t="s">
        <v>39</v>
      </c>
      <c r="D2587" t="s">
        <v>184</v>
      </c>
      <c r="E2587" t="s">
        <v>12</v>
      </c>
      <c r="F2587">
        <v>-2.8414163738489151E-2</v>
      </c>
    </row>
    <row r="2588" spans="2:6">
      <c r="B2588">
        <v>2017</v>
      </c>
      <c r="C2588" t="s">
        <v>39</v>
      </c>
      <c r="D2588" t="s">
        <v>184</v>
      </c>
      <c r="E2588" t="s">
        <v>13</v>
      </c>
      <c r="F2588">
        <v>0.84358561038970947</v>
      </c>
    </row>
    <row r="2589" spans="2:6">
      <c r="B2589">
        <v>2017</v>
      </c>
      <c r="C2589" t="s">
        <v>39</v>
      </c>
      <c r="D2589" t="s">
        <v>184</v>
      </c>
      <c r="E2589" t="s">
        <v>14</v>
      </c>
      <c r="F2589">
        <v>0.6323387622833252</v>
      </c>
    </row>
    <row r="2590" spans="2:6">
      <c r="B2590">
        <v>2017</v>
      </c>
      <c r="C2590" t="s">
        <v>39</v>
      </c>
      <c r="D2590" t="s">
        <v>184</v>
      </c>
      <c r="E2590" t="s">
        <v>15</v>
      </c>
      <c r="F2590">
        <v>0.37749874591827393</v>
      </c>
    </row>
    <row r="2591" spans="2:6">
      <c r="B2591">
        <v>2018</v>
      </c>
      <c r="C2591" t="s">
        <v>39</v>
      </c>
      <c r="D2591" t="s">
        <v>184</v>
      </c>
      <c r="E2591" t="s">
        <v>7</v>
      </c>
      <c r="F2591">
        <v>5.2507376670837402</v>
      </c>
    </row>
    <row r="2592" spans="2:6">
      <c r="B2592">
        <v>2018</v>
      </c>
      <c r="C2592" t="s">
        <v>39</v>
      </c>
      <c r="D2592" t="s">
        <v>184</v>
      </c>
      <c r="E2592" t="s">
        <v>8</v>
      </c>
      <c r="F2592">
        <v>8.1896743774414063</v>
      </c>
    </row>
    <row r="2593" spans="2:6">
      <c r="B2593">
        <v>2018</v>
      </c>
      <c r="C2593" t="s">
        <v>39</v>
      </c>
      <c r="D2593" t="s">
        <v>184</v>
      </c>
      <c r="E2593" t="s">
        <v>9</v>
      </c>
      <c r="F2593">
        <v>0.67682522535324097</v>
      </c>
    </row>
    <row r="2594" spans="2:6">
      <c r="B2594">
        <v>2018</v>
      </c>
      <c r="C2594" t="s">
        <v>39</v>
      </c>
      <c r="D2594" t="s">
        <v>184</v>
      </c>
      <c r="E2594" t="s">
        <v>10</v>
      </c>
      <c r="F2594">
        <v>52.700000762939453</v>
      </c>
    </row>
    <row r="2595" spans="2:6">
      <c r="B2595">
        <v>2018</v>
      </c>
      <c r="C2595" t="s">
        <v>39</v>
      </c>
      <c r="D2595" t="s">
        <v>184</v>
      </c>
      <c r="E2595" t="s">
        <v>11</v>
      </c>
      <c r="F2595">
        <v>0.81630498170852661</v>
      </c>
    </row>
    <row r="2596" spans="2:6">
      <c r="B2596">
        <v>2018</v>
      </c>
      <c r="C2596" t="s">
        <v>39</v>
      </c>
      <c r="D2596" t="s">
        <v>184</v>
      </c>
      <c r="E2596" t="s">
        <v>12</v>
      </c>
      <c r="F2596">
        <v>3.5602636635303497E-2</v>
      </c>
    </row>
    <row r="2597" spans="2:6">
      <c r="B2597">
        <v>2018</v>
      </c>
      <c r="C2597" t="s">
        <v>39</v>
      </c>
      <c r="D2597" t="s">
        <v>184</v>
      </c>
      <c r="E2597" t="s">
        <v>13</v>
      </c>
      <c r="F2597">
        <v>0.88444161415100098</v>
      </c>
    </row>
    <row r="2598" spans="2:6">
      <c r="B2598">
        <v>2018</v>
      </c>
      <c r="C2598" t="s">
        <v>39</v>
      </c>
      <c r="D2598" t="s">
        <v>184</v>
      </c>
      <c r="E2598" t="s">
        <v>14</v>
      </c>
      <c r="F2598">
        <v>0.64243650436401367</v>
      </c>
    </row>
    <row r="2599" spans="2:6">
      <c r="B2599">
        <v>2018</v>
      </c>
      <c r="C2599" t="s">
        <v>39</v>
      </c>
      <c r="D2599" t="s">
        <v>184</v>
      </c>
      <c r="E2599" t="s">
        <v>15</v>
      </c>
      <c r="F2599">
        <v>0.3556424081325531</v>
      </c>
    </row>
    <row r="2600" spans="2:6">
      <c r="B2600">
        <v>2019</v>
      </c>
      <c r="C2600" t="s">
        <v>39</v>
      </c>
      <c r="D2600" t="s">
        <v>184</v>
      </c>
      <c r="E2600" t="s">
        <v>7</v>
      </c>
      <c r="F2600">
        <v>4.9367375373840332</v>
      </c>
    </row>
    <row r="2601" spans="2:6">
      <c r="B2601">
        <v>2019</v>
      </c>
      <c r="C2601" t="s">
        <v>39</v>
      </c>
      <c r="D2601" t="s">
        <v>184</v>
      </c>
      <c r="E2601" t="s">
        <v>8</v>
      </c>
      <c r="F2601">
        <v>8.2032184600830078</v>
      </c>
    </row>
    <row r="2602" spans="2:6">
      <c r="B2602">
        <v>2019</v>
      </c>
      <c r="C2602" t="s">
        <v>39</v>
      </c>
      <c r="D2602" t="s">
        <v>184</v>
      </c>
      <c r="E2602" t="s">
        <v>9</v>
      </c>
      <c r="F2602">
        <v>0.71096473932266235</v>
      </c>
    </row>
    <row r="2603" spans="2:6">
      <c r="B2603">
        <v>2019</v>
      </c>
      <c r="C2603" t="s">
        <v>39</v>
      </c>
      <c r="D2603" t="s">
        <v>184</v>
      </c>
      <c r="E2603" t="s">
        <v>10</v>
      </c>
      <c r="F2603">
        <v>53.5</v>
      </c>
    </row>
    <row r="2604" spans="2:6">
      <c r="B2604">
        <v>2019</v>
      </c>
      <c r="C2604" t="s">
        <v>39</v>
      </c>
      <c r="D2604" t="s">
        <v>184</v>
      </c>
      <c r="E2604" t="s">
        <v>11</v>
      </c>
      <c r="F2604">
        <v>0.71150028705596924</v>
      </c>
    </row>
    <row r="2605" spans="2:6">
      <c r="B2605">
        <v>2019</v>
      </c>
      <c r="C2605" t="s">
        <v>39</v>
      </c>
      <c r="D2605" t="s">
        <v>184</v>
      </c>
      <c r="E2605" t="s">
        <v>12</v>
      </c>
      <c r="F2605">
        <v>-7.8576821833848953E-3</v>
      </c>
    </row>
    <row r="2606" spans="2:6">
      <c r="B2606">
        <v>2019</v>
      </c>
      <c r="C2606" t="s">
        <v>39</v>
      </c>
      <c r="D2606" t="s">
        <v>184</v>
      </c>
      <c r="E2606" t="s">
        <v>13</v>
      </c>
      <c r="F2606">
        <v>0.81717026233673096</v>
      </c>
    </row>
    <row r="2607" spans="2:6">
      <c r="B2607">
        <v>2019</v>
      </c>
      <c r="C2607" t="s">
        <v>39</v>
      </c>
      <c r="D2607" t="s">
        <v>184</v>
      </c>
      <c r="E2607" t="s">
        <v>14</v>
      </c>
      <c r="F2607">
        <v>0.62945115566253662</v>
      </c>
    </row>
    <row r="2608" spans="2:6">
      <c r="B2608">
        <v>2019</v>
      </c>
      <c r="C2608" t="s">
        <v>39</v>
      </c>
      <c r="D2608" t="s">
        <v>184</v>
      </c>
      <c r="E2608" t="s">
        <v>15</v>
      </c>
      <c r="F2608">
        <v>0.32639500498771667</v>
      </c>
    </row>
    <row r="2609" spans="2:6">
      <c r="B2609">
        <v>2020</v>
      </c>
      <c r="C2609" t="s">
        <v>39</v>
      </c>
      <c r="D2609" t="s">
        <v>184</v>
      </c>
      <c r="E2609" t="s">
        <v>7</v>
      </c>
      <c r="F2609">
        <v>5.2410778999328613</v>
      </c>
    </row>
    <row r="2610" spans="2:6">
      <c r="B2610">
        <v>2020</v>
      </c>
      <c r="C2610" t="s">
        <v>39</v>
      </c>
      <c r="D2610" t="s">
        <v>184</v>
      </c>
      <c r="E2610" t="s">
        <v>8</v>
      </c>
      <c r="F2610">
        <v>8.1746339797973633</v>
      </c>
    </row>
    <row r="2611" spans="2:6">
      <c r="B2611">
        <v>2020</v>
      </c>
      <c r="C2611" t="s">
        <v>39</v>
      </c>
      <c r="D2611" t="s">
        <v>184</v>
      </c>
      <c r="E2611" t="s">
        <v>9</v>
      </c>
      <c r="F2611">
        <v>0.72004663944244385</v>
      </c>
    </row>
    <row r="2612" spans="2:6">
      <c r="B2612">
        <v>2020</v>
      </c>
      <c r="C2612" t="s">
        <v>39</v>
      </c>
      <c r="D2612" t="s">
        <v>184</v>
      </c>
      <c r="E2612" t="s">
        <v>10</v>
      </c>
      <c r="F2612">
        <v>54.299999237060547</v>
      </c>
    </row>
    <row r="2613" spans="2:6">
      <c r="B2613">
        <v>2020</v>
      </c>
      <c r="C2613" t="s">
        <v>39</v>
      </c>
      <c r="D2613" t="s">
        <v>184</v>
      </c>
      <c r="E2613" t="s">
        <v>11</v>
      </c>
      <c r="F2613">
        <v>0.67450916767120361</v>
      </c>
    </row>
    <row r="2614" spans="2:6">
      <c r="B2614">
        <v>2020</v>
      </c>
      <c r="C2614" t="s">
        <v>39</v>
      </c>
      <c r="D2614" t="s">
        <v>184</v>
      </c>
      <c r="E2614" t="s">
        <v>12</v>
      </c>
      <c r="F2614">
        <v>4.9266181886196136E-2</v>
      </c>
    </row>
    <row r="2615" spans="2:6">
      <c r="B2615">
        <v>2020</v>
      </c>
      <c r="C2615" t="s">
        <v>39</v>
      </c>
      <c r="D2615" t="s">
        <v>184</v>
      </c>
      <c r="E2615" t="s">
        <v>13</v>
      </c>
      <c r="F2615">
        <v>0.83651721477508545</v>
      </c>
    </row>
    <row r="2616" spans="2:6">
      <c r="B2616">
        <v>2020</v>
      </c>
      <c r="C2616" t="s">
        <v>39</v>
      </c>
      <c r="D2616" t="s">
        <v>184</v>
      </c>
      <c r="E2616" t="s">
        <v>14</v>
      </c>
      <c r="F2616">
        <v>0.62961465120315552</v>
      </c>
    </row>
    <row r="2617" spans="2:6">
      <c r="B2617">
        <v>2020</v>
      </c>
      <c r="C2617" t="s">
        <v>39</v>
      </c>
      <c r="D2617" t="s">
        <v>184</v>
      </c>
      <c r="E2617" t="s">
        <v>15</v>
      </c>
      <c r="F2617">
        <v>0.3864789605140686</v>
      </c>
    </row>
    <row r="2618" spans="2:6">
      <c r="B2618">
        <v>2005</v>
      </c>
      <c r="C2618" t="s">
        <v>40</v>
      </c>
      <c r="D2618" t="s">
        <v>185</v>
      </c>
      <c r="E2618" t="s">
        <v>7</v>
      </c>
      <c r="F2618">
        <v>7.4180483818054199</v>
      </c>
    </row>
    <row r="2619" spans="2:6">
      <c r="B2619">
        <v>2005</v>
      </c>
      <c r="C2619" t="s">
        <v>40</v>
      </c>
      <c r="D2619" t="s">
        <v>185</v>
      </c>
      <c r="E2619" t="s">
        <v>8</v>
      </c>
      <c r="F2619">
        <v>10.651750564575195</v>
      </c>
    </row>
    <row r="2620" spans="2:6">
      <c r="B2620">
        <v>2005</v>
      </c>
      <c r="C2620" t="s">
        <v>40</v>
      </c>
      <c r="D2620" t="s">
        <v>185</v>
      </c>
      <c r="E2620" t="s">
        <v>9</v>
      </c>
      <c r="F2620">
        <v>0.96155244112014771</v>
      </c>
    </row>
    <row r="2621" spans="2:6">
      <c r="B2621">
        <v>2005</v>
      </c>
      <c r="C2621" t="s">
        <v>40</v>
      </c>
      <c r="D2621" t="s">
        <v>185</v>
      </c>
      <c r="E2621" t="s">
        <v>10</v>
      </c>
      <c r="F2621">
        <v>71.300003051757813</v>
      </c>
    </row>
    <row r="2622" spans="2:6">
      <c r="B2622">
        <v>2005</v>
      </c>
      <c r="C2622" t="s">
        <v>40</v>
      </c>
      <c r="D2622" t="s">
        <v>185</v>
      </c>
      <c r="E2622" t="s">
        <v>11</v>
      </c>
      <c r="F2622">
        <v>0.95730626583099365</v>
      </c>
    </row>
    <row r="2623" spans="2:6">
      <c r="B2623">
        <v>2005</v>
      </c>
      <c r="C2623" t="s">
        <v>40</v>
      </c>
      <c r="D2623" t="s">
        <v>185</v>
      </c>
      <c r="E2623" t="s">
        <v>12</v>
      </c>
      <c r="F2623">
        <v>0.25623002648353577</v>
      </c>
    </row>
    <row r="2624" spans="2:6">
      <c r="B2624">
        <v>2005</v>
      </c>
      <c r="C2624" t="s">
        <v>40</v>
      </c>
      <c r="D2624" t="s">
        <v>185</v>
      </c>
      <c r="E2624" t="s">
        <v>13</v>
      </c>
      <c r="F2624">
        <v>0.5026811957359314</v>
      </c>
    </row>
    <row r="2625" spans="2:6">
      <c r="B2625">
        <v>2005</v>
      </c>
      <c r="C2625" t="s">
        <v>40</v>
      </c>
      <c r="D2625" t="s">
        <v>185</v>
      </c>
      <c r="E2625" t="s">
        <v>14</v>
      </c>
      <c r="F2625">
        <v>0.83854377269744873</v>
      </c>
    </row>
    <row r="2626" spans="2:6">
      <c r="B2626">
        <v>2005</v>
      </c>
      <c r="C2626" t="s">
        <v>40</v>
      </c>
      <c r="D2626" t="s">
        <v>185</v>
      </c>
      <c r="E2626" t="s">
        <v>15</v>
      </c>
      <c r="F2626">
        <v>0.23327815532684326</v>
      </c>
    </row>
    <row r="2627" spans="2:6">
      <c r="B2627">
        <v>2007</v>
      </c>
      <c r="C2627" t="s">
        <v>40</v>
      </c>
      <c r="D2627" t="s">
        <v>185</v>
      </c>
      <c r="E2627" t="s">
        <v>7</v>
      </c>
      <c r="F2627">
        <v>7.481752872467041</v>
      </c>
    </row>
    <row r="2628" spans="2:6">
      <c r="B2628">
        <v>2007</v>
      </c>
      <c r="C2628" t="s">
        <v>40</v>
      </c>
      <c r="D2628" t="s">
        <v>185</v>
      </c>
      <c r="E2628" t="s">
        <v>8</v>
      </c>
      <c r="F2628">
        <v>10.739179611206055</v>
      </c>
    </row>
    <row r="2629" spans="2:6">
      <c r="B2629">
        <v>2007</v>
      </c>
      <c r="C2629" t="s">
        <v>40</v>
      </c>
      <c r="D2629" t="s">
        <v>185</v>
      </c>
      <c r="E2629" t="s">
        <v>10</v>
      </c>
      <c r="F2629">
        <v>71.660003662109375</v>
      </c>
    </row>
    <row r="2630" spans="2:6">
      <c r="B2630">
        <v>2007</v>
      </c>
      <c r="C2630" t="s">
        <v>40</v>
      </c>
      <c r="D2630" t="s">
        <v>185</v>
      </c>
      <c r="E2630" t="s">
        <v>11</v>
      </c>
      <c r="F2630">
        <v>0.93034130334854126</v>
      </c>
    </row>
    <row r="2631" spans="2:6">
      <c r="B2631">
        <v>2007</v>
      </c>
      <c r="C2631" t="s">
        <v>40</v>
      </c>
      <c r="D2631" t="s">
        <v>185</v>
      </c>
      <c r="E2631" t="s">
        <v>12</v>
      </c>
      <c r="F2631">
        <v>0.24947948753833771</v>
      </c>
    </row>
    <row r="2632" spans="2:6">
      <c r="B2632">
        <v>2007</v>
      </c>
      <c r="C2632" t="s">
        <v>40</v>
      </c>
      <c r="D2632" t="s">
        <v>185</v>
      </c>
      <c r="E2632" t="s">
        <v>13</v>
      </c>
      <c r="F2632">
        <v>0.4056084156036377</v>
      </c>
    </row>
    <row r="2633" spans="2:6">
      <c r="B2633">
        <v>2007</v>
      </c>
      <c r="C2633" t="s">
        <v>40</v>
      </c>
      <c r="D2633" t="s">
        <v>185</v>
      </c>
      <c r="E2633" t="s">
        <v>14</v>
      </c>
      <c r="F2633">
        <v>0.87160420417785645</v>
      </c>
    </row>
    <row r="2634" spans="2:6">
      <c r="B2634">
        <v>2007</v>
      </c>
      <c r="C2634" t="s">
        <v>40</v>
      </c>
      <c r="D2634" t="s">
        <v>185</v>
      </c>
      <c r="E2634" t="s">
        <v>15</v>
      </c>
      <c r="F2634">
        <v>0.25681006908416748</v>
      </c>
    </row>
    <row r="2635" spans="2:6">
      <c r="B2635">
        <v>2008</v>
      </c>
      <c r="C2635" t="s">
        <v>40</v>
      </c>
      <c r="D2635" t="s">
        <v>185</v>
      </c>
      <c r="E2635" t="s">
        <v>7</v>
      </c>
      <c r="F2635">
        <v>7.4856038093566895</v>
      </c>
    </row>
    <row r="2636" spans="2:6">
      <c r="B2636">
        <v>2008</v>
      </c>
      <c r="C2636" t="s">
        <v>40</v>
      </c>
      <c r="D2636" t="s">
        <v>185</v>
      </c>
      <c r="E2636" t="s">
        <v>8</v>
      </c>
      <c r="F2636">
        <v>10.738376617431641</v>
      </c>
    </row>
    <row r="2637" spans="2:6">
      <c r="B2637">
        <v>2008</v>
      </c>
      <c r="C2637" t="s">
        <v>40</v>
      </c>
      <c r="D2637" t="s">
        <v>185</v>
      </c>
      <c r="E2637" t="s">
        <v>9</v>
      </c>
      <c r="F2637">
        <v>0.93870741128921509</v>
      </c>
    </row>
    <row r="2638" spans="2:6">
      <c r="B2638">
        <v>2008</v>
      </c>
      <c r="C2638" t="s">
        <v>40</v>
      </c>
      <c r="D2638" t="s">
        <v>185</v>
      </c>
      <c r="E2638" t="s">
        <v>10</v>
      </c>
      <c r="F2638">
        <v>71.839996337890625</v>
      </c>
    </row>
    <row r="2639" spans="2:6">
      <c r="B2639">
        <v>2008</v>
      </c>
      <c r="C2639" t="s">
        <v>40</v>
      </c>
      <c r="D2639" t="s">
        <v>185</v>
      </c>
      <c r="E2639" t="s">
        <v>11</v>
      </c>
      <c r="F2639">
        <v>0.92631494998931885</v>
      </c>
    </row>
    <row r="2640" spans="2:6">
      <c r="B2640">
        <v>2008</v>
      </c>
      <c r="C2640" t="s">
        <v>40</v>
      </c>
      <c r="D2640" t="s">
        <v>185</v>
      </c>
      <c r="E2640" t="s">
        <v>12</v>
      </c>
      <c r="F2640">
        <v>0.26158487796783447</v>
      </c>
    </row>
    <row r="2641" spans="2:6">
      <c r="B2641">
        <v>2008</v>
      </c>
      <c r="C2641" t="s">
        <v>40</v>
      </c>
      <c r="D2641" t="s">
        <v>185</v>
      </c>
      <c r="E2641" t="s">
        <v>13</v>
      </c>
      <c r="F2641">
        <v>0.36958780884742737</v>
      </c>
    </row>
    <row r="2642" spans="2:6">
      <c r="B2642">
        <v>2008</v>
      </c>
      <c r="C2642" t="s">
        <v>40</v>
      </c>
      <c r="D2642" t="s">
        <v>185</v>
      </c>
      <c r="E2642" t="s">
        <v>14</v>
      </c>
      <c r="F2642">
        <v>0.89021974802017212</v>
      </c>
    </row>
    <row r="2643" spans="2:6">
      <c r="B2643">
        <v>2008</v>
      </c>
      <c r="C2643" t="s">
        <v>40</v>
      </c>
      <c r="D2643" t="s">
        <v>185</v>
      </c>
      <c r="E2643" t="s">
        <v>15</v>
      </c>
      <c r="F2643">
        <v>0.20217494666576385</v>
      </c>
    </row>
    <row r="2644" spans="2:6">
      <c r="B2644">
        <v>2009</v>
      </c>
      <c r="C2644" t="s">
        <v>40</v>
      </c>
      <c r="D2644" t="s">
        <v>185</v>
      </c>
      <c r="E2644" t="s">
        <v>7</v>
      </c>
      <c r="F2644">
        <v>7.4878244400024414</v>
      </c>
    </row>
    <row r="2645" spans="2:6">
      <c r="B2645">
        <v>2009</v>
      </c>
      <c r="C2645" t="s">
        <v>40</v>
      </c>
      <c r="D2645" t="s">
        <v>185</v>
      </c>
      <c r="E2645" t="s">
        <v>8</v>
      </c>
      <c r="F2645">
        <v>10.697237968444824</v>
      </c>
    </row>
    <row r="2646" spans="2:6">
      <c r="B2646">
        <v>2009</v>
      </c>
      <c r="C2646" t="s">
        <v>40</v>
      </c>
      <c r="D2646" t="s">
        <v>185</v>
      </c>
      <c r="E2646" t="s">
        <v>9</v>
      </c>
      <c r="F2646">
        <v>0.94284451007843018</v>
      </c>
    </row>
    <row r="2647" spans="2:6">
      <c r="B2647">
        <v>2009</v>
      </c>
      <c r="C2647" t="s">
        <v>40</v>
      </c>
      <c r="D2647" t="s">
        <v>185</v>
      </c>
      <c r="E2647" t="s">
        <v>10</v>
      </c>
      <c r="F2647">
        <v>72.019996643066406</v>
      </c>
    </row>
    <row r="2648" spans="2:6">
      <c r="B2648">
        <v>2009</v>
      </c>
      <c r="C2648" t="s">
        <v>40</v>
      </c>
      <c r="D2648" t="s">
        <v>185</v>
      </c>
      <c r="E2648" t="s">
        <v>11</v>
      </c>
      <c r="F2648">
        <v>0.91505783796310425</v>
      </c>
    </row>
    <row r="2649" spans="2:6">
      <c r="B2649">
        <v>2009</v>
      </c>
      <c r="C2649" t="s">
        <v>40</v>
      </c>
      <c r="D2649" t="s">
        <v>185</v>
      </c>
      <c r="E2649" t="s">
        <v>12</v>
      </c>
      <c r="F2649">
        <v>0.24621716141700745</v>
      </c>
    </row>
    <row r="2650" spans="2:6">
      <c r="B2650">
        <v>2009</v>
      </c>
      <c r="C2650" t="s">
        <v>40</v>
      </c>
      <c r="D2650" t="s">
        <v>185</v>
      </c>
      <c r="E2650" t="s">
        <v>13</v>
      </c>
      <c r="F2650">
        <v>0.4126221239566803</v>
      </c>
    </row>
    <row r="2651" spans="2:6">
      <c r="B2651">
        <v>2009</v>
      </c>
      <c r="C2651" t="s">
        <v>40</v>
      </c>
      <c r="D2651" t="s">
        <v>185</v>
      </c>
      <c r="E2651" t="s">
        <v>14</v>
      </c>
      <c r="F2651">
        <v>0.86743253469467163</v>
      </c>
    </row>
    <row r="2652" spans="2:6">
      <c r="B2652">
        <v>2009</v>
      </c>
      <c r="C2652" t="s">
        <v>40</v>
      </c>
      <c r="D2652" t="s">
        <v>185</v>
      </c>
      <c r="E2652" t="s">
        <v>15</v>
      </c>
      <c r="F2652">
        <v>0.24763315916061401</v>
      </c>
    </row>
    <row r="2653" spans="2:6">
      <c r="B2653">
        <v>2010</v>
      </c>
      <c r="C2653" t="s">
        <v>40</v>
      </c>
      <c r="D2653" t="s">
        <v>185</v>
      </c>
      <c r="E2653" t="s">
        <v>7</v>
      </c>
      <c r="F2653">
        <v>7.6503462791442871</v>
      </c>
    </row>
    <row r="2654" spans="2:6">
      <c r="B2654">
        <v>2010</v>
      </c>
      <c r="C2654" t="s">
        <v>40</v>
      </c>
      <c r="D2654" t="s">
        <v>185</v>
      </c>
      <c r="E2654" t="s">
        <v>8</v>
      </c>
      <c r="F2654">
        <v>10.716547012329102</v>
      </c>
    </row>
    <row r="2655" spans="2:6">
      <c r="B2655">
        <v>2010</v>
      </c>
      <c r="C2655" t="s">
        <v>40</v>
      </c>
      <c r="D2655" t="s">
        <v>185</v>
      </c>
      <c r="E2655" t="s">
        <v>9</v>
      </c>
      <c r="F2655">
        <v>0.95376545190811157</v>
      </c>
    </row>
    <row r="2656" spans="2:6">
      <c r="B2656">
        <v>2010</v>
      </c>
      <c r="C2656" t="s">
        <v>40</v>
      </c>
      <c r="D2656" t="s">
        <v>185</v>
      </c>
      <c r="E2656" t="s">
        <v>10</v>
      </c>
      <c r="F2656">
        <v>72.199996948242188</v>
      </c>
    </row>
    <row r="2657" spans="2:6">
      <c r="B2657">
        <v>2010</v>
      </c>
      <c r="C2657" t="s">
        <v>40</v>
      </c>
      <c r="D2657" t="s">
        <v>185</v>
      </c>
      <c r="E2657" t="s">
        <v>11</v>
      </c>
      <c r="F2657">
        <v>0.933948814868927</v>
      </c>
    </row>
    <row r="2658" spans="2:6">
      <c r="B2658">
        <v>2010</v>
      </c>
      <c r="C2658" t="s">
        <v>40</v>
      </c>
      <c r="D2658" t="s">
        <v>185</v>
      </c>
      <c r="E2658" t="s">
        <v>12</v>
      </c>
      <c r="F2658">
        <v>0.23045091331005096</v>
      </c>
    </row>
    <row r="2659" spans="2:6">
      <c r="B2659">
        <v>2010</v>
      </c>
      <c r="C2659" t="s">
        <v>40</v>
      </c>
      <c r="D2659" t="s">
        <v>185</v>
      </c>
      <c r="E2659" t="s">
        <v>13</v>
      </c>
      <c r="F2659">
        <v>0.41265958547592163</v>
      </c>
    </row>
    <row r="2660" spans="2:6">
      <c r="B2660">
        <v>2010</v>
      </c>
      <c r="C2660" t="s">
        <v>40</v>
      </c>
      <c r="D2660" t="s">
        <v>185</v>
      </c>
      <c r="E2660" t="s">
        <v>14</v>
      </c>
      <c r="F2660">
        <v>0.87886768579483032</v>
      </c>
    </row>
    <row r="2661" spans="2:6">
      <c r="B2661">
        <v>2010</v>
      </c>
      <c r="C2661" t="s">
        <v>40</v>
      </c>
      <c r="D2661" t="s">
        <v>185</v>
      </c>
      <c r="E2661" t="s">
        <v>15</v>
      </c>
      <c r="F2661">
        <v>0.23311285674571991</v>
      </c>
    </row>
    <row r="2662" spans="2:6">
      <c r="B2662">
        <v>2011</v>
      </c>
      <c r="C2662" t="s">
        <v>40</v>
      </c>
      <c r="D2662" t="s">
        <v>185</v>
      </c>
      <c r="E2662" t="s">
        <v>7</v>
      </c>
      <c r="F2662">
        <v>7.426053524017334</v>
      </c>
    </row>
    <row r="2663" spans="2:6">
      <c r="B2663">
        <v>2011</v>
      </c>
      <c r="C2663" t="s">
        <v>40</v>
      </c>
      <c r="D2663" t="s">
        <v>185</v>
      </c>
      <c r="E2663" t="s">
        <v>8</v>
      </c>
      <c r="F2663">
        <v>10.737743377685547</v>
      </c>
    </row>
    <row r="2664" spans="2:6">
      <c r="B2664">
        <v>2011</v>
      </c>
      <c r="C2664" t="s">
        <v>40</v>
      </c>
      <c r="D2664" t="s">
        <v>185</v>
      </c>
      <c r="E2664" t="s">
        <v>9</v>
      </c>
      <c r="F2664">
        <v>0.92166924476623535</v>
      </c>
    </row>
    <row r="2665" spans="2:6">
      <c r="B2665">
        <v>2011</v>
      </c>
      <c r="C2665" t="s">
        <v>40</v>
      </c>
      <c r="D2665" t="s">
        <v>185</v>
      </c>
      <c r="E2665" t="s">
        <v>10</v>
      </c>
      <c r="F2665">
        <v>72.360000610351563</v>
      </c>
    </row>
    <row r="2666" spans="2:6">
      <c r="B2666">
        <v>2011</v>
      </c>
      <c r="C2666" t="s">
        <v>40</v>
      </c>
      <c r="D2666" t="s">
        <v>185</v>
      </c>
      <c r="E2666" t="s">
        <v>11</v>
      </c>
      <c r="F2666">
        <v>0.95092529058456421</v>
      </c>
    </row>
    <row r="2667" spans="2:6">
      <c r="B2667">
        <v>2011</v>
      </c>
      <c r="C2667" t="s">
        <v>40</v>
      </c>
      <c r="D2667" t="s">
        <v>185</v>
      </c>
      <c r="E2667" t="s">
        <v>12</v>
      </c>
      <c r="F2667">
        <v>0.25315117835998535</v>
      </c>
    </row>
    <row r="2668" spans="2:6">
      <c r="B2668">
        <v>2011</v>
      </c>
      <c r="C2668" t="s">
        <v>40</v>
      </c>
      <c r="D2668" t="s">
        <v>185</v>
      </c>
      <c r="E2668" t="s">
        <v>13</v>
      </c>
      <c r="F2668">
        <v>0.43299153447151184</v>
      </c>
    </row>
    <row r="2669" spans="2:6">
      <c r="B2669">
        <v>2011</v>
      </c>
      <c r="C2669" t="s">
        <v>40</v>
      </c>
      <c r="D2669" t="s">
        <v>185</v>
      </c>
      <c r="E2669" t="s">
        <v>14</v>
      </c>
      <c r="F2669">
        <v>0.88138484954833984</v>
      </c>
    </row>
    <row r="2670" spans="2:6">
      <c r="B2670">
        <v>2011</v>
      </c>
      <c r="C2670" t="s">
        <v>40</v>
      </c>
      <c r="D2670" t="s">
        <v>185</v>
      </c>
      <c r="E2670" t="s">
        <v>15</v>
      </c>
      <c r="F2670">
        <v>0.24772866070270538</v>
      </c>
    </row>
    <row r="2671" spans="2:6">
      <c r="B2671">
        <v>2012</v>
      </c>
      <c r="C2671" t="s">
        <v>40</v>
      </c>
      <c r="D2671" t="s">
        <v>185</v>
      </c>
      <c r="E2671" t="s">
        <v>7</v>
      </c>
      <c r="F2671">
        <v>7.4151444435119629</v>
      </c>
    </row>
    <row r="2672" spans="2:6">
      <c r="B2672">
        <v>2012</v>
      </c>
      <c r="C2672" t="s">
        <v>40</v>
      </c>
      <c r="D2672" t="s">
        <v>185</v>
      </c>
      <c r="E2672" t="s">
        <v>8</v>
      </c>
      <c r="F2672">
        <v>10.744354248046875</v>
      </c>
    </row>
    <row r="2673" spans="2:6">
      <c r="B2673">
        <v>2012</v>
      </c>
      <c r="C2673" t="s">
        <v>40</v>
      </c>
      <c r="D2673" t="s">
        <v>185</v>
      </c>
      <c r="E2673" t="s">
        <v>9</v>
      </c>
      <c r="F2673">
        <v>0.948128342628479</v>
      </c>
    </row>
    <row r="2674" spans="2:6">
      <c r="B2674">
        <v>2012</v>
      </c>
      <c r="C2674" t="s">
        <v>40</v>
      </c>
      <c r="D2674" t="s">
        <v>185</v>
      </c>
      <c r="E2674" t="s">
        <v>10</v>
      </c>
      <c r="F2674">
        <v>72.519996643066406</v>
      </c>
    </row>
    <row r="2675" spans="2:6">
      <c r="B2675">
        <v>2012</v>
      </c>
      <c r="C2675" t="s">
        <v>40</v>
      </c>
      <c r="D2675" t="s">
        <v>185</v>
      </c>
      <c r="E2675" t="s">
        <v>11</v>
      </c>
      <c r="F2675">
        <v>0.91796112060546875</v>
      </c>
    </row>
    <row r="2676" spans="2:6">
      <c r="B2676">
        <v>2012</v>
      </c>
      <c r="C2676" t="s">
        <v>40</v>
      </c>
      <c r="D2676" t="s">
        <v>185</v>
      </c>
      <c r="E2676" t="s">
        <v>12</v>
      </c>
      <c r="F2676">
        <v>0.29001283645629883</v>
      </c>
    </row>
    <row r="2677" spans="2:6">
      <c r="B2677">
        <v>2012</v>
      </c>
      <c r="C2677" t="s">
        <v>40</v>
      </c>
      <c r="D2677" t="s">
        <v>185</v>
      </c>
      <c r="E2677" t="s">
        <v>13</v>
      </c>
      <c r="F2677">
        <v>0.46560183167457581</v>
      </c>
    </row>
    <row r="2678" spans="2:6">
      <c r="B2678">
        <v>2012</v>
      </c>
      <c r="C2678" t="s">
        <v>40</v>
      </c>
      <c r="D2678" t="s">
        <v>185</v>
      </c>
      <c r="E2678" t="s">
        <v>14</v>
      </c>
      <c r="F2678">
        <v>0.85670369863510132</v>
      </c>
    </row>
    <row r="2679" spans="2:6">
      <c r="B2679">
        <v>2012</v>
      </c>
      <c r="C2679" t="s">
        <v>40</v>
      </c>
      <c r="D2679" t="s">
        <v>185</v>
      </c>
      <c r="E2679" t="s">
        <v>15</v>
      </c>
      <c r="F2679">
        <v>0.2293320894241333</v>
      </c>
    </row>
    <row r="2680" spans="2:6">
      <c r="B2680">
        <v>2013</v>
      </c>
      <c r="C2680" t="s">
        <v>40</v>
      </c>
      <c r="D2680" t="s">
        <v>185</v>
      </c>
      <c r="E2680" t="s">
        <v>7</v>
      </c>
      <c r="F2680">
        <v>7.5937938690185547</v>
      </c>
    </row>
    <row r="2681" spans="2:6">
      <c r="B2681">
        <v>2013</v>
      </c>
      <c r="C2681" t="s">
        <v>40</v>
      </c>
      <c r="D2681" t="s">
        <v>185</v>
      </c>
      <c r="E2681" t="s">
        <v>8</v>
      </c>
      <c r="F2681">
        <v>10.75681209564209</v>
      </c>
    </row>
    <row r="2682" spans="2:6">
      <c r="B2682">
        <v>2013</v>
      </c>
      <c r="C2682" t="s">
        <v>40</v>
      </c>
      <c r="D2682" t="s">
        <v>185</v>
      </c>
      <c r="E2682" t="s">
        <v>9</v>
      </c>
      <c r="F2682">
        <v>0.93623936176300049</v>
      </c>
    </row>
    <row r="2683" spans="2:6">
      <c r="B2683">
        <v>2013</v>
      </c>
      <c r="C2683" t="s">
        <v>40</v>
      </c>
      <c r="D2683" t="s">
        <v>185</v>
      </c>
      <c r="E2683" t="s">
        <v>10</v>
      </c>
      <c r="F2683">
        <v>72.680000305175781</v>
      </c>
    </row>
    <row r="2684" spans="2:6">
      <c r="B2684">
        <v>2013</v>
      </c>
      <c r="C2684" t="s">
        <v>40</v>
      </c>
      <c r="D2684" t="s">
        <v>185</v>
      </c>
      <c r="E2684" t="s">
        <v>11</v>
      </c>
      <c r="F2684">
        <v>0.91601389646530151</v>
      </c>
    </row>
    <row r="2685" spans="2:6">
      <c r="B2685">
        <v>2013</v>
      </c>
      <c r="C2685" t="s">
        <v>40</v>
      </c>
      <c r="D2685" t="s">
        <v>185</v>
      </c>
      <c r="E2685" t="s">
        <v>12</v>
      </c>
      <c r="F2685">
        <v>0.31564629077911377</v>
      </c>
    </row>
    <row r="2686" spans="2:6">
      <c r="B2686">
        <v>2013</v>
      </c>
      <c r="C2686" t="s">
        <v>40</v>
      </c>
      <c r="D2686" t="s">
        <v>185</v>
      </c>
      <c r="E2686" t="s">
        <v>13</v>
      </c>
      <c r="F2686">
        <v>0.40623614192008972</v>
      </c>
    </row>
    <row r="2687" spans="2:6">
      <c r="B2687">
        <v>2013</v>
      </c>
      <c r="C2687" t="s">
        <v>40</v>
      </c>
      <c r="D2687" t="s">
        <v>185</v>
      </c>
      <c r="E2687" t="s">
        <v>14</v>
      </c>
      <c r="F2687">
        <v>0.85129690170288086</v>
      </c>
    </row>
    <row r="2688" spans="2:6">
      <c r="B2688">
        <v>2013</v>
      </c>
      <c r="C2688" t="s">
        <v>40</v>
      </c>
      <c r="D2688" t="s">
        <v>185</v>
      </c>
      <c r="E2688" t="s">
        <v>15</v>
      </c>
      <c r="F2688">
        <v>0.2628503143787384</v>
      </c>
    </row>
    <row r="2689" spans="2:6">
      <c r="B2689">
        <v>2014</v>
      </c>
      <c r="C2689" t="s">
        <v>40</v>
      </c>
      <c r="D2689" t="s">
        <v>185</v>
      </c>
      <c r="E2689" t="s">
        <v>7</v>
      </c>
      <c r="F2689">
        <v>7.304257869720459</v>
      </c>
    </row>
    <row r="2690" spans="2:6">
      <c r="B2690">
        <v>2014</v>
      </c>
      <c r="C2690" t="s">
        <v>40</v>
      </c>
      <c r="D2690" t="s">
        <v>185</v>
      </c>
      <c r="E2690" t="s">
        <v>8</v>
      </c>
      <c r="F2690">
        <v>10.775054931640625</v>
      </c>
    </row>
    <row r="2691" spans="2:6">
      <c r="B2691">
        <v>2014</v>
      </c>
      <c r="C2691" t="s">
        <v>40</v>
      </c>
      <c r="D2691" t="s">
        <v>185</v>
      </c>
      <c r="E2691" t="s">
        <v>9</v>
      </c>
      <c r="F2691">
        <v>0.91783630847930908</v>
      </c>
    </row>
    <row r="2692" spans="2:6">
      <c r="B2692">
        <v>2014</v>
      </c>
      <c r="C2692" t="s">
        <v>40</v>
      </c>
      <c r="D2692" t="s">
        <v>185</v>
      </c>
      <c r="E2692" t="s">
        <v>10</v>
      </c>
      <c r="F2692">
        <v>72.839996337890625</v>
      </c>
    </row>
    <row r="2693" spans="2:6">
      <c r="B2693">
        <v>2014</v>
      </c>
      <c r="C2693" t="s">
        <v>40</v>
      </c>
      <c r="D2693" t="s">
        <v>185</v>
      </c>
      <c r="E2693" t="s">
        <v>11</v>
      </c>
      <c r="F2693">
        <v>0.93889760971069336</v>
      </c>
    </row>
    <row r="2694" spans="2:6">
      <c r="B2694">
        <v>2014</v>
      </c>
      <c r="C2694" t="s">
        <v>40</v>
      </c>
      <c r="D2694" t="s">
        <v>185</v>
      </c>
      <c r="E2694" t="s">
        <v>12</v>
      </c>
      <c r="F2694">
        <v>0.26985794305801392</v>
      </c>
    </row>
    <row r="2695" spans="2:6">
      <c r="B2695">
        <v>2014</v>
      </c>
      <c r="C2695" t="s">
        <v>40</v>
      </c>
      <c r="D2695" t="s">
        <v>185</v>
      </c>
      <c r="E2695" t="s">
        <v>13</v>
      </c>
      <c r="F2695">
        <v>0.44173532724380493</v>
      </c>
    </row>
    <row r="2696" spans="2:6">
      <c r="B2696">
        <v>2014</v>
      </c>
      <c r="C2696" t="s">
        <v>40</v>
      </c>
      <c r="D2696" t="s">
        <v>185</v>
      </c>
      <c r="E2696" t="s">
        <v>14</v>
      </c>
      <c r="F2696">
        <v>0.83340388536453247</v>
      </c>
    </row>
    <row r="2697" spans="2:6">
      <c r="B2697">
        <v>2014</v>
      </c>
      <c r="C2697" t="s">
        <v>40</v>
      </c>
      <c r="D2697" t="s">
        <v>185</v>
      </c>
      <c r="E2697" t="s">
        <v>15</v>
      </c>
      <c r="F2697">
        <v>0.25860241055488586</v>
      </c>
    </row>
    <row r="2698" spans="2:6">
      <c r="B2698">
        <v>2015</v>
      </c>
      <c r="C2698" t="s">
        <v>40</v>
      </c>
      <c r="D2698" t="s">
        <v>185</v>
      </c>
      <c r="E2698" t="s">
        <v>7</v>
      </c>
      <c r="F2698">
        <v>7.4127726554870605</v>
      </c>
    </row>
    <row r="2699" spans="2:6">
      <c r="B2699">
        <v>2015</v>
      </c>
      <c r="C2699" t="s">
        <v>40</v>
      </c>
      <c r="D2699" t="s">
        <v>185</v>
      </c>
      <c r="E2699" t="s">
        <v>8</v>
      </c>
      <c r="F2699">
        <v>10.774161338806152</v>
      </c>
    </row>
    <row r="2700" spans="2:6">
      <c r="B2700">
        <v>2015</v>
      </c>
      <c r="C2700" t="s">
        <v>40</v>
      </c>
      <c r="D2700" t="s">
        <v>185</v>
      </c>
      <c r="E2700" t="s">
        <v>9</v>
      </c>
      <c r="F2700">
        <v>0.93906706571578979</v>
      </c>
    </row>
    <row r="2701" spans="2:6">
      <c r="B2701">
        <v>2015</v>
      </c>
      <c r="C2701" t="s">
        <v>40</v>
      </c>
      <c r="D2701" t="s">
        <v>185</v>
      </c>
      <c r="E2701" t="s">
        <v>10</v>
      </c>
      <c r="F2701">
        <v>73</v>
      </c>
    </row>
    <row r="2702" spans="2:6">
      <c r="B2702">
        <v>2015</v>
      </c>
      <c r="C2702" t="s">
        <v>40</v>
      </c>
      <c r="D2702" t="s">
        <v>185</v>
      </c>
      <c r="E2702" t="s">
        <v>11</v>
      </c>
      <c r="F2702">
        <v>0.93146896362304688</v>
      </c>
    </row>
    <row r="2703" spans="2:6">
      <c r="B2703">
        <v>2015</v>
      </c>
      <c r="C2703" t="s">
        <v>40</v>
      </c>
      <c r="D2703" t="s">
        <v>185</v>
      </c>
      <c r="E2703" t="s">
        <v>12</v>
      </c>
      <c r="F2703">
        <v>0.25282102823257446</v>
      </c>
    </row>
    <row r="2704" spans="2:6">
      <c r="B2704">
        <v>2015</v>
      </c>
      <c r="C2704" t="s">
        <v>40</v>
      </c>
      <c r="D2704" t="s">
        <v>185</v>
      </c>
      <c r="E2704" t="s">
        <v>13</v>
      </c>
      <c r="F2704">
        <v>0.42715224623680115</v>
      </c>
    </row>
    <row r="2705" spans="2:6">
      <c r="B2705">
        <v>2015</v>
      </c>
      <c r="C2705" t="s">
        <v>40</v>
      </c>
      <c r="D2705" t="s">
        <v>185</v>
      </c>
      <c r="E2705" t="s">
        <v>14</v>
      </c>
      <c r="F2705">
        <v>0.84532761573791504</v>
      </c>
    </row>
    <row r="2706" spans="2:6">
      <c r="B2706">
        <v>2015</v>
      </c>
      <c r="C2706" t="s">
        <v>40</v>
      </c>
      <c r="D2706" t="s">
        <v>185</v>
      </c>
      <c r="E2706" t="s">
        <v>15</v>
      </c>
      <c r="F2706">
        <v>0.28628021478652954</v>
      </c>
    </row>
    <row r="2707" spans="2:6">
      <c r="B2707">
        <v>2016</v>
      </c>
      <c r="C2707" t="s">
        <v>40</v>
      </c>
      <c r="D2707" t="s">
        <v>185</v>
      </c>
      <c r="E2707" t="s">
        <v>7</v>
      </c>
      <c r="F2707">
        <v>7.2448458671569824</v>
      </c>
    </row>
    <row r="2708" spans="2:6">
      <c r="B2708">
        <v>2016</v>
      </c>
      <c r="C2708" t="s">
        <v>40</v>
      </c>
      <c r="D2708" t="s">
        <v>185</v>
      </c>
      <c r="E2708" t="s">
        <v>8</v>
      </c>
      <c r="F2708">
        <v>10.772802352905273</v>
      </c>
    </row>
    <row r="2709" spans="2:6">
      <c r="B2709">
        <v>2016</v>
      </c>
      <c r="C2709" t="s">
        <v>40</v>
      </c>
      <c r="D2709" t="s">
        <v>185</v>
      </c>
      <c r="E2709" t="s">
        <v>9</v>
      </c>
      <c r="F2709">
        <v>0.92439252138137817</v>
      </c>
    </row>
    <row r="2710" spans="2:6">
      <c r="B2710">
        <v>2016</v>
      </c>
      <c r="C2710" t="s">
        <v>40</v>
      </c>
      <c r="D2710" t="s">
        <v>185</v>
      </c>
      <c r="E2710" t="s">
        <v>10</v>
      </c>
      <c r="F2710">
        <v>73.199996948242188</v>
      </c>
    </row>
    <row r="2711" spans="2:6">
      <c r="B2711">
        <v>2016</v>
      </c>
      <c r="C2711" t="s">
        <v>40</v>
      </c>
      <c r="D2711" t="s">
        <v>185</v>
      </c>
      <c r="E2711" t="s">
        <v>11</v>
      </c>
      <c r="F2711">
        <v>0.91242390871047974</v>
      </c>
    </row>
    <row r="2712" spans="2:6">
      <c r="B2712">
        <v>2016</v>
      </c>
      <c r="C2712" t="s">
        <v>40</v>
      </c>
      <c r="D2712" t="s">
        <v>185</v>
      </c>
      <c r="E2712" t="s">
        <v>12</v>
      </c>
      <c r="F2712">
        <v>0.21116217970848083</v>
      </c>
    </row>
    <row r="2713" spans="2:6">
      <c r="B2713">
        <v>2016</v>
      </c>
      <c r="C2713" t="s">
        <v>40</v>
      </c>
      <c r="D2713" t="s">
        <v>185</v>
      </c>
      <c r="E2713" t="s">
        <v>13</v>
      </c>
      <c r="F2713">
        <v>0.38509044051170349</v>
      </c>
    </row>
    <row r="2714" spans="2:6">
      <c r="B2714">
        <v>2016</v>
      </c>
      <c r="C2714" t="s">
        <v>40</v>
      </c>
      <c r="D2714" t="s">
        <v>185</v>
      </c>
      <c r="E2714" t="s">
        <v>14</v>
      </c>
      <c r="F2714">
        <v>0.82458639144897461</v>
      </c>
    </row>
    <row r="2715" spans="2:6">
      <c r="B2715">
        <v>2016</v>
      </c>
      <c r="C2715" t="s">
        <v>40</v>
      </c>
      <c r="D2715" t="s">
        <v>185</v>
      </c>
      <c r="E2715" t="s">
        <v>15</v>
      </c>
      <c r="F2715">
        <v>0.23742286860942841</v>
      </c>
    </row>
    <row r="2716" spans="2:6">
      <c r="B2716">
        <v>2017</v>
      </c>
      <c r="C2716" t="s">
        <v>40</v>
      </c>
      <c r="D2716" t="s">
        <v>185</v>
      </c>
      <c r="E2716" t="s">
        <v>7</v>
      </c>
      <c r="F2716">
        <v>7.4148683547973633</v>
      </c>
    </row>
    <row r="2717" spans="2:6">
      <c r="B2717">
        <v>2017</v>
      </c>
      <c r="C2717" t="s">
        <v>40</v>
      </c>
      <c r="D2717" t="s">
        <v>185</v>
      </c>
      <c r="E2717" t="s">
        <v>8</v>
      </c>
      <c r="F2717">
        <v>10.792074203491211</v>
      </c>
    </row>
    <row r="2718" spans="2:6">
      <c r="B2718">
        <v>2017</v>
      </c>
      <c r="C2718" t="s">
        <v>40</v>
      </c>
      <c r="D2718" t="s">
        <v>185</v>
      </c>
      <c r="E2718" t="s">
        <v>9</v>
      </c>
      <c r="F2718">
        <v>0.93374896049499512</v>
      </c>
    </row>
    <row r="2719" spans="2:6">
      <c r="B2719">
        <v>2017</v>
      </c>
      <c r="C2719" t="s">
        <v>40</v>
      </c>
      <c r="D2719" t="s">
        <v>185</v>
      </c>
      <c r="E2719" t="s">
        <v>10</v>
      </c>
      <c r="F2719">
        <v>73.400001525878906</v>
      </c>
    </row>
    <row r="2720" spans="2:6">
      <c r="B2720">
        <v>2017</v>
      </c>
      <c r="C2720" t="s">
        <v>40</v>
      </c>
      <c r="D2720" t="s">
        <v>185</v>
      </c>
      <c r="E2720" t="s">
        <v>11</v>
      </c>
      <c r="F2720">
        <v>0.94514501094818115</v>
      </c>
    </row>
    <row r="2721" spans="2:6">
      <c r="B2721">
        <v>2017</v>
      </c>
      <c r="C2721" t="s">
        <v>40</v>
      </c>
      <c r="D2721" t="s">
        <v>185</v>
      </c>
      <c r="E2721" t="s">
        <v>12</v>
      </c>
      <c r="F2721">
        <v>0.16291023790836334</v>
      </c>
    </row>
    <row r="2722" spans="2:6">
      <c r="B2722">
        <v>2017</v>
      </c>
      <c r="C2722" t="s">
        <v>40</v>
      </c>
      <c r="D2722" t="s">
        <v>185</v>
      </c>
      <c r="E2722" t="s">
        <v>13</v>
      </c>
      <c r="F2722">
        <v>0.36203432083129883</v>
      </c>
    </row>
    <row r="2723" spans="2:6">
      <c r="B2723">
        <v>2017</v>
      </c>
      <c r="C2723" t="s">
        <v>40</v>
      </c>
      <c r="D2723" t="s">
        <v>185</v>
      </c>
      <c r="E2723" t="s">
        <v>14</v>
      </c>
      <c r="F2723">
        <v>0.86277347803115845</v>
      </c>
    </row>
    <row r="2724" spans="2:6">
      <c r="B2724">
        <v>2017</v>
      </c>
      <c r="C2724" t="s">
        <v>40</v>
      </c>
      <c r="D2724" t="s">
        <v>185</v>
      </c>
      <c r="E2724" t="s">
        <v>15</v>
      </c>
      <c r="F2724">
        <v>0.21798115968704224</v>
      </c>
    </row>
    <row r="2725" spans="2:6">
      <c r="B2725">
        <v>2018</v>
      </c>
      <c r="C2725" t="s">
        <v>40</v>
      </c>
      <c r="D2725" t="s">
        <v>185</v>
      </c>
      <c r="E2725" t="s">
        <v>7</v>
      </c>
      <c r="F2725">
        <v>7.1754965782165527</v>
      </c>
    </row>
    <row r="2726" spans="2:6">
      <c r="B2726">
        <v>2018</v>
      </c>
      <c r="C2726" t="s">
        <v>40</v>
      </c>
      <c r="D2726" t="s">
        <v>185</v>
      </c>
      <c r="E2726" t="s">
        <v>8</v>
      </c>
      <c r="F2726">
        <v>10.798031806945801</v>
      </c>
    </row>
    <row r="2727" spans="2:6">
      <c r="B2727">
        <v>2018</v>
      </c>
      <c r="C2727" t="s">
        <v>40</v>
      </c>
      <c r="D2727" t="s">
        <v>185</v>
      </c>
      <c r="E2727" t="s">
        <v>9</v>
      </c>
      <c r="F2727">
        <v>0.92271876335144043</v>
      </c>
    </row>
    <row r="2728" spans="2:6">
      <c r="B2728">
        <v>2018</v>
      </c>
      <c r="C2728" t="s">
        <v>40</v>
      </c>
      <c r="D2728" t="s">
        <v>185</v>
      </c>
      <c r="E2728" t="s">
        <v>10</v>
      </c>
      <c r="F2728">
        <v>73.599998474121094</v>
      </c>
    </row>
    <row r="2729" spans="2:6">
      <c r="B2729">
        <v>2018</v>
      </c>
      <c r="C2729" t="s">
        <v>40</v>
      </c>
      <c r="D2729" t="s">
        <v>185</v>
      </c>
      <c r="E2729" t="s">
        <v>11</v>
      </c>
      <c r="F2729">
        <v>0.94578289985656738</v>
      </c>
    </row>
    <row r="2730" spans="2:6">
      <c r="B2730">
        <v>2018</v>
      </c>
      <c r="C2730" t="s">
        <v>40</v>
      </c>
      <c r="D2730" t="s">
        <v>185</v>
      </c>
      <c r="E2730" t="s">
        <v>12</v>
      </c>
      <c r="F2730">
        <v>0.10609795898199081</v>
      </c>
    </row>
    <row r="2731" spans="2:6">
      <c r="B2731">
        <v>2018</v>
      </c>
      <c r="C2731" t="s">
        <v>40</v>
      </c>
      <c r="D2731" t="s">
        <v>185</v>
      </c>
      <c r="E2731" t="s">
        <v>13</v>
      </c>
      <c r="F2731">
        <v>0.37174084782600403</v>
      </c>
    </row>
    <row r="2732" spans="2:6">
      <c r="B2732">
        <v>2018</v>
      </c>
      <c r="C2732" t="s">
        <v>40</v>
      </c>
      <c r="D2732" t="s">
        <v>185</v>
      </c>
      <c r="E2732" t="s">
        <v>14</v>
      </c>
      <c r="F2732">
        <v>0.82366865873336792</v>
      </c>
    </row>
    <row r="2733" spans="2:6">
      <c r="B2733">
        <v>2018</v>
      </c>
      <c r="C2733" t="s">
        <v>40</v>
      </c>
      <c r="D2733" t="s">
        <v>185</v>
      </c>
      <c r="E2733" t="s">
        <v>15</v>
      </c>
      <c r="F2733">
        <v>0.25939765572547913</v>
      </c>
    </row>
    <row r="2734" spans="2:6">
      <c r="B2734">
        <v>2019</v>
      </c>
      <c r="C2734" t="s">
        <v>40</v>
      </c>
      <c r="D2734" t="s">
        <v>185</v>
      </c>
      <c r="E2734" t="s">
        <v>7</v>
      </c>
      <c r="F2734">
        <v>7.1090764999389648</v>
      </c>
    </row>
    <row r="2735" spans="2:6">
      <c r="B2735">
        <v>2019</v>
      </c>
      <c r="C2735" t="s">
        <v>40</v>
      </c>
      <c r="D2735" t="s">
        <v>185</v>
      </c>
      <c r="E2735" t="s">
        <v>8</v>
      </c>
      <c r="F2735">
        <v>10.800215721130371</v>
      </c>
    </row>
    <row r="2736" spans="2:6">
      <c r="B2736">
        <v>2019</v>
      </c>
      <c r="C2736" t="s">
        <v>40</v>
      </c>
      <c r="D2736" t="s">
        <v>185</v>
      </c>
      <c r="E2736" t="s">
        <v>9</v>
      </c>
      <c r="F2736">
        <v>0.92530399560928345</v>
      </c>
    </row>
    <row r="2737" spans="2:6">
      <c r="B2737">
        <v>2019</v>
      </c>
      <c r="C2737" t="s">
        <v>40</v>
      </c>
      <c r="D2737" t="s">
        <v>185</v>
      </c>
      <c r="E2737" t="s">
        <v>10</v>
      </c>
      <c r="F2737">
        <v>73.800003051757813</v>
      </c>
    </row>
    <row r="2738" spans="2:6">
      <c r="B2738">
        <v>2019</v>
      </c>
      <c r="C2738" t="s">
        <v>40</v>
      </c>
      <c r="D2738" t="s">
        <v>185</v>
      </c>
      <c r="E2738" t="s">
        <v>11</v>
      </c>
      <c r="F2738">
        <v>0.91152560710906982</v>
      </c>
    </row>
    <row r="2739" spans="2:6">
      <c r="B2739">
        <v>2019</v>
      </c>
      <c r="C2739" t="s">
        <v>40</v>
      </c>
      <c r="D2739" t="s">
        <v>185</v>
      </c>
      <c r="E2739" t="s">
        <v>12</v>
      </c>
      <c r="F2739">
        <v>0.11159081757068634</v>
      </c>
    </row>
    <row r="2740" spans="2:6">
      <c r="B2740">
        <v>2019</v>
      </c>
      <c r="C2740" t="s">
        <v>40</v>
      </c>
      <c r="D2740" t="s">
        <v>185</v>
      </c>
      <c r="E2740" t="s">
        <v>13</v>
      </c>
      <c r="F2740">
        <v>0.43643441796302795</v>
      </c>
    </row>
    <row r="2741" spans="2:6">
      <c r="B2741">
        <v>2019</v>
      </c>
      <c r="C2741" t="s">
        <v>40</v>
      </c>
      <c r="D2741" t="s">
        <v>185</v>
      </c>
      <c r="E2741" t="s">
        <v>14</v>
      </c>
      <c r="F2741">
        <v>0.82244306802749634</v>
      </c>
    </row>
    <row r="2742" spans="2:6">
      <c r="B2742">
        <v>2019</v>
      </c>
      <c r="C2742" t="s">
        <v>40</v>
      </c>
      <c r="D2742" t="s">
        <v>185</v>
      </c>
      <c r="E2742" t="s">
        <v>15</v>
      </c>
      <c r="F2742">
        <v>0.28483375906944275</v>
      </c>
    </row>
    <row r="2743" spans="2:6">
      <c r="B2743">
        <v>2020</v>
      </c>
      <c r="C2743" t="s">
        <v>40</v>
      </c>
      <c r="D2743" t="s">
        <v>185</v>
      </c>
      <c r="E2743" t="s">
        <v>7</v>
      </c>
      <c r="F2743">
        <v>7.024904727935791</v>
      </c>
    </row>
    <row r="2744" spans="2:6">
      <c r="B2744">
        <v>2020</v>
      </c>
      <c r="C2744" t="s">
        <v>40</v>
      </c>
      <c r="D2744" t="s">
        <v>185</v>
      </c>
      <c r="E2744" t="s">
        <v>8</v>
      </c>
      <c r="F2744">
        <v>10.729514122009277</v>
      </c>
    </row>
    <row r="2745" spans="2:6">
      <c r="B2745">
        <v>2020</v>
      </c>
      <c r="C2745" t="s">
        <v>40</v>
      </c>
      <c r="D2745" t="s">
        <v>185</v>
      </c>
      <c r="E2745" t="s">
        <v>9</v>
      </c>
      <c r="F2745">
        <v>0.93061071634292603</v>
      </c>
    </row>
    <row r="2746" spans="2:6">
      <c r="B2746">
        <v>2020</v>
      </c>
      <c r="C2746" t="s">
        <v>40</v>
      </c>
      <c r="D2746" t="s">
        <v>185</v>
      </c>
      <c r="E2746" t="s">
        <v>10</v>
      </c>
      <c r="F2746">
        <v>74</v>
      </c>
    </row>
    <row r="2747" spans="2:6">
      <c r="B2747">
        <v>2020</v>
      </c>
      <c r="C2747" t="s">
        <v>40</v>
      </c>
      <c r="D2747" t="s">
        <v>185</v>
      </c>
      <c r="E2747" t="s">
        <v>11</v>
      </c>
      <c r="F2747">
        <v>0.88689219951629639</v>
      </c>
    </row>
    <row r="2748" spans="2:6">
      <c r="B2748">
        <v>2020</v>
      </c>
      <c r="C2748" t="s">
        <v>40</v>
      </c>
      <c r="D2748" t="s">
        <v>185</v>
      </c>
      <c r="E2748" t="s">
        <v>12</v>
      </c>
      <c r="F2748">
        <v>4.9636855721473694E-2</v>
      </c>
    </row>
    <row r="2749" spans="2:6">
      <c r="B2749">
        <v>2020</v>
      </c>
      <c r="C2749" t="s">
        <v>40</v>
      </c>
      <c r="D2749" t="s">
        <v>185</v>
      </c>
      <c r="E2749" t="s">
        <v>13</v>
      </c>
      <c r="F2749">
        <v>0.43401235342025757</v>
      </c>
    </row>
    <row r="2750" spans="2:6">
      <c r="B2750">
        <v>2020</v>
      </c>
      <c r="C2750" t="s">
        <v>40</v>
      </c>
      <c r="D2750" t="s">
        <v>185</v>
      </c>
      <c r="E2750" t="s">
        <v>14</v>
      </c>
      <c r="F2750">
        <v>0.79594874382019043</v>
      </c>
    </row>
    <row r="2751" spans="2:6">
      <c r="B2751">
        <v>2020</v>
      </c>
      <c r="C2751" t="s">
        <v>40</v>
      </c>
      <c r="D2751" t="s">
        <v>185</v>
      </c>
      <c r="E2751" t="s">
        <v>15</v>
      </c>
      <c r="F2751">
        <v>0.30667373538017273</v>
      </c>
    </row>
    <row r="2752" spans="2:6">
      <c r="B2752">
        <v>2007</v>
      </c>
      <c r="C2752" t="s">
        <v>41</v>
      </c>
      <c r="D2752" t="s">
        <v>184</v>
      </c>
      <c r="E2752" t="s">
        <v>7</v>
      </c>
      <c r="F2752">
        <v>4.1601295471191406</v>
      </c>
    </row>
    <row r="2753" spans="2:6">
      <c r="B2753">
        <v>2007</v>
      </c>
      <c r="C2753" t="s">
        <v>41</v>
      </c>
      <c r="D2753" t="s">
        <v>184</v>
      </c>
      <c r="E2753" t="s">
        <v>8</v>
      </c>
      <c r="F2753">
        <v>6.9871993064880371</v>
      </c>
    </row>
    <row r="2754" spans="2:6">
      <c r="B2754">
        <v>2007</v>
      </c>
      <c r="C2754" t="s">
        <v>41</v>
      </c>
      <c r="D2754" t="s">
        <v>184</v>
      </c>
      <c r="E2754" t="s">
        <v>9</v>
      </c>
      <c r="F2754">
        <v>0.53229689598083496</v>
      </c>
    </row>
    <row r="2755" spans="2:6">
      <c r="B2755">
        <v>2007</v>
      </c>
      <c r="C2755" t="s">
        <v>41</v>
      </c>
      <c r="D2755" t="s">
        <v>184</v>
      </c>
      <c r="E2755" t="s">
        <v>10</v>
      </c>
      <c r="F2755">
        <v>40.900001525878906</v>
      </c>
    </row>
    <row r="2756" spans="2:6">
      <c r="B2756">
        <v>2007</v>
      </c>
      <c r="C2756" t="s">
        <v>41</v>
      </c>
      <c r="D2756" t="s">
        <v>184</v>
      </c>
      <c r="E2756" t="s">
        <v>11</v>
      </c>
      <c r="F2756">
        <v>0.66287100315093994</v>
      </c>
    </row>
    <row r="2757" spans="2:6">
      <c r="B2757">
        <v>2007</v>
      </c>
      <c r="C2757" t="s">
        <v>41</v>
      </c>
      <c r="D2757" t="s">
        <v>184</v>
      </c>
      <c r="E2757" t="s">
        <v>12</v>
      </c>
      <c r="F2757">
        <v>8.1043258309364319E-2</v>
      </c>
    </row>
    <row r="2758" spans="2:6">
      <c r="B2758">
        <v>2007</v>
      </c>
      <c r="C2758" t="s">
        <v>41</v>
      </c>
      <c r="D2758" t="s">
        <v>184</v>
      </c>
      <c r="E2758" t="s">
        <v>13</v>
      </c>
      <c r="F2758">
        <v>0.78213071823120117</v>
      </c>
    </row>
    <row r="2759" spans="2:6">
      <c r="B2759">
        <v>2007</v>
      </c>
      <c r="C2759" t="s">
        <v>41</v>
      </c>
      <c r="D2759" t="s">
        <v>184</v>
      </c>
      <c r="E2759" t="s">
        <v>14</v>
      </c>
      <c r="F2759">
        <v>0.56798028945922852</v>
      </c>
    </row>
    <row r="2760" spans="2:6">
      <c r="B2760">
        <v>2007</v>
      </c>
      <c r="C2760" t="s">
        <v>41</v>
      </c>
      <c r="D2760" t="s">
        <v>184</v>
      </c>
      <c r="E2760" t="s">
        <v>15</v>
      </c>
      <c r="F2760">
        <v>0.32999530434608459</v>
      </c>
    </row>
    <row r="2761" spans="2:6">
      <c r="B2761">
        <v>2010</v>
      </c>
      <c r="C2761" t="s">
        <v>41</v>
      </c>
      <c r="D2761" t="s">
        <v>184</v>
      </c>
      <c r="E2761" t="s">
        <v>7</v>
      </c>
      <c r="F2761">
        <v>3.5678925514221191</v>
      </c>
    </row>
    <row r="2762" spans="2:6">
      <c r="B2762">
        <v>2010</v>
      </c>
      <c r="C2762" t="s">
        <v>41</v>
      </c>
      <c r="D2762" t="s">
        <v>184</v>
      </c>
      <c r="E2762" t="s">
        <v>8</v>
      </c>
      <c r="F2762">
        <v>7.0912022590637207</v>
      </c>
    </row>
    <row r="2763" spans="2:6">
      <c r="B2763">
        <v>2010</v>
      </c>
      <c r="C2763" t="s">
        <v>41</v>
      </c>
      <c r="D2763" t="s">
        <v>184</v>
      </c>
      <c r="E2763" t="s">
        <v>9</v>
      </c>
      <c r="F2763">
        <v>0.48333388566970825</v>
      </c>
    </row>
    <row r="2764" spans="2:6">
      <c r="B2764">
        <v>2010</v>
      </c>
      <c r="C2764" t="s">
        <v>41</v>
      </c>
      <c r="D2764" t="s">
        <v>184</v>
      </c>
      <c r="E2764" t="s">
        <v>10</v>
      </c>
      <c r="F2764">
        <v>42.700000762939453</v>
      </c>
    </row>
    <row r="2765" spans="2:6">
      <c r="B2765">
        <v>2010</v>
      </c>
      <c r="C2765" t="s">
        <v>41</v>
      </c>
      <c r="D2765" t="s">
        <v>184</v>
      </c>
      <c r="E2765" t="s">
        <v>11</v>
      </c>
      <c r="F2765">
        <v>0.68995088338851929</v>
      </c>
    </row>
    <row r="2766" spans="2:6">
      <c r="B2766">
        <v>2010</v>
      </c>
      <c r="C2766" t="s">
        <v>41</v>
      </c>
      <c r="D2766" t="s">
        <v>184</v>
      </c>
      <c r="E2766" t="s">
        <v>12</v>
      </c>
      <c r="F2766">
        <v>-3.5953681915998459E-2</v>
      </c>
    </row>
    <row r="2767" spans="2:6">
      <c r="B2767">
        <v>2010</v>
      </c>
      <c r="C2767" t="s">
        <v>41</v>
      </c>
      <c r="D2767" t="s">
        <v>184</v>
      </c>
      <c r="E2767" t="s">
        <v>13</v>
      </c>
      <c r="F2767">
        <v>0.84537696838378906</v>
      </c>
    </row>
    <row r="2768" spans="2:6">
      <c r="B2768">
        <v>2010</v>
      </c>
      <c r="C2768" t="s">
        <v>41</v>
      </c>
      <c r="D2768" t="s">
        <v>184</v>
      </c>
      <c r="E2768" t="s">
        <v>14</v>
      </c>
      <c r="F2768">
        <v>0.52300620079040527</v>
      </c>
    </row>
    <row r="2769" spans="2:6">
      <c r="B2769">
        <v>2010</v>
      </c>
      <c r="C2769" t="s">
        <v>41</v>
      </c>
      <c r="D2769" t="s">
        <v>184</v>
      </c>
      <c r="E2769" t="s">
        <v>15</v>
      </c>
      <c r="F2769">
        <v>0.25670528411865234</v>
      </c>
    </row>
    <row r="2770" spans="2:6">
      <c r="B2770">
        <v>2011</v>
      </c>
      <c r="C2770" t="s">
        <v>41</v>
      </c>
      <c r="D2770" t="s">
        <v>184</v>
      </c>
      <c r="E2770" t="s">
        <v>7</v>
      </c>
      <c r="F2770">
        <v>3.6778264045715332</v>
      </c>
    </row>
    <row r="2771" spans="2:6">
      <c r="B2771">
        <v>2011</v>
      </c>
      <c r="C2771" t="s">
        <v>41</v>
      </c>
      <c r="D2771" t="s">
        <v>184</v>
      </c>
      <c r="E2771" t="s">
        <v>8</v>
      </c>
      <c r="F2771">
        <v>7.1250543594360352</v>
      </c>
    </row>
    <row r="2772" spans="2:6">
      <c r="B2772">
        <v>2011</v>
      </c>
      <c r="C2772" t="s">
        <v>41</v>
      </c>
      <c r="D2772" t="s">
        <v>184</v>
      </c>
      <c r="E2772" t="s">
        <v>9</v>
      </c>
      <c r="F2772">
        <v>0.38739091157913208</v>
      </c>
    </row>
    <row r="2773" spans="2:6">
      <c r="B2773">
        <v>2011</v>
      </c>
      <c r="C2773" t="s">
        <v>41</v>
      </c>
      <c r="D2773" t="s">
        <v>184</v>
      </c>
      <c r="E2773" t="s">
        <v>10</v>
      </c>
      <c r="F2773">
        <v>43.080001831054688</v>
      </c>
    </row>
    <row r="2774" spans="2:6">
      <c r="B2774">
        <v>2011</v>
      </c>
      <c r="C2774" t="s">
        <v>41</v>
      </c>
      <c r="D2774" t="s">
        <v>184</v>
      </c>
      <c r="E2774" t="s">
        <v>11</v>
      </c>
      <c r="F2774">
        <v>0.78001779317855835</v>
      </c>
    </row>
    <row r="2775" spans="2:6">
      <c r="B2775">
        <v>2011</v>
      </c>
      <c r="C2775" t="s">
        <v>41</v>
      </c>
      <c r="D2775" t="s">
        <v>184</v>
      </c>
      <c r="E2775" t="s">
        <v>12</v>
      </c>
      <c r="F2775">
        <v>-1.5844183042645454E-2</v>
      </c>
    </row>
    <row r="2776" spans="2:6">
      <c r="B2776">
        <v>2011</v>
      </c>
      <c r="C2776" t="s">
        <v>41</v>
      </c>
      <c r="D2776" t="s">
        <v>184</v>
      </c>
      <c r="E2776" t="s">
        <v>13</v>
      </c>
      <c r="F2776">
        <v>0.83449888229370117</v>
      </c>
    </row>
    <row r="2777" spans="2:6">
      <c r="B2777">
        <v>2011</v>
      </c>
      <c r="C2777" t="s">
        <v>41</v>
      </c>
      <c r="D2777" t="s">
        <v>184</v>
      </c>
      <c r="E2777" t="s">
        <v>14</v>
      </c>
      <c r="F2777">
        <v>0.52406847476959229</v>
      </c>
    </row>
    <row r="2778" spans="2:6">
      <c r="B2778">
        <v>2011</v>
      </c>
      <c r="C2778" t="s">
        <v>41</v>
      </c>
      <c r="D2778" t="s">
        <v>184</v>
      </c>
      <c r="E2778" t="s">
        <v>15</v>
      </c>
      <c r="F2778">
        <v>0.27717992663383484</v>
      </c>
    </row>
    <row r="2779" spans="2:6">
      <c r="B2779">
        <v>2016</v>
      </c>
      <c r="C2779" t="s">
        <v>41</v>
      </c>
      <c r="D2779" t="s">
        <v>184</v>
      </c>
      <c r="E2779" t="s">
        <v>7</v>
      </c>
      <c r="F2779">
        <v>2.6930611133575439</v>
      </c>
    </row>
    <row r="2780" spans="2:6">
      <c r="B2780">
        <v>2016</v>
      </c>
      <c r="C2780" t="s">
        <v>41</v>
      </c>
      <c r="D2780" t="s">
        <v>184</v>
      </c>
      <c r="E2780" t="s">
        <v>8</v>
      </c>
      <c r="F2780">
        <v>6.7850160598754883</v>
      </c>
    </row>
    <row r="2781" spans="2:6">
      <c r="B2781">
        <v>2016</v>
      </c>
      <c r="C2781" t="s">
        <v>41</v>
      </c>
      <c r="D2781" t="s">
        <v>184</v>
      </c>
      <c r="E2781" t="s">
        <v>9</v>
      </c>
      <c r="F2781">
        <v>0.29018417000770569</v>
      </c>
    </row>
    <row r="2782" spans="2:6">
      <c r="B2782">
        <v>2016</v>
      </c>
      <c r="C2782" t="s">
        <v>41</v>
      </c>
      <c r="D2782" t="s">
        <v>184</v>
      </c>
      <c r="E2782" t="s">
        <v>10</v>
      </c>
      <c r="F2782">
        <v>44.900001525878906</v>
      </c>
    </row>
    <row r="2783" spans="2:6">
      <c r="B2783">
        <v>2016</v>
      </c>
      <c r="C2783" t="s">
        <v>41</v>
      </c>
      <c r="D2783" t="s">
        <v>184</v>
      </c>
      <c r="E2783" t="s">
        <v>11</v>
      </c>
      <c r="F2783">
        <v>0.62405651807785034</v>
      </c>
    </row>
    <row r="2784" spans="2:6">
      <c r="B2784">
        <v>2016</v>
      </c>
      <c r="C2784" t="s">
        <v>41</v>
      </c>
      <c r="D2784" t="s">
        <v>184</v>
      </c>
      <c r="E2784" t="s">
        <v>12</v>
      </c>
      <c r="F2784">
        <v>3.2623119652271271E-2</v>
      </c>
    </row>
    <row r="2785" spans="2:6">
      <c r="B2785">
        <v>2016</v>
      </c>
      <c r="C2785" t="s">
        <v>41</v>
      </c>
      <c r="D2785" t="s">
        <v>184</v>
      </c>
      <c r="E2785" t="s">
        <v>13</v>
      </c>
      <c r="F2785">
        <v>0.85907304286956787</v>
      </c>
    </row>
    <row r="2786" spans="2:6">
      <c r="B2786">
        <v>2016</v>
      </c>
      <c r="C2786" t="s">
        <v>41</v>
      </c>
      <c r="D2786" t="s">
        <v>184</v>
      </c>
      <c r="E2786" t="s">
        <v>14</v>
      </c>
      <c r="F2786">
        <v>0.57865381240844727</v>
      </c>
    </row>
    <row r="2787" spans="2:6">
      <c r="B2787">
        <v>2016</v>
      </c>
      <c r="C2787" t="s">
        <v>41</v>
      </c>
      <c r="D2787" t="s">
        <v>184</v>
      </c>
      <c r="E2787" t="s">
        <v>15</v>
      </c>
      <c r="F2787">
        <v>0.49426805973052979</v>
      </c>
    </row>
    <row r="2788" spans="2:6">
      <c r="B2788">
        <v>2017</v>
      </c>
      <c r="C2788" t="s">
        <v>41</v>
      </c>
      <c r="D2788" t="s">
        <v>184</v>
      </c>
      <c r="E2788" t="s">
        <v>7</v>
      </c>
      <c r="F2788">
        <v>3.4758620262145996</v>
      </c>
    </row>
    <row r="2789" spans="2:6">
      <c r="B2789">
        <v>2017</v>
      </c>
      <c r="C2789" t="s">
        <v>41</v>
      </c>
      <c r="D2789" t="s">
        <v>184</v>
      </c>
      <c r="E2789" t="s">
        <v>8</v>
      </c>
      <c r="F2789">
        <v>6.8165192604064941</v>
      </c>
    </row>
    <row r="2790" spans="2:6">
      <c r="B2790">
        <v>2017</v>
      </c>
      <c r="C2790" t="s">
        <v>41</v>
      </c>
      <c r="D2790" t="s">
        <v>184</v>
      </c>
      <c r="E2790" t="s">
        <v>9</v>
      </c>
      <c r="F2790">
        <v>0.31958913803100586</v>
      </c>
    </row>
    <row r="2791" spans="2:6">
      <c r="B2791">
        <v>2017</v>
      </c>
      <c r="C2791" t="s">
        <v>41</v>
      </c>
      <c r="D2791" t="s">
        <v>184</v>
      </c>
      <c r="E2791" t="s">
        <v>10</v>
      </c>
      <c r="F2791">
        <v>45.200000762939453</v>
      </c>
    </row>
    <row r="2792" spans="2:6">
      <c r="B2792">
        <v>2017</v>
      </c>
      <c r="C2792" t="s">
        <v>41</v>
      </c>
      <c r="D2792" t="s">
        <v>184</v>
      </c>
      <c r="E2792" t="s">
        <v>11</v>
      </c>
      <c r="F2792">
        <v>0.64525234699249268</v>
      </c>
    </row>
    <row r="2793" spans="2:6">
      <c r="B2793">
        <v>2017</v>
      </c>
      <c r="C2793" t="s">
        <v>41</v>
      </c>
      <c r="D2793" t="s">
        <v>184</v>
      </c>
      <c r="E2793" t="s">
        <v>12</v>
      </c>
      <c r="F2793">
        <v>7.2786100208759308E-2</v>
      </c>
    </row>
    <row r="2794" spans="2:6">
      <c r="B2794">
        <v>2017</v>
      </c>
      <c r="C2794" t="s">
        <v>41</v>
      </c>
      <c r="D2794" t="s">
        <v>184</v>
      </c>
      <c r="E2794" t="s">
        <v>13</v>
      </c>
      <c r="F2794">
        <v>0.88956600427627563</v>
      </c>
    </row>
    <row r="2795" spans="2:6">
      <c r="B2795">
        <v>2017</v>
      </c>
      <c r="C2795" t="s">
        <v>41</v>
      </c>
      <c r="D2795" t="s">
        <v>184</v>
      </c>
      <c r="E2795" t="s">
        <v>14</v>
      </c>
      <c r="F2795">
        <v>0.6138651967048645</v>
      </c>
    </row>
    <row r="2796" spans="2:6">
      <c r="B2796">
        <v>2017</v>
      </c>
      <c r="C2796" t="s">
        <v>41</v>
      </c>
      <c r="D2796" t="s">
        <v>184</v>
      </c>
      <c r="E2796" t="s">
        <v>15</v>
      </c>
      <c r="F2796">
        <v>0.59933549165725708</v>
      </c>
    </row>
    <row r="2797" spans="2:6">
      <c r="B2797">
        <v>2006</v>
      </c>
      <c r="C2797" t="s">
        <v>42</v>
      </c>
      <c r="D2797" t="s">
        <v>184</v>
      </c>
      <c r="E2797" t="s">
        <v>7</v>
      </c>
      <c r="F2797">
        <v>3.4348006248474121</v>
      </c>
    </row>
    <row r="2798" spans="2:6">
      <c r="B2798">
        <v>2006</v>
      </c>
      <c r="C2798" t="s">
        <v>42</v>
      </c>
      <c r="D2798" t="s">
        <v>184</v>
      </c>
      <c r="E2798" t="s">
        <v>8</v>
      </c>
      <c r="F2798">
        <v>7.3604106903076172</v>
      </c>
    </row>
    <row r="2799" spans="2:6">
      <c r="B2799">
        <v>2006</v>
      </c>
      <c r="C2799" t="s">
        <v>42</v>
      </c>
      <c r="D2799" t="s">
        <v>184</v>
      </c>
      <c r="E2799" t="s">
        <v>9</v>
      </c>
      <c r="F2799">
        <v>0.72430819272994995</v>
      </c>
    </row>
    <row r="2800" spans="2:6">
      <c r="B2800">
        <v>2006</v>
      </c>
      <c r="C2800" t="s">
        <v>42</v>
      </c>
      <c r="D2800" t="s">
        <v>184</v>
      </c>
      <c r="E2800" t="s">
        <v>10</v>
      </c>
      <c r="F2800">
        <v>43.180000305175781</v>
      </c>
    </row>
    <row r="2801" spans="2:6">
      <c r="B2801">
        <v>2006</v>
      </c>
      <c r="C2801" t="s">
        <v>42</v>
      </c>
      <c r="D2801" t="s">
        <v>184</v>
      </c>
      <c r="E2801" t="s">
        <v>11</v>
      </c>
      <c r="F2801">
        <v>0.30613189935684204</v>
      </c>
    </row>
    <row r="2802" spans="2:6">
      <c r="B2802">
        <v>2006</v>
      </c>
      <c r="C2802" t="s">
        <v>42</v>
      </c>
      <c r="D2802" t="s">
        <v>184</v>
      </c>
      <c r="E2802" t="s">
        <v>12</v>
      </c>
      <c r="F2802">
        <v>2.7805598452687263E-2</v>
      </c>
    </row>
    <row r="2803" spans="2:6">
      <c r="B2803">
        <v>2006</v>
      </c>
      <c r="C2803" t="s">
        <v>42</v>
      </c>
      <c r="D2803" t="s">
        <v>184</v>
      </c>
      <c r="E2803" t="s">
        <v>13</v>
      </c>
      <c r="F2803">
        <v>0.96107375621795654</v>
      </c>
    </row>
    <row r="2804" spans="2:6">
      <c r="B2804">
        <v>2006</v>
      </c>
      <c r="C2804" t="s">
        <v>42</v>
      </c>
      <c r="D2804" t="s">
        <v>184</v>
      </c>
      <c r="E2804" t="s">
        <v>14</v>
      </c>
      <c r="F2804">
        <v>0.58049958944320679</v>
      </c>
    </row>
    <row r="2805" spans="2:6">
      <c r="B2805">
        <v>2006</v>
      </c>
      <c r="C2805" t="s">
        <v>42</v>
      </c>
      <c r="D2805" t="s">
        <v>184</v>
      </c>
      <c r="E2805" t="s">
        <v>15</v>
      </c>
      <c r="F2805">
        <v>0.26272726058959961</v>
      </c>
    </row>
    <row r="2806" spans="2:6">
      <c r="B2806">
        <v>2007</v>
      </c>
      <c r="C2806" t="s">
        <v>42</v>
      </c>
      <c r="D2806" t="s">
        <v>184</v>
      </c>
      <c r="E2806" t="s">
        <v>7</v>
      </c>
      <c r="F2806">
        <v>4.141326904296875</v>
      </c>
    </row>
    <row r="2807" spans="2:6">
      <c r="B2807">
        <v>2007</v>
      </c>
      <c r="C2807" t="s">
        <v>42</v>
      </c>
      <c r="D2807" t="s">
        <v>184</v>
      </c>
      <c r="E2807" t="s">
        <v>8</v>
      </c>
      <c r="F2807">
        <v>7.3586716651916504</v>
      </c>
    </row>
    <row r="2808" spans="2:6">
      <c r="B2808">
        <v>2007</v>
      </c>
      <c r="C2808" t="s">
        <v>42</v>
      </c>
      <c r="D2808" t="s">
        <v>184</v>
      </c>
      <c r="E2808" t="s">
        <v>9</v>
      </c>
      <c r="F2808">
        <v>0.4789508581161499</v>
      </c>
    </row>
    <row r="2809" spans="2:6">
      <c r="B2809">
        <v>2007</v>
      </c>
      <c r="C2809" t="s">
        <v>42</v>
      </c>
      <c r="D2809" t="s">
        <v>184</v>
      </c>
      <c r="E2809" t="s">
        <v>10</v>
      </c>
      <c r="F2809">
        <v>43.659999847412109</v>
      </c>
    </row>
    <row r="2810" spans="2:6">
      <c r="B2810">
        <v>2007</v>
      </c>
      <c r="C2810" t="s">
        <v>42</v>
      </c>
      <c r="D2810" t="s">
        <v>184</v>
      </c>
      <c r="E2810" t="s">
        <v>11</v>
      </c>
      <c r="F2810">
        <v>0.29461178183555603</v>
      </c>
    </row>
    <row r="2811" spans="2:6">
      <c r="B2811">
        <v>2007</v>
      </c>
      <c r="C2811" t="s">
        <v>42</v>
      </c>
      <c r="D2811" t="s">
        <v>184</v>
      </c>
      <c r="E2811" t="s">
        <v>12</v>
      </c>
      <c r="F2811">
        <v>-1.1461157351732254E-2</v>
      </c>
    </row>
    <row r="2812" spans="2:6">
      <c r="B2812">
        <v>2007</v>
      </c>
      <c r="C2812" t="s">
        <v>42</v>
      </c>
      <c r="D2812" t="s">
        <v>184</v>
      </c>
      <c r="E2812" t="s">
        <v>13</v>
      </c>
      <c r="F2812">
        <v>0.87360960245132446</v>
      </c>
    </row>
    <row r="2813" spans="2:6">
      <c r="B2813">
        <v>2007</v>
      </c>
      <c r="C2813" t="s">
        <v>42</v>
      </c>
      <c r="D2813" t="s">
        <v>184</v>
      </c>
      <c r="E2813" t="s">
        <v>14</v>
      </c>
      <c r="F2813">
        <v>0.61352193355560303</v>
      </c>
    </row>
    <row r="2814" spans="2:6">
      <c r="B2814">
        <v>2007</v>
      </c>
      <c r="C2814" t="s">
        <v>42</v>
      </c>
      <c r="D2814" t="s">
        <v>184</v>
      </c>
      <c r="E2814" t="s">
        <v>15</v>
      </c>
      <c r="F2814">
        <v>0.24520836770534515</v>
      </c>
    </row>
    <row r="2815" spans="2:6">
      <c r="B2815">
        <v>2008</v>
      </c>
      <c r="C2815" t="s">
        <v>42</v>
      </c>
      <c r="D2815" t="s">
        <v>184</v>
      </c>
      <c r="E2815" t="s">
        <v>7</v>
      </c>
      <c r="F2815">
        <v>4.6324682235717773</v>
      </c>
    </row>
    <row r="2816" spans="2:6">
      <c r="B2816">
        <v>2008</v>
      </c>
      <c r="C2816" t="s">
        <v>42</v>
      </c>
      <c r="D2816" t="s">
        <v>184</v>
      </c>
      <c r="E2816" t="s">
        <v>8</v>
      </c>
      <c r="F2816">
        <v>7.3555083274841309</v>
      </c>
    </row>
    <row r="2817" spans="2:6">
      <c r="B2817">
        <v>2008</v>
      </c>
      <c r="C2817" t="s">
        <v>42</v>
      </c>
      <c r="D2817" t="s">
        <v>184</v>
      </c>
      <c r="E2817" t="s">
        <v>9</v>
      </c>
      <c r="F2817">
        <v>0.57083481550216675</v>
      </c>
    </row>
    <row r="2818" spans="2:6">
      <c r="B2818">
        <v>2008</v>
      </c>
      <c r="C2818" t="s">
        <v>42</v>
      </c>
      <c r="D2818" t="s">
        <v>184</v>
      </c>
      <c r="E2818" t="s">
        <v>10</v>
      </c>
      <c r="F2818">
        <v>44.139999389648438</v>
      </c>
    </row>
    <row r="2819" spans="2:6">
      <c r="B2819">
        <v>2008</v>
      </c>
      <c r="C2819" t="s">
        <v>42</v>
      </c>
      <c r="D2819" t="s">
        <v>184</v>
      </c>
      <c r="E2819" t="s">
        <v>11</v>
      </c>
      <c r="F2819">
        <v>0.52661037445068359</v>
      </c>
    </row>
    <row r="2820" spans="2:6">
      <c r="B2820">
        <v>2008</v>
      </c>
      <c r="C2820" t="s">
        <v>42</v>
      </c>
      <c r="D2820" t="s">
        <v>184</v>
      </c>
      <c r="E2820" t="s">
        <v>12</v>
      </c>
      <c r="F2820">
        <v>6.2640391290187836E-2</v>
      </c>
    </row>
    <row r="2821" spans="2:6">
      <c r="B2821">
        <v>2008</v>
      </c>
      <c r="C2821" t="s">
        <v>42</v>
      </c>
      <c r="D2821" t="s">
        <v>184</v>
      </c>
      <c r="E2821" t="s">
        <v>13</v>
      </c>
      <c r="F2821">
        <v>0.94355356693267822</v>
      </c>
    </row>
    <row r="2822" spans="2:6">
      <c r="B2822">
        <v>2008</v>
      </c>
      <c r="C2822" t="s">
        <v>42</v>
      </c>
      <c r="D2822" t="s">
        <v>184</v>
      </c>
      <c r="E2822" t="s">
        <v>14</v>
      </c>
      <c r="F2822">
        <v>0.56912964582443237</v>
      </c>
    </row>
    <row r="2823" spans="2:6">
      <c r="B2823">
        <v>2008</v>
      </c>
      <c r="C2823" t="s">
        <v>42</v>
      </c>
      <c r="D2823" t="s">
        <v>184</v>
      </c>
      <c r="E2823" t="s">
        <v>15</v>
      </c>
      <c r="F2823">
        <v>0.22548374533653259</v>
      </c>
    </row>
    <row r="2824" spans="2:6">
      <c r="B2824">
        <v>2009</v>
      </c>
      <c r="C2824" t="s">
        <v>42</v>
      </c>
      <c r="D2824" t="s">
        <v>184</v>
      </c>
      <c r="E2824" t="s">
        <v>7</v>
      </c>
      <c r="F2824">
        <v>3.6394450664520264</v>
      </c>
    </row>
    <row r="2825" spans="2:6">
      <c r="B2825">
        <v>2009</v>
      </c>
      <c r="C2825" t="s">
        <v>42</v>
      </c>
      <c r="D2825" t="s">
        <v>184</v>
      </c>
      <c r="E2825" t="s">
        <v>8</v>
      </c>
      <c r="F2825">
        <v>7.363703727722168</v>
      </c>
    </row>
    <row r="2826" spans="2:6">
      <c r="B2826">
        <v>2009</v>
      </c>
      <c r="C2826" t="s">
        <v>42</v>
      </c>
      <c r="D2826" t="s">
        <v>184</v>
      </c>
      <c r="E2826" t="s">
        <v>9</v>
      </c>
      <c r="F2826">
        <v>0.64571362733840942</v>
      </c>
    </row>
    <row r="2827" spans="2:6">
      <c r="B2827">
        <v>2009</v>
      </c>
      <c r="C2827" t="s">
        <v>42</v>
      </c>
      <c r="D2827" t="s">
        <v>184</v>
      </c>
      <c r="E2827" t="s">
        <v>10</v>
      </c>
      <c r="F2827">
        <v>44.619998931884766</v>
      </c>
    </row>
    <row r="2828" spans="2:6">
      <c r="B2828">
        <v>2009</v>
      </c>
      <c r="C2828" t="s">
        <v>42</v>
      </c>
      <c r="D2828" t="s">
        <v>184</v>
      </c>
      <c r="E2828" t="s">
        <v>11</v>
      </c>
      <c r="F2828">
        <v>0.40137028694152832</v>
      </c>
    </row>
    <row r="2829" spans="2:6">
      <c r="B2829">
        <v>2009</v>
      </c>
      <c r="C2829" t="s">
        <v>42</v>
      </c>
      <c r="D2829" t="s">
        <v>184</v>
      </c>
      <c r="E2829" t="s">
        <v>12</v>
      </c>
      <c r="F2829">
        <v>2.1430091932415962E-2</v>
      </c>
    </row>
    <row r="2830" spans="2:6">
      <c r="B2830">
        <v>2009</v>
      </c>
      <c r="C2830" t="s">
        <v>42</v>
      </c>
      <c r="D2830" t="s">
        <v>184</v>
      </c>
      <c r="E2830" t="s">
        <v>13</v>
      </c>
      <c r="F2830">
        <v>0.93118077516555786</v>
      </c>
    </row>
    <row r="2831" spans="2:6">
      <c r="B2831">
        <v>2009</v>
      </c>
      <c r="C2831" t="s">
        <v>42</v>
      </c>
      <c r="D2831" t="s">
        <v>184</v>
      </c>
      <c r="E2831" t="s">
        <v>14</v>
      </c>
      <c r="F2831">
        <v>0.5568091869354248</v>
      </c>
    </row>
    <row r="2832" spans="2:6">
      <c r="B2832">
        <v>2009</v>
      </c>
      <c r="C2832" t="s">
        <v>42</v>
      </c>
      <c r="D2832" t="s">
        <v>184</v>
      </c>
      <c r="E2832" t="s">
        <v>15</v>
      </c>
      <c r="F2832">
        <v>0.22104701399803162</v>
      </c>
    </row>
    <row r="2833" spans="2:6">
      <c r="B2833">
        <v>2010</v>
      </c>
      <c r="C2833" t="s">
        <v>42</v>
      </c>
      <c r="D2833" t="s">
        <v>184</v>
      </c>
      <c r="E2833" t="s">
        <v>7</v>
      </c>
      <c r="F2833">
        <v>3.7428710460662842</v>
      </c>
    </row>
    <row r="2834" spans="2:6">
      <c r="B2834">
        <v>2010</v>
      </c>
      <c r="C2834" t="s">
        <v>42</v>
      </c>
      <c r="D2834" t="s">
        <v>184</v>
      </c>
      <c r="E2834" t="s">
        <v>8</v>
      </c>
      <c r="F2834">
        <v>7.4574313163757324</v>
      </c>
    </row>
    <row r="2835" spans="2:6">
      <c r="B2835">
        <v>2010</v>
      </c>
      <c r="C2835" t="s">
        <v>42</v>
      </c>
      <c r="D2835" t="s">
        <v>184</v>
      </c>
      <c r="E2835" t="s">
        <v>9</v>
      </c>
      <c r="F2835">
        <v>0.73371362686157227</v>
      </c>
    </row>
    <row r="2836" spans="2:6">
      <c r="B2836">
        <v>2010</v>
      </c>
      <c r="C2836" t="s">
        <v>42</v>
      </c>
      <c r="D2836" t="s">
        <v>184</v>
      </c>
      <c r="E2836" t="s">
        <v>10</v>
      </c>
      <c r="F2836">
        <v>45.099998474121094</v>
      </c>
    </row>
    <row r="2837" spans="2:6">
      <c r="B2837">
        <v>2010</v>
      </c>
      <c r="C2837" t="s">
        <v>42</v>
      </c>
      <c r="D2837" t="s">
        <v>184</v>
      </c>
      <c r="E2837" t="s">
        <v>11</v>
      </c>
      <c r="F2837">
        <v>0.50461256504058838</v>
      </c>
    </row>
    <row r="2838" spans="2:6">
      <c r="B2838">
        <v>2010</v>
      </c>
      <c r="C2838" t="s">
        <v>42</v>
      </c>
      <c r="D2838" t="s">
        <v>184</v>
      </c>
      <c r="E2838" t="s">
        <v>12</v>
      </c>
      <c r="F2838">
        <v>2.4908255785703659E-2</v>
      </c>
    </row>
    <row r="2839" spans="2:6">
      <c r="B2839">
        <v>2010</v>
      </c>
      <c r="C2839" t="s">
        <v>42</v>
      </c>
      <c r="D2839" t="s">
        <v>184</v>
      </c>
      <c r="E2839" t="s">
        <v>13</v>
      </c>
      <c r="F2839">
        <v>0.85766404867172241</v>
      </c>
    </row>
    <row r="2840" spans="2:6">
      <c r="B2840">
        <v>2010</v>
      </c>
      <c r="C2840" t="s">
        <v>42</v>
      </c>
      <c r="D2840" t="s">
        <v>184</v>
      </c>
      <c r="E2840" t="s">
        <v>14</v>
      </c>
      <c r="F2840">
        <v>0.54488307237625122</v>
      </c>
    </row>
    <row r="2841" spans="2:6">
      <c r="B2841">
        <v>2010</v>
      </c>
      <c r="C2841" t="s">
        <v>42</v>
      </c>
      <c r="D2841" t="s">
        <v>184</v>
      </c>
      <c r="E2841" t="s">
        <v>15</v>
      </c>
      <c r="F2841">
        <v>0.28724053502082825</v>
      </c>
    </row>
    <row r="2842" spans="2:6">
      <c r="B2842">
        <v>2011</v>
      </c>
      <c r="C2842" t="s">
        <v>42</v>
      </c>
      <c r="D2842" t="s">
        <v>184</v>
      </c>
      <c r="E2842" t="s">
        <v>7</v>
      </c>
      <c r="F2842">
        <v>4.3934822082519531</v>
      </c>
    </row>
    <row r="2843" spans="2:6">
      <c r="B2843">
        <v>2011</v>
      </c>
      <c r="C2843" t="s">
        <v>42</v>
      </c>
      <c r="D2843" t="s">
        <v>184</v>
      </c>
      <c r="E2843" t="s">
        <v>8</v>
      </c>
      <c r="F2843">
        <v>7.424623966217041</v>
      </c>
    </row>
    <row r="2844" spans="2:6">
      <c r="B2844">
        <v>2011</v>
      </c>
      <c r="C2844" t="s">
        <v>42</v>
      </c>
      <c r="D2844" t="s">
        <v>184</v>
      </c>
      <c r="E2844" t="s">
        <v>9</v>
      </c>
      <c r="F2844">
        <v>0.8188440203666687</v>
      </c>
    </row>
    <row r="2845" spans="2:6">
      <c r="B2845">
        <v>2011</v>
      </c>
      <c r="C2845" t="s">
        <v>42</v>
      </c>
      <c r="D2845" t="s">
        <v>184</v>
      </c>
      <c r="E2845" t="s">
        <v>10</v>
      </c>
      <c r="F2845">
        <v>45.419998168945313</v>
      </c>
    </row>
    <row r="2846" spans="2:6">
      <c r="B2846">
        <v>2011</v>
      </c>
      <c r="C2846" t="s">
        <v>42</v>
      </c>
      <c r="D2846" t="s">
        <v>184</v>
      </c>
      <c r="E2846" t="s">
        <v>11</v>
      </c>
      <c r="F2846">
        <v>0.5402679443359375</v>
      </c>
    </row>
    <row r="2847" spans="2:6">
      <c r="B2847">
        <v>2011</v>
      </c>
      <c r="C2847" t="s">
        <v>42</v>
      </c>
      <c r="D2847" t="s">
        <v>184</v>
      </c>
      <c r="E2847" t="s">
        <v>12</v>
      </c>
      <c r="F2847">
        <v>3.059995174407959E-2</v>
      </c>
    </row>
    <row r="2848" spans="2:6">
      <c r="B2848">
        <v>2011</v>
      </c>
      <c r="C2848" t="s">
        <v>42</v>
      </c>
      <c r="D2848" t="s">
        <v>184</v>
      </c>
      <c r="E2848" t="s">
        <v>13</v>
      </c>
      <c r="F2848">
        <v>0.87638366222381592</v>
      </c>
    </row>
    <row r="2849" spans="2:6">
      <c r="B2849">
        <v>2011</v>
      </c>
      <c r="C2849" t="s">
        <v>42</v>
      </c>
      <c r="D2849" t="s">
        <v>184</v>
      </c>
      <c r="E2849" t="s">
        <v>14</v>
      </c>
      <c r="F2849">
        <v>0.59142261743545532</v>
      </c>
    </row>
    <row r="2850" spans="2:6">
      <c r="B2850">
        <v>2011</v>
      </c>
      <c r="C2850" t="s">
        <v>42</v>
      </c>
      <c r="D2850" t="s">
        <v>184</v>
      </c>
      <c r="E2850" t="s">
        <v>15</v>
      </c>
      <c r="F2850">
        <v>0.28914648294448853</v>
      </c>
    </row>
    <row r="2851" spans="2:6">
      <c r="B2851">
        <v>2012</v>
      </c>
      <c r="C2851" t="s">
        <v>42</v>
      </c>
      <c r="D2851" t="s">
        <v>184</v>
      </c>
      <c r="E2851" t="s">
        <v>7</v>
      </c>
      <c r="F2851">
        <v>4.0329747200012207</v>
      </c>
    </row>
    <row r="2852" spans="2:6">
      <c r="B2852">
        <v>2012</v>
      </c>
      <c r="C2852" t="s">
        <v>42</v>
      </c>
      <c r="D2852" t="s">
        <v>184</v>
      </c>
      <c r="E2852" t="s">
        <v>8</v>
      </c>
      <c r="F2852">
        <v>7.4760160446166992</v>
      </c>
    </row>
    <row r="2853" spans="2:6">
      <c r="B2853">
        <v>2012</v>
      </c>
      <c r="C2853" t="s">
        <v>42</v>
      </c>
      <c r="D2853" t="s">
        <v>184</v>
      </c>
      <c r="E2853" t="s">
        <v>9</v>
      </c>
      <c r="F2853">
        <v>0.67286646366119385</v>
      </c>
    </row>
    <row r="2854" spans="2:6">
      <c r="B2854">
        <v>2012</v>
      </c>
      <c r="C2854" t="s">
        <v>42</v>
      </c>
      <c r="D2854" t="s">
        <v>184</v>
      </c>
      <c r="E2854" t="s">
        <v>10</v>
      </c>
      <c r="F2854">
        <v>45.740001678466797</v>
      </c>
    </row>
    <row r="2855" spans="2:6">
      <c r="B2855">
        <v>2012</v>
      </c>
      <c r="C2855" t="s">
        <v>42</v>
      </c>
      <c r="D2855" t="s">
        <v>184</v>
      </c>
      <c r="E2855" t="s">
        <v>11</v>
      </c>
      <c r="F2855">
        <v>0.5629081130027771</v>
      </c>
    </row>
    <row r="2856" spans="2:6">
      <c r="B2856">
        <v>2012</v>
      </c>
      <c r="C2856" t="s">
        <v>42</v>
      </c>
      <c r="D2856" t="s">
        <v>184</v>
      </c>
      <c r="E2856" t="s">
        <v>12</v>
      </c>
      <c r="F2856">
        <v>-3.4039940685033798E-2</v>
      </c>
    </row>
    <row r="2857" spans="2:6">
      <c r="B2857">
        <v>2012</v>
      </c>
      <c r="C2857" t="s">
        <v>42</v>
      </c>
      <c r="D2857" t="s">
        <v>184</v>
      </c>
      <c r="E2857" t="s">
        <v>13</v>
      </c>
      <c r="F2857">
        <v>0.88447582721710205</v>
      </c>
    </row>
    <row r="2858" spans="2:6">
      <c r="B2858">
        <v>2012</v>
      </c>
      <c r="C2858" t="s">
        <v>42</v>
      </c>
      <c r="D2858" t="s">
        <v>184</v>
      </c>
      <c r="E2858" t="s">
        <v>14</v>
      </c>
      <c r="F2858">
        <v>0.52654635906219482</v>
      </c>
    </row>
    <row r="2859" spans="2:6">
      <c r="B2859">
        <v>2012</v>
      </c>
      <c r="C2859" t="s">
        <v>42</v>
      </c>
      <c r="D2859" t="s">
        <v>184</v>
      </c>
      <c r="E2859" t="s">
        <v>15</v>
      </c>
      <c r="F2859">
        <v>0.31574714183807373</v>
      </c>
    </row>
    <row r="2860" spans="2:6">
      <c r="B2860">
        <v>2013</v>
      </c>
      <c r="C2860" t="s">
        <v>42</v>
      </c>
      <c r="D2860" t="s">
        <v>184</v>
      </c>
      <c r="E2860" t="s">
        <v>7</v>
      </c>
      <c r="F2860">
        <v>3.5076630115509033</v>
      </c>
    </row>
    <row r="2861" spans="2:6">
      <c r="B2861">
        <v>2013</v>
      </c>
      <c r="C2861" t="s">
        <v>42</v>
      </c>
      <c r="D2861" t="s">
        <v>184</v>
      </c>
      <c r="E2861" t="s">
        <v>8</v>
      </c>
      <c r="F2861">
        <v>7.4979410171508789</v>
      </c>
    </row>
    <row r="2862" spans="2:6">
      <c r="B2862">
        <v>2013</v>
      </c>
      <c r="C2862" t="s">
        <v>42</v>
      </c>
      <c r="D2862" t="s">
        <v>184</v>
      </c>
      <c r="E2862" t="s">
        <v>9</v>
      </c>
      <c r="F2862">
        <v>0.71414464712142944</v>
      </c>
    </row>
    <row r="2863" spans="2:6">
      <c r="B2863">
        <v>2013</v>
      </c>
      <c r="C2863" t="s">
        <v>42</v>
      </c>
      <c r="D2863" t="s">
        <v>184</v>
      </c>
      <c r="E2863" t="s">
        <v>10</v>
      </c>
      <c r="F2863">
        <v>46.060001373291016</v>
      </c>
    </row>
    <row r="2864" spans="2:6">
      <c r="B2864">
        <v>2013</v>
      </c>
      <c r="C2864" t="s">
        <v>42</v>
      </c>
      <c r="D2864" t="s">
        <v>184</v>
      </c>
      <c r="E2864" t="s">
        <v>11</v>
      </c>
      <c r="F2864">
        <v>0.48821035027503967</v>
      </c>
    </row>
    <row r="2865" spans="2:6">
      <c r="B2865">
        <v>2013</v>
      </c>
      <c r="C2865" t="s">
        <v>42</v>
      </c>
      <c r="D2865" t="s">
        <v>184</v>
      </c>
      <c r="E2865" t="s">
        <v>12</v>
      </c>
      <c r="F2865">
        <v>-4.5458346605300903E-2</v>
      </c>
    </row>
    <row r="2866" spans="2:6">
      <c r="B2866">
        <v>2013</v>
      </c>
      <c r="C2866" t="s">
        <v>42</v>
      </c>
      <c r="D2866" t="s">
        <v>184</v>
      </c>
      <c r="E2866" t="s">
        <v>13</v>
      </c>
      <c r="F2866">
        <v>0.88197237253189087</v>
      </c>
    </row>
    <row r="2867" spans="2:6">
      <c r="B2867">
        <v>2013</v>
      </c>
      <c r="C2867" t="s">
        <v>42</v>
      </c>
      <c r="D2867" t="s">
        <v>184</v>
      </c>
      <c r="E2867" t="s">
        <v>14</v>
      </c>
      <c r="F2867">
        <v>0.46159118413925171</v>
      </c>
    </row>
    <row r="2868" spans="2:6">
      <c r="B2868">
        <v>2013</v>
      </c>
      <c r="C2868" t="s">
        <v>42</v>
      </c>
      <c r="D2868" t="s">
        <v>184</v>
      </c>
      <c r="E2868" t="s">
        <v>15</v>
      </c>
      <c r="F2868">
        <v>0.31417423486709595</v>
      </c>
    </row>
    <row r="2869" spans="2:6">
      <c r="B2869">
        <v>2014</v>
      </c>
      <c r="C2869" t="s">
        <v>42</v>
      </c>
      <c r="D2869" t="s">
        <v>184</v>
      </c>
      <c r="E2869" t="s">
        <v>7</v>
      </c>
      <c r="F2869">
        <v>3.4601829051971436</v>
      </c>
    </row>
    <row r="2870" spans="2:6">
      <c r="B2870">
        <v>2014</v>
      </c>
      <c r="C2870" t="s">
        <v>42</v>
      </c>
      <c r="D2870" t="s">
        <v>184</v>
      </c>
      <c r="E2870" t="s">
        <v>8</v>
      </c>
      <c r="F2870">
        <v>7.5316953659057617</v>
      </c>
    </row>
    <row r="2871" spans="2:6">
      <c r="B2871">
        <v>2014</v>
      </c>
      <c r="C2871" t="s">
        <v>42</v>
      </c>
      <c r="D2871" t="s">
        <v>184</v>
      </c>
      <c r="E2871" t="s">
        <v>9</v>
      </c>
      <c r="F2871">
        <v>0.73306679725646973</v>
      </c>
    </row>
    <row r="2872" spans="2:6">
      <c r="B2872">
        <v>2014</v>
      </c>
      <c r="C2872" t="s">
        <v>42</v>
      </c>
      <c r="D2872" t="s">
        <v>184</v>
      </c>
      <c r="E2872" t="s">
        <v>10</v>
      </c>
      <c r="F2872">
        <v>46.380001068115234</v>
      </c>
    </row>
    <row r="2873" spans="2:6">
      <c r="B2873">
        <v>2014</v>
      </c>
      <c r="C2873" t="s">
        <v>42</v>
      </c>
      <c r="D2873" t="s">
        <v>184</v>
      </c>
      <c r="E2873" t="s">
        <v>11</v>
      </c>
      <c r="F2873">
        <v>0.56679534912109375</v>
      </c>
    </row>
    <row r="2874" spans="2:6">
      <c r="B2874">
        <v>2014</v>
      </c>
      <c r="C2874" t="s">
        <v>42</v>
      </c>
      <c r="D2874" t="s">
        <v>184</v>
      </c>
      <c r="E2874" t="s">
        <v>12</v>
      </c>
      <c r="F2874">
        <v>-6.986323744058609E-2</v>
      </c>
    </row>
    <row r="2875" spans="2:6">
      <c r="B2875">
        <v>2014</v>
      </c>
      <c r="C2875" t="s">
        <v>42</v>
      </c>
      <c r="D2875" t="s">
        <v>184</v>
      </c>
      <c r="E2875" t="s">
        <v>13</v>
      </c>
      <c r="F2875">
        <v>0.88093400001525879</v>
      </c>
    </row>
    <row r="2876" spans="2:6">
      <c r="B2876">
        <v>2014</v>
      </c>
      <c r="C2876" t="s">
        <v>42</v>
      </c>
      <c r="D2876" t="s">
        <v>184</v>
      </c>
      <c r="E2876" t="s">
        <v>14</v>
      </c>
      <c r="F2876">
        <v>0.53637129068374634</v>
      </c>
    </row>
    <row r="2877" spans="2:6">
      <c r="B2877">
        <v>2014</v>
      </c>
      <c r="C2877" t="s">
        <v>42</v>
      </c>
      <c r="D2877" t="s">
        <v>184</v>
      </c>
      <c r="E2877" t="s">
        <v>15</v>
      </c>
      <c r="F2877">
        <v>0.32852885127067566</v>
      </c>
    </row>
    <row r="2878" spans="2:6">
      <c r="B2878">
        <v>2015</v>
      </c>
      <c r="C2878" t="s">
        <v>42</v>
      </c>
      <c r="D2878" t="s">
        <v>184</v>
      </c>
      <c r="E2878" t="s">
        <v>7</v>
      </c>
      <c r="F2878">
        <v>4.3226752281188965</v>
      </c>
    </row>
    <row r="2879" spans="2:6">
      <c r="B2879">
        <v>2015</v>
      </c>
      <c r="C2879" t="s">
        <v>42</v>
      </c>
      <c r="D2879" t="s">
        <v>184</v>
      </c>
      <c r="E2879" t="s">
        <v>8</v>
      </c>
      <c r="F2879">
        <v>7.5267753601074219</v>
      </c>
    </row>
    <row r="2880" spans="2:6">
      <c r="B2880">
        <v>2015</v>
      </c>
      <c r="C2880" t="s">
        <v>42</v>
      </c>
      <c r="D2880" t="s">
        <v>184</v>
      </c>
      <c r="E2880" t="s">
        <v>9</v>
      </c>
      <c r="F2880">
        <v>0.75125223398208618</v>
      </c>
    </row>
    <row r="2881" spans="2:6">
      <c r="B2881">
        <v>2015</v>
      </c>
      <c r="C2881" t="s">
        <v>42</v>
      </c>
      <c r="D2881" t="s">
        <v>184</v>
      </c>
      <c r="E2881" t="s">
        <v>10</v>
      </c>
      <c r="F2881">
        <v>46.700000762939453</v>
      </c>
    </row>
    <row r="2882" spans="2:6">
      <c r="B2882">
        <v>2015</v>
      </c>
      <c r="C2882" t="s">
        <v>42</v>
      </c>
      <c r="D2882" t="s">
        <v>184</v>
      </c>
      <c r="E2882" t="s">
        <v>11</v>
      </c>
      <c r="F2882">
        <v>0.4743608832359314</v>
      </c>
    </row>
    <row r="2883" spans="2:6">
      <c r="B2883">
        <v>2015</v>
      </c>
      <c r="C2883" t="s">
        <v>42</v>
      </c>
      <c r="D2883" t="s">
        <v>184</v>
      </c>
      <c r="E2883" t="s">
        <v>12</v>
      </c>
      <c r="F2883">
        <v>-2.865956537425518E-2</v>
      </c>
    </row>
    <row r="2884" spans="2:6">
      <c r="B2884">
        <v>2015</v>
      </c>
      <c r="C2884" t="s">
        <v>42</v>
      </c>
      <c r="D2884" t="s">
        <v>184</v>
      </c>
      <c r="E2884" t="s">
        <v>13</v>
      </c>
      <c r="F2884">
        <v>0.88863939046859741</v>
      </c>
    </row>
    <row r="2885" spans="2:6">
      <c r="B2885">
        <v>2015</v>
      </c>
      <c r="C2885" t="s">
        <v>42</v>
      </c>
      <c r="D2885" t="s">
        <v>184</v>
      </c>
      <c r="E2885" t="s">
        <v>14</v>
      </c>
      <c r="F2885">
        <v>0.60668265819549561</v>
      </c>
    </row>
    <row r="2886" spans="2:6">
      <c r="B2886">
        <v>2015</v>
      </c>
      <c r="C2886" t="s">
        <v>42</v>
      </c>
      <c r="D2886" t="s">
        <v>184</v>
      </c>
      <c r="E2886" t="s">
        <v>15</v>
      </c>
      <c r="F2886">
        <v>0.3584379255771637</v>
      </c>
    </row>
    <row r="2887" spans="2:6">
      <c r="B2887">
        <v>2016</v>
      </c>
      <c r="C2887" t="s">
        <v>42</v>
      </c>
      <c r="D2887" t="s">
        <v>184</v>
      </c>
      <c r="E2887" t="s">
        <v>7</v>
      </c>
      <c r="F2887">
        <v>4.0293502807617188</v>
      </c>
    </row>
    <row r="2888" spans="2:6">
      <c r="B2888">
        <v>2016</v>
      </c>
      <c r="C2888" t="s">
        <v>42</v>
      </c>
      <c r="D2888" t="s">
        <v>184</v>
      </c>
      <c r="E2888" t="s">
        <v>8</v>
      </c>
      <c r="F2888">
        <v>7.4307384490966797</v>
      </c>
    </row>
    <row r="2889" spans="2:6">
      <c r="B2889">
        <v>2016</v>
      </c>
      <c r="C2889" t="s">
        <v>42</v>
      </c>
      <c r="D2889" t="s">
        <v>184</v>
      </c>
      <c r="E2889" t="s">
        <v>9</v>
      </c>
      <c r="F2889">
        <v>0.61620485782623291</v>
      </c>
    </row>
    <row r="2890" spans="2:6">
      <c r="B2890">
        <v>2016</v>
      </c>
      <c r="C2890" t="s">
        <v>42</v>
      </c>
      <c r="D2890" t="s">
        <v>184</v>
      </c>
      <c r="E2890" t="s">
        <v>10</v>
      </c>
      <c r="F2890">
        <v>47.200000762939453</v>
      </c>
    </row>
    <row r="2891" spans="2:6">
      <c r="B2891">
        <v>2016</v>
      </c>
      <c r="C2891" t="s">
        <v>42</v>
      </c>
      <c r="D2891" t="s">
        <v>184</v>
      </c>
      <c r="E2891" t="s">
        <v>11</v>
      </c>
      <c r="F2891">
        <v>0.52522212266921997</v>
      </c>
    </row>
    <row r="2892" spans="2:6">
      <c r="B2892">
        <v>2016</v>
      </c>
      <c r="C2892" t="s">
        <v>42</v>
      </c>
      <c r="D2892" t="s">
        <v>184</v>
      </c>
      <c r="E2892" t="s">
        <v>12</v>
      </c>
      <c r="F2892">
        <v>5.2052285522222519E-2</v>
      </c>
    </row>
    <row r="2893" spans="2:6">
      <c r="B2893">
        <v>2016</v>
      </c>
      <c r="C2893" t="s">
        <v>42</v>
      </c>
      <c r="D2893" t="s">
        <v>184</v>
      </c>
      <c r="E2893" t="s">
        <v>13</v>
      </c>
      <c r="F2893">
        <v>0.81978887319564819</v>
      </c>
    </row>
    <row r="2894" spans="2:6">
      <c r="B2894">
        <v>2016</v>
      </c>
      <c r="C2894" t="s">
        <v>42</v>
      </c>
      <c r="D2894" t="s">
        <v>184</v>
      </c>
      <c r="E2894" t="s">
        <v>14</v>
      </c>
      <c r="F2894">
        <v>0.5824582576751709</v>
      </c>
    </row>
    <row r="2895" spans="2:6">
      <c r="B2895">
        <v>2016</v>
      </c>
      <c r="C2895" t="s">
        <v>42</v>
      </c>
      <c r="D2895" t="s">
        <v>184</v>
      </c>
      <c r="E2895" t="s">
        <v>15</v>
      </c>
      <c r="F2895">
        <v>0.46756675839424133</v>
      </c>
    </row>
    <row r="2896" spans="2:6">
      <c r="B2896">
        <v>2017</v>
      </c>
      <c r="C2896" t="s">
        <v>42</v>
      </c>
      <c r="D2896" t="s">
        <v>184</v>
      </c>
      <c r="E2896" t="s">
        <v>7</v>
      </c>
      <c r="F2896">
        <v>4.5589370727539063</v>
      </c>
    </row>
    <row r="2897" spans="2:6">
      <c r="B2897">
        <v>2017</v>
      </c>
      <c r="C2897" t="s">
        <v>42</v>
      </c>
      <c r="D2897" t="s">
        <v>184</v>
      </c>
      <c r="E2897" t="s">
        <v>8</v>
      </c>
      <c r="F2897">
        <v>7.3696203231811523</v>
      </c>
    </row>
    <row r="2898" spans="2:6">
      <c r="B2898">
        <v>2017</v>
      </c>
      <c r="C2898" t="s">
        <v>42</v>
      </c>
      <c r="D2898" t="s">
        <v>184</v>
      </c>
      <c r="E2898" t="s">
        <v>9</v>
      </c>
      <c r="F2898">
        <v>0.66061556339263916</v>
      </c>
    </row>
    <row r="2899" spans="2:6">
      <c r="B2899">
        <v>2017</v>
      </c>
      <c r="C2899" t="s">
        <v>42</v>
      </c>
      <c r="D2899" t="s">
        <v>184</v>
      </c>
      <c r="E2899" t="s">
        <v>10</v>
      </c>
      <c r="F2899">
        <v>47.700000762939453</v>
      </c>
    </row>
    <row r="2900" spans="2:6">
      <c r="B2900">
        <v>2017</v>
      </c>
      <c r="C2900" t="s">
        <v>42</v>
      </c>
      <c r="D2900" t="s">
        <v>184</v>
      </c>
      <c r="E2900" t="s">
        <v>11</v>
      </c>
      <c r="F2900">
        <v>0.61484968662261963</v>
      </c>
    </row>
    <row r="2901" spans="2:6">
      <c r="B2901">
        <v>2017</v>
      </c>
      <c r="C2901" t="s">
        <v>42</v>
      </c>
      <c r="D2901" t="s">
        <v>184</v>
      </c>
      <c r="E2901" t="s">
        <v>12</v>
      </c>
      <c r="F2901">
        <v>7.8752879053354263E-3</v>
      </c>
    </row>
    <row r="2902" spans="2:6">
      <c r="B2902">
        <v>2017</v>
      </c>
      <c r="C2902" t="s">
        <v>42</v>
      </c>
      <c r="D2902" t="s">
        <v>184</v>
      </c>
      <c r="E2902" t="s">
        <v>13</v>
      </c>
      <c r="F2902">
        <v>0.79238992929458618</v>
      </c>
    </row>
    <row r="2903" spans="2:6">
      <c r="B2903">
        <v>2017</v>
      </c>
      <c r="C2903" t="s">
        <v>42</v>
      </c>
      <c r="D2903" t="s">
        <v>184</v>
      </c>
      <c r="E2903" t="s">
        <v>14</v>
      </c>
      <c r="F2903">
        <v>0.6275031566619873</v>
      </c>
    </row>
    <row r="2904" spans="2:6">
      <c r="B2904">
        <v>2017</v>
      </c>
      <c r="C2904" t="s">
        <v>42</v>
      </c>
      <c r="D2904" t="s">
        <v>184</v>
      </c>
      <c r="E2904" t="s">
        <v>15</v>
      </c>
      <c r="F2904">
        <v>0.53824543952941895</v>
      </c>
    </row>
    <row r="2905" spans="2:6">
      <c r="B2905">
        <v>2018</v>
      </c>
      <c r="C2905" t="s">
        <v>42</v>
      </c>
      <c r="D2905" t="s">
        <v>184</v>
      </c>
      <c r="E2905" t="s">
        <v>7</v>
      </c>
      <c r="F2905">
        <v>4.4863252639770508</v>
      </c>
    </row>
    <row r="2906" spans="2:6">
      <c r="B2906">
        <v>2018</v>
      </c>
      <c r="C2906" t="s">
        <v>42</v>
      </c>
      <c r="D2906" t="s">
        <v>184</v>
      </c>
      <c r="E2906" t="s">
        <v>8</v>
      </c>
      <c r="F2906">
        <v>7.3628473281860352</v>
      </c>
    </row>
    <row r="2907" spans="2:6">
      <c r="B2907">
        <v>2018</v>
      </c>
      <c r="C2907" t="s">
        <v>42</v>
      </c>
      <c r="D2907" t="s">
        <v>184</v>
      </c>
      <c r="E2907" t="s">
        <v>9</v>
      </c>
      <c r="F2907">
        <v>0.57725358009338379</v>
      </c>
    </row>
    <row r="2908" spans="2:6">
      <c r="B2908">
        <v>2018</v>
      </c>
      <c r="C2908" t="s">
        <v>42</v>
      </c>
      <c r="D2908" t="s">
        <v>184</v>
      </c>
      <c r="E2908" t="s">
        <v>10</v>
      </c>
      <c r="F2908">
        <v>48.200000762939453</v>
      </c>
    </row>
    <row r="2909" spans="2:6">
      <c r="B2909">
        <v>2018</v>
      </c>
      <c r="C2909" t="s">
        <v>42</v>
      </c>
      <c r="D2909" t="s">
        <v>184</v>
      </c>
      <c r="E2909" t="s">
        <v>11</v>
      </c>
      <c r="F2909">
        <v>0.65035456418991089</v>
      </c>
    </row>
    <row r="2910" spans="2:6">
      <c r="B2910">
        <v>2018</v>
      </c>
      <c r="C2910" t="s">
        <v>42</v>
      </c>
      <c r="D2910" t="s">
        <v>184</v>
      </c>
      <c r="E2910" t="s">
        <v>12</v>
      </c>
      <c r="F2910">
        <v>2.4237306788563728E-2</v>
      </c>
    </row>
    <row r="2911" spans="2:6">
      <c r="B2911">
        <v>2018</v>
      </c>
      <c r="C2911" t="s">
        <v>42</v>
      </c>
      <c r="D2911" t="s">
        <v>184</v>
      </c>
      <c r="E2911" t="s">
        <v>13</v>
      </c>
      <c r="F2911">
        <v>0.76287931203842163</v>
      </c>
    </row>
    <row r="2912" spans="2:6">
      <c r="B2912">
        <v>2018</v>
      </c>
      <c r="C2912" t="s">
        <v>42</v>
      </c>
      <c r="D2912" t="s">
        <v>184</v>
      </c>
      <c r="E2912" t="s">
        <v>14</v>
      </c>
      <c r="F2912">
        <v>0.55273729562759399</v>
      </c>
    </row>
    <row r="2913" spans="2:6">
      <c r="B2913">
        <v>2018</v>
      </c>
      <c r="C2913" t="s">
        <v>42</v>
      </c>
      <c r="D2913" t="s">
        <v>184</v>
      </c>
      <c r="E2913" t="s">
        <v>15</v>
      </c>
      <c r="F2913">
        <v>0.54383623600006104</v>
      </c>
    </row>
    <row r="2914" spans="2:6">
      <c r="B2914">
        <v>2019</v>
      </c>
      <c r="C2914" t="s">
        <v>42</v>
      </c>
      <c r="D2914" t="s">
        <v>184</v>
      </c>
      <c r="E2914" t="s">
        <v>7</v>
      </c>
      <c r="F2914">
        <v>4.2507991790771484</v>
      </c>
    </row>
    <row r="2915" spans="2:6">
      <c r="B2915">
        <v>2019</v>
      </c>
      <c r="C2915" t="s">
        <v>42</v>
      </c>
      <c r="D2915" t="s">
        <v>184</v>
      </c>
      <c r="E2915" t="s">
        <v>8</v>
      </c>
      <c r="F2915">
        <v>7.3649439811706543</v>
      </c>
    </row>
    <row r="2916" spans="2:6">
      <c r="B2916">
        <v>2019</v>
      </c>
      <c r="C2916" t="s">
        <v>42</v>
      </c>
      <c r="D2916" t="s">
        <v>184</v>
      </c>
      <c r="E2916" t="s">
        <v>9</v>
      </c>
      <c r="F2916">
        <v>0.64045208692550659</v>
      </c>
    </row>
    <row r="2917" spans="2:6">
      <c r="B2917">
        <v>2019</v>
      </c>
      <c r="C2917" t="s">
        <v>42</v>
      </c>
      <c r="D2917" t="s">
        <v>184</v>
      </c>
      <c r="E2917" t="s">
        <v>10</v>
      </c>
      <c r="F2917">
        <v>48.700000762939453</v>
      </c>
    </row>
    <row r="2918" spans="2:6">
      <c r="B2918">
        <v>2019</v>
      </c>
      <c r="C2918" t="s">
        <v>42</v>
      </c>
      <c r="D2918" t="s">
        <v>184</v>
      </c>
      <c r="E2918" t="s">
        <v>11</v>
      </c>
      <c r="F2918">
        <v>0.53724569082260132</v>
      </c>
    </row>
    <row r="2919" spans="2:6">
      <c r="B2919">
        <v>2019</v>
      </c>
      <c r="C2919" t="s">
        <v>42</v>
      </c>
      <c r="D2919" t="s">
        <v>184</v>
      </c>
      <c r="E2919" t="s">
        <v>12</v>
      </c>
      <c r="F2919">
        <v>5.5000938475131989E-2</v>
      </c>
    </row>
    <row r="2920" spans="2:6">
      <c r="B2920">
        <v>2019</v>
      </c>
      <c r="C2920" t="s">
        <v>42</v>
      </c>
      <c r="D2920" t="s">
        <v>184</v>
      </c>
      <c r="E2920" t="s">
        <v>13</v>
      </c>
      <c r="F2920">
        <v>0.83228349685668945</v>
      </c>
    </row>
    <row r="2921" spans="2:6">
      <c r="B2921">
        <v>2019</v>
      </c>
      <c r="C2921" t="s">
        <v>42</v>
      </c>
      <c r="D2921" t="s">
        <v>184</v>
      </c>
      <c r="E2921" t="s">
        <v>14</v>
      </c>
      <c r="F2921">
        <v>0.58721119165420532</v>
      </c>
    </row>
    <row r="2922" spans="2:6">
      <c r="B2922">
        <v>2019</v>
      </c>
      <c r="C2922" t="s">
        <v>42</v>
      </c>
      <c r="D2922" t="s">
        <v>184</v>
      </c>
      <c r="E2922" t="s">
        <v>15</v>
      </c>
      <c r="F2922">
        <v>0.46006128191947937</v>
      </c>
    </row>
    <row r="2923" spans="2:6">
      <c r="B2923">
        <v>2006</v>
      </c>
      <c r="C2923" t="s">
        <v>43</v>
      </c>
      <c r="D2923" t="s">
        <v>185</v>
      </c>
      <c r="E2923" t="s">
        <v>7</v>
      </c>
      <c r="F2923">
        <v>6.0628519058227539</v>
      </c>
    </row>
    <row r="2924" spans="2:6">
      <c r="B2924">
        <v>2006</v>
      </c>
      <c r="C2924" t="s">
        <v>43</v>
      </c>
      <c r="D2924" t="s">
        <v>185</v>
      </c>
      <c r="E2924" t="s">
        <v>8</v>
      </c>
      <c r="F2924">
        <v>9.8499078750610352</v>
      </c>
    </row>
    <row r="2925" spans="2:6">
      <c r="B2925">
        <v>2006</v>
      </c>
      <c r="C2925" t="s">
        <v>43</v>
      </c>
      <c r="D2925" t="s">
        <v>185</v>
      </c>
      <c r="E2925" t="s">
        <v>9</v>
      </c>
      <c r="F2925">
        <v>0.83554363250732422</v>
      </c>
    </row>
    <row r="2926" spans="2:6">
      <c r="B2926">
        <v>2006</v>
      </c>
      <c r="C2926" t="s">
        <v>43</v>
      </c>
      <c r="D2926" t="s">
        <v>185</v>
      </c>
      <c r="E2926" t="s">
        <v>10</v>
      </c>
      <c r="F2926">
        <v>68.660003662109375</v>
      </c>
    </row>
    <row r="2927" spans="2:6">
      <c r="B2927">
        <v>2006</v>
      </c>
      <c r="C2927" t="s">
        <v>43</v>
      </c>
      <c r="D2927" t="s">
        <v>185</v>
      </c>
      <c r="E2927" t="s">
        <v>11</v>
      </c>
      <c r="F2927">
        <v>0.74429190158843994</v>
      </c>
    </row>
    <row r="2928" spans="2:6">
      <c r="B2928">
        <v>2006</v>
      </c>
      <c r="C2928" t="s">
        <v>43</v>
      </c>
      <c r="D2928" t="s">
        <v>185</v>
      </c>
      <c r="E2928" t="s">
        <v>12</v>
      </c>
      <c r="F2928">
        <v>0.16837505996227264</v>
      </c>
    </row>
    <row r="2929" spans="2:6">
      <c r="B2929">
        <v>2006</v>
      </c>
      <c r="C2929" t="s">
        <v>43</v>
      </c>
      <c r="D2929" t="s">
        <v>185</v>
      </c>
      <c r="E2929" t="s">
        <v>13</v>
      </c>
      <c r="F2929">
        <v>0.63362985849380493</v>
      </c>
    </row>
    <row r="2930" spans="2:6">
      <c r="B2930">
        <v>2006</v>
      </c>
      <c r="C2930" t="s">
        <v>43</v>
      </c>
      <c r="D2930" t="s">
        <v>185</v>
      </c>
      <c r="E2930" t="s">
        <v>14</v>
      </c>
      <c r="F2930">
        <v>0.80413597822189331</v>
      </c>
    </row>
    <row r="2931" spans="2:6">
      <c r="B2931">
        <v>2006</v>
      </c>
      <c r="C2931" t="s">
        <v>43</v>
      </c>
      <c r="D2931" t="s">
        <v>185</v>
      </c>
      <c r="E2931" t="s">
        <v>15</v>
      </c>
      <c r="F2931">
        <v>0.34765687584877014</v>
      </c>
    </row>
    <row r="2932" spans="2:6">
      <c r="B2932">
        <v>2007</v>
      </c>
      <c r="C2932" t="s">
        <v>43</v>
      </c>
      <c r="D2932" t="s">
        <v>185</v>
      </c>
      <c r="E2932" t="s">
        <v>7</v>
      </c>
      <c r="F2932">
        <v>5.697929859161377</v>
      </c>
    </row>
    <row r="2933" spans="2:6">
      <c r="B2933">
        <v>2007</v>
      </c>
      <c r="C2933" t="s">
        <v>43</v>
      </c>
      <c r="D2933" t="s">
        <v>185</v>
      </c>
      <c r="E2933" t="s">
        <v>8</v>
      </c>
      <c r="F2933">
        <v>9.8871097564697266</v>
      </c>
    </row>
    <row r="2934" spans="2:6">
      <c r="B2934">
        <v>2007</v>
      </c>
      <c r="C2934" t="s">
        <v>43</v>
      </c>
      <c r="D2934" t="s">
        <v>185</v>
      </c>
      <c r="E2934" t="s">
        <v>9</v>
      </c>
      <c r="F2934">
        <v>0.8146209716796875</v>
      </c>
    </row>
    <row r="2935" spans="2:6">
      <c r="B2935">
        <v>2007</v>
      </c>
      <c r="C2935" t="s">
        <v>43</v>
      </c>
      <c r="D2935" t="s">
        <v>185</v>
      </c>
      <c r="E2935" t="s">
        <v>10</v>
      </c>
      <c r="F2935">
        <v>68.720001220703125</v>
      </c>
    </row>
    <row r="2936" spans="2:6">
      <c r="B2936">
        <v>2007</v>
      </c>
      <c r="C2936" t="s">
        <v>43</v>
      </c>
      <c r="D2936" t="s">
        <v>185</v>
      </c>
      <c r="E2936" t="s">
        <v>11</v>
      </c>
      <c r="F2936">
        <v>0.66190510988235474</v>
      </c>
    </row>
    <row r="2937" spans="2:6">
      <c r="B2937">
        <v>2007</v>
      </c>
      <c r="C2937" t="s">
        <v>43</v>
      </c>
      <c r="D2937" t="s">
        <v>185</v>
      </c>
      <c r="E2937" t="s">
        <v>12</v>
      </c>
      <c r="F2937">
        <v>0.24390743672847748</v>
      </c>
    </row>
    <row r="2938" spans="2:6">
      <c r="B2938">
        <v>2007</v>
      </c>
      <c r="C2938" t="s">
        <v>43</v>
      </c>
      <c r="D2938" t="s">
        <v>185</v>
      </c>
      <c r="E2938" t="s">
        <v>13</v>
      </c>
      <c r="F2938">
        <v>0.72267055511474609</v>
      </c>
    </row>
    <row r="2939" spans="2:6">
      <c r="B2939">
        <v>2007</v>
      </c>
      <c r="C2939" t="s">
        <v>43</v>
      </c>
      <c r="D2939" t="s">
        <v>185</v>
      </c>
      <c r="E2939" t="s">
        <v>14</v>
      </c>
      <c r="F2939">
        <v>0.7669786810874939</v>
      </c>
    </row>
    <row r="2940" spans="2:6">
      <c r="B2940">
        <v>2007</v>
      </c>
      <c r="C2940" t="s">
        <v>43</v>
      </c>
      <c r="D2940" t="s">
        <v>185</v>
      </c>
      <c r="E2940" t="s">
        <v>15</v>
      </c>
      <c r="F2940">
        <v>0.3422619104385376</v>
      </c>
    </row>
    <row r="2941" spans="2:6">
      <c r="B2941">
        <v>2008</v>
      </c>
      <c r="C2941" t="s">
        <v>43</v>
      </c>
      <c r="D2941" t="s">
        <v>185</v>
      </c>
      <c r="E2941" t="s">
        <v>7</v>
      </c>
      <c r="F2941">
        <v>5.7894387245178223</v>
      </c>
    </row>
    <row r="2942" spans="2:6">
      <c r="B2942">
        <v>2008</v>
      </c>
      <c r="C2942" t="s">
        <v>43</v>
      </c>
      <c r="D2942" t="s">
        <v>185</v>
      </c>
      <c r="E2942" t="s">
        <v>8</v>
      </c>
      <c r="F2942">
        <v>9.9110822677612305</v>
      </c>
    </row>
    <row r="2943" spans="2:6">
      <c r="B2943">
        <v>2008</v>
      </c>
      <c r="C2943" t="s">
        <v>43</v>
      </c>
      <c r="D2943" t="s">
        <v>185</v>
      </c>
      <c r="E2943" t="s">
        <v>9</v>
      </c>
      <c r="F2943">
        <v>0.80375856161117554</v>
      </c>
    </row>
    <row r="2944" spans="2:6">
      <c r="B2944">
        <v>2008</v>
      </c>
      <c r="C2944" t="s">
        <v>43</v>
      </c>
      <c r="D2944" t="s">
        <v>185</v>
      </c>
      <c r="E2944" t="s">
        <v>10</v>
      </c>
      <c r="F2944">
        <v>68.779998779296875</v>
      </c>
    </row>
    <row r="2945" spans="2:6">
      <c r="B2945">
        <v>2008</v>
      </c>
      <c r="C2945" t="s">
        <v>43</v>
      </c>
      <c r="D2945" t="s">
        <v>185</v>
      </c>
      <c r="E2945" t="s">
        <v>11</v>
      </c>
      <c r="F2945">
        <v>0.64020168781280518</v>
      </c>
    </row>
    <row r="2946" spans="2:6">
      <c r="B2946">
        <v>2008</v>
      </c>
      <c r="C2946" t="s">
        <v>43</v>
      </c>
      <c r="D2946" t="s">
        <v>185</v>
      </c>
      <c r="E2946" t="s">
        <v>12</v>
      </c>
      <c r="F2946">
        <v>8.384270966053009E-2</v>
      </c>
    </row>
    <row r="2947" spans="2:6">
      <c r="B2947">
        <v>2008</v>
      </c>
      <c r="C2947" t="s">
        <v>43</v>
      </c>
      <c r="D2947" t="s">
        <v>185</v>
      </c>
      <c r="E2947" t="s">
        <v>13</v>
      </c>
      <c r="F2947">
        <v>0.74066734313964844</v>
      </c>
    </row>
    <row r="2948" spans="2:6">
      <c r="B2948">
        <v>2008</v>
      </c>
      <c r="C2948" t="s">
        <v>43</v>
      </c>
      <c r="D2948" t="s">
        <v>185</v>
      </c>
      <c r="E2948" t="s">
        <v>14</v>
      </c>
      <c r="F2948">
        <v>0.75652414560317993</v>
      </c>
    </row>
    <row r="2949" spans="2:6">
      <c r="B2949">
        <v>2008</v>
      </c>
      <c r="C2949" t="s">
        <v>43</v>
      </c>
      <c r="D2949" t="s">
        <v>185</v>
      </c>
      <c r="E2949" t="s">
        <v>15</v>
      </c>
      <c r="F2949">
        <v>0.32970321178436279</v>
      </c>
    </row>
    <row r="2950" spans="2:6">
      <c r="B2950">
        <v>2009</v>
      </c>
      <c r="C2950" t="s">
        <v>43</v>
      </c>
      <c r="D2950" t="s">
        <v>185</v>
      </c>
      <c r="E2950" t="s">
        <v>7</v>
      </c>
      <c r="F2950">
        <v>6.4936861991882324</v>
      </c>
    </row>
    <row r="2951" spans="2:6">
      <c r="B2951">
        <v>2009</v>
      </c>
      <c r="C2951" t="s">
        <v>43</v>
      </c>
      <c r="D2951" t="s">
        <v>185</v>
      </c>
      <c r="E2951" t="s">
        <v>8</v>
      </c>
      <c r="F2951">
        <v>9.8847236633300781</v>
      </c>
    </row>
    <row r="2952" spans="2:6">
      <c r="B2952">
        <v>2009</v>
      </c>
      <c r="C2952" t="s">
        <v>43</v>
      </c>
      <c r="D2952" t="s">
        <v>185</v>
      </c>
      <c r="E2952" t="s">
        <v>9</v>
      </c>
      <c r="F2952">
        <v>0.83158183097839355</v>
      </c>
    </row>
    <row r="2953" spans="2:6">
      <c r="B2953">
        <v>2009</v>
      </c>
      <c r="C2953" t="s">
        <v>43</v>
      </c>
      <c r="D2953" t="s">
        <v>185</v>
      </c>
      <c r="E2953" t="s">
        <v>10</v>
      </c>
      <c r="F2953">
        <v>68.839996337890625</v>
      </c>
    </row>
    <row r="2954" spans="2:6">
      <c r="B2954">
        <v>2009</v>
      </c>
      <c r="C2954" t="s">
        <v>43</v>
      </c>
      <c r="D2954" t="s">
        <v>185</v>
      </c>
      <c r="E2954" t="s">
        <v>11</v>
      </c>
      <c r="F2954">
        <v>0.74661403894424438</v>
      </c>
    </row>
    <row r="2955" spans="2:6">
      <c r="B2955">
        <v>2009</v>
      </c>
      <c r="C2955" t="s">
        <v>43</v>
      </c>
      <c r="D2955" t="s">
        <v>185</v>
      </c>
      <c r="E2955" t="s">
        <v>12</v>
      </c>
      <c r="F2955">
        <v>0.1492118239402771</v>
      </c>
    </row>
    <row r="2956" spans="2:6">
      <c r="B2956">
        <v>2009</v>
      </c>
      <c r="C2956" t="s">
        <v>43</v>
      </c>
      <c r="D2956" t="s">
        <v>185</v>
      </c>
      <c r="E2956" t="s">
        <v>13</v>
      </c>
      <c r="F2956">
        <v>0.73421144485473633</v>
      </c>
    </row>
    <row r="2957" spans="2:6">
      <c r="B2957">
        <v>2009</v>
      </c>
      <c r="C2957" t="s">
        <v>43</v>
      </c>
      <c r="D2957" t="s">
        <v>185</v>
      </c>
      <c r="E2957" t="s">
        <v>14</v>
      </c>
      <c r="F2957">
        <v>0.80831372737884521</v>
      </c>
    </row>
    <row r="2958" spans="2:6">
      <c r="B2958">
        <v>2009</v>
      </c>
      <c r="C2958" t="s">
        <v>43</v>
      </c>
      <c r="D2958" t="s">
        <v>185</v>
      </c>
      <c r="E2958" t="s">
        <v>15</v>
      </c>
      <c r="F2958">
        <v>0.29989117383956909</v>
      </c>
    </row>
    <row r="2959" spans="2:6">
      <c r="B2959">
        <v>2010</v>
      </c>
      <c r="C2959" t="s">
        <v>43</v>
      </c>
      <c r="D2959" t="s">
        <v>185</v>
      </c>
      <c r="E2959" t="s">
        <v>7</v>
      </c>
      <c r="F2959">
        <v>6.6356558799743652</v>
      </c>
    </row>
    <row r="2960" spans="2:6">
      <c r="B2960">
        <v>2010</v>
      </c>
      <c r="C2960" t="s">
        <v>43</v>
      </c>
      <c r="D2960" t="s">
        <v>185</v>
      </c>
      <c r="E2960" t="s">
        <v>8</v>
      </c>
      <c r="F2960">
        <v>9.9311323165893555</v>
      </c>
    </row>
    <row r="2961" spans="2:6">
      <c r="B2961">
        <v>2010</v>
      </c>
      <c r="C2961" t="s">
        <v>43</v>
      </c>
      <c r="D2961" t="s">
        <v>185</v>
      </c>
      <c r="E2961" t="s">
        <v>9</v>
      </c>
      <c r="F2961">
        <v>0.85695523023605347</v>
      </c>
    </row>
    <row r="2962" spans="2:6">
      <c r="B2962">
        <v>2010</v>
      </c>
      <c r="C2962" t="s">
        <v>43</v>
      </c>
      <c r="D2962" t="s">
        <v>185</v>
      </c>
      <c r="E2962" t="s">
        <v>10</v>
      </c>
      <c r="F2962">
        <v>68.900001525878906</v>
      </c>
    </row>
    <row r="2963" spans="2:6">
      <c r="B2963">
        <v>2010</v>
      </c>
      <c r="C2963" t="s">
        <v>43</v>
      </c>
      <c r="D2963" t="s">
        <v>185</v>
      </c>
      <c r="E2963" t="s">
        <v>11</v>
      </c>
      <c r="F2963">
        <v>0.78636747598648071</v>
      </c>
    </row>
    <row r="2964" spans="2:6">
      <c r="B2964">
        <v>2010</v>
      </c>
      <c r="C2964" t="s">
        <v>43</v>
      </c>
      <c r="D2964" t="s">
        <v>185</v>
      </c>
      <c r="E2964" t="s">
        <v>12</v>
      </c>
      <c r="F2964">
        <v>0.10783441364765167</v>
      </c>
    </row>
    <row r="2965" spans="2:6">
      <c r="B2965">
        <v>2010</v>
      </c>
      <c r="C2965" t="s">
        <v>43</v>
      </c>
      <c r="D2965" t="s">
        <v>185</v>
      </c>
      <c r="E2965" t="s">
        <v>13</v>
      </c>
      <c r="F2965">
        <v>0.70182472467422485</v>
      </c>
    </row>
    <row r="2966" spans="2:6">
      <c r="B2966">
        <v>2010</v>
      </c>
      <c r="C2966" t="s">
        <v>43</v>
      </c>
      <c r="D2966" t="s">
        <v>185</v>
      </c>
      <c r="E2966" t="s">
        <v>14</v>
      </c>
      <c r="F2966">
        <v>0.80917298793792725</v>
      </c>
    </row>
    <row r="2967" spans="2:6">
      <c r="B2967">
        <v>2010</v>
      </c>
      <c r="C2967" t="s">
        <v>43</v>
      </c>
      <c r="D2967" t="s">
        <v>185</v>
      </c>
      <c r="E2967" t="s">
        <v>15</v>
      </c>
      <c r="F2967">
        <v>0.30011668801307678</v>
      </c>
    </row>
    <row r="2968" spans="2:6">
      <c r="B2968">
        <v>2011</v>
      </c>
      <c r="C2968" t="s">
        <v>43</v>
      </c>
      <c r="D2968" t="s">
        <v>185</v>
      </c>
      <c r="E2968" t="s">
        <v>7</v>
      </c>
      <c r="F2968">
        <v>6.5263347625732422</v>
      </c>
    </row>
    <row r="2969" spans="2:6">
      <c r="B2969">
        <v>2011</v>
      </c>
      <c r="C2969" t="s">
        <v>43</v>
      </c>
      <c r="D2969" t="s">
        <v>185</v>
      </c>
      <c r="E2969" t="s">
        <v>8</v>
      </c>
      <c r="F2969">
        <v>9.9804725646972656</v>
      </c>
    </row>
    <row r="2970" spans="2:6">
      <c r="B2970">
        <v>2011</v>
      </c>
      <c r="C2970" t="s">
        <v>43</v>
      </c>
      <c r="D2970" t="s">
        <v>185</v>
      </c>
      <c r="E2970" t="s">
        <v>9</v>
      </c>
      <c r="F2970">
        <v>0.81907886266708374</v>
      </c>
    </row>
    <row r="2971" spans="2:6">
      <c r="B2971">
        <v>2011</v>
      </c>
      <c r="C2971" t="s">
        <v>43</v>
      </c>
      <c r="D2971" t="s">
        <v>185</v>
      </c>
      <c r="E2971" t="s">
        <v>10</v>
      </c>
      <c r="F2971">
        <v>69.040000915527344</v>
      </c>
    </row>
    <row r="2972" spans="2:6">
      <c r="B2972">
        <v>2011</v>
      </c>
      <c r="C2972" t="s">
        <v>43</v>
      </c>
      <c r="D2972" t="s">
        <v>185</v>
      </c>
      <c r="E2972" t="s">
        <v>11</v>
      </c>
      <c r="F2972">
        <v>0.70073413848876953</v>
      </c>
    </row>
    <row r="2973" spans="2:6">
      <c r="B2973">
        <v>2011</v>
      </c>
      <c r="C2973" t="s">
        <v>43</v>
      </c>
      <c r="D2973" t="s">
        <v>185</v>
      </c>
      <c r="E2973" t="s">
        <v>12</v>
      </c>
      <c r="F2973">
        <v>0.11165982484817505</v>
      </c>
    </row>
    <row r="2974" spans="2:6">
      <c r="B2974">
        <v>2011</v>
      </c>
      <c r="C2974" t="s">
        <v>43</v>
      </c>
      <c r="D2974" t="s">
        <v>185</v>
      </c>
      <c r="E2974" t="s">
        <v>13</v>
      </c>
      <c r="F2974">
        <v>0.75275552272796631</v>
      </c>
    </row>
    <row r="2975" spans="2:6">
      <c r="B2975">
        <v>2011</v>
      </c>
      <c r="C2975" t="s">
        <v>43</v>
      </c>
      <c r="D2975" t="s">
        <v>185</v>
      </c>
      <c r="E2975" t="s">
        <v>14</v>
      </c>
      <c r="F2975">
        <v>0.80374348163604736</v>
      </c>
    </row>
    <row r="2976" spans="2:6">
      <c r="B2976">
        <v>2011</v>
      </c>
      <c r="C2976" t="s">
        <v>43</v>
      </c>
      <c r="D2976" t="s">
        <v>185</v>
      </c>
      <c r="E2976" t="s">
        <v>15</v>
      </c>
      <c r="F2976">
        <v>0.31687617301940918</v>
      </c>
    </row>
    <row r="2977" spans="2:6">
      <c r="B2977">
        <v>2012</v>
      </c>
      <c r="C2977" t="s">
        <v>43</v>
      </c>
      <c r="D2977" t="s">
        <v>185</v>
      </c>
      <c r="E2977" t="s">
        <v>7</v>
      </c>
      <c r="F2977">
        <v>6.5991287231445313</v>
      </c>
    </row>
    <row r="2978" spans="2:6">
      <c r="B2978">
        <v>2012</v>
      </c>
      <c r="C2978" t="s">
        <v>43</v>
      </c>
      <c r="D2978" t="s">
        <v>185</v>
      </c>
      <c r="E2978" t="s">
        <v>8</v>
      </c>
      <c r="F2978">
        <v>10.022662162780762</v>
      </c>
    </row>
    <row r="2979" spans="2:6">
      <c r="B2979">
        <v>2012</v>
      </c>
      <c r="C2979" t="s">
        <v>43</v>
      </c>
      <c r="D2979" t="s">
        <v>185</v>
      </c>
      <c r="E2979" t="s">
        <v>9</v>
      </c>
      <c r="F2979">
        <v>0.85523557662963867</v>
      </c>
    </row>
    <row r="2980" spans="2:6">
      <c r="B2980">
        <v>2012</v>
      </c>
      <c r="C2980" t="s">
        <v>43</v>
      </c>
      <c r="D2980" t="s">
        <v>185</v>
      </c>
      <c r="E2980" t="s">
        <v>10</v>
      </c>
      <c r="F2980">
        <v>69.180000305175781</v>
      </c>
    </row>
    <row r="2981" spans="2:6">
      <c r="B2981">
        <v>2012</v>
      </c>
      <c r="C2981" t="s">
        <v>43</v>
      </c>
      <c r="D2981" t="s">
        <v>185</v>
      </c>
      <c r="E2981" t="s">
        <v>11</v>
      </c>
      <c r="F2981">
        <v>0.73361092805862427</v>
      </c>
    </row>
    <row r="2982" spans="2:6">
      <c r="B2982">
        <v>2012</v>
      </c>
      <c r="C2982" t="s">
        <v>43</v>
      </c>
      <c r="D2982" t="s">
        <v>185</v>
      </c>
      <c r="E2982" t="s">
        <v>12</v>
      </c>
      <c r="F2982">
        <v>0.19519315659999847</v>
      </c>
    </row>
    <row r="2983" spans="2:6">
      <c r="B2983">
        <v>2012</v>
      </c>
      <c r="C2983" t="s">
        <v>43</v>
      </c>
      <c r="D2983" t="s">
        <v>185</v>
      </c>
      <c r="E2983" t="s">
        <v>13</v>
      </c>
      <c r="F2983">
        <v>0.78211742639541626</v>
      </c>
    </row>
    <row r="2984" spans="2:6">
      <c r="B2984">
        <v>2012</v>
      </c>
      <c r="C2984" t="s">
        <v>43</v>
      </c>
      <c r="D2984" t="s">
        <v>185</v>
      </c>
      <c r="E2984" t="s">
        <v>14</v>
      </c>
      <c r="F2984">
        <v>0.8153911828994751</v>
      </c>
    </row>
    <row r="2985" spans="2:6">
      <c r="B2985">
        <v>2012</v>
      </c>
      <c r="C2985" t="s">
        <v>43</v>
      </c>
      <c r="D2985" t="s">
        <v>185</v>
      </c>
      <c r="E2985" t="s">
        <v>15</v>
      </c>
      <c r="F2985">
        <v>0.28759211301803589</v>
      </c>
    </row>
    <row r="2986" spans="2:6">
      <c r="B2986">
        <v>2013</v>
      </c>
      <c r="C2986" t="s">
        <v>43</v>
      </c>
      <c r="D2986" t="s">
        <v>185</v>
      </c>
      <c r="E2986" t="s">
        <v>7</v>
      </c>
      <c r="F2986">
        <v>6.7401537895202637</v>
      </c>
    </row>
    <row r="2987" spans="2:6">
      <c r="B2987">
        <v>2013</v>
      </c>
      <c r="C2987" t="s">
        <v>43</v>
      </c>
      <c r="D2987" t="s">
        <v>185</v>
      </c>
      <c r="E2987" t="s">
        <v>8</v>
      </c>
      <c r="F2987">
        <v>10.05252742767334</v>
      </c>
    </row>
    <row r="2988" spans="2:6">
      <c r="B2988">
        <v>2013</v>
      </c>
      <c r="C2988" t="s">
        <v>43</v>
      </c>
      <c r="D2988" t="s">
        <v>185</v>
      </c>
      <c r="E2988" t="s">
        <v>9</v>
      </c>
      <c r="F2988">
        <v>0.86240470409393311</v>
      </c>
    </row>
    <row r="2989" spans="2:6">
      <c r="B2989">
        <v>2013</v>
      </c>
      <c r="C2989" t="s">
        <v>43</v>
      </c>
      <c r="D2989" t="s">
        <v>185</v>
      </c>
      <c r="E2989" t="s">
        <v>10</v>
      </c>
      <c r="F2989">
        <v>69.319999694824219</v>
      </c>
    </row>
    <row r="2990" spans="2:6">
      <c r="B2990">
        <v>2013</v>
      </c>
      <c r="C2990" t="s">
        <v>43</v>
      </c>
      <c r="D2990" t="s">
        <v>185</v>
      </c>
      <c r="E2990" t="s">
        <v>11</v>
      </c>
      <c r="F2990">
        <v>0.73688733577728271</v>
      </c>
    </row>
    <row r="2991" spans="2:6">
      <c r="B2991">
        <v>2013</v>
      </c>
      <c r="C2991" t="s">
        <v>43</v>
      </c>
      <c r="D2991" t="s">
        <v>185</v>
      </c>
      <c r="E2991" t="s">
        <v>12</v>
      </c>
      <c r="F2991">
        <v>8.4832996129989624E-2</v>
      </c>
    </row>
    <row r="2992" spans="2:6">
      <c r="B2992">
        <v>2013</v>
      </c>
      <c r="C2992" t="s">
        <v>43</v>
      </c>
      <c r="D2992" t="s">
        <v>185</v>
      </c>
      <c r="E2992" t="s">
        <v>13</v>
      </c>
      <c r="F2992">
        <v>0.74115490913391113</v>
      </c>
    </row>
    <row r="2993" spans="2:6">
      <c r="B2993">
        <v>2013</v>
      </c>
      <c r="C2993" t="s">
        <v>43</v>
      </c>
      <c r="D2993" t="s">
        <v>185</v>
      </c>
      <c r="E2993" t="s">
        <v>14</v>
      </c>
      <c r="F2993">
        <v>0.85506218671798706</v>
      </c>
    </row>
    <row r="2994" spans="2:6">
      <c r="B2994">
        <v>2013</v>
      </c>
      <c r="C2994" t="s">
        <v>43</v>
      </c>
      <c r="D2994" t="s">
        <v>185</v>
      </c>
      <c r="E2994" t="s">
        <v>15</v>
      </c>
      <c r="F2994">
        <v>0.28545388579368591</v>
      </c>
    </row>
    <row r="2995" spans="2:6">
      <c r="B2995">
        <v>2014</v>
      </c>
      <c r="C2995" t="s">
        <v>43</v>
      </c>
      <c r="D2995" t="s">
        <v>185</v>
      </c>
      <c r="E2995" t="s">
        <v>7</v>
      </c>
      <c r="F2995">
        <v>6.84423828125</v>
      </c>
    </row>
    <row r="2996" spans="2:6">
      <c r="B2996">
        <v>2014</v>
      </c>
      <c r="C2996" t="s">
        <v>43</v>
      </c>
      <c r="D2996" t="s">
        <v>185</v>
      </c>
      <c r="E2996" t="s">
        <v>8</v>
      </c>
      <c r="F2996">
        <v>10.059429168701172</v>
      </c>
    </row>
    <row r="2997" spans="2:6">
      <c r="B2997">
        <v>2014</v>
      </c>
      <c r="C2997" t="s">
        <v>43</v>
      </c>
      <c r="D2997" t="s">
        <v>185</v>
      </c>
      <c r="E2997" t="s">
        <v>9</v>
      </c>
      <c r="F2997">
        <v>0.86155217885971069</v>
      </c>
    </row>
    <row r="2998" spans="2:6">
      <c r="B2998">
        <v>2014</v>
      </c>
      <c r="C2998" t="s">
        <v>43</v>
      </c>
      <c r="D2998" t="s">
        <v>185</v>
      </c>
      <c r="E2998" t="s">
        <v>10</v>
      </c>
      <c r="F2998">
        <v>69.459999084472656</v>
      </c>
    </row>
    <row r="2999" spans="2:6">
      <c r="B2999">
        <v>2014</v>
      </c>
      <c r="C2999" t="s">
        <v>43</v>
      </c>
      <c r="D2999" t="s">
        <v>185</v>
      </c>
      <c r="E2999" t="s">
        <v>11</v>
      </c>
      <c r="F2999">
        <v>0.73332637548446655</v>
      </c>
    </row>
    <row r="3000" spans="2:6">
      <c r="B3000">
        <v>2014</v>
      </c>
      <c r="C3000" t="s">
        <v>43</v>
      </c>
      <c r="D3000" t="s">
        <v>185</v>
      </c>
      <c r="E3000" t="s">
        <v>12</v>
      </c>
      <c r="F3000">
        <v>0.21723777055740356</v>
      </c>
    </row>
    <row r="3001" spans="2:6">
      <c r="B3001">
        <v>2014</v>
      </c>
      <c r="C3001" t="s">
        <v>43</v>
      </c>
      <c r="D3001" t="s">
        <v>185</v>
      </c>
      <c r="E3001" t="s">
        <v>13</v>
      </c>
      <c r="F3001">
        <v>0.75849771499633789</v>
      </c>
    </row>
    <row r="3002" spans="2:6">
      <c r="B3002">
        <v>2014</v>
      </c>
      <c r="C3002" t="s">
        <v>43</v>
      </c>
      <c r="D3002" t="s">
        <v>185</v>
      </c>
      <c r="E3002" t="s">
        <v>14</v>
      </c>
      <c r="F3002">
        <v>0.86981076002120972</v>
      </c>
    </row>
    <row r="3003" spans="2:6">
      <c r="B3003">
        <v>2014</v>
      </c>
      <c r="C3003" t="s">
        <v>43</v>
      </c>
      <c r="D3003" t="s">
        <v>185</v>
      </c>
      <c r="E3003" t="s">
        <v>15</v>
      </c>
      <c r="F3003">
        <v>0.27610325813293457</v>
      </c>
    </row>
    <row r="3004" spans="2:6">
      <c r="B3004">
        <v>2015</v>
      </c>
      <c r="C3004" t="s">
        <v>43</v>
      </c>
      <c r="D3004" t="s">
        <v>185</v>
      </c>
      <c r="E3004" t="s">
        <v>7</v>
      </c>
      <c r="F3004">
        <v>6.5327496528625488</v>
      </c>
    </row>
    <row r="3005" spans="2:6">
      <c r="B3005">
        <v>2015</v>
      </c>
      <c r="C3005" t="s">
        <v>43</v>
      </c>
      <c r="D3005" t="s">
        <v>185</v>
      </c>
      <c r="E3005" t="s">
        <v>8</v>
      </c>
      <c r="F3005">
        <v>10.070427894592285</v>
      </c>
    </row>
    <row r="3006" spans="2:6">
      <c r="B3006">
        <v>2015</v>
      </c>
      <c r="C3006" t="s">
        <v>43</v>
      </c>
      <c r="D3006" t="s">
        <v>185</v>
      </c>
      <c r="E3006" t="s">
        <v>9</v>
      </c>
      <c r="F3006">
        <v>0.82714188098907471</v>
      </c>
    </row>
    <row r="3007" spans="2:6">
      <c r="B3007">
        <v>2015</v>
      </c>
      <c r="C3007" t="s">
        <v>43</v>
      </c>
      <c r="D3007" t="s">
        <v>185</v>
      </c>
      <c r="E3007" t="s">
        <v>10</v>
      </c>
      <c r="F3007">
        <v>69.599998474121094</v>
      </c>
    </row>
    <row r="3008" spans="2:6">
      <c r="B3008">
        <v>2015</v>
      </c>
      <c r="C3008" t="s">
        <v>43</v>
      </c>
      <c r="D3008" t="s">
        <v>185</v>
      </c>
      <c r="E3008" t="s">
        <v>11</v>
      </c>
      <c r="F3008">
        <v>0.76888144016265869</v>
      </c>
    </row>
    <row r="3009" spans="2:6">
      <c r="B3009">
        <v>2015</v>
      </c>
      <c r="C3009" t="s">
        <v>43</v>
      </c>
      <c r="D3009" t="s">
        <v>185</v>
      </c>
      <c r="E3009" t="s">
        <v>12</v>
      </c>
      <c r="F3009">
        <v>4.0594100952148438E-2</v>
      </c>
    </row>
    <row r="3010" spans="2:6">
      <c r="B3010">
        <v>2015</v>
      </c>
      <c r="C3010" t="s">
        <v>43</v>
      </c>
      <c r="D3010" t="s">
        <v>185</v>
      </c>
      <c r="E3010" t="s">
        <v>13</v>
      </c>
      <c r="F3010">
        <v>0.8115113377571106</v>
      </c>
    </row>
    <row r="3011" spans="2:6">
      <c r="B3011">
        <v>2015</v>
      </c>
      <c r="C3011" t="s">
        <v>43</v>
      </c>
      <c r="D3011" t="s">
        <v>185</v>
      </c>
      <c r="E3011" t="s">
        <v>14</v>
      </c>
      <c r="F3011">
        <v>0.80302470922470093</v>
      </c>
    </row>
    <row r="3012" spans="2:6">
      <c r="B3012">
        <v>2015</v>
      </c>
      <c r="C3012" t="s">
        <v>43</v>
      </c>
      <c r="D3012" t="s">
        <v>185</v>
      </c>
      <c r="E3012" t="s">
        <v>15</v>
      </c>
      <c r="F3012">
        <v>0.33274674415588379</v>
      </c>
    </row>
    <row r="3013" spans="2:6">
      <c r="B3013">
        <v>2016</v>
      </c>
      <c r="C3013" t="s">
        <v>43</v>
      </c>
      <c r="D3013" t="s">
        <v>185</v>
      </c>
      <c r="E3013" t="s">
        <v>7</v>
      </c>
      <c r="F3013">
        <v>6.5790562629699707</v>
      </c>
    </row>
    <row r="3014" spans="2:6">
      <c r="B3014">
        <v>2016</v>
      </c>
      <c r="C3014" t="s">
        <v>43</v>
      </c>
      <c r="D3014" t="s">
        <v>185</v>
      </c>
      <c r="E3014" t="s">
        <v>8</v>
      </c>
      <c r="F3014">
        <v>10.074141502380371</v>
      </c>
    </row>
    <row r="3015" spans="2:6">
      <c r="B3015">
        <v>2016</v>
      </c>
      <c r="C3015" t="s">
        <v>43</v>
      </c>
      <c r="D3015" t="s">
        <v>185</v>
      </c>
      <c r="E3015" t="s">
        <v>9</v>
      </c>
      <c r="F3015">
        <v>0.84138816595077515</v>
      </c>
    </row>
    <row r="3016" spans="2:6">
      <c r="B3016">
        <v>2016</v>
      </c>
      <c r="C3016" t="s">
        <v>43</v>
      </c>
      <c r="D3016" t="s">
        <v>185</v>
      </c>
      <c r="E3016" t="s">
        <v>10</v>
      </c>
      <c r="F3016">
        <v>69.699996948242188</v>
      </c>
    </row>
    <row r="3017" spans="2:6">
      <c r="B3017">
        <v>2016</v>
      </c>
      <c r="C3017" t="s">
        <v>43</v>
      </c>
      <c r="D3017" t="s">
        <v>185</v>
      </c>
      <c r="E3017" t="s">
        <v>11</v>
      </c>
      <c r="F3017">
        <v>0.6522897481918335</v>
      </c>
    </row>
    <row r="3018" spans="2:6">
      <c r="B3018">
        <v>2016</v>
      </c>
      <c r="C3018" t="s">
        <v>43</v>
      </c>
      <c r="D3018" t="s">
        <v>185</v>
      </c>
      <c r="E3018" t="s">
        <v>12</v>
      </c>
      <c r="F3018">
        <v>0.10244280844926834</v>
      </c>
    </row>
    <row r="3019" spans="2:6">
      <c r="B3019">
        <v>2016</v>
      </c>
      <c r="C3019" t="s">
        <v>43</v>
      </c>
      <c r="D3019" t="s">
        <v>185</v>
      </c>
      <c r="E3019" t="s">
        <v>13</v>
      </c>
      <c r="F3019">
        <v>0.85812497138977051</v>
      </c>
    </row>
    <row r="3020" spans="2:6">
      <c r="B3020">
        <v>2016</v>
      </c>
      <c r="C3020" t="s">
        <v>43</v>
      </c>
      <c r="D3020" t="s">
        <v>185</v>
      </c>
      <c r="E3020" t="s">
        <v>14</v>
      </c>
      <c r="F3020">
        <v>0.86922889947891235</v>
      </c>
    </row>
    <row r="3021" spans="2:6">
      <c r="B3021">
        <v>2016</v>
      </c>
      <c r="C3021" t="s">
        <v>43</v>
      </c>
      <c r="D3021" t="s">
        <v>185</v>
      </c>
      <c r="E3021" t="s">
        <v>15</v>
      </c>
      <c r="F3021">
        <v>0.28304210305213928</v>
      </c>
    </row>
    <row r="3022" spans="2:6">
      <c r="B3022">
        <v>2017</v>
      </c>
      <c r="C3022" t="s">
        <v>43</v>
      </c>
      <c r="D3022" t="s">
        <v>185</v>
      </c>
      <c r="E3022" t="s">
        <v>7</v>
      </c>
      <c r="F3022">
        <v>6.3201193809509277</v>
      </c>
    </row>
    <row r="3023" spans="2:6">
      <c r="B3023">
        <v>2017</v>
      </c>
      <c r="C3023" t="s">
        <v>43</v>
      </c>
      <c r="D3023" t="s">
        <v>185</v>
      </c>
      <c r="E3023" t="s">
        <v>8</v>
      </c>
      <c r="F3023">
        <v>10.071704864501953</v>
      </c>
    </row>
    <row r="3024" spans="2:6">
      <c r="B3024">
        <v>2017</v>
      </c>
      <c r="C3024" t="s">
        <v>43</v>
      </c>
      <c r="D3024" t="s">
        <v>185</v>
      </c>
      <c r="E3024" t="s">
        <v>9</v>
      </c>
      <c r="F3024">
        <v>0.87984079122543335</v>
      </c>
    </row>
    <row r="3025" spans="2:6">
      <c r="B3025">
        <v>2017</v>
      </c>
      <c r="C3025" t="s">
        <v>43</v>
      </c>
      <c r="D3025" t="s">
        <v>185</v>
      </c>
      <c r="E3025" t="s">
        <v>10</v>
      </c>
      <c r="F3025">
        <v>69.800003051757813</v>
      </c>
    </row>
    <row r="3026" spans="2:6">
      <c r="B3026">
        <v>2017</v>
      </c>
      <c r="C3026" t="s">
        <v>43</v>
      </c>
      <c r="D3026" t="s">
        <v>185</v>
      </c>
      <c r="E3026" t="s">
        <v>11</v>
      </c>
      <c r="F3026">
        <v>0.79011648893356323</v>
      </c>
    </row>
    <row r="3027" spans="2:6">
      <c r="B3027">
        <v>2017</v>
      </c>
      <c r="C3027" t="s">
        <v>43</v>
      </c>
      <c r="D3027" t="s">
        <v>185</v>
      </c>
      <c r="E3027" t="s">
        <v>12</v>
      </c>
      <c r="F3027">
        <v>-2.0043380558490753E-2</v>
      </c>
    </row>
    <row r="3028" spans="2:6">
      <c r="B3028">
        <v>2017</v>
      </c>
      <c r="C3028" t="s">
        <v>43</v>
      </c>
      <c r="D3028" t="s">
        <v>185</v>
      </c>
      <c r="E3028" t="s">
        <v>13</v>
      </c>
      <c r="F3028">
        <v>0.83598750829696655</v>
      </c>
    </row>
    <row r="3029" spans="2:6">
      <c r="B3029">
        <v>2017</v>
      </c>
      <c r="C3029" t="s">
        <v>43</v>
      </c>
      <c r="D3029" t="s">
        <v>185</v>
      </c>
      <c r="E3029" t="s">
        <v>14</v>
      </c>
      <c r="F3029">
        <v>0.8384748101234436</v>
      </c>
    </row>
    <row r="3030" spans="2:6">
      <c r="B3030">
        <v>2017</v>
      </c>
      <c r="C3030" t="s">
        <v>43</v>
      </c>
      <c r="D3030" t="s">
        <v>185</v>
      </c>
      <c r="E3030" t="s">
        <v>15</v>
      </c>
      <c r="F3030">
        <v>0.29104208946228027</v>
      </c>
    </row>
    <row r="3031" spans="2:6">
      <c r="B3031">
        <v>2018</v>
      </c>
      <c r="C3031" t="s">
        <v>43</v>
      </c>
      <c r="D3031" t="s">
        <v>185</v>
      </c>
      <c r="E3031" t="s">
        <v>7</v>
      </c>
      <c r="F3031">
        <v>6.436220645904541</v>
      </c>
    </row>
    <row r="3032" spans="2:6">
      <c r="B3032">
        <v>2018</v>
      </c>
      <c r="C3032" t="s">
        <v>43</v>
      </c>
      <c r="D3032" t="s">
        <v>185</v>
      </c>
      <c r="E3032" t="s">
        <v>8</v>
      </c>
      <c r="F3032">
        <v>10.096529006958008</v>
      </c>
    </row>
    <row r="3033" spans="2:6">
      <c r="B3033">
        <v>2018</v>
      </c>
      <c r="C3033" t="s">
        <v>43</v>
      </c>
      <c r="D3033" t="s">
        <v>185</v>
      </c>
      <c r="E3033" t="s">
        <v>9</v>
      </c>
      <c r="F3033">
        <v>0.89008492231369019</v>
      </c>
    </row>
    <row r="3034" spans="2:6">
      <c r="B3034">
        <v>2018</v>
      </c>
      <c r="C3034" t="s">
        <v>43</v>
      </c>
      <c r="D3034" t="s">
        <v>185</v>
      </c>
      <c r="E3034" t="s">
        <v>10</v>
      </c>
      <c r="F3034">
        <v>69.900001525878906</v>
      </c>
    </row>
    <row r="3035" spans="2:6">
      <c r="B3035">
        <v>2018</v>
      </c>
      <c r="C3035" t="s">
        <v>43</v>
      </c>
      <c r="D3035" t="s">
        <v>185</v>
      </c>
      <c r="E3035" t="s">
        <v>11</v>
      </c>
      <c r="F3035">
        <v>0.78853034973144531</v>
      </c>
    </row>
    <row r="3036" spans="2:6">
      <c r="B3036">
        <v>2018</v>
      </c>
      <c r="C3036" t="s">
        <v>43</v>
      </c>
      <c r="D3036" t="s">
        <v>185</v>
      </c>
      <c r="E3036" t="s">
        <v>12</v>
      </c>
      <c r="F3036">
        <v>-5.9723552316427231E-2</v>
      </c>
    </row>
    <row r="3037" spans="2:6">
      <c r="B3037">
        <v>2018</v>
      </c>
      <c r="C3037" t="s">
        <v>43</v>
      </c>
      <c r="D3037" t="s">
        <v>185</v>
      </c>
      <c r="E3037" t="s">
        <v>13</v>
      </c>
      <c r="F3037">
        <v>0.81629741191864014</v>
      </c>
    </row>
    <row r="3038" spans="2:6">
      <c r="B3038">
        <v>2018</v>
      </c>
      <c r="C3038" t="s">
        <v>43</v>
      </c>
      <c r="D3038" t="s">
        <v>185</v>
      </c>
      <c r="E3038" t="s">
        <v>14</v>
      </c>
      <c r="F3038">
        <v>0.83256220817565918</v>
      </c>
    </row>
    <row r="3039" spans="2:6">
      <c r="B3039">
        <v>2018</v>
      </c>
      <c r="C3039" t="s">
        <v>43</v>
      </c>
      <c r="D3039" t="s">
        <v>185</v>
      </c>
      <c r="E3039" t="s">
        <v>15</v>
      </c>
      <c r="F3039">
        <v>0.27582022547721863</v>
      </c>
    </row>
    <row r="3040" spans="2:6">
      <c r="B3040">
        <v>2019</v>
      </c>
      <c r="C3040" t="s">
        <v>43</v>
      </c>
      <c r="D3040" t="s">
        <v>185</v>
      </c>
      <c r="E3040" t="s">
        <v>7</v>
      </c>
      <c r="F3040">
        <v>5.9422502517700195</v>
      </c>
    </row>
    <row r="3041" spans="2:6">
      <c r="B3041">
        <v>2019</v>
      </c>
      <c r="C3041" t="s">
        <v>43</v>
      </c>
      <c r="D3041" t="s">
        <v>185</v>
      </c>
      <c r="E3041" t="s">
        <v>8</v>
      </c>
      <c r="F3041">
        <v>10.095188140869141</v>
      </c>
    </row>
    <row r="3042" spans="2:6">
      <c r="B3042">
        <v>2019</v>
      </c>
      <c r="C3042" t="s">
        <v>43</v>
      </c>
      <c r="D3042" t="s">
        <v>185</v>
      </c>
      <c r="E3042" t="s">
        <v>9</v>
      </c>
      <c r="F3042">
        <v>0.86912190914154053</v>
      </c>
    </row>
    <row r="3043" spans="2:6">
      <c r="B3043">
        <v>2019</v>
      </c>
      <c r="C3043" t="s">
        <v>43</v>
      </c>
      <c r="D3043" t="s">
        <v>185</v>
      </c>
      <c r="E3043" t="s">
        <v>10</v>
      </c>
      <c r="F3043">
        <v>70</v>
      </c>
    </row>
    <row r="3044" spans="2:6">
      <c r="B3044">
        <v>2019</v>
      </c>
      <c r="C3044" t="s">
        <v>43</v>
      </c>
      <c r="D3044" t="s">
        <v>185</v>
      </c>
      <c r="E3044" t="s">
        <v>11</v>
      </c>
      <c r="F3044">
        <v>0.65917676687240601</v>
      </c>
    </row>
    <row r="3045" spans="2:6">
      <c r="B3045">
        <v>2019</v>
      </c>
      <c r="C3045" t="s">
        <v>43</v>
      </c>
      <c r="D3045" t="s">
        <v>185</v>
      </c>
      <c r="E3045" t="s">
        <v>12</v>
      </c>
      <c r="F3045">
        <v>-0.10276608169078827</v>
      </c>
    </row>
    <row r="3046" spans="2:6">
      <c r="B3046">
        <v>2019</v>
      </c>
      <c r="C3046" t="s">
        <v>43</v>
      </c>
      <c r="D3046" t="s">
        <v>185</v>
      </c>
      <c r="E3046" t="s">
        <v>13</v>
      </c>
      <c r="F3046">
        <v>0.86049157381057739</v>
      </c>
    </row>
    <row r="3047" spans="2:6">
      <c r="B3047">
        <v>2019</v>
      </c>
      <c r="C3047" t="s">
        <v>43</v>
      </c>
      <c r="D3047" t="s">
        <v>185</v>
      </c>
      <c r="E3047" t="s">
        <v>14</v>
      </c>
      <c r="F3047">
        <v>0.8086165189743042</v>
      </c>
    </row>
    <row r="3048" spans="2:6">
      <c r="B3048">
        <v>2019</v>
      </c>
      <c r="C3048" t="s">
        <v>43</v>
      </c>
      <c r="D3048" t="s">
        <v>185</v>
      </c>
      <c r="E3048" t="s">
        <v>15</v>
      </c>
      <c r="F3048">
        <v>0.33724379539489746</v>
      </c>
    </row>
    <row r="3049" spans="2:6">
      <c r="B3049">
        <v>2020</v>
      </c>
      <c r="C3049" t="s">
        <v>43</v>
      </c>
      <c r="D3049" t="s">
        <v>185</v>
      </c>
      <c r="E3049" t="s">
        <v>7</v>
      </c>
      <c r="F3049">
        <v>6.1506428718566895</v>
      </c>
    </row>
    <row r="3050" spans="2:6">
      <c r="B3050">
        <v>2020</v>
      </c>
      <c r="C3050" t="s">
        <v>43</v>
      </c>
      <c r="D3050" t="s">
        <v>185</v>
      </c>
      <c r="E3050" t="s">
        <v>8</v>
      </c>
      <c r="F3050">
        <v>10.0201416015625</v>
      </c>
    </row>
    <row r="3051" spans="2:6">
      <c r="B3051">
        <v>2020</v>
      </c>
      <c r="C3051" t="s">
        <v>43</v>
      </c>
      <c r="D3051" t="s">
        <v>185</v>
      </c>
      <c r="E3051" t="s">
        <v>9</v>
      </c>
      <c r="F3051">
        <v>0.88841229677200317</v>
      </c>
    </row>
    <row r="3052" spans="2:6">
      <c r="B3052">
        <v>2020</v>
      </c>
      <c r="C3052" t="s">
        <v>43</v>
      </c>
      <c r="D3052" t="s">
        <v>185</v>
      </c>
      <c r="E3052" t="s">
        <v>10</v>
      </c>
      <c r="F3052">
        <v>70.099998474121094</v>
      </c>
    </row>
    <row r="3053" spans="2:6">
      <c r="B3053">
        <v>2020</v>
      </c>
      <c r="C3053" t="s">
        <v>43</v>
      </c>
      <c r="D3053" t="s">
        <v>185</v>
      </c>
      <c r="E3053" t="s">
        <v>11</v>
      </c>
      <c r="F3053">
        <v>0.78138357400894165</v>
      </c>
    </row>
    <row r="3054" spans="2:6">
      <c r="B3054">
        <v>2020</v>
      </c>
      <c r="C3054" t="s">
        <v>43</v>
      </c>
      <c r="D3054" t="s">
        <v>185</v>
      </c>
      <c r="E3054" t="s">
        <v>12</v>
      </c>
      <c r="F3054">
        <v>3.2990757375955582E-2</v>
      </c>
    </row>
    <row r="3055" spans="2:6">
      <c r="B3055">
        <v>2020</v>
      </c>
      <c r="C3055" t="s">
        <v>43</v>
      </c>
      <c r="D3055" t="s">
        <v>185</v>
      </c>
      <c r="E3055" t="s">
        <v>13</v>
      </c>
      <c r="F3055">
        <v>0.81181883811950684</v>
      </c>
    </row>
    <row r="3056" spans="2:6">
      <c r="B3056">
        <v>2020</v>
      </c>
      <c r="C3056" t="s">
        <v>43</v>
      </c>
      <c r="D3056" t="s">
        <v>185</v>
      </c>
      <c r="E3056" t="s">
        <v>14</v>
      </c>
      <c r="F3056">
        <v>0.81460273265838623</v>
      </c>
    </row>
    <row r="3057" spans="2:6">
      <c r="B3057">
        <v>2020</v>
      </c>
      <c r="C3057" t="s">
        <v>43</v>
      </c>
      <c r="D3057" t="s">
        <v>185</v>
      </c>
      <c r="E3057" t="s">
        <v>15</v>
      </c>
      <c r="F3057">
        <v>0.33602860569953918</v>
      </c>
    </row>
    <row r="3058" spans="2:6">
      <c r="B3058">
        <v>2006</v>
      </c>
      <c r="C3058" t="s">
        <v>44</v>
      </c>
      <c r="D3058" t="s">
        <v>182</v>
      </c>
      <c r="E3058" t="s">
        <v>7</v>
      </c>
      <c r="F3058">
        <v>4.5604953765869141</v>
      </c>
    </row>
    <row r="3059" spans="2:6">
      <c r="B3059">
        <v>2006</v>
      </c>
      <c r="C3059" t="s">
        <v>44</v>
      </c>
      <c r="D3059" t="s">
        <v>182</v>
      </c>
      <c r="E3059" t="s">
        <v>8</v>
      </c>
      <c r="F3059">
        <v>8.6961202621459961</v>
      </c>
    </row>
    <row r="3060" spans="2:6">
      <c r="B3060">
        <v>2006</v>
      </c>
      <c r="C3060" t="s">
        <v>44</v>
      </c>
      <c r="D3060" t="s">
        <v>182</v>
      </c>
      <c r="E3060" t="s">
        <v>9</v>
      </c>
      <c r="F3060">
        <v>0.74701130390167236</v>
      </c>
    </row>
    <row r="3061" spans="2:6">
      <c r="B3061">
        <v>2006</v>
      </c>
      <c r="C3061" t="s">
        <v>44</v>
      </c>
      <c r="D3061" t="s">
        <v>182</v>
      </c>
      <c r="E3061" t="s">
        <v>10</v>
      </c>
      <c r="F3061">
        <v>66.879997253417969</v>
      </c>
    </row>
    <row r="3062" spans="2:6">
      <c r="B3062">
        <v>2006</v>
      </c>
      <c r="C3062" t="s">
        <v>44</v>
      </c>
      <c r="D3062" t="s">
        <v>182</v>
      </c>
      <c r="E3062" t="s">
        <v>14</v>
      </c>
      <c r="F3062">
        <v>0.80929523706436157</v>
      </c>
    </row>
    <row r="3063" spans="2:6">
      <c r="B3063">
        <v>2006</v>
      </c>
      <c r="C3063" t="s">
        <v>44</v>
      </c>
      <c r="D3063" t="s">
        <v>182</v>
      </c>
      <c r="E3063" t="s">
        <v>15</v>
      </c>
      <c r="F3063">
        <v>0.16958038508892059</v>
      </c>
    </row>
    <row r="3064" spans="2:6">
      <c r="B3064">
        <v>2007</v>
      </c>
      <c r="C3064" t="s">
        <v>44</v>
      </c>
      <c r="D3064" t="s">
        <v>182</v>
      </c>
      <c r="E3064" t="s">
        <v>7</v>
      </c>
      <c r="F3064">
        <v>4.8628621101379395</v>
      </c>
    </row>
    <row r="3065" spans="2:6">
      <c r="B3065">
        <v>2007</v>
      </c>
      <c r="C3065" t="s">
        <v>44</v>
      </c>
      <c r="D3065" t="s">
        <v>182</v>
      </c>
      <c r="E3065" t="s">
        <v>8</v>
      </c>
      <c r="F3065">
        <v>8.8239536285400391</v>
      </c>
    </row>
    <row r="3066" spans="2:6">
      <c r="B3066">
        <v>2007</v>
      </c>
      <c r="C3066" t="s">
        <v>44</v>
      </c>
      <c r="D3066" t="s">
        <v>182</v>
      </c>
      <c r="E3066" t="s">
        <v>9</v>
      </c>
      <c r="F3066">
        <v>0.81085240840911865</v>
      </c>
    </row>
    <row r="3067" spans="2:6">
      <c r="B3067">
        <v>2007</v>
      </c>
      <c r="C3067" t="s">
        <v>44</v>
      </c>
      <c r="D3067" t="s">
        <v>182</v>
      </c>
      <c r="E3067" t="s">
        <v>10</v>
      </c>
      <c r="F3067">
        <v>67.05999755859375</v>
      </c>
    </row>
    <row r="3068" spans="2:6">
      <c r="B3068">
        <v>2007</v>
      </c>
      <c r="C3068" t="s">
        <v>44</v>
      </c>
      <c r="D3068" t="s">
        <v>182</v>
      </c>
      <c r="E3068" t="s">
        <v>12</v>
      </c>
      <c r="F3068">
        <v>-0.17624278366565704</v>
      </c>
    </row>
    <row r="3069" spans="2:6">
      <c r="B3069">
        <v>2007</v>
      </c>
      <c r="C3069" t="s">
        <v>44</v>
      </c>
      <c r="D3069" t="s">
        <v>182</v>
      </c>
      <c r="E3069" t="s">
        <v>14</v>
      </c>
      <c r="F3069">
        <v>0.81748545169830322</v>
      </c>
    </row>
    <row r="3070" spans="2:6">
      <c r="B3070">
        <v>2007</v>
      </c>
      <c r="C3070" t="s">
        <v>44</v>
      </c>
      <c r="D3070" t="s">
        <v>182</v>
      </c>
      <c r="E3070" t="s">
        <v>15</v>
      </c>
      <c r="F3070">
        <v>0.15861351788043976</v>
      </c>
    </row>
    <row r="3071" spans="2:6">
      <c r="B3071">
        <v>2008</v>
      </c>
      <c r="C3071" t="s">
        <v>44</v>
      </c>
      <c r="D3071" t="s">
        <v>182</v>
      </c>
      <c r="E3071" t="s">
        <v>7</v>
      </c>
      <c r="F3071">
        <v>4.8462948799133301</v>
      </c>
    </row>
    <row r="3072" spans="2:6">
      <c r="B3072">
        <v>2008</v>
      </c>
      <c r="C3072" t="s">
        <v>44</v>
      </c>
      <c r="D3072" t="s">
        <v>182</v>
      </c>
      <c r="E3072" t="s">
        <v>8</v>
      </c>
      <c r="F3072">
        <v>8.9109916687011719</v>
      </c>
    </row>
    <row r="3073" spans="2:6">
      <c r="B3073">
        <v>2008</v>
      </c>
      <c r="C3073" t="s">
        <v>44</v>
      </c>
      <c r="D3073" t="s">
        <v>182</v>
      </c>
      <c r="E3073" t="s">
        <v>9</v>
      </c>
      <c r="F3073">
        <v>0.74828732013702393</v>
      </c>
    </row>
    <row r="3074" spans="2:6">
      <c r="B3074">
        <v>2008</v>
      </c>
      <c r="C3074" t="s">
        <v>44</v>
      </c>
      <c r="D3074" t="s">
        <v>182</v>
      </c>
      <c r="E3074" t="s">
        <v>10</v>
      </c>
      <c r="F3074">
        <v>67.239997863769531</v>
      </c>
    </row>
    <row r="3075" spans="2:6">
      <c r="B3075">
        <v>2008</v>
      </c>
      <c r="C3075" t="s">
        <v>44</v>
      </c>
      <c r="D3075" t="s">
        <v>182</v>
      </c>
      <c r="E3075" t="s">
        <v>11</v>
      </c>
      <c r="F3075">
        <v>0.85307204723358154</v>
      </c>
    </row>
    <row r="3076" spans="2:6">
      <c r="B3076">
        <v>2008</v>
      </c>
      <c r="C3076" t="s">
        <v>44</v>
      </c>
      <c r="D3076" t="s">
        <v>182</v>
      </c>
      <c r="E3076" t="s">
        <v>12</v>
      </c>
      <c r="F3076">
        <v>-9.2472419142723083E-2</v>
      </c>
    </row>
    <row r="3077" spans="2:6">
      <c r="B3077">
        <v>2008</v>
      </c>
      <c r="C3077" t="s">
        <v>44</v>
      </c>
      <c r="D3077" t="s">
        <v>182</v>
      </c>
      <c r="E3077" t="s">
        <v>14</v>
      </c>
      <c r="F3077">
        <v>0.8174433708190918</v>
      </c>
    </row>
    <row r="3078" spans="2:6">
      <c r="B3078">
        <v>2008</v>
      </c>
      <c r="C3078" t="s">
        <v>44</v>
      </c>
      <c r="D3078" t="s">
        <v>182</v>
      </c>
      <c r="E3078" t="s">
        <v>15</v>
      </c>
      <c r="F3078">
        <v>0.14696304500102997</v>
      </c>
    </row>
    <row r="3079" spans="2:6">
      <c r="B3079">
        <v>2009</v>
      </c>
      <c r="C3079" t="s">
        <v>44</v>
      </c>
      <c r="D3079" t="s">
        <v>182</v>
      </c>
      <c r="E3079" t="s">
        <v>7</v>
      </c>
      <c r="F3079">
        <v>4.4543609619140625</v>
      </c>
    </row>
    <row r="3080" spans="2:6">
      <c r="B3080">
        <v>2009</v>
      </c>
      <c r="C3080" t="s">
        <v>44</v>
      </c>
      <c r="D3080" t="s">
        <v>182</v>
      </c>
      <c r="E3080" t="s">
        <v>8</v>
      </c>
      <c r="F3080">
        <v>8.9958572387695313</v>
      </c>
    </row>
    <row r="3081" spans="2:6">
      <c r="B3081">
        <v>2009</v>
      </c>
      <c r="C3081" t="s">
        <v>44</v>
      </c>
      <c r="D3081" t="s">
        <v>182</v>
      </c>
      <c r="E3081" t="s">
        <v>9</v>
      </c>
      <c r="F3081">
        <v>0.79803436994552612</v>
      </c>
    </row>
    <row r="3082" spans="2:6">
      <c r="B3082">
        <v>2009</v>
      </c>
      <c r="C3082" t="s">
        <v>44</v>
      </c>
      <c r="D3082" t="s">
        <v>182</v>
      </c>
      <c r="E3082" t="s">
        <v>10</v>
      </c>
      <c r="F3082">
        <v>67.419998168945313</v>
      </c>
    </row>
    <row r="3083" spans="2:6">
      <c r="B3083">
        <v>2009</v>
      </c>
      <c r="C3083" t="s">
        <v>44</v>
      </c>
      <c r="D3083" t="s">
        <v>182</v>
      </c>
      <c r="E3083" t="s">
        <v>11</v>
      </c>
      <c r="F3083">
        <v>0.77114325761795044</v>
      </c>
    </row>
    <row r="3084" spans="2:6">
      <c r="B3084">
        <v>2009</v>
      </c>
      <c r="C3084" t="s">
        <v>44</v>
      </c>
      <c r="D3084" t="s">
        <v>182</v>
      </c>
      <c r="E3084" t="s">
        <v>12</v>
      </c>
      <c r="F3084">
        <v>-0.16048136353492737</v>
      </c>
    </row>
    <row r="3085" spans="2:6">
      <c r="B3085">
        <v>2009</v>
      </c>
      <c r="C3085" t="s">
        <v>44</v>
      </c>
      <c r="D3085" t="s">
        <v>182</v>
      </c>
      <c r="E3085" t="s">
        <v>14</v>
      </c>
      <c r="F3085">
        <v>0.78580588102340698</v>
      </c>
    </row>
    <row r="3086" spans="2:6">
      <c r="B3086">
        <v>2009</v>
      </c>
      <c r="C3086" t="s">
        <v>44</v>
      </c>
      <c r="D3086" t="s">
        <v>182</v>
      </c>
      <c r="E3086" t="s">
        <v>15</v>
      </c>
      <c r="F3086">
        <v>0.16165024042129517</v>
      </c>
    </row>
    <row r="3087" spans="2:6">
      <c r="B3087">
        <v>2010</v>
      </c>
      <c r="C3087" t="s">
        <v>44</v>
      </c>
      <c r="D3087" t="s">
        <v>182</v>
      </c>
      <c r="E3087" t="s">
        <v>7</v>
      </c>
      <c r="F3087">
        <v>4.6527366638183594</v>
      </c>
    </row>
    <row r="3088" spans="2:6">
      <c r="B3088">
        <v>2010</v>
      </c>
      <c r="C3088" t="s">
        <v>44</v>
      </c>
      <c r="D3088" t="s">
        <v>182</v>
      </c>
      <c r="E3088" t="s">
        <v>8</v>
      </c>
      <c r="F3088">
        <v>9.0921039581298828</v>
      </c>
    </row>
    <row r="3089" spans="2:6">
      <c r="B3089">
        <v>2010</v>
      </c>
      <c r="C3089" t="s">
        <v>44</v>
      </c>
      <c r="D3089" t="s">
        <v>182</v>
      </c>
      <c r="E3089" t="s">
        <v>9</v>
      </c>
      <c r="F3089">
        <v>0.76775258779525757</v>
      </c>
    </row>
    <row r="3090" spans="2:6">
      <c r="B3090">
        <v>2010</v>
      </c>
      <c r="C3090" t="s">
        <v>44</v>
      </c>
      <c r="D3090" t="s">
        <v>182</v>
      </c>
      <c r="E3090" t="s">
        <v>10</v>
      </c>
      <c r="F3090">
        <v>67.599998474121094</v>
      </c>
    </row>
    <row r="3091" spans="2:6">
      <c r="B3091">
        <v>2010</v>
      </c>
      <c r="C3091" t="s">
        <v>44</v>
      </c>
      <c r="D3091" t="s">
        <v>182</v>
      </c>
      <c r="E3091" t="s">
        <v>11</v>
      </c>
      <c r="F3091">
        <v>0.8047935962677002</v>
      </c>
    </row>
    <row r="3092" spans="2:6">
      <c r="B3092">
        <v>2010</v>
      </c>
      <c r="C3092" t="s">
        <v>44</v>
      </c>
      <c r="D3092" t="s">
        <v>182</v>
      </c>
      <c r="E3092" t="s">
        <v>12</v>
      </c>
      <c r="F3092">
        <v>-0.13331800699234009</v>
      </c>
    </row>
    <row r="3093" spans="2:6">
      <c r="B3093">
        <v>2010</v>
      </c>
      <c r="C3093" t="s">
        <v>44</v>
      </c>
      <c r="D3093" t="s">
        <v>182</v>
      </c>
      <c r="E3093" t="s">
        <v>14</v>
      </c>
      <c r="F3093">
        <v>0.76526463031768799</v>
      </c>
    </row>
    <row r="3094" spans="2:6">
      <c r="B3094">
        <v>2010</v>
      </c>
      <c r="C3094" t="s">
        <v>44</v>
      </c>
      <c r="D3094" t="s">
        <v>182</v>
      </c>
      <c r="E3094" t="s">
        <v>15</v>
      </c>
      <c r="F3094">
        <v>0.15809965133666992</v>
      </c>
    </row>
    <row r="3095" spans="2:6">
      <c r="B3095">
        <v>2011</v>
      </c>
      <c r="C3095" t="s">
        <v>44</v>
      </c>
      <c r="D3095" t="s">
        <v>182</v>
      </c>
      <c r="E3095" t="s">
        <v>7</v>
      </c>
      <c r="F3095">
        <v>5.0372076034545898</v>
      </c>
    </row>
    <row r="3096" spans="2:6">
      <c r="B3096">
        <v>2011</v>
      </c>
      <c r="C3096" t="s">
        <v>44</v>
      </c>
      <c r="D3096" t="s">
        <v>182</v>
      </c>
      <c r="E3096" t="s">
        <v>8</v>
      </c>
      <c r="F3096">
        <v>9.1785316467285156</v>
      </c>
    </row>
    <row r="3097" spans="2:6">
      <c r="B3097">
        <v>2011</v>
      </c>
      <c r="C3097" t="s">
        <v>44</v>
      </c>
      <c r="D3097" t="s">
        <v>182</v>
      </c>
      <c r="E3097" t="s">
        <v>9</v>
      </c>
      <c r="F3097">
        <v>0.78717118501663208</v>
      </c>
    </row>
    <row r="3098" spans="2:6">
      <c r="B3098">
        <v>2011</v>
      </c>
      <c r="C3098" t="s">
        <v>44</v>
      </c>
      <c r="D3098" t="s">
        <v>182</v>
      </c>
      <c r="E3098" t="s">
        <v>10</v>
      </c>
      <c r="F3098">
        <v>67.760002136230469</v>
      </c>
    </row>
    <row r="3099" spans="2:6">
      <c r="B3099">
        <v>2011</v>
      </c>
      <c r="C3099" t="s">
        <v>44</v>
      </c>
      <c r="D3099" t="s">
        <v>182</v>
      </c>
      <c r="E3099" t="s">
        <v>11</v>
      </c>
      <c r="F3099">
        <v>0.82416236400604248</v>
      </c>
    </row>
    <row r="3100" spans="2:6">
      <c r="B3100">
        <v>2011</v>
      </c>
      <c r="C3100" t="s">
        <v>44</v>
      </c>
      <c r="D3100" t="s">
        <v>182</v>
      </c>
      <c r="E3100" t="s">
        <v>12</v>
      </c>
      <c r="F3100">
        <v>-0.18638305366039276</v>
      </c>
    </row>
    <row r="3101" spans="2:6">
      <c r="B3101">
        <v>2011</v>
      </c>
      <c r="C3101" t="s">
        <v>44</v>
      </c>
      <c r="D3101" t="s">
        <v>182</v>
      </c>
      <c r="E3101" t="s">
        <v>14</v>
      </c>
      <c r="F3101">
        <v>0.82007384300231934</v>
      </c>
    </row>
    <row r="3102" spans="2:6">
      <c r="B3102">
        <v>2011</v>
      </c>
      <c r="C3102" t="s">
        <v>44</v>
      </c>
      <c r="D3102" t="s">
        <v>182</v>
      </c>
      <c r="E3102" t="s">
        <v>15</v>
      </c>
      <c r="F3102">
        <v>0.13350345194339752</v>
      </c>
    </row>
    <row r="3103" spans="2:6">
      <c r="B3103">
        <v>2012</v>
      </c>
      <c r="C3103" t="s">
        <v>44</v>
      </c>
      <c r="D3103" t="s">
        <v>182</v>
      </c>
      <c r="E3103" t="s">
        <v>7</v>
      </c>
      <c r="F3103">
        <v>5.0949172973632813</v>
      </c>
    </row>
    <row r="3104" spans="2:6">
      <c r="B3104">
        <v>2012</v>
      </c>
      <c r="C3104" t="s">
        <v>44</v>
      </c>
      <c r="D3104" t="s">
        <v>182</v>
      </c>
      <c r="E3104" t="s">
        <v>8</v>
      </c>
      <c r="F3104">
        <v>9.2493200302124023</v>
      </c>
    </row>
    <row r="3105" spans="2:6">
      <c r="B3105">
        <v>2012</v>
      </c>
      <c r="C3105" t="s">
        <v>44</v>
      </c>
      <c r="D3105" t="s">
        <v>182</v>
      </c>
      <c r="E3105" t="s">
        <v>9</v>
      </c>
      <c r="F3105">
        <v>0.78781819343566895</v>
      </c>
    </row>
    <row r="3106" spans="2:6">
      <c r="B3106">
        <v>2012</v>
      </c>
      <c r="C3106" t="s">
        <v>44</v>
      </c>
      <c r="D3106" t="s">
        <v>182</v>
      </c>
      <c r="E3106" t="s">
        <v>10</v>
      </c>
      <c r="F3106">
        <v>67.919998168945313</v>
      </c>
    </row>
    <row r="3107" spans="2:6">
      <c r="B3107">
        <v>2012</v>
      </c>
      <c r="C3107" t="s">
        <v>44</v>
      </c>
      <c r="D3107" t="s">
        <v>182</v>
      </c>
      <c r="E3107" t="s">
        <v>11</v>
      </c>
      <c r="F3107">
        <v>0.80825513601303101</v>
      </c>
    </row>
    <row r="3108" spans="2:6">
      <c r="B3108">
        <v>2012</v>
      </c>
      <c r="C3108" t="s">
        <v>44</v>
      </c>
      <c r="D3108" t="s">
        <v>182</v>
      </c>
      <c r="E3108" t="s">
        <v>12</v>
      </c>
      <c r="F3108">
        <v>-0.18467588722705841</v>
      </c>
    </row>
    <row r="3109" spans="2:6">
      <c r="B3109">
        <v>2012</v>
      </c>
      <c r="C3109" t="s">
        <v>44</v>
      </c>
      <c r="D3109" t="s">
        <v>182</v>
      </c>
      <c r="E3109" t="s">
        <v>14</v>
      </c>
      <c r="F3109">
        <v>0.82078492641448975</v>
      </c>
    </row>
    <row r="3110" spans="2:6">
      <c r="B3110">
        <v>2012</v>
      </c>
      <c r="C3110" t="s">
        <v>44</v>
      </c>
      <c r="D3110" t="s">
        <v>182</v>
      </c>
      <c r="E3110" t="s">
        <v>15</v>
      </c>
      <c r="F3110">
        <v>0.15870299935340881</v>
      </c>
    </row>
    <row r="3111" spans="2:6">
      <c r="B3111">
        <v>2013</v>
      </c>
      <c r="C3111" t="s">
        <v>44</v>
      </c>
      <c r="D3111" t="s">
        <v>182</v>
      </c>
      <c r="E3111" t="s">
        <v>7</v>
      </c>
      <c r="F3111">
        <v>5.2410902976989746</v>
      </c>
    </row>
    <row r="3112" spans="2:6">
      <c r="B3112">
        <v>2013</v>
      </c>
      <c r="C3112" t="s">
        <v>44</v>
      </c>
      <c r="D3112" t="s">
        <v>182</v>
      </c>
      <c r="E3112" t="s">
        <v>8</v>
      </c>
      <c r="F3112">
        <v>9.3191995620727539</v>
      </c>
    </row>
    <row r="3113" spans="2:6">
      <c r="B3113">
        <v>2013</v>
      </c>
      <c r="C3113" t="s">
        <v>44</v>
      </c>
      <c r="D3113" t="s">
        <v>182</v>
      </c>
      <c r="E3113" t="s">
        <v>9</v>
      </c>
      <c r="F3113">
        <v>0.77789586782455444</v>
      </c>
    </row>
    <row r="3114" spans="2:6">
      <c r="B3114">
        <v>2013</v>
      </c>
      <c r="C3114" t="s">
        <v>44</v>
      </c>
      <c r="D3114" t="s">
        <v>182</v>
      </c>
      <c r="E3114" t="s">
        <v>10</v>
      </c>
      <c r="F3114">
        <v>68.080001831054688</v>
      </c>
    </row>
    <row r="3115" spans="2:6">
      <c r="B3115">
        <v>2013</v>
      </c>
      <c r="C3115" t="s">
        <v>44</v>
      </c>
      <c r="D3115" t="s">
        <v>182</v>
      </c>
      <c r="E3115" t="s">
        <v>11</v>
      </c>
      <c r="F3115">
        <v>0.80472391843795776</v>
      </c>
    </row>
    <row r="3116" spans="2:6">
      <c r="B3116">
        <v>2013</v>
      </c>
      <c r="C3116" t="s">
        <v>44</v>
      </c>
      <c r="D3116" t="s">
        <v>182</v>
      </c>
      <c r="E3116" t="s">
        <v>12</v>
      </c>
      <c r="F3116">
        <v>-0.15777726471424103</v>
      </c>
    </row>
    <row r="3117" spans="2:6">
      <c r="B3117">
        <v>2013</v>
      </c>
      <c r="C3117" t="s">
        <v>44</v>
      </c>
      <c r="D3117" t="s">
        <v>182</v>
      </c>
      <c r="E3117" t="s">
        <v>14</v>
      </c>
      <c r="F3117">
        <v>0.83643066883087158</v>
      </c>
    </row>
    <row r="3118" spans="2:6">
      <c r="B3118">
        <v>2013</v>
      </c>
      <c r="C3118" t="s">
        <v>44</v>
      </c>
      <c r="D3118" t="s">
        <v>182</v>
      </c>
      <c r="E3118" t="s">
        <v>15</v>
      </c>
      <c r="F3118">
        <v>0.14221104979515076</v>
      </c>
    </row>
    <row r="3119" spans="2:6">
      <c r="B3119">
        <v>2014</v>
      </c>
      <c r="C3119" t="s">
        <v>44</v>
      </c>
      <c r="D3119" t="s">
        <v>182</v>
      </c>
      <c r="E3119" t="s">
        <v>7</v>
      </c>
      <c r="F3119">
        <v>5.1956191062927246</v>
      </c>
    </row>
    <row r="3120" spans="2:6">
      <c r="B3120">
        <v>2014</v>
      </c>
      <c r="C3120" t="s">
        <v>44</v>
      </c>
      <c r="D3120" t="s">
        <v>182</v>
      </c>
      <c r="E3120" t="s">
        <v>8</v>
      </c>
      <c r="F3120">
        <v>9.3857545852661133</v>
      </c>
    </row>
    <row r="3121" spans="2:6">
      <c r="B3121">
        <v>2014</v>
      </c>
      <c r="C3121" t="s">
        <v>44</v>
      </c>
      <c r="D3121" t="s">
        <v>182</v>
      </c>
      <c r="E3121" t="s">
        <v>9</v>
      </c>
      <c r="F3121">
        <v>0.8203660249710083</v>
      </c>
    </row>
    <row r="3122" spans="2:6">
      <c r="B3122">
        <v>2014</v>
      </c>
      <c r="C3122" t="s">
        <v>44</v>
      </c>
      <c r="D3122" t="s">
        <v>182</v>
      </c>
      <c r="E3122" t="s">
        <v>10</v>
      </c>
      <c r="F3122">
        <v>68.239997863769531</v>
      </c>
    </row>
    <row r="3123" spans="2:6">
      <c r="B3123">
        <v>2014</v>
      </c>
      <c r="C3123" t="s">
        <v>44</v>
      </c>
      <c r="D3123" t="s">
        <v>182</v>
      </c>
      <c r="E3123" t="s">
        <v>12</v>
      </c>
      <c r="F3123">
        <v>-0.21677184104919434</v>
      </c>
    </row>
    <row r="3124" spans="2:6">
      <c r="B3124">
        <v>2014</v>
      </c>
      <c r="C3124" t="s">
        <v>44</v>
      </c>
      <c r="D3124" t="s">
        <v>182</v>
      </c>
      <c r="E3124" t="s">
        <v>14</v>
      </c>
      <c r="F3124">
        <v>0.85397499799728394</v>
      </c>
    </row>
    <row r="3125" spans="2:6">
      <c r="B3125">
        <v>2014</v>
      </c>
      <c r="C3125" t="s">
        <v>44</v>
      </c>
      <c r="D3125" t="s">
        <v>182</v>
      </c>
      <c r="E3125" t="s">
        <v>15</v>
      </c>
      <c r="F3125">
        <v>0.11151770502328873</v>
      </c>
    </row>
    <row r="3126" spans="2:6">
      <c r="B3126">
        <v>2015</v>
      </c>
      <c r="C3126" t="s">
        <v>44</v>
      </c>
      <c r="D3126" t="s">
        <v>182</v>
      </c>
      <c r="E3126" t="s">
        <v>7</v>
      </c>
      <c r="F3126">
        <v>5.3038778305053711</v>
      </c>
    </row>
    <row r="3127" spans="2:6">
      <c r="B3127">
        <v>2015</v>
      </c>
      <c r="C3127" t="s">
        <v>44</v>
      </c>
      <c r="D3127" t="s">
        <v>182</v>
      </c>
      <c r="E3127" t="s">
        <v>8</v>
      </c>
      <c r="F3127">
        <v>9.4487228393554688</v>
      </c>
    </row>
    <row r="3128" spans="2:6">
      <c r="B3128">
        <v>2015</v>
      </c>
      <c r="C3128" t="s">
        <v>44</v>
      </c>
      <c r="D3128" t="s">
        <v>182</v>
      </c>
      <c r="E3128" t="s">
        <v>9</v>
      </c>
      <c r="F3128">
        <v>0.79373371601104736</v>
      </c>
    </row>
    <row r="3129" spans="2:6">
      <c r="B3129">
        <v>2015</v>
      </c>
      <c r="C3129" t="s">
        <v>44</v>
      </c>
      <c r="D3129" t="s">
        <v>182</v>
      </c>
      <c r="E3129" t="s">
        <v>10</v>
      </c>
      <c r="F3129">
        <v>68.400001525878906</v>
      </c>
    </row>
    <row r="3130" spans="2:6">
      <c r="B3130">
        <v>2015</v>
      </c>
      <c r="C3130" t="s">
        <v>44</v>
      </c>
      <c r="D3130" t="s">
        <v>182</v>
      </c>
      <c r="E3130" t="s">
        <v>12</v>
      </c>
      <c r="F3130">
        <v>-0.24443541467189789</v>
      </c>
    </row>
    <row r="3131" spans="2:6">
      <c r="B3131">
        <v>2015</v>
      </c>
      <c r="C3131" t="s">
        <v>44</v>
      </c>
      <c r="D3131" t="s">
        <v>182</v>
      </c>
      <c r="E3131" t="s">
        <v>14</v>
      </c>
      <c r="F3131">
        <v>0.80891090631484985</v>
      </c>
    </row>
    <row r="3132" spans="2:6">
      <c r="B3132">
        <v>2015</v>
      </c>
      <c r="C3132" t="s">
        <v>44</v>
      </c>
      <c r="D3132" t="s">
        <v>182</v>
      </c>
      <c r="E3132" t="s">
        <v>15</v>
      </c>
      <c r="F3132">
        <v>0.17131498456001282</v>
      </c>
    </row>
    <row r="3133" spans="2:6">
      <c r="B3133">
        <v>2016</v>
      </c>
      <c r="C3133" t="s">
        <v>44</v>
      </c>
      <c r="D3133" t="s">
        <v>182</v>
      </c>
      <c r="E3133" t="s">
        <v>7</v>
      </c>
      <c r="F3133">
        <v>5.324955940246582</v>
      </c>
    </row>
    <row r="3134" spans="2:6">
      <c r="B3134">
        <v>2016</v>
      </c>
      <c r="C3134" t="s">
        <v>44</v>
      </c>
      <c r="D3134" t="s">
        <v>182</v>
      </c>
      <c r="E3134" t="s">
        <v>8</v>
      </c>
      <c r="F3134">
        <v>9.509552001953125</v>
      </c>
    </row>
    <row r="3135" spans="2:6">
      <c r="B3135">
        <v>2016</v>
      </c>
      <c r="C3135" t="s">
        <v>44</v>
      </c>
      <c r="D3135" t="s">
        <v>182</v>
      </c>
      <c r="E3135" t="s">
        <v>9</v>
      </c>
      <c r="F3135">
        <v>0.74170303344726563</v>
      </c>
    </row>
    <row r="3136" spans="2:6">
      <c r="B3136">
        <v>2016</v>
      </c>
      <c r="C3136" t="s">
        <v>44</v>
      </c>
      <c r="D3136" t="s">
        <v>182</v>
      </c>
      <c r="E3136" t="s">
        <v>10</v>
      </c>
      <c r="F3136">
        <v>68.699996948242188</v>
      </c>
    </row>
    <row r="3137" spans="2:6">
      <c r="B3137">
        <v>2016</v>
      </c>
      <c r="C3137" t="s">
        <v>44</v>
      </c>
      <c r="D3137" t="s">
        <v>182</v>
      </c>
      <c r="E3137" t="s">
        <v>12</v>
      </c>
      <c r="F3137">
        <v>-0.22752168774604797</v>
      </c>
    </row>
    <row r="3138" spans="2:6">
      <c r="B3138">
        <v>2016</v>
      </c>
      <c r="C3138" t="s">
        <v>44</v>
      </c>
      <c r="D3138" t="s">
        <v>182</v>
      </c>
      <c r="E3138" t="s">
        <v>14</v>
      </c>
      <c r="F3138">
        <v>0.82614439725875854</v>
      </c>
    </row>
    <row r="3139" spans="2:6">
      <c r="B3139">
        <v>2016</v>
      </c>
      <c r="C3139" t="s">
        <v>44</v>
      </c>
      <c r="D3139" t="s">
        <v>182</v>
      </c>
      <c r="E3139" t="s">
        <v>15</v>
      </c>
      <c r="F3139">
        <v>0.14562515914440155</v>
      </c>
    </row>
    <row r="3140" spans="2:6">
      <c r="B3140">
        <v>2017</v>
      </c>
      <c r="C3140" t="s">
        <v>44</v>
      </c>
      <c r="D3140" t="s">
        <v>182</v>
      </c>
      <c r="E3140" t="s">
        <v>7</v>
      </c>
      <c r="F3140">
        <v>5.0990614891052246</v>
      </c>
    </row>
    <row r="3141" spans="2:6">
      <c r="B3141">
        <v>2017</v>
      </c>
      <c r="C3141" t="s">
        <v>44</v>
      </c>
      <c r="D3141" t="s">
        <v>182</v>
      </c>
      <c r="E3141" t="s">
        <v>8</v>
      </c>
      <c r="F3141">
        <v>9.5711164474487305</v>
      </c>
    </row>
    <row r="3142" spans="2:6">
      <c r="B3142">
        <v>2017</v>
      </c>
      <c r="C3142" t="s">
        <v>44</v>
      </c>
      <c r="D3142" t="s">
        <v>182</v>
      </c>
      <c r="E3142" t="s">
        <v>9</v>
      </c>
      <c r="F3142">
        <v>0.7720332145690918</v>
      </c>
    </row>
    <row r="3143" spans="2:6">
      <c r="B3143">
        <v>2017</v>
      </c>
      <c r="C3143" t="s">
        <v>44</v>
      </c>
      <c r="D3143" t="s">
        <v>182</v>
      </c>
      <c r="E3143" t="s">
        <v>10</v>
      </c>
      <c r="F3143">
        <v>69</v>
      </c>
    </row>
    <row r="3144" spans="2:6">
      <c r="B3144">
        <v>2017</v>
      </c>
      <c r="C3144" t="s">
        <v>44</v>
      </c>
      <c r="D3144" t="s">
        <v>182</v>
      </c>
      <c r="E3144" t="s">
        <v>11</v>
      </c>
      <c r="F3144">
        <v>0.87761759757995605</v>
      </c>
    </row>
    <row r="3145" spans="2:6">
      <c r="B3145">
        <v>2017</v>
      </c>
      <c r="C3145" t="s">
        <v>44</v>
      </c>
      <c r="D3145" t="s">
        <v>182</v>
      </c>
      <c r="E3145" t="s">
        <v>12</v>
      </c>
      <c r="F3145">
        <v>-0.17483177781105042</v>
      </c>
    </row>
    <row r="3146" spans="2:6">
      <c r="B3146">
        <v>2017</v>
      </c>
      <c r="C3146" t="s">
        <v>44</v>
      </c>
      <c r="D3146" t="s">
        <v>182</v>
      </c>
      <c r="E3146" t="s">
        <v>14</v>
      </c>
      <c r="F3146">
        <v>0.82109725475311279</v>
      </c>
    </row>
    <row r="3147" spans="2:6">
      <c r="B3147">
        <v>2017</v>
      </c>
      <c r="C3147" t="s">
        <v>44</v>
      </c>
      <c r="D3147" t="s">
        <v>182</v>
      </c>
      <c r="E3147" t="s">
        <v>15</v>
      </c>
      <c r="F3147">
        <v>0.2140047550201416</v>
      </c>
    </row>
    <row r="3148" spans="2:6">
      <c r="B3148">
        <v>2018</v>
      </c>
      <c r="C3148" t="s">
        <v>44</v>
      </c>
      <c r="D3148" t="s">
        <v>182</v>
      </c>
      <c r="E3148" t="s">
        <v>7</v>
      </c>
      <c r="F3148">
        <v>5.1314339637756348</v>
      </c>
    </row>
    <row r="3149" spans="2:6">
      <c r="B3149">
        <v>2018</v>
      </c>
      <c r="C3149" t="s">
        <v>44</v>
      </c>
      <c r="D3149" t="s">
        <v>182</v>
      </c>
      <c r="E3149" t="s">
        <v>8</v>
      </c>
      <c r="F3149">
        <v>9.631892204284668</v>
      </c>
    </row>
    <row r="3150" spans="2:6">
      <c r="B3150">
        <v>2018</v>
      </c>
      <c r="C3150" t="s">
        <v>44</v>
      </c>
      <c r="D3150" t="s">
        <v>182</v>
      </c>
      <c r="E3150" t="s">
        <v>9</v>
      </c>
      <c r="F3150">
        <v>0.78760534524917603</v>
      </c>
    </row>
    <row r="3151" spans="2:6">
      <c r="B3151">
        <v>2018</v>
      </c>
      <c r="C3151" t="s">
        <v>44</v>
      </c>
      <c r="D3151" t="s">
        <v>182</v>
      </c>
      <c r="E3151" t="s">
        <v>10</v>
      </c>
      <c r="F3151">
        <v>69.300003051757813</v>
      </c>
    </row>
    <row r="3152" spans="2:6">
      <c r="B3152">
        <v>2018</v>
      </c>
      <c r="C3152" t="s">
        <v>44</v>
      </c>
      <c r="D3152" t="s">
        <v>182</v>
      </c>
      <c r="E3152" t="s">
        <v>11</v>
      </c>
      <c r="F3152">
        <v>0.89537769556045532</v>
      </c>
    </row>
    <row r="3153" spans="2:6">
      <c r="B3153">
        <v>2018</v>
      </c>
      <c r="C3153" t="s">
        <v>44</v>
      </c>
      <c r="D3153" t="s">
        <v>182</v>
      </c>
      <c r="E3153" t="s">
        <v>12</v>
      </c>
      <c r="F3153">
        <v>-0.15851025283336639</v>
      </c>
    </row>
    <row r="3154" spans="2:6">
      <c r="B3154">
        <v>2018</v>
      </c>
      <c r="C3154" t="s">
        <v>44</v>
      </c>
      <c r="D3154" t="s">
        <v>182</v>
      </c>
      <c r="E3154" t="s">
        <v>14</v>
      </c>
      <c r="F3154">
        <v>0.85578387975692749</v>
      </c>
    </row>
    <row r="3155" spans="2:6">
      <c r="B3155">
        <v>2018</v>
      </c>
      <c r="C3155" t="s">
        <v>44</v>
      </c>
      <c r="D3155" t="s">
        <v>182</v>
      </c>
      <c r="E3155" t="s">
        <v>15</v>
      </c>
      <c r="F3155">
        <v>0.18963979184627533</v>
      </c>
    </row>
    <row r="3156" spans="2:6">
      <c r="B3156">
        <v>2019</v>
      </c>
      <c r="C3156" t="s">
        <v>44</v>
      </c>
      <c r="D3156" t="s">
        <v>182</v>
      </c>
      <c r="E3156" t="s">
        <v>7</v>
      </c>
      <c r="F3156">
        <v>5.1441202163696289</v>
      </c>
    </row>
    <row r="3157" spans="2:6">
      <c r="B3157">
        <v>2019</v>
      </c>
      <c r="C3157" t="s">
        <v>44</v>
      </c>
      <c r="D3157" t="s">
        <v>182</v>
      </c>
      <c r="E3157" t="s">
        <v>8</v>
      </c>
      <c r="F3157">
        <v>9.6876115798950195</v>
      </c>
    </row>
    <row r="3158" spans="2:6">
      <c r="B3158">
        <v>2019</v>
      </c>
      <c r="C3158" t="s">
        <v>44</v>
      </c>
      <c r="D3158" t="s">
        <v>182</v>
      </c>
      <c r="E3158" t="s">
        <v>9</v>
      </c>
      <c r="F3158">
        <v>0.82193589210510254</v>
      </c>
    </row>
    <row r="3159" spans="2:6">
      <c r="B3159">
        <v>2019</v>
      </c>
      <c r="C3159" t="s">
        <v>44</v>
      </c>
      <c r="D3159" t="s">
        <v>182</v>
      </c>
      <c r="E3159" t="s">
        <v>10</v>
      </c>
      <c r="F3159">
        <v>69.599998474121094</v>
      </c>
    </row>
    <row r="3160" spans="2:6">
      <c r="B3160">
        <v>2019</v>
      </c>
      <c r="C3160" t="s">
        <v>44</v>
      </c>
      <c r="D3160" t="s">
        <v>182</v>
      </c>
      <c r="E3160" t="s">
        <v>11</v>
      </c>
      <c r="F3160">
        <v>0.92735624313354492</v>
      </c>
    </row>
    <row r="3161" spans="2:6">
      <c r="B3161">
        <v>2019</v>
      </c>
      <c r="C3161" t="s">
        <v>44</v>
      </c>
      <c r="D3161" t="s">
        <v>182</v>
      </c>
      <c r="E3161" t="s">
        <v>12</v>
      </c>
      <c r="F3161">
        <v>-0.17303580045700073</v>
      </c>
    </row>
    <row r="3162" spans="2:6">
      <c r="B3162">
        <v>2019</v>
      </c>
      <c r="C3162" t="s">
        <v>44</v>
      </c>
      <c r="D3162" t="s">
        <v>182</v>
      </c>
      <c r="E3162" t="s">
        <v>14</v>
      </c>
      <c r="F3162">
        <v>0.89077985286712646</v>
      </c>
    </row>
    <row r="3163" spans="2:6">
      <c r="B3163">
        <v>2019</v>
      </c>
      <c r="C3163" t="s">
        <v>44</v>
      </c>
      <c r="D3163" t="s">
        <v>182</v>
      </c>
      <c r="E3163" t="s">
        <v>15</v>
      </c>
      <c r="F3163">
        <v>0.14651183784008026</v>
      </c>
    </row>
    <row r="3164" spans="2:6">
      <c r="B3164">
        <v>2020</v>
      </c>
      <c r="C3164" t="s">
        <v>44</v>
      </c>
      <c r="D3164" t="s">
        <v>182</v>
      </c>
      <c r="E3164" t="s">
        <v>7</v>
      </c>
      <c r="F3164">
        <v>5.7710647583007813</v>
      </c>
    </row>
    <row r="3165" spans="2:6">
      <c r="B3165">
        <v>2020</v>
      </c>
      <c r="C3165" t="s">
        <v>44</v>
      </c>
      <c r="D3165" t="s">
        <v>182</v>
      </c>
      <c r="E3165" t="s">
        <v>8</v>
      </c>
      <c r="F3165">
        <v>9.7017545700073242</v>
      </c>
    </row>
    <row r="3166" spans="2:6">
      <c r="B3166">
        <v>2020</v>
      </c>
      <c r="C3166" t="s">
        <v>44</v>
      </c>
      <c r="D3166" t="s">
        <v>182</v>
      </c>
      <c r="E3166" t="s">
        <v>9</v>
      </c>
      <c r="F3166">
        <v>0.80833446979522705</v>
      </c>
    </row>
    <row r="3167" spans="2:6">
      <c r="B3167">
        <v>2020</v>
      </c>
      <c r="C3167" t="s">
        <v>44</v>
      </c>
      <c r="D3167" t="s">
        <v>182</v>
      </c>
      <c r="E3167" t="s">
        <v>10</v>
      </c>
      <c r="F3167">
        <v>69.900001525878906</v>
      </c>
    </row>
    <row r="3168" spans="2:6">
      <c r="B3168">
        <v>2020</v>
      </c>
      <c r="C3168" t="s">
        <v>44</v>
      </c>
      <c r="D3168" t="s">
        <v>182</v>
      </c>
      <c r="E3168" t="s">
        <v>11</v>
      </c>
      <c r="F3168">
        <v>0.89112299680709839</v>
      </c>
    </row>
    <row r="3169" spans="2:6">
      <c r="B3169">
        <v>2020</v>
      </c>
      <c r="C3169" t="s">
        <v>44</v>
      </c>
      <c r="D3169" t="s">
        <v>182</v>
      </c>
      <c r="E3169" t="s">
        <v>12</v>
      </c>
      <c r="F3169">
        <v>-0.10321433842182159</v>
      </c>
    </row>
    <row r="3170" spans="2:6">
      <c r="B3170">
        <v>2020</v>
      </c>
      <c r="C3170" t="s">
        <v>44</v>
      </c>
      <c r="D3170" t="s">
        <v>182</v>
      </c>
      <c r="E3170" t="s">
        <v>14</v>
      </c>
      <c r="F3170">
        <v>0.789345383644104</v>
      </c>
    </row>
    <row r="3171" spans="2:6">
      <c r="B3171">
        <v>2020</v>
      </c>
      <c r="C3171" t="s">
        <v>44</v>
      </c>
      <c r="D3171" t="s">
        <v>182</v>
      </c>
      <c r="E3171" t="s">
        <v>15</v>
      </c>
      <c r="F3171">
        <v>0.24491822719573975</v>
      </c>
    </row>
    <row r="3172" spans="2:6">
      <c r="B3172">
        <v>2006</v>
      </c>
      <c r="C3172" t="s">
        <v>45</v>
      </c>
      <c r="D3172" t="s">
        <v>185</v>
      </c>
      <c r="E3172" t="s">
        <v>7</v>
      </c>
      <c r="F3172">
        <v>6.0249428749084473</v>
      </c>
    </row>
    <row r="3173" spans="2:6">
      <c r="B3173">
        <v>2006</v>
      </c>
      <c r="C3173" t="s">
        <v>45</v>
      </c>
      <c r="D3173" t="s">
        <v>185</v>
      </c>
      <c r="E3173" t="s">
        <v>8</v>
      </c>
      <c r="F3173">
        <v>9.2773752212524414</v>
      </c>
    </row>
    <row r="3174" spans="2:6">
      <c r="B3174">
        <v>2006</v>
      </c>
      <c r="C3174" t="s">
        <v>45</v>
      </c>
      <c r="D3174" t="s">
        <v>185</v>
      </c>
      <c r="E3174" t="s">
        <v>9</v>
      </c>
      <c r="F3174">
        <v>0.9102931022644043</v>
      </c>
    </row>
    <row r="3175" spans="2:6">
      <c r="B3175">
        <v>2006</v>
      </c>
      <c r="C3175" t="s">
        <v>45</v>
      </c>
      <c r="D3175" t="s">
        <v>185</v>
      </c>
      <c r="E3175" t="s">
        <v>10</v>
      </c>
      <c r="F3175">
        <v>65.220001220703125</v>
      </c>
    </row>
    <row r="3176" spans="2:6">
      <c r="B3176">
        <v>2006</v>
      </c>
      <c r="C3176" t="s">
        <v>45</v>
      </c>
      <c r="D3176" t="s">
        <v>185</v>
      </c>
      <c r="E3176" t="s">
        <v>11</v>
      </c>
      <c r="F3176">
        <v>0.80466181039810181</v>
      </c>
    </row>
    <row r="3177" spans="2:6">
      <c r="B3177">
        <v>2006</v>
      </c>
      <c r="C3177" t="s">
        <v>45</v>
      </c>
      <c r="D3177" t="s">
        <v>185</v>
      </c>
      <c r="E3177" t="s">
        <v>12</v>
      </c>
      <c r="F3177">
        <v>-1.498084794729948E-2</v>
      </c>
    </row>
    <row r="3178" spans="2:6">
      <c r="B3178">
        <v>2006</v>
      </c>
      <c r="C3178" t="s">
        <v>45</v>
      </c>
      <c r="D3178" t="s">
        <v>185</v>
      </c>
      <c r="E3178" t="s">
        <v>13</v>
      </c>
      <c r="F3178">
        <v>0.80783003568649292</v>
      </c>
    </row>
    <row r="3179" spans="2:6">
      <c r="B3179">
        <v>2006</v>
      </c>
      <c r="C3179" t="s">
        <v>45</v>
      </c>
      <c r="D3179" t="s">
        <v>185</v>
      </c>
      <c r="E3179" t="s">
        <v>14</v>
      </c>
      <c r="F3179">
        <v>0.79965120553970337</v>
      </c>
    </row>
    <row r="3180" spans="2:6">
      <c r="B3180">
        <v>2006</v>
      </c>
      <c r="C3180" t="s">
        <v>45</v>
      </c>
      <c r="D3180" t="s">
        <v>185</v>
      </c>
      <c r="E3180" t="s">
        <v>15</v>
      </c>
      <c r="F3180">
        <v>0.32558825612068176</v>
      </c>
    </row>
    <row r="3181" spans="2:6">
      <c r="B3181">
        <v>2007</v>
      </c>
      <c r="C3181" t="s">
        <v>45</v>
      </c>
      <c r="D3181" t="s">
        <v>185</v>
      </c>
      <c r="E3181" t="s">
        <v>7</v>
      </c>
      <c r="F3181">
        <v>6.1384115219116211</v>
      </c>
    </row>
    <row r="3182" spans="2:6">
      <c r="B3182">
        <v>2007</v>
      </c>
      <c r="C3182" t="s">
        <v>45</v>
      </c>
      <c r="D3182" t="s">
        <v>185</v>
      </c>
      <c r="E3182" t="s">
        <v>8</v>
      </c>
      <c r="F3182">
        <v>9.3302383422851563</v>
      </c>
    </row>
    <row r="3183" spans="2:6">
      <c r="B3183">
        <v>2007</v>
      </c>
      <c r="C3183" t="s">
        <v>45</v>
      </c>
      <c r="D3183" t="s">
        <v>185</v>
      </c>
      <c r="E3183" t="s">
        <v>9</v>
      </c>
      <c r="F3183">
        <v>0.8937067985534668</v>
      </c>
    </row>
    <row r="3184" spans="2:6">
      <c r="B3184">
        <v>2007</v>
      </c>
      <c r="C3184" t="s">
        <v>45</v>
      </c>
      <c r="D3184" t="s">
        <v>185</v>
      </c>
      <c r="E3184" t="s">
        <v>10</v>
      </c>
      <c r="F3184">
        <v>65.339996337890625</v>
      </c>
    </row>
    <row r="3185" spans="2:6">
      <c r="B3185">
        <v>2007</v>
      </c>
      <c r="C3185" t="s">
        <v>45</v>
      </c>
      <c r="D3185" t="s">
        <v>185</v>
      </c>
      <c r="E3185" t="s">
        <v>11</v>
      </c>
      <c r="F3185">
        <v>0.78586596250534058</v>
      </c>
    </row>
    <row r="3186" spans="2:6">
      <c r="B3186">
        <v>2007</v>
      </c>
      <c r="C3186" t="s">
        <v>45</v>
      </c>
      <c r="D3186" t="s">
        <v>185</v>
      </c>
      <c r="E3186" t="s">
        <v>12</v>
      </c>
      <c r="F3186">
        <v>-4.0380842983722687E-2</v>
      </c>
    </row>
    <row r="3187" spans="2:6">
      <c r="B3187">
        <v>2007</v>
      </c>
      <c r="C3187" t="s">
        <v>45</v>
      </c>
      <c r="D3187" t="s">
        <v>185</v>
      </c>
      <c r="E3187" t="s">
        <v>13</v>
      </c>
      <c r="F3187">
        <v>0.85976088047027588</v>
      </c>
    </row>
    <row r="3188" spans="2:6">
      <c r="B3188">
        <v>2007</v>
      </c>
      <c r="C3188" t="s">
        <v>45</v>
      </c>
      <c r="D3188" t="s">
        <v>185</v>
      </c>
      <c r="E3188" t="s">
        <v>14</v>
      </c>
      <c r="F3188">
        <v>0.808266282081604</v>
      </c>
    </row>
    <row r="3189" spans="2:6">
      <c r="B3189">
        <v>2007</v>
      </c>
      <c r="C3189" t="s">
        <v>45</v>
      </c>
      <c r="D3189" t="s">
        <v>185</v>
      </c>
      <c r="E3189" t="s">
        <v>15</v>
      </c>
      <c r="F3189">
        <v>0.28709003329277039</v>
      </c>
    </row>
    <row r="3190" spans="2:6">
      <c r="B3190">
        <v>2008</v>
      </c>
      <c r="C3190" t="s">
        <v>45</v>
      </c>
      <c r="D3190" t="s">
        <v>185</v>
      </c>
      <c r="E3190" t="s">
        <v>7</v>
      </c>
      <c r="F3190">
        <v>6.1683950424194336</v>
      </c>
    </row>
    <row r="3191" spans="2:6">
      <c r="B3191">
        <v>2008</v>
      </c>
      <c r="C3191" t="s">
        <v>45</v>
      </c>
      <c r="D3191" t="s">
        <v>185</v>
      </c>
      <c r="E3191" t="s">
        <v>8</v>
      </c>
      <c r="F3191">
        <v>9.3507843017578125</v>
      </c>
    </row>
    <row r="3192" spans="2:6">
      <c r="B3192">
        <v>2008</v>
      </c>
      <c r="C3192" t="s">
        <v>45</v>
      </c>
      <c r="D3192" t="s">
        <v>185</v>
      </c>
      <c r="E3192" t="s">
        <v>9</v>
      </c>
      <c r="F3192">
        <v>0.88006681203842163</v>
      </c>
    </row>
    <row r="3193" spans="2:6">
      <c r="B3193">
        <v>2008</v>
      </c>
      <c r="C3193" t="s">
        <v>45</v>
      </c>
      <c r="D3193" t="s">
        <v>185</v>
      </c>
      <c r="E3193" t="s">
        <v>10</v>
      </c>
      <c r="F3193">
        <v>65.459999084472656</v>
      </c>
    </row>
    <row r="3194" spans="2:6">
      <c r="B3194">
        <v>2008</v>
      </c>
      <c r="C3194" t="s">
        <v>45</v>
      </c>
      <c r="D3194" t="s">
        <v>185</v>
      </c>
      <c r="E3194" t="s">
        <v>11</v>
      </c>
      <c r="F3194">
        <v>0.79508382081985474</v>
      </c>
    </row>
    <row r="3195" spans="2:6">
      <c r="B3195">
        <v>2008</v>
      </c>
      <c r="C3195" t="s">
        <v>45</v>
      </c>
      <c r="D3195" t="s">
        <v>185</v>
      </c>
      <c r="E3195" t="s">
        <v>12</v>
      </c>
      <c r="F3195">
        <v>-4.1800469160079956E-2</v>
      </c>
    </row>
    <row r="3196" spans="2:6">
      <c r="B3196">
        <v>2008</v>
      </c>
      <c r="C3196" t="s">
        <v>45</v>
      </c>
      <c r="D3196" t="s">
        <v>185</v>
      </c>
      <c r="E3196" t="s">
        <v>13</v>
      </c>
      <c r="F3196">
        <v>0.76322394609451294</v>
      </c>
    </row>
    <row r="3197" spans="2:6">
      <c r="B3197">
        <v>2008</v>
      </c>
      <c r="C3197" t="s">
        <v>45</v>
      </c>
      <c r="D3197" t="s">
        <v>185</v>
      </c>
      <c r="E3197" t="s">
        <v>14</v>
      </c>
      <c r="F3197">
        <v>0.80340027809143066</v>
      </c>
    </row>
    <row r="3198" spans="2:6">
      <c r="B3198">
        <v>2008</v>
      </c>
      <c r="C3198" t="s">
        <v>45</v>
      </c>
      <c r="D3198" t="s">
        <v>185</v>
      </c>
      <c r="E3198" t="s">
        <v>15</v>
      </c>
      <c r="F3198">
        <v>0.30716219544410706</v>
      </c>
    </row>
    <row r="3199" spans="2:6">
      <c r="B3199">
        <v>2009</v>
      </c>
      <c r="C3199" t="s">
        <v>45</v>
      </c>
      <c r="D3199" t="s">
        <v>185</v>
      </c>
      <c r="E3199" t="s">
        <v>7</v>
      </c>
      <c r="F3199">
        <v>6.2716045379638672</v>
      </c>
    </row>
    <row r="3200" spans="2:6">
      <c r="B3200">
        <v>2009</v>
      </c>
      <c r="C3200" t="s">
        <v>45</v>
      </c>
      <c r="D3200" t="s">
        <v>185</v>
      </c>
      <c r="E3200" t="s">
        <v>8</v>
      </c>
      <c r="F3200">
        <v>9.3509912490844727</v>
      </c>
    </row>
    <row r="3201" spans="2:6">
      <c r="B3201">
        <v>2009</v>
      </c>
      <c r="C3201" t="s">
        <v>45</v>
      </c>
      <c r="D3201" t="s">
        <v>185</v>
      </c>
      <c r="E3201" t="s">
        <v>9</v>
      </c>
      <c r="F3201">
        <v>0.88592660427093506</v>
      </c>
    </row>
    <row r="3202" spans="2:6">
      <c r="B3202">
        <v>2009</v>
      </c>
      <c r="C3202" t="s">
        <v>45</v>
      </c>
      <c r="D3202" t="s">
        <v>185</v>
      </c>
      <c r="E3202" t="s">
        <v>10</v>
      </c>
      <c r="F3202">
        <v>65.580001831054688</v>
      </c>
    </row>
    <row r="3203" spans="2:6">
      <c r="B3203">
        <v>2009</v>
      </c>
      <c r="C3203" t="s">
        <v>45</v>
      </c>
      <c r="D3203" t="s">
        <v>185</v>
      </c>
      <c r="E3203" t="s">
        <v>11</v>
      </c>
      <c r="F3203">
        <v>0.75710070133209229</v>
      </c>
    </row>
    <row r="3204" spans="2:6">
      <c r="B3204">
        <v>2009</v>
      </c>
      <c r="C3204" t="s">
        <v>45</v>
      </c>
      <c r="D3204" t="s">
        <v>185</v>
      </c>
      <c r="E3204" t="s">
        <v>12</v>
      </c>
      <c r="F3204">
        <v>-5.4762084037065506E-2</v>
      </c>
    </row>
    <row r="3205" spans="2:6">
      <c r="B3205">
        <v>2009</v>
      </c>
      <c r="C3205" t="s">
        <v>45</v>
      </c>
      <c r="D3205" t="s">
        <v>185</v>
      </c>
      <c r="E3205" t="s">
        <v>13</v>
      </c>
      <c r="F3205">
        <v>0.83714348077774048</v>
      </c>
    </row>
    <row r="3206" spans="2:6">
      <c r="B3206">
        <v>2009</v>
      </c>
      <c r="C3206" t="s">
        <v>45</v>
      </c>
      <c r="D3206" t="s">
        <v>185</v>
      </c>
      <c r="E3206" t="s">
        <v>14</v>
      </c>
      <c r="F3206">
        <v>0.84262925386428833</v>
      </c>
    </row>
    <row r="3207" spans="2:6">
      <c r="B3207">
        <v>2009</v>
      </c>
      <c r="C3207" t="s">
        <v>45</v>
      </c>
      <c r="D3207" t="s">
        <v>185</v>
      </c>
      <c r="E3207" t="s">
        <v>15</v>
      </c>
      <c r="F3207">
        <v>0.27313148975372314</v>
      </c>
    </row>
    <row r="3208" spans="2:6">
      <c r="B3208">
        <v>2010</v>
      </c>
      <c r="C3208" t="s">
        <v>45</v>
      </c>
      <c r="D3208" t="s">
        <v>185</v>
      </c>
      <c r="E3208" t="s">
        <v>7</v>
      </c>
      <c r="F3208">
        <v>6.4081134796142578</v>
      </c>
    </row>
    <row r="3209" spans="2:6">
      <c r="B3209">
        <v>2010</v>
      </c>
      <c r="C3209" t="s">
        <v>45</v>
      </c>
      <c r="D3209" t="s">
        <v>185</v>
      </c>
      <c r="E3209" t="s">
        <v>8</v>
      </c>
      <c r="F3209">
        <v>9.3844509124755859</v>
      </c>
    </row>
    <row r="3210" spans="2:6">
      <c r="B3210">
        <v>2010</v>
      </c>
      <c r="C3210" t="s">
        <v>45</v>
      </c>
      <c r="D3210" t="s">
        <v>185</v>
      </c>
      <c r="E3210" t="s">
        <v>9</v>
      </c>
      <c r="F3210">
        <v>0.89299267530441284</v>
      </c>
    </row>
    <row r="3211" spans="2:6">
      <c r="B3211">
        <v>2010</v>
      </c>
      <c r="C3211" t="s">
        <v>45</v>
      </c>
      <c r="D3211" t="s">
        <v>185</v>
      </c>
      <c r="E3211" t="s">
        <v>10</v>
      </c>
      <c r="F3211">
        <v>65.699996948242188</v>
      </c>
    </row>
    <row r="3212" spans="2:6">
      <c r="B3212">
        <v>2010</v>
      </c>
      <c r="C3212" t="s">
        <v>45</v>
      </c>
      <c r="D3212" t="s">
        <v>185</v>
      </c>
      <c r="E3212" t="s">
        <v>11</v>
      </c>
      <c r="F3212">
        <v>0.81612110137939453</v>
      </c>
    </row>
    <row r="3213" spans="2:6">
      <c r="B3213">
        <v>2010</v>
      </c>
      <c r="C3213" t="s">
        <v>45</v>
      </c>
      <c r="D3213" t="s">
        <v>185</v>
      </c>
      <c r="E3213" t="s">
        <v>12</v>
      </c>
      <c r="F3213">
        <v>-4.9531534314155579E-2</v>
      </c>
    </row>
    <row r="3214" spans="2:6">
      <c r="B3214">
        <v>2010</v>
      </c>
      <c r="C3214" t="s">
        <v>45</v>
      </c>
      <c r="D3214" t="s">
        <v>185</v>
      </c>
      <c r="E3214" t="s">
        <v>13</v>
      </c>
      <c r="F3214">
        <v>0.81452447175979614</v>
      </c>
    </row>
    <row r="3215" spans="2:6">
      <c r="B3215">
        <v>2010</v>
      </c>
      <c r="C3215" t="s">
        <v>45</v>
      </c>
      <c r="D3215" t="s">
        <v>185</v>
      </c>
      <c r="E3215" t="s">
        <v>14</v>
      </c>
      <c r="F3215">
        <v>0.83062613010406494</v>
      </c>
    </row>
    <row r="3216" spans="2:6">
      <c r="B3216">
        <v>2010</v>
      </c>
      <c r="C3216" t="s">
        <v>45</v>
      </c>
      <c r="D3216" t="s">
        <v>185</v>
      </c>
      <c r="E3216" t="s">
        <v>15</v>
      </c>
      <c r="F3216">
        <v>0.26465916633605957</v>
      </c>
    </row>
    <row r="3217" spans="2:6">
      <c r="B3217">
        <v>2011</v>
      </c>
      <c r="C3217" t="s">
        <v>45</v>
      </c>
      <c r="D3217" t="s">
        <v>185</v>
      </c>
      <c r="E3217" t="s">
        <v>7</v>
      </c>
      <c r="F3217">
        <v>6.4639525413513184</v>
      </c>
    </row>
    <row r="3218" spans="2:6">
      <c r="B3218">
        <v>2011</v>
      </c>
      <c r="C3218" t="s">
        <v>45</v>
      </c>
      <c r="D3218" t="s">
        <v>185</v>
      </c>
      <c r="E3218" t="s">
        <v>8</v>
      </c>
      <c r="F3218">
        <v>9.4419307708740234</v>
      </c>
    </row>
    <row r="3219" spans="2:6">
      <c r="B3219">
        <v>2011</v>
      </c>
      <c r="C3219" t="s">
        <v>45</v>
      </c>
      <c r="D3219" t="s">
        <v>185</v>
      </c>
      <c r="E3219" t="s">
        <v>9</v>
      </c>
      <c r="F3219">
        <v>0.90414732694625854</v>
      </c>
    </row>
    <row r="3220" spans="2:6">
      <c r="B3220">
        <v>2011</v>
      </c>
      <c r="C3220" t="s">
        <v>45</v>
      </c>
      <c r="D3220" t="s">
        <v>185</v>
      </c>
      <c r="E3220" t="s">
        <v>10</v>
      </c>
      <c r="F3220">
        <v>65.919998168945313</v>
      </c>
    </row>
    <row r="3221" spans="2:6">
      <c r="B3221">
        <v>2011</v>
      </c>
      <c r="C3221" t="s">
        <v>45</v>
      </c>
      <c r="D3221" t="s">
        <v>185</v>
      </c>
      <c r="E3221" t="s">
        <v>11</v>
      </c>
      <c r="F3221">
        <v>0.81090742349624634</v>
      </c>
    </row>
    <row r="3222" spans="2:6">
      <c r="B3222">
        <v>2011</v>
      </c>
      <c r="C3222" t="s">
        <v>45</v>
      </c>
      <c r="D3222" t="s">
        <v>185</v>
      </c>
      <c r="E3222" t="s">
        <v>12</v>
      </c>
      <c r="F3222">
        <v>-7.3485933244228363E-2</v>
      </c>
    </row>
    <row r="3223" spans="2:6">
      <c r="B3223">
        <v>2011</v>
      </c>
      <c r="C3223" t="s">
        <v>45</v>
      </c>
      <c r="D3223" t="s">
        <v>185</v>
      </c>
      <c r="E3223" t="s">
        <v>13</v>
      </c>
      <c r="F3223">
        <v>0.84726852178573608</v>
      </c>
    </row>
    <row r="3224" spans="2:6">
      <c r="B3224">
        <v>2011</v>
      </c>
      <c r="C3224" t="s">
        <v>45</v>
      </c>
      <c r="D3224" t="s">
        <v>185</v>
      </c>
      <c r="E3224" t="s">
        <v>14</v>
      </c>
      <c r="F3224">
        <v>0.83161526918411255</v>
      </c>
    </row>
    <row r="3225" spans="2:6">
      <c r="B3225">
        <v>2011</v>
      </c>
      <c r="C3225" t="s">
        <v>45</v>
      </c>
      <c r="D3225" t="s">
        <v>185</v>
      </c>
      <c r="E3225" t="s">
        <v>15</v>
      </c>
      <c r="F3225">
        <v>0.28595885634422302</v>
      </c>
    </row>
    <row r="3226" spans="2:6">
      <c r="B3226">
        <v>2012</v>
      </c>
      <c r="C3226" t="s">
        <v>45</v>
      </c>
      <c r="D3226" t="s">
        <v>185</v>
      </c>
      <c r="E3226" t="s">
        <v>7</v>
      </c>
      <c r="F3226">
        <v>6.3748798370361328</v>
      </c>
    </row>
    <row r="3227" spans="2:6">
      <c r="B3227">
        <v>2012</v>
      </c>
      <c r="C3227" t="s">
        <v>45</v>
      </c>
      <c r="D3227" t="s">
        <v>185</v>
      </c>
      <c r="E3227" t="s">
        <v>8</v>
      </c>
      <c r="F3227">
        <v>9.4712905883789063</v>
      </c>
    </row>
    <row r="3228" spans="2:6">
      <c r="B3228">
        <v>2012</v>
      </c>
      <c r="C3228" t="s">
        <v>45</v>
      </c>
      <c r="D3228" t="s">
        <v>185</v>
      </c>
      <c r="E3228" t="s">
        <v>9</v>
      </c>
      <c r="F3228">
        <v>0.91437262296676636</v>
      </c>
    </row>
    <row r="3229" spans="2:6">
      <c r="B3229">
        <v>2012</v>
      </c>
      <c r="C3229" t="s">
        <v>45</v>
      </c>
      <c r="D3229" t="s">
        <v>185</v>
      </c>
      <c r="E3229" t="s">
        <v>10</v>
      </c>
      <c r="F3229">
        <v>66.139999389648438</v>
      </c>
    </row>
    <row r="3230" spans="2:6">
      <c r="B3230">
        <v>2012</v>
      </c>
      <c r="C3230" t="s">
        <v>45</v>
      </c>
      <c r="D3230" t="s">
        <v>185</v>
      </c>
      <c r="E3230" t="s">
        <v>11</v>
      </c>
      <c r="F3230">
        <v>0.82786810398101807</v>
      </c>
    </row>
    <row r="3231" spans="2:6">
      <c r="B3231">
        <v>2012</v>
      </c>
      <c r="C3231" t="s">
        <v>45</v>
      </c>
      <c r="D3231" t="s">
        <v>185</v>
      </c>
      <c r="E3231" t="s">
        <v>12</v>
      </c>
      <c r="F3231">
        <v>-9.4218784943223E-3</v>
      </c>
    </row>
    <row r="3232" spans="2:6">
      <c r="B3232">
        <v>2012</v>
      </c>
      <c r="C3232" t="s">
        <v>45</v>
      </c>
      <c r="D3232" t="s">
        <v>185</v>
      </c>
      <c r="E3232" t="s">
        <v>13</v>
      </c>
      <c r="F3232">
        <v>0.86837154626846313</v>
      </c>
    </row>
    <row r="3233" spans="2:6">
      <c r="B3233">
        <v>2012</v>
      </c>
      <c r="C3233" t="s">
        <v>45</v>
      </c>
      <c r="D3233" t="s">
        <v>185</v>
      </c>
      <c r="E3233" t="s">
        <v>14</v>
      </c>
      <c r="F3233">
        <v>0.84591776132583618</v>
      </c>
    </row>
    <row r="3234" spans="2:6">
      <c r="B3234">
        <v>2012</v>
      </c>
      <c r="C3234" t="s">
        <v>45</v>
      </c>
      <c r="D3234" t="s">
        <v>185</v>
      </c>
      <c r="E3234" t="s">
        <v>15</v>
      </c>
      <c r="F3234">
        <v>0.2937023937702179</v>
      </c>
    </row>
    <row r="3235" spans="2:6">
      <c r="B3235">
        <v>2013</v>
      </c>
      <c r="C3235" t="s">
        <v>45</v>
      </c>
      <c r="D3235" t="s">
        <v>185</v>
      </c>
      <c r="E3235" t="s">
        <v>7</v>
      </c>
      <c r="F3235">
        <v>6.6065506935119629</v>
      </c>
    </row>
    <row r="3236" spans="2:6">
      <c r="B3236">
        <v>2013</v>
      </c>
      <c r="C3236" t="s">
        <v>45</v>
      </c>
      <c r="D3236" t="s">
        <v>185</v>
      </c>
      <c r="E3236" t="s">
        <v>8</v>
      </c>
      <c r="F3236">
        <v>9.5122737884521484</v>
      </c>
    </row>
    <row r="3237" spans="2:6">
      <c r="B3237">
        <v>2013</v>
      </c>
      <c r="C3237" t="s">
        <v>45</v>
      </c>
      <c r="D3237" t="s">
        <v>185</v>
      </c>
      <c r="E3237" t="s">
        <v>9</v>
      </c>
      <c r="F3237">
        <v>0.90077787637710571</v>
      </c>
    </row>
    <row r="3238" spans="2:6">
      <c r="B3238">
        <v>2013</v>
      </c>
      <c r="C3238" t="s">
        <v>45</v>
      </c>
      <c r="D3238" t="s">
        <v>185</v>
      </c>
      <c r="E3238" t="s">
        <v>10</v>
      </c>
      <c r="F3238">
        <v>66.360000610351563</v>
      </c>
    </row>
    <row r="3239" spans="2:6">
      <c r="B3239">
        <v>2013</v>
      </c>
      <c r="C3239" t="s">
        <v>45</v>
      </c>
      <c r="D3239" t="s">
        <v>185</v>
      </c>
      <c r="E3239" t="s">
        <v>11</v>
      </c>
      <c r="F3239">
        <v>0.84117317199707031</v>
      </c>
    </row>
    <row r="3240" spans="2:6">
      <c r="B3240">
        <v>2013</v>
      </c>
      <c r="C3240" t="s">
        <v>45</v>
      </c>
      <c r="D3240" t="s">
        <v>185</v>
      </c>
      <c r="E3240" t="s">
        <v>12</v>
      </c>
      <c r="F3240">
        <v>-7.0859998464584351E-2</v>
      </c>
    </row>
    <row r="3241" spans="2:6">
      <c r="B3241">
        <v>2013</v>
      </c>
      <c r="C3241" t="s">
        <v>45</v>
      </c>
      <c r="D3241" t="s">
        <v>185</v>
      </c>
      <c r="E3241" t="s">
        <v>13</v>
      </c>
      <c r="F3241">
        <v>0.89820212125778198</v>
      </c>
    </row>
    <row r="3242" spans="2:6">
      <c r="B3242">
        <v>2013</v>
      </c>
      <c r="C3242" t="s">
        <v>45</v>
      </c>
      <c r="D3242" t="s">
        <v>185</v>
      </c>
      <c r="E3242" t="s">
        <v>14</v>
      </c>
      <c r="F3242">
        <v>0.85056501626968384</v>
      </c>
    </row>
    <row r="3243" spans="2:6">
      <c r="B3243">
        <v>2013</v>
      </c>
      <c r="C3243" t="s">
        <v>45</v>
      </c>
      <c r="D3243" t="s">
        <v>185</v>
      </c>
      <c r="E3243" t="s">
        <v>15</v>
      </c>
      <c r="F3243">
        <v>0.27811393141746521</v>
      </c>
    </row>
    <row r="3244" spans="2:6">
      <c r="B3244">
        <v>2014</v>
      </c>
      <c r="C3244" t="s">
        <v>45</v>
      </c>
      <c r="D3244" t="s">
        <v>185</v>
      </c>
      <c r="E3244" t="s">
        <v>7</v>
      </c>
      <c r="F3244">
        <v>6.448789119720459</v>
      </c>
    </row>
    <row r="3245" spans="2:6">
      <c r="B3245">
        <v>2014</v>
      </c>
      <c r="C3245" t="s">
        <v>45</v>
      </c>
      <c r="D3245" t="s">
        <v>185</v>
      </c>
      <c r="E3245" t="s">
        <v>8</v>
      </c>
      <c r="F3245">
        <v>9.5461826324462891</v>
      </c>
    </row>
    <row r="3246" spans="2:6">
      <c r="B3246">
        <v>2014</v>
      </c>
      <c r="C3246" t="s">
        <v>45</v>
      </c>
      <c r="D3246" t="s">
        <v>185</v>
      </c>
      <c r="E3246" t="s">
        <v>9</v>
      </c>
      <c r="F3246">
        <v>0.9074026346206665</v>
      </c>
    </row>
    <row r="3247" spans="2:6">
      <c r="B3247">
        <v>2014</v>
      </c>
      <c r="C3247" t="s">
        <v>45</v>
      </c>
      <c r="D3247" t="s">
        <v>185</v>
      </c>
      <c r="E3247" t="s">
        <v>10</v>
      </c>
      <c r="F3247">
        <v>66.580001831054688</v>
      </c>
    </row>
    <row r="3248" spans="2:6">
      <c r="B3248">
        <v>2014</v>
      </c>
      <c r="C3248" t="s">
        <v>45</v>
      </c>
      <c r="D3248" t="s">
        <v>185</v>
      </c>
      <c r="E3248" t="s">
        <v>11</v>
      </c>
      <c r="F3248">
        <v>0.80119144916534424</v>
      </c>
    </row>
    <row r="3249" spans="2:6">
      <c r="B3249">
        <v>2014</v>
      </c>
      <c r="C3249" t="s">
        <v>45</v>
      </c>
      <c r="D3249" t="s">
        <v>185</v>
      </c>
      <c r="E3249" t="s">
        <v>12</v>
      </c>
      <c r="F3249">
        <v>-9.0321987867355347E-2</v>
      </c>
    </row>
    <row r="3250" spans="2:6">
      <c r="B3250">
        <v>2014</v>
      </c>
      <c r="C3250" t="s">
        <v>45</v>
      </c>
      <c r="D3250" t="s">
        <v>185</v>
      </c>
      <c r="E3250" t="s">
        <v>13</v>
      </c>
      <c r="F3250">
        <v>0.88664573431015015</v>
      </c>
    </row>
    <row r="3251" spans="2:6">
      <c r="B3251">
        <v>2014</v>
      </c>
      <c r="C3251" t="s">
        <v>45</v>
      </c>
      <c r="D3251" t="s">
        <v>185</v>
      </c>
      <c r="E3251" t="s">
        <v>14</v>
      </c>
      <c r="F3251">
        <v>0.8470802903175354</v>
      </c>
    </row>
    <row r="3252" spans="2:6">
      <c r="B3252">
        <v>2014</v>
      </c>
      <c r="C3252" t="s">
        <v>45</v>
      </c>
      <c r="D3252" t="s">
        <v>185</v>
      </c>
      <c r="E3252" t="s">
        <v>15</v>
      </c>
      <c r="F3252">
        <v>0.27805644273757935</v>
      </c>
    </row>
    <row r="3253" spans="2:6">
      <c r="B3253">
        <v>2015</v>
      </c>
      <c r="C3253" t="s">
        <v>45</v>
      </c>
      <c r="D3253" t="s">
        <v>185</v>
      </c>
      <c r="E3253" t="s">
        <v>7</v>
      </c>
      <c r="F3253">
        <v>6.3875718116760254</v>
      </c>
    </row>
    <row r="3254" spans="2:6">
      <c r="B3254">
        <v>2015</v>
      </c>
      <c r="C3254" t="s">
        <v>45</v>
      </c>
      <c r="D3254" t="s">
        <v>185</v>
      </c>
      <c r="E3254" t="s">
        <v>8</v>
      </c>
      <c r="F3254">
        <v>9.5636405944824219</v>
      </c>
    </row>
    <row r="3255" spans="2:6">
      <c r="B3255">
        <v>2015</v>
      </c>
      <c r="C3255" t="s">
        <v>45</v>
      </c>
      <c r="D3255" t="s">
        <v>185</v>
      </c>
      <c r="E3255" t="s">
        <v>9</v>
      </c>
      <c r="F3255">
        <v>0.88990002870559692</v>
      </c>
    </row>
    <row r="3256" spans="2:6">
      <c r="B3256">
        <v>2015</v>
      </c>
      <c r="C3256" t="s">
        <v>45</v>
      </c>
      <c r="D3256" t="s">
        <v>185</v>
      </c>
      <c r="E3256" t="s">
        <v>10</v>
      </c>
      <c r="F3256">
        <v>66.800003051757813</v>
      </c>
    </row>
    <row r="3257" spans="2:6">
      <c r="B3257">
        <v>2015</v>
      </c>
      <c r="C3257" t="s">
        <v>45</v>
      </c>
      <c r="D3257" t="s">
        <v>185</v>
      </c>
      <c r="E3257" t="s">
        <v>11</v>
      </c>
      <c r="F3257">
        <v>0.79089796543121338</v>
      </c>
    </row>
    <row r="3258" spans="2:6">
      <c r="B3258">
        <v>2015</v>
      </c>
      <c r="C3258" t="s">
        <v>45</v>
      </c>
      <c r="D3258" t="s">
        <v>185</v>
      </c>
      <c r="E3258" t="s">
        <v>12</v>
      </c>
      <c r="F3258">
        <v>-0.10012606531381607</v>
      </c>
    </row>
    <row r="3259" spans="2:6">
      <c r="B3259">
        <v>2015</v>
      </c>
      <c r="C3259" t="s">
        <v>45</v>
      </c>
      <c r="D3259" t="s">
        <v>185</v>
      </c>
      <c r="E3259" t="s">
        <v>13</v>
      </c>
      <c r="F3259">
        <v>0.84289932250976563</v>
      </c>
    </row>
    <row r="3260" spans="2:6">
      <c r="B3260">
        <v>2015</v>
      </c>
      <c r="C3260" t="s">
        <v>45</v>
      </c>
      <c r="D3260" t="s">
        <v>185</v>
      </c>
      <c r="E3260" t="s">
        <v>14</v>
      </c>
      <c r="F3260">
        <v>0.83929455280303955</v>
      </c>
    </row>
    <row r="3261" spans="2:6">
      <c r="B3261">
        <v>2015</v>
      </c>
      <c r="C3261" t="s">
        <v>45</v>
      </c>
      <c r="D3261" t="s">
        <v>185</v>
      </c>
      <c r="E3261" t="s">
        <v>15</v>
      </c>
      <c r="F3261">
        <v>0.29176938533782959</v>
      </c>
    </row>
    <row r="3262" spans="2:6">
      <c r="B3262">
        <v>2016</v>
      </c>
      <c r="C3262" t="s">
        <v>45</v>
      </c>
      <c r="D3262" t="s">
        <v>185</v>
      </c>
      <c r="E3262" t="s">
        <v>7</v>
      </c>
      <c r="F3262">
        <v>6.2337150573730469</v>
      </c>
    </row>
    <row r="3263" spans="2:6">
      <c r="B3263">
        <v>2016</v>
      </c>
      <c r="C3263" t="s">
        <v>45</v>
      </c>
      <c r="D3263" t="s">
        <v>185</v>
      </c>
      <c r="E3263" t="s">
        <v>8</v>
      </c>
      <c r="F3263">
        <v>9.5706987380981445</v>
      </c>
    </row>
    <row r="3264" spans="2:6">
      <c r="B3264">
        <v>2016</v>
      </c>
      <c r="C3264" t="s">
        <v>45</v>
      </c>
      <c r="D3264" t="s">
        <v>185</v>
      </c>
      <c r="E3264" t="s">
        <v>9</v>
      </c>
      <c r="F3264">
        <v>0.8819003701210022</v>
      </c>
    </row>
    <row r="3265" spans="2:6">
      <c r="B3265">
        <v>2016</v>
      </c>
      <c r="C3265" t="s">
        <v>45</v>
      </c>
      <c r="D3265" t="s">
        <v>185</v>
      </c>
      <c r="E3265" t="s">
        <v>10</v>
      </c>
      <c r="F3265">
        <v>67.099998474121094</v>
      </c>
    </row>
    <row r="3266" spans="2:6">
      <c r="B3266">
        <v>2016</v>
      </c>
      <c r="C3266" t="s">
        <v>45</v>
      </c>
      <c r="D3266" t="s">
        <v>185</v>
      </c>
      <c r="E3266" t="s">
        <v>11</v>
      </c>
      <c r="F3266">
        <v>0.83496612310409546</v>
      </c>
    </row>
    <row r="3267" spans="2:6">
      <c r="B3267">
        <v>2016</v>
      </c>
      <c r="C3267" t="s">
        <v>45</v>
      </c>
      <c r="D3267" t="s">
        <v>185</v>
      </c>
      <c r="E3267" t="s">
        <v>12</v>
      </c>
      <c r="F3267">
        <v>-0.10034167766571045</v>
      </c>
    </row>
    <row r="3268" spans="2:6">
      <c r="B3268">
        <v>2016</v>
      </c>
      <c r="C3268" t="s">
        <v>45</v>
      </c>
      <c r="D3268" t="s">
        <v>185</v>
      </c>
      <c r="E3268" t="s">
        <v>13</v>
      </c>
      <c r="F3268">
        <v>0.89755386114120483</v>
      </c>
    </row>
    <row r="3269" spans="2:6">
      <c r="B3269">
        <v>2016</v>
      </c>
      <c r="C3269" t="s">
        <v>45</v>
      </c>
      <c r="D3269" t="s">
        <v>185</v>
      </c>
      <c r="E3269" t="s">
        <v>14</v>
      </c>
      <c r="F3269">
        <v>0.79353147745132446</v>
      </c>
    </row>
    <row r="3270" spans="2:6">
      <c r="B3270">
        <v>2016</v>
      </c>
      <c r="C3270" t="s">
        <v>45</v>
      </c>
      <c r="D3270" t="s">
        <v>185</v>
      </c>
      <c r="E3270" t="s">
        <v>15</v>
      </c>
      <c r="F3270">
        <v>0.29422277212142944</v>
      </c>
    </row>
    <row r="3271" spans="2:6">
      <c r="B3271">
        <v>2017</v>
      </c>
      <c r="C3271" t="s">
        <v>45</v>
      </c>
      <c r="D3271" t="s">
        <v>185</v>
      </c>
      <c r="E3271" t="s">
        <v>7</v>
      </c>
      <c r="F3271">
        <v>6.1573419570922852</v>
      </c>
    </row>
    <row r="3272" spans="2:6">
      <c r="B3272">
        <v>2017</v>
      </c>
      <c r="C3272" t="s">
        <v>45</v>
      </c>
      <c r="D3272" t="s">
        <v>185</v>
      </c>
      <c r="E3272" t="s">
        <v>8</v>
      </c>
      <c r="F3272">
        <v>9.5691671371459961</v>
      </c>
    </row>
    <row r="3273" spans="2:6">
      <c r="B3273">
        <v>2017</v>
      </c>
      <c r="C3273" t="s">
        <v>45</v>
      </c>
      <c r="D3273" t="s">
        <v>185</v>
      </c>
      <c r="E3273" t="s">
        <v>9</v>
      </c>
      <c r="F3273">
        <v>0.90924996137619019</v>
      </c>
    </row>
    <row r="3274" spans="2:6">
      <c r="B3274">
        <v>2017</v>
      </c>
      <c r="C3274" t="s">
        <v>45</v>
      </c>
      <c r="D3274" t="s">
        <v>185</v>
      </c>
      <c r="E3274" t="s">
        <v>10</v>
      </c>
      <c r="F3274">
        <v>67.400001525878906</v>
      </c>
    </row>
    <row r="3275" spans="2:6">
      <c r="B3275">
        <v>2017</v>
      </c>
      <c r="C3275" t="s">
        <v>45</v>
      </c>
      <c r="D3275" t="s">
        <v>185</v>
      </c>
      <c r="E3275" t="s">
        <v>11</v>
      </c>
      <c r="F3275">
        <v>0.83755463361740112</v>
      </c>
    </row>
    <row r="3276" spans="2:6">
      <c r="B3276">
        <v>2017</v>
      </c>
      <c r="C3276" t="s">
        <v>45</v>
      </c>
      <c r="D3276" t="s">
        <v>185</v>
      </c>
      <c r="E3276" t="s">
        <v>12</v>
      </c>
      <c r="F3276">
        <v>-0.15713727474212646</v>
      </c>
    </row>
    <row r="3277" spans="2:6">
      <c r="B3277">
        <v>2017</v>
      </c>
      <c r="C3277" t="s">
        <v>45</v>
      </c>
      <c r="D3277" t="s">
        <v>185</v>
      </c>
      <c r="E3277" t="s">
        <v>13</v>
      </c>
      <c r="F3277">
        <v>0.87501811981201172</v>
      </c>
    </row>
    <row r="3278" spans="2:6">
      <c r="B3278">
        <v>2017</v>
      </c>
      <c r="C3278" t="s">
        <v>45</v>
      </c>
      <c r="D3278" t="s">
        <v>185</v>
      </c>
      <c r="E3278" t="s">
        <v>14</v>
      </c>
      <c r="F3278">
        <v>0.83692699670791626</v>
      </c>
    </row>
    <row r="3279" spans="2:6">
      <c r="B3279">
        <v>2017</v>
      </c>
      <c r="C3279" t="s">
        <v>45</v>
      </c>
      <c r="D3279" t="s">
        <v>185</v>
      </c>
      <c r="E3279" t="s">
        <v>15</v>
      </c>
      <c r="F3279">
        <v>0.29930895566940308</v>
      </c>
    </row>
    <row r="3280" spans="2:6">
      <c r="B3280">
        <v>2018</v>
      </c>
      <c r="C3280" t="s">
        <v>45</v>
      </c>
      <c r="D3280" t="s">
        <v>185</v>
      </c>
      <c r="E3280" t="s">
        <v>7</v>
      </c>
      <c r="F3280">
        <v>5.9835124015808105</v>
      </c>
    </row>
    <row r="3281" spans="2:6">
      <c r="B3281">
        <v>2018</v>
      </c>
      <c r="C3281" t="s">
        <v>45</v>
      </c>
      <c r="D3281" t="s">
        <v>185</v>
      </c>
      <c r="E3281" t="s">
        <v>8</v>
      </c>
      <c r="F3281">
        <v>9.5788364410400391</v>
      </c>
    </row>
    <row r="3282" spans="2:6">
      <c r="B3282">
        <v>2018</v>
      </c>
      <c r="C3282" t="s">
        <v>45</v>
      </c>
      <c r="D3282" t="s">
        <v>185</v>
      </c>
      <c r="E3282" t="s">
        <v>9</v>
      </c>
      <c r="F3282">
        <v>0.87097042798995972</v>
      </c>
    </row>
    <row r="3283" spans="2:6">
      <c r="B3283">
        <v>2018</v>
      </c>
      <c r="C3283" t="s">
        <v>45</v>
      </c>
      <c r="D3283" t="s">
        <v>185</v>
      </c>
      <c r="E3283" t="s">
        <v>10</v>
      </c>
      <c r="F3283">
        <v>67.699996948242188</v>
      </c>
    </row>
    <row r="3284" spans="2:6">
      <c r="B3284">
        <v>2018</v>
      </c>
      <c r="C3284" t="s">
        <v>45</v>
      </c>
      <c r="D3284" t="s">
        <v>185</v>
      </c>
      <c r="E3284" t="s">
        <v>11</v>
      </c>
      <c r="F3284">
        <v>0.85076576471328735</v>
      </c>
    </row>
    <row r="3285" spans="2:6">
      <c r="B3285">
        <v>2018</v>
      </c>
      <c r="C3285" t="s">
        <v>45</v>
      </c>
      <c r="D3285" t="s">
        <v>185</v>
      </c>
      <c r="E3285" t="s">
        <v>12</v>
      </c>
      <c r="F3285">
        <v>-0.1484723836183548</v>
      </c>
    </row>
    <row r="3286" spans="2:6">
      <c r="B3286">
        <v>2018</v>
      </c>
      <c r="C3286" t="s">
        <v>45</v>
      </c>
      <c r="D3286" t="s">
        <v>185</v>
      </c>
      <c r="E3286" t="s">
        <v>13</v>
      </c>
      <c r="F3286">
        <v>0.85482090711593628</v>
      </c>
    </row>
    <row r="3287" spans="2:6">
      <c r="B3287">
        <v>2018</v>
      </c>
      <c r="C3287" t="s">
        <v>45</v>
      </c>
      <c r="D3287" t="s">
        <v>185</v>
      </c>
      <c r="E3287" t="s">
        <v>14</v>
      </c>
      <c r="F3287">
        <v>0.8254551887512207</v>
      </c>
    </row>
    <row r="3288" spans="2:6">
      <c r="B3288">
        <v>2018</v>
      </c>
      <c r="C3288" t="s">
        <v>45</v>
      </c>
      <c r="D3288" t="s">
        <v>185</v>
      </c>
      <c r="E3288" t="s">
        <v>15</v>
      </c>
      <c r="F3288">
        <v>0.30062410235404968</v>
      </c>
    </row>
    <row r="3289" spans="2:6">
      <c r="B3289">
        <v>2019</v>
      </c>
      <c r="C3289" t="s">
        <v>45</v>
      </c>
      <c r="D3289" t="s">
        <v>185</v>
      </c>
      <c r="E3289" t="s">
        <v>7</v>
      </c>
      <c r="F3289">
        <v>6.3502979278564453</v>
      </c>
    </row>
    <row r="3290" spans="2:6">
      <c r="B3290">
        <v>2019</v>
      </c>
      <c r="C3290" t="s">
        <v>45</v>
      </c>
      <c r="D3290" t="s">
        <v>185</v>
      </c>
      <c r="E3290" t="s">
        <v>8</v>
      </c>
      <c r="F3290">
        <v>9.5977020263671875</v>
      </c>
    </row>
    <row r="3291" spans="2:6">
      <c r="B3291">
        <v>2019</v>
      </c>
      <c r="C3291" t="s">
        <v>45</v>
      </c>
      <c r="D3291" t="s">
        <v>185</v>
      </c>
      <c r="E3291" t="s">
        <v>9</v>
      </c>
      <c r="F3291">
        <v>0.87257891893386841</v>
      </c>
    </row>
    <row r="3292" spans="2:6">
      <c r="B3292">
        <v>2019</v>
      </c>
      <c r="C3292" t="s">
        <v>45</v>
      </c>
      <c r="D3292" t="s">
        <v>185</v>
      </c>
      <c r="E3292" t="s">
        <v>10</v>
      </c>
      <c r="F3292">
        <v>68</v>
      </c>
    </row>
    <row r="3293" spans="2:6">
      <c r="B3293">
        <v>2019</v>
      </c>
      <c r="C3293" t="s">
        <v>45</v>
      </c>
      <c r="D3293" t="s">
        <v>185</v>
      </c>
      <c r="E3293" t="s">
        <v>11</v>
      </c>
      <c r="F3293">
        <v>0.82150071859359741</v>
      </c>
    </row>
    <row r="3294" spans="2:6">
      <c r="B3294">
        <v>2019</v>
      </c>
      <c r="C3294" t="s">
        <v>45</v>
      </c>
      <c r="D3294" t="s">
        <v>185</v>
      </c>
      <c r="E3294" t="s">
        <v>12</v>
      </c>
      <c r="F3294">
        <v>-0.17213095724582672</v>
      </c>
    </row>
    <row r="3295" spans="2:6">
      <c r="B3295">
        <v>2019</v>
      </c>
      <c r="C3295" t="s">
        <v>45</v>
      </c>
      <c r="D3295" t="s">
        <v>185</v>
      </c>
      <c r="E3295" t="s">
        <v>13</v>
      </c>
      <c r="F3295">
        <v>0.85364615917205811</v>
      </c>
    </row>
    <row r="3296" spans="2:6">
      <c r="B3296">
        <v>2019</v>
      </c>
      <c r="C3296" t="s">
        <v>45</v>
      </c>
      <c r="D3296" t="s">
        <v>185</v>
      </c>
      <c r="E3296" t="s">
        <v>14</v>
      </c>
      <c r="F3296">
        <v>0.82249033451080322</v>
      </c>
    </row>
    <row r="3297" spans="2:6">
      <c r="B3297">
        <v>2019</v>
      </c>
      <c r="C3297" t="s">
        <v>45</v>
      </c>
      <c r="D3297" t="s">
        <v>185</v>
      </c>
      <c r="E3297" t="s">
        <v>15</v>
      </c>
      <c r="F3297">
        <v>0.32180628180503845</v>
      </c>
    </row>
    <row r="3298" spans="2:6">
      <c r="B3298">
        <v>2020</v>
      </c>
      <c r="C3298" t="s">
        <v>45</v>
      </c>
      <c r="D3298" t="s">
        <v>185</v>
      </c>
      <c r="E3298" t="s">
        <v>7</v>
      </c>
      <c r="F3298">
        <v>5.7091751098632813</v>
      </c>
    </row>
    <row r="3299" spans="2:6">
      <c r="B3299">
        <v>2020</v>
      </c>
      <c r="C3299" t="s">
        <v>45</v>
      </c>
      <c r="D3299" t="s">
        <v>185</v>
      </c>
      <c r="E3299" t="s">
        <v>8</v>
      </c>
      <c r="F3299">
        <v>9.4954910278320313</v>
      </c>
    </row>
    <row r="3300" spans="2:6">
      <c r="B3300">
        <v>2020</v>
      </c>
      <c r="C3300" t="s">
        <v>45</v>
      </c>
      <c r="D3300" t="s">
        <v>185</v>
      </c>
      <c r="E3300" t="s">
        <v>9</v>
      </c>
      <c r="F3300">
        <v>0.79703521728515625</v>
      </c>
    </row>
    <row r="3301" spans="2:6">
      <c r="B3301">
        <v>2020</v>
      </c>
      <c r="C3301" t="s">
        <v>45</v>
      </c>
      <c r="D3301" t="s">
        <v>185</v>
      </c>
      <c r="E3301" t="s">
        <v>10</v>
      </c>
      <c r="F3301">
        <v>68.300003051757813</v>
      </c>
    </row>
    <row r="3302" spans="2:6">
      <c r="B3302">
        <v>2020</v>
      </c>
      <c r="C3302" t="s">
        <v>45</v>
      </c>
      <c r="D3302" t="s">
        <v>185</v>
      </c>
      <c r="E3302" t="s">
        <v>11</v>
      </c>
      <c r="F3302">
        <v>0.84018611907958984</v>
      </c>
    </row>
    <row r="3303" spans="2:6">
      <c r="B3303">
        <v>2020</v>
      </c>
      <c r="C3303" t="s">
        <v>45</v>
      </c>
      <c r="D3303" t="s">
        <v>185</v>
      </c>
      <c r="E3303" t="s">
        <v>12</v>
      </c>
      <c r="F3303">
        <v>-8.4642209112644196E-2</v>
      </c>
    </row>
    <row r="3304" spans="2:6">
      <c r="B3304">
        <v>2020</v>
      </c>
      <c r="C3304" t="s">
        <v>45</v>
      </c>
      <c r="D3304" t="s">
        <v>185</v>
      </c>
      <c r="E3304" t="s">
        <v>13</v>
      </c>
      <c r="F3304">
        <v>0.807964026927948</v>
      </c>
    </row>
    <row r="3305" spans="2:6">
      <c r="B3305">
        <v>2020</v>
      </c>
      <c r="C3305" t="s">
        <v>45</v>
      </c>
      <c r="D3305" t="s">
        <v>185</v>
      </c>
      <c r="E3305" t="s">
        <v>14</v>
      </c>
      <c r="F3305">
        <v>0.79513269662857056</v>
      </c>
    </row>
    <row r="3306" spans="2:6">
      <c r="B3306">
        <v>2020</v>
      </c>
      <c r="C3306" t="s">
        <v>45</v>
      </c>
      <c r="D3306" t="s">
        <v>185</v>
      </c>
      <c r="E3306" t="s">
        <v>15</v>
      </c>
      <c r="F3306">
        <v>0.34015858173370361</v>
      </c>
    </row>
    <row r="3307" spans="2:6">
      <c r="B3307">
        <v>2009</v>
      </c>
      <c r="C3307" t="s">
        <v>46</v>
      </c>
      <c r="D3307" t="s">
        <v>184</v>
      </c>
      <c r="E3307" t="s">
        <v>7</v>
      </c>
      <c r="F3307">
        <v>3.476027250289917</v>
      </c>
    </row>
    <row r="3308" spans="2:6">
      <c r="B3308">
        <v>2009</v>
      </c>
      <c r="C3308" t="s">
        <v>46</v>
      </c>
      <c r="D3308" t="s">
        <v>184</v>
      </c>
      <c r="E3308" t="s">
        <v>8</v>
      </c>
      <c r="F3308">
        <v>7.9517807960510254</v>
      </c>
    </row>
    <row r="3309" spans="2:6">
      <c r="B3309">
        <v>2009</v>
      </c>
      <c r="C3309" t="s">
        <v>46</v>
      </c>
      <c r="D3309" t="s">
        <v>184</v>
      </c>
      <c r="E3309" t="s">
        <v>9</v>
      </c>
      <c r="F3309">
        <v>0.62942677736282349</v>
      </c>
    </row>
    <row r="3310" spans="2:6">
      <c r="B3310">
        <v>2009</v>
      </c>
      <c r="C3310" t="s">
        <v>46</v>
      </c>
      <c r="D3310" t="s">
        <v>184</v>
      </c>
      <c r="E3310" t="s">
        <v>10</v>
      </c>
      <c r="F3310">
        <v>54.360000610351563</v>
      </c>
    </row>
    <row r="3311" spans="2:6">
      <c r="B3311">
        <v>2009</v>
      </c>
      <c r="C3311" t="s">
        <v>46</v>
      </c>
      <c r="D3311" t="s">
        <v>184</v>
      </c>
      <c r="E3311" t="s">
        <v>11</v>
      </c>
      <c r="F3311">
        <v>0.50784528255462646</v>
      </c>
    </row>
    <row r="3312" spans="2:6">
      <c r="B3312">
        <v>2009</v>
      </c>
      <c r="C3312" t="s">
        <v>46</v>
      </c>
      <c r="D3312" t="s">
        <v>184</v>
      </c>
      <c r="E3312" t="s">
        <v>12</v>
      </c>
      <c r="F3312">
        <v>-7.3563970625400543E-2</v>
      </c>
    </row>
    <row r="3313" spans="2:6">
      <c r="B3313">
        <v>2009</v>
      </c>
      <c r="C3313" t="s">
        <v>46</v>
      </c>
      <c r="D3313" t="s">
        <v>184</v>
      </c>
      <c r="E3313" t="s">
        <v>13</v>
      </c>
      <c r="F3313">
        <v>0.83811569213867188</v>
      </c>
    </row>
    <row r="3314" spans="2:6">
      <c r="B3314">
        <v>2009</v>
      </c>
      <c r="C3314" t="s">
        <v>46</v>
      </c>
      <c r="D3314" t="s">
        <v>184</v>
      </c>
      <c r="E3314" t="s">
        <v>14</v>
      </c>
      <c r="F3314">
        <v>0.67198240756988525</v>
      </c>
    </row>
    <row r="3315" spans="2:6">
      <c r="B3315">
        <v>2009</v>
      </c>
      <c r="C3315" t="s">
        <v>46</v>
      </c>
      <c r="D3315" t="s">
        <v>184</v>
      </c>
      <c r="E3315" t="s">
        <v>15</v>
      </c>
      <c r="F3315">
        <v>0.16731749475002289</v>
      </c>
    </row>
    <row r="3316" spans="2:6">
      <c r="B3316">
        <v>2010</v>
      </c>
      <c r="C3316" t="s">
        <v>46</v>
      </c>
      <c r="D3316" t="s">
        <v>184</v>
      </c>
      <c r="E3316" t="s">
        <v>7</v>
      </c>
      <c r="F3316">
        <v>3.8121910095214844</v>
      </c>
    </row>
    <row r="3317" spans="2:6">
      <c r="B3317">
        <v>2010</v>
      </c>
      <c r="C3317" t="s">
        <v>46</v>
      </c>
      <c r="D3317" t="s">
        <v>184</v>
      </c>
      <c r="E3317" t="s">
        <v>8</v>
      </c>
      <c r="F3317">
        <v>7.9649505615234375</v>
      </c>
    </row>
    <row r="3318" spans="2:6">
      <c r="B3318">
        <v>2010</v>
      </c>
      <c r="C3318" t="s">
        <v>46</v>
      </c>
      <c r="D3318" t="s">
        <v>184</v>
      </c>
      <c r="E3318" t="s">
        <v>9</v>
      </c>
      <c r="F3318">
        <v>0.72134292125701904</v>
      </c>
    </row>
    <row r="3319" spans="2:6">
      <c r="B3319">
        <v>2010</v>
      </c>
      <c r="C3319" t="s">
        <v>46</v>
      </c>
      <c r="D3319" t="s">
        <v>184</v>
      </c>
      <c r="E3319" t="s">
        <v>10</v>
      </c>
      <c r="F3319">
        <v>54.700000762939453</v>
      </c>
    </row>
    <row r="3320" spans="2:6">
      <c r="B3320">
        <v>2010</v>
      </c>
      <c r="C3320" t="s">
        <v>46</v>
      </c>
      <c r="D3320" t="s">
        <v>184</v>
      </c>
      <c r="E3320" t="s">
        <v>11</v>
      </c>
      <c r="F3320">
        <v>0.52867525815963745</v>
      </c>
    </row>
    <row r="3321" spans="2:6">
      <c r="B3321">
        <v>2010</v>
      </c>
      <c r="C3321" t="s">
        <v>46</v>
      </c>
      <c r="D3321" t="s">
        <v>184</v>
      </c>
      <c r="E3321" t="s">
        <v>12</v>
      </c>
      <c r="F3321">
        <v>5.3187371231615543E-3</v>
      </c>
    </row>
    <row r="3322" spans="2:6">
      <c r="B3322">
        <v>2010</v>
      </c>
      <c r="C3322" t="s">
        <v>46</v>
      </c>
      <c r="D3322" t="s">
        <v>184</v>
      </c>
      <c r="E3322" t="s">
        <v>13</v>
      </c>
      <c r="F3322">
        <v>0.74118173122406006</v>
      </c>
    </row>
    <row r="3323" spans="2:6">
      <c r="B3323">
        <v>2010</v>
      </c>
      <c r="C3323" t="s">
        <v>46</v>
      </c>
      <c r="D3323" t="s">
        <v>184</v>
      </c>
      <c r="E3323" t="s">
        <v>14</v>
      </c>
      <c r="F3323">
        <v>0.72750777006149292</v>
      </c>
    </row>
    <row r="3324" spans="2:6">
      <c r="B3324">
        <v>2010</v>
      </c>
      <c r="C3324" t="s">
        <v>46</v>
      </c>
      <c r="D3324" t="s">
        <v>184</v>
      </c>
      <c r="E3324" t="s">
        <v>15</v>
      </c>
      <c r="F3324">
        <v>0.17794805765151978</v>
      </c>
    </row>
    <row r="3325" spans="2:6">
      <c r="B3325">
        <v>2011</v>
      </c>
      <c r="C3325" t="s">
        <v>46</v>
      </c>
      <c r="D3325" t="s">
        <v>184</v>
      </c>
      <c r="E3325" t="s">
        <v>7</v>
      </c>
      <c r="F3325">
        <v>3.8384859561920166</v>
      </c>
    </row>
    <row r="3326" spans="2:6">
      <c r="B3326">
        <v>2011</v>
      </c>
      <c r="C3326" t="s">
        <v>46</v>
      </c>
      <c r="D3326" t="s">
        <v>184</v>
      </c>
      <c r="E3326" t="s">
        <v>8</v>
      </c>
      <c r="F3326">
        <v>7.9809551239013672</v>
      </c>
    </row>
    <row r="3327" spans="2:6">
      <c r="B3327">
        <v>2011</v>
      </c>
      <c r="C3327" t="s">
        <v>46</v>
      </c>
      <c r="D3327" t="s">
        <v>184</v>
      </c>
      <c r="E3327" t="s">
        <v>9</v>
      </c>
      <c r="F3327">
        <v>0.7218327522277832</v>
      </c>
    </row>
    <row r="3328" spans="2:6">
      <c r="B3328">
        <v>2011</v>
      </c>
      <c r="C3328" t="s">
        <v>46</v>
      </c>
      <c r="D3328" t="s">
        <v>184</v>
      </c>
      <c r="E3328" t="s">
        <v>10</v>
      </c>
      <c r="F3328">
        <v>55.020000457763672</v>
      </c>
    </row>
    <row r="3329" spans="2:6">
      <c r="B3329">
        <v>2011</v>
      </c>
      <c r="C3329" t="s">
        <v>46</v>
      </c>
      <c r="D3329" t="s">
        <v>184</v>
      </c>
      <c r="E3329" t="s">
        <v>11</v>
      </c>
      <c r="F3329">
        <v>0.49967387318611145</v>
      </c>
    </row>
    <row r="3330" spans="2:6">
      <c r="B3330">
        <v>2011</v>
      </c>
      <c r="C3330" t="s">
        <v>46</v>
      </c>
      <c r="D3330" t="s">
        <v>184</v>
      </c>
      <c r="E3330" t="s">
        <v>12</v>
      </c>
      <c r="F3330">
        <v>-7.4847646057605743E-2</v>
      </c>
    </row>
    <row r="3331" spans="2:6">
      <c r="B3331">
        <v>2011</v>
      </c>
      <c r="C3331" t="s">
        <v>46</v>
      </c>
      <c r="D3331" t="s">
        <v>184</v>
      </c>
      <c r="E3331" t="s">
        <v>13</v>
      </c>
      <c r="F3331">
        <v>0.73150849342346191</v>
      </c>
    </row>
    <row r="3332" spans="2:6">
      <c r="B3332">
        <v>2011</v>
      </c>
      <c r="C3332" t="s">
        <v>46</v>
      </c>
      <c r="D3332" t="s">
        <v>184</v>
      </c>
      <c r="E3332" t="s">
        <v>14</v>
      </c>
      <c r="F3332">
        <v>0.66662007570266724</v>
      </c>
    </row>
    <row r="3333" spans="2:6">
      <c r="B3333">
        <v>2011</v>
      </c>
      <c r="C3333" t="s">
        <v>46</v>
      </c>
      <c r="D3333" t="s">
        <v>184</v>
      </c>
      <c r="E3333" t="s">
        <v>15</v>
      </c>
      <c r="F3333">
        <v>0.17332300543785095</v>
      </c>
    </row>
    <row r="3334" spans="2:6">
      <c r="B3334">
        <v>2012</v>
      </c>
      <c r="C3334" t="s">
        <v>46</v>
      </c>
      <c r="D3334" t="s">
        <v>184</v>
      </c>
      <c r="E3334" t="s">
        <v>7</v>
      </c>
      <c r="F3334">
        <v>3.9556403160095215</v>
      </c>
    </row>
    <row r="3335" spans="2:6">
      <c r="B3335">
        <v>2012</v>
      </c>
      <c r="C3335" t="s">
        <v>46</v>
      </c>
      <c r="D3335" t="s">
        <v>184</v>
      </c>
      <c r="E3335" t="s">
        <v>8</v>
      </c>
      <c r="F3335">
        <v>7.9882640838623047</v>
      </c>
    </row>
    <row r="3336" spans="2:6">
      <c r="B3336">
        <v>2012</v>
      </c>
      <c r="C3336" t="s">
        <v>46</v>
      </c>
      <c r="D3336" t="s">
        <v>184</v>
      </c>
      <c r="E3336" t="s">
        <v>9</v>
      </c>
      <c r="F3336">
        <v>0.71921789646148682</v>
      </c>
    </row>
    <row r="3337" spans="2:6">
      <c r="B3337">
        <v>2012</v>
      </c>
      <c r="C3337" t="s">
        <v>46</v>
      </c>
      <c r="D3337" t="s">
        <v>184</v>
      </c>
      <c r="E3337" t="s">
        <v>10</v>
      </c>
      <c r="F3337">
        <v>55.340000152587891</v>
      </c>
    </row>
    <row r="3338" spans="2:6">
      <c r="B3338">
        <v>2012</v>
      </c>
      <c r="C3338" t="s">
        <v>46</v>
      </c>
      <c r="D3338" t="s">
        <v>184</v>
      </c>
      <c r="E3338" t="s">
        <v>11</v>
      </c>
      <c r="F3338">
        <v>0.53404092788696289</v>
      </c>
    </row>
    <row r="3339" spans="2:6">
      <c r="B3339">
        <v>2012</v>
      </c>
      <c r="C3339" t="s">
        <v>46</v>
      </c>
      <c r="D3339" t="s">
        <v>184</v>
      </c>
      <c r="E3339" t="s">
        <v>12</v>
      </c>
      <c r="F3339">
        <v>-0.12078157812356949</v>
      </c>
    </row>
    <row r="3340" spans="2:6">
      <c r="B3340">
        <v>2012</v>
      </c>
      <c r="C3340" t="s">
        <v>46</v>
      </c>
      <c r="D3340" t="s">
        <v>184</v>
      </c>
      <c r="E3340" t="s">
        <v>13</v>
      </c>
      <c r="F3340">
        <v>0.65100926160812378</v>
      </c>
    </row>
    <row r="3341" spans="2:6">
      <c r="B3341">
        <v>2012</v>
      </c>
      <c r="C3341" t="s">
        <v>46</v>
      </c>
      <c r="D3341" t="s">
        <v>184</v>
      </c>
      <c r="E3341" t="s">
        <v>14</v>
      </c>
      <c r="F3341">
        <v>0.61224132776260376</v>
      </c>
    </row>
    <row r="3342" spans="2:6">
      <c r="B3342">
        <v>2012</v>
      </c>
      <c r="C3342" t="s">
        <v>46</v>
      </c>
      <c r="D3342" t="s">
        <v>184</v>
      </c>
      <c r="E3342" t="s">
        <v>15</v>
      </c>
      <c r="F3342">
        <v>0.2118438184261322</v>
      </c>
    </row>
    <row r="3343" spans="2:6">
      <c r="B3343">
        <v>2018</v>
      </c>
      <c r="C3343" t="s">
        <v>46</v>
      </c>
      <c r="D3343" t="s">
        <v>184</v>
      </c>
      <c r="E3343" t="s">
        <v>7</v>
      </c>
      <c r="F3343">
        <v>3.9728195667266846</v>
      </c>
    </row>
    <row r="3344" spans="2:6">
      <c r="B3344">
        <v>2018</v>
      </c>
      <c r="C3344" t="s">
        <v>46</v>
      </c>
      <c r="D3344" t="s">
        <v>184</v>
      </c>
      <c r="E3344" t="s">
        <v>8</v>
      </c>
      <c r="F3344">
        <v>8.0284023284912109</v>
      </c>
    </row>
    <row r="3345" spans="2:6">
      <c r="B3345">
        <v>2018</v>
      </c>
      <c r="C3345" t="s">
        <v>46</v>
      </c>
      <c r="D3345" t="s">
        <v>184</v>
      </c>
      <c r="E3345" t="s">
        <v>9</v>
      </c>
      <c r="F3345">
        <v>0.62130296230316162</v>
      </c>
    </row>
    <row r="3346" spans="2:6">
      <c r="B3346">
        <v>2018</v>
      </c>
      <c r="C3346" t="s">
        <v>46</v>
      </c>
      <c r="D3346" t="s">
        <v>184</v>
      </c>
      <c r="E3346" t="s">
        <v>10</v>
      </c>
      <c r="F3346">
        <v>57.200000762939453</v>
      </c>
    </row>
    <row r="3347" spans="2:6">
      <c r="B3347">
        <v>2018</v>
      </c>
      <c r="C3347" t="s">
        <v>46</v>
      </c>
      <c r="D3347" t="s">
        <v>184</v>
      </c>
      <c r="E3347" t="s">
        <v>11</v>
      </c>
      <c r="F3347">
        <v>0.56018233299255371</v>
      </c>
    </row>
    <row r="3348" spans="2:6">
      <c r="B3348">
        <v>2018</v>
      </c>
      <c r="C3348" t="s">
        <v>46</v>
      </c>
      <c r="D3348" t="s">
        <v>184</v>
      </c>
      <c r="E3348" t="s">
        <v>12</v>
      </c>
      <c r="F3348">
        <v>8.5823103785514832E-2</v>
      </c>
    </row>
    <row r="3349" spans="2:6">
      <c r="B3349">
        <v>2018</v>
      </c>
      <c r="C3349" t="s">
        <v>46</v>
      </c>
      <c r="D3349" t="s">
        <v>184</v>
      </c>
      <c r="E3349" t="s">
        <v>13</v>
      </c>
      <c r="F3349">
        <v>0.7937583327293396</v>
      </c>
    </row>
    <row r="3350" spans="2:6">
      <c r="B3350">
        <v>2018</v>
      </c>
      <c r="C3350" t="s">
        <v>46</v>
      </c>
      <c r="D3350" t="s">
        <v>184</v>
      </c>
      <c r="E3350" t="s">
        <v>14</v>
      </c>
      <c r="F3350">
        <v>0.74774158000946045</v>
      </c>
    </row>
    <row r="3351" spans="2:6">
      <c r="B3351">
        <v>2018</v>
      </c>
      <c r="C3351" t="s">
        <v>46</v>
      </c>
      <c r="D3351" t="s">
        <v>184</v>
      </c>
      <c r="E3351" t="s">
        <v>15</v>
      </c>
      <c r="F3351">
        <v>0.3374936580657959</v>
      </c>
    </row>
    <row r="3352" spans="2:6">
      <c r="B3352">
        <v>2019</v>
      </c>
      <c r="C3352" t="s">
        <v>46</v>
      </c>
      <c r="D3352" t="s">
        <v>184</v>
      </c>
      <c r="E3352" t="s">
        <v>7</v>
      </c>
      <c r="F3352">
        <v>4.6086163520812988</v>
      </c>
    </row>
    <row r="3353" spans="2:6">
      <c r="B3353">
        <v>2019</v>
      </c>
      <c r="C3353" t="s">
        <v>46</v>
      </c>
      <c r="D3353" t="s">
        <v>184</v>
      </c>
      <c r="E3353" t="s">
        <v>8</v>
      </c>
      <c r="F3353">
        <v>8.0331344604492188</v>
      </c>
    </row>
    <row r="3354" spans="2:6">
      <c r="B3354">
        <v>2019</v>
      </c>
      <c r="C3354" t="s">
        <v>46</v>
      </c>
      <c r="D3354" t="s">
        <v>184</v>
      </c>
      <c r="E3354" t="s">
        <v>9</v>
      </c>
      <c r="F3354">
        <v>0.63201296329498291</v>
      </c>
    </row>
    <row r="3355" spans="2:6">
      <c r="B3355">
        <v>2019</v>
      </c>
      <c r="C3355" t="s">
        <v>46</v>
      </c>
      <c r="D3355" t="s">
        <v>184</v>
      </c>
      <c r="E3355" t="s">
        <v>10</v>
      </c>
      <c r="F3355">
        <v>57.5</v>
      </c>
    </row>
    <row r="3356" spans="2:6">
      <c r="B3356">
        <v>2019</v>
      </c>
      <c r="C3356" t="s">
        <v>46</v>
      </c>
      <c r="D3356" t="s">
        <v>184</v>
      </c>
      <c r="E3356" t="s">
        <v>11</v>
      </c>
      <c r="F3356">
        <v>0.5382615327835083</v>
      </c>
    </row>
    <row r="3357" spans="2:6">
      <c r="B3357">
        <v>2019</v>
      </c>
      <c r="C3357" t="s">
        <v>46</v>
      </c>
      <c r="D3357" t="s">
        <v>184</v>
      </c>
      <c r="E3357" t="s">
        <v>12</v>
      </c>
      <c r="F3357">
        <v>7.7253080904483795E-2</v>
      </c>
    </row>
    <row r="3358" spans="2:6">
      <c r="B3358">
        <v>2019</v>
      </c>
      <c r="C3358" t="s">
        <v>46</v>
      </c>
      <c r="D3358" t="s">
        <v>184</v>
      </c>
      <c r="E3358" t="s">
        <v>13</v>
      </c>
      <c r="F3358">
        <v>0.76223248243331909</v>
      </c>
    </row>
    <row r="3359" spans="2:6">
      <c r="B3359">
        <v>2019</v>
      </c>
      <c r="C3359" t="s">
        <v>46</v>
      </c>
      <c r="D3359" t="s">
        <v>184</v>
      </c>
      <c r="E3359" t="s">
        <v>14</v>
      </c>
      <c r="F3359">
        <v>0.73622173070907593</v>
      </c>
    </row>
    <row r="3360" spans="2:6">
      <c r="B3360">
        <v>2019</v>
      </c>
      <c r="C3360" t="s">
        <v>46</v>
      </c>
      <c r="D3360" t="s">
        <v>184</v>
      </c>
      <c r="E3360" t="s">
        <v>15</v>
      </c>
      <c r="F3360">
        <v>0.33616289496421814</v>
      </c>
    </row>
    <row r="3361" spans="2:6">
      <c r="B3361">
        <v>2008</v>
      </c>
      <c r="C3361" t="s">
        <v>47</v>
      </c>
      <c r="D3361" t="s">
        <v>184</v>
      </c>
      <c r="E3361" t="s">
        <v>7</v>
      </c>
      <c r="F3361">
        <v>3.8197922706604004</v>
      </c>
    </row>
    <row r="3362" spans="2:6">
      <c r="B3362">
        <v>2008</v>
      </c>
      <c r="C3362" t="s">
        <v>47</v>
      </c>
      <c r="D3362" t="s">
        <v>184</v>
      </c>
      <c r="E3362" t="s">
        <v>8</v>
      </c>
      <c r="F3362">
        <v>8.0820474624633789</v>
      </c>
    </row>
    <row r="3363" spans="2:6">
      <c r="B3363">
        <v>2008</v>
      </c>
      <c r="C3363" t="s">
        <v>47</v>
      </c>
      <c r="D3363" t="s">
        <v>184</v>
      </c>
      <c r="E3363" t="s">
        <v>9</v>
      </c>
      <c r="F3363">
        <v>0.55477190017700195</v>
      </c>
    </row>
    <row r="3364" spans="2:6">
      <c r="B3364">
        <v>2008</v>
      </c>
      <c r="C3364" t="s">
        <v>47</v>
      </c>
      <c r="D3364" t="s">
        <v>184</v>
      </c>
      <c r="E3364" t="s">
        <v>10</v>
      </c>
      <c r="F3364">
        <v>52.200000762939453</v>
      </c>
    </row>
    <row r="3365" spans="2:6">
      <c r="B3365">
        <v>2008</v>
      </c>
      <c r="C3365" t="s">
        <v>47</v>
      </c>
      <c r="D3365" t="s">
        <v>184</v>
      </c>
      <c r="E3365" t="s">
        <v>11</v>
      </c>
      <c r="F3365">
        <v>0.52574676275253296</v>
      </c>
    </row>
    <row r="3366" spans="2:6">
      <c r="B3366">
        <v>2008</v>
      </c>
      <c r="C3366" t="s">
        <v>47</v>
      </c>
      <c r="D3366" t="s">
        <v>184</v>
      </c>
      <c r="E3366" t="s">
        <v>12</v>
      </c>
      <c r="F3366">
        <v>-9.8090626299381256E-2</v>
      </c>
    </row>
    <row r="3367" spans="2:6">
      <c r="B3367">
        <v>2008</v>
      </c>
      <c r="C3367" t="s">
        <v>47</v>
      </c>
      <c r="D3367" t="s">
        <v>184</v>
      </c>
      <c r="E3367" t="s">
        <v>14</v>
      </c>
      <c r="F3367">
        <v>0.57300150394439697</v>
      </c>
    </row>
    <row r="3368" spans="2:6">
      <c r="B3368">
        <v>2008</v>
      </c>
      <c r="C3368" t="s">
        <v>47</v>
      </c>
      <c r="D3368" t="s">
        <v>184</v>
      </c>
      <c r="E3368" t="s">
        <v>15</v>
      </c>
      <c r="F3368">
        <v>0.29778984189033508</v>
      </c>
    </row>
    <row r="3369" spans="2:6">
      <c r="B3369">
        <v>2011</v>
      </c>
      <c r="C3369" t="s">
        <v>47</v>
      </c>
      <c r="D3369" t="s">
        <v>184</v>
      </c>
      <c r="E3369" t="s">
        <v>7</v>
      </c>
      <c r="F3369">
        <v>4.509824275970459</v>
      </c>
    </row>
    <row r="3370" spans="2:6">
      <c r="B3370">
        <v>2011</v>
      </c>
      <c r="C3370" t="s">
        <v>47</v>
      </c>
      <c r="D3370" t="s">
        <v>184</v>
      </c>
      <c r="E3370" t="s">
        <v>8</v>
      </c>
      <c r="F3370">
        <v>8.1803398132324219</v>
      </c>
    </row>
    <row r="3371" spans="2:6">
      <c r="B3371">
        <v>2011</v>
      </c>
      <c r="C3371" t="s">
        <v>47</v>
      </c>
      <c r="D3371" t="s">
        <v>184</v>
      </c>
      <c r="E3371" t="s">
        <v>9</v>
      </c>
      <c r="F3371">
        <v>0.63711750507354736</v>
      </c>
    </row>
    <row r="3372" spans="2:6">
      <c r="B3372">
        <v>2011</v>
      </c>
      <c r="C3372" t="s">
        <v>47</v>
      </c>
      <c r="D3372" t="s">
        <v>184</v>
      </c>
      <c r="E3372" t="s">
        <v>10</v>
      </c>
      <c r="F3372">
        <v>54.580001831054688</v>
      </c>
    </row>
    <row r="3373" spans="2:6">
      <c r="B3373">
        <v>2011</v>
      </c>
      <c r="C3373" t="s">
        <v>47</v>
      </c>
      <c r="D3373" t="s">
        <v>184</v>
      </c>
      <c r="E3373" t="s">
        <v>11</v>
      </c>
      <c r="F3373">
        <v>0.74480718374252319</v>
      </c>
    </row>
    <row r="3374" spans="2:6">
      <c r="B3374">
        <v>2011</v>
      </c>
      <c r="C3374" t="s">
        <v>47</v>
      </c>
      <c r="D3374" t="s">
        <v>184</v>
      </c>
      <c r="E3374" t="s">
        <v>12</v>
      </c>
      <c r="F3374">
        <v>-0.10914906859397888</v>
      </c>
    </row>
    <row r="3375" spans="2:6">
      <c r="B3375">
        <v>2011</v>
      </c>
      <c r="C3375" t="s">
        <v>47</v>
      </c>
      <c r="D3375" t="s">
        <v>184</v>
      </c>
      <c r="E3375" t="s">
        <v>13</v>
      </c>
      <c r="F3375">
        <v>0.83271372318267822</v>
      </c>
    </row>
    <row r="3376" spans="2:6">
      <c r="B3376">
        <v>2011</v>
      </c>
      <c r="C3376" t="s">
        <v>47</v>
      </c>
      <c r="D3376" t="s">
        <v>184</v>
      </c>
      <c r="E3376" t="s">
        <v>14</v>
      </c>
      <c r="F3376">
        <v>0.62104970216751099</v>
      </c>
    </row>
    <row r="3377" spans="2:6">
      <c r="B3377">
        <v>2011</v>
      </c>
      <c r="C3377" t="s">
        <v>47</v>
      </c>
      <c r="D3377" t="s">
        <v>184</v>
      </c>
      <c r="E3377" t="s">
        <v>15</v>
      </c>
      <c r="F3377">
        <v>0.28787603974342346</v>
      </c>
    </row>
    <row r="3378" spans="2:6">
      <c r="B3378">
        <v>2012</v>
      </c>
      <c r="C3378" t="s">
        <v>47</v>
      </c>
      <c r="D3378" t="s">
        <v>184</v>
      </c>
      <c r="E3378" t="s">
        <v>7</v>
      </c>
      <c r="F3378">
        <v>3.9193418025970459</v>
      </c>
    </row>
    <row r="3379" spans="2:6">
      <c r="B3379">
        <v>2012</v>
      </c>
      <c r="C3379" t="s">
        <v>47</v>
      </c>
      <c r="D3379" t="s">
        <v>184</v>
      </c>
      <c r="E3379" t="s">
        <v>8</v>
      </c>
      <c r="F3379">
        <v>8.1917266845703125</v>
      </c>
    </row>
    <row r="3380" spans="2:6">
      <c r="B3380">
        <v>2012</v>
      </c>
      <c r="C3380" t="s">
        <v>47</v>
      </c>
      <c r="D3380" t="s">
        <v>184</v>
      </c>
      <c r="E3380" t="s">
        <v>9</v>
      </c>
      <c r="F3380">
        <v>0.62233036756515503</v>
      </c>
    </row>
    <row r="3381" spans="2:6">
      <c r="B3381">
        <v>2012</v>
      </c>
      <c r="C3381" t="s">
        <v>47</v>
      </c>
      <c r="D3381" t="s">
        <v>184</v>
      </c>
      <c r="E3381" t="s">
        <v>10</v>
      </c>
      <c r="F3381">
        <v>54.959999084472656</v>
      </c>
    </row>
    <row r="3382" spans="2:6">
      <c r="B3382">
        <v>2012</v>
      </c>
      <c r="C3382" t="s">
        <v>47</v>
      </c>
      <c r="D3382" t="s">
        <v>184</v>
      </c>
      <c r="E3382" t="s">
        <v>11</v>
      </c>
      <c r="F3382">
        <v>0.77251076698303223</v>
      </c>
    </row>
    <row r="3383" spans="2:6">
      <c r="B3383">
        <v>2012</v>
      </c>
      <c r="C3383" t="s">
        <v>47</v>
      </c>
      <c r="D3383" t="s">
        <v>184</v>
      </c>
      <c r="E3383" t="s">
        <v>12</v>
      </c>
      <c r="F3383">
        <v>-0.11164296418428421</v>
      </c>
    </row>
    <row r="3384" spans="2:6">
      <c r="B3384">
        <v>2012</v>
      </c>
      <c r="C3384" t="s">
        <v>47</v>
      </c>
      <c r="D3384" t="s">
        <v>184</v>
      </c>
      <c r="E3384" t="s">
        <v>13</v>
      </c>
      <c r="F3384">
        <v>0.79965370893478394</v>
      </c>
    </row>
    <row r="3385" spans="2:6">
      <c r="B3385">
        <v>2012</v>
      </c>
      <c r="C3385" t="s">
        <v>47</v>
      </c>
      <c r="D3385" t="s">
        <v>184</v>
      </c>
      <c r="E3385" t="s">
        <v>14</v>
      </c>
      <c r="F3385">
        <v>0.56421995162963867</v>
      </c>
    </row>
    <row r="3386" spans="2:6">
      <c r="B3386">
        <v>2012</v>
      </c>
      <c r="C3386" t="s">
        <v>47</v>
      </c>
      <c r="D3386" t="s">
        <v>184</v>
      </c>
      <c r="E3386" t="s">
        <v>15</v>
      </c>
      <c r="F3386">
        <v>0.32258296012878418</v>
      </c>
    </row>
    <row r="3387" spans="2:6">
      <c r="B3387">
        <v>2013</v>
      </c>
      <c r="C3387" t="s">
        <v>47</v>
      </c>
      <c r="D3387" t="s">
        <v>184</v>
      </c>
      <c r="E3387" t="s">
        <v>7</v>
      </c>
      <c r="F3387">
        <v>3.9549505710601807</v>
      </c>
    </row>
    <row r="3388" spans="2:6">
      <c r="B3388">
        <v>2013</v>
      </c>
      <c r="C3388" t="s">
        <v>47</v>
      </c>
      <c r="D3388" t="s">
        <v>184</v>
      </c>
      <c r="E3388" t="s">
        <v>8</v>
      </c>
      <c r="F3388">
        <v>8.2009038925170898</v>
      </c>
    </row>
    <row r="3389" spans="2:6">
      <c r="B3389">
        <v>2013</v>
      </c>
      <c r="C3389" t="s">
        <v>47</v>
      </c>
      <c r="D3389" t="s">
        <v>184</v>
      </c>
      <c r="E3389" t="s">
        <v>9</v>
      </c>
      <c r="F3389">
        <v>0.67993468046188354</v>
      </c>
    </row>
    <row r="3390" spans="2:6">
      <c r="B3390">
        <v>2013</v>
      </c>
      <c r="C3390" t="s">
        <v>47</v>
      </c>
      <c r="D3390" t="s">
        <v>184</v>
      </c>
      <c r="E3390" t="s">
        <v>10</v>
      </c>
      <c r="F3390">
        <v>55.340000152587891</v>
      </c>
    </row>
    <row r="3391" spans="2:6">
      <c r="B3391">
        <v>2013</v>
      </c>
      <c r="C3391" t="s">
        <v>47</v>
      </c>
      <c r="D3391" t="s">
        <v>184</v>
      </c>
      <c r="E3391" t="s">
        <v>11</v>
      </c>
      <c r="F3391">
        <v>0.72581565380096436</v>
      </c>
    </row>
    <row r="3392" spans="2:6">
      <c r="B3392">
        <v>2013</v>
      </c>
      <c r="C3392" t="s">
        <v>47</v>
      </c>
      <c r="D3392" t="s">
        <v>184</v>
      </c>
      <c r="E3392" t="s">
        <v>12</v>
      </c>
      <c r="F3392">
        <v>-7.7836930751800537E-2</v>
      </c>
    </row>
    <row r="3393" spans="2:6">
      <c r="B3393">
        <v>2013</v>
      </c>
      <c r="C3393" t="s">
        <v>47</v>
      </c>
      <c r="D3393" t="s">
        <v>184</v>
      </c>
      <c r="E3393" t="s">
        <v>13</v>
      </c>
      <c r="F3393">
        <v>0.75172370672225952</v>
      </c>
    </row>
    <row r="3394" spans="2:6">
      <c r="B3394">
        <v>2013</v>
      </c>
      <c r="C3394" t="s">
        <v>47</v>
      </c>
      <c r="D3394" t="s">
        <v>184</v>
      </c>
      <c r="E3394" t="s">
        <v>14</v>
      </c>
      <c r="F3394">
        <v>0.60998642444610596</v>
      </c>
    </row>
    <row r="3395" spans="2:6">
      <c r="B3395">
        <v>2013</v>
      </c>
      <c r="C3395" t="s">
        <v>47</v>
      </c>
      <c r="D3395" t="s">
        <v>184</v>
      </c>
      <c r="E3395" t="s">
        <v>15</v>
      </c>
      <c r="F3395">
        <v>0.29140156507492065</v>
      </c>
    </row>
    <row r="3396" spans="2:6">
      <c r="B3396">
        <v>2014</v>
      </c>
      <c r="C3396" t="s">
        <v>47</v>
      </c>
      <c r="D3396" t="s">
        <v>184</v>
      </c>
      <c r="E3396" t="s">
        <v>7</v>
      </c>
      <c r="F3396">
        <v>4.0560126304626465</v>
      </c>
    </row>
    <row r="3397" spans="2:6">
      <c r="B3397">
        <v>2014</v>
      </c>
      <c r="C3397" t="s">
        <v>47</v>
      </c>
      <c r="D3397" t="s">
        <v>184</v>
      </c>
      <c r="E3397" t="s">
        <v>8</v>
      </c>
      <c r="F3397">
        <v>8.2420969009399414</v>
      </c>
    </row>
    <row r="3398" spans="2:6">
      <c r="B3398">
        <v>2014</v>
      </c>
      <c r="C3398" t="s">
        <v>47</v>
      </c>
      <c r="D3398" t="s">
        <v>184</v>
      </c>
      <c r="E3398" t="s">
        <v>9</v>
      </c>
      <c r="F3398">
        <v>0.68593466281890869</v>
      </c>
    </row>
    <row r="3399" spans="2:6">
      <c r="B3399">
        <v>2014</v>
      </c>
      <c r="C3399" t="s">
        <v>47</v>
      </c>
      <c r="D3399" t="s">
        <v>184</v>
      </c>
      <c r="E3399" t="s">
        <v>10</v>
      </c>
      <c r="F3399">
        <v>55.720001220703125</v>
      </c>
    </row>
    <row r="3400" spans="2:6">
      <c r="B3400">
        <v>2014</v>
      </c>
      <c r="C3400" t="s">
        <v>47</v>
      </c>
      <c r="D3400" t="s">
        <v>184</v>
      </c>
      <c r="E3400" t="s">
        <v>11</v>
      </c>
      <c r="F3400">
        <v>0.66163814067840576</v>
      </c>
    </row>
    <row r="3401" spans="2:6">
      <c r="B3401">
        <v>2014</v>
      </c>
      <c r="C3401" t="s">
        <v>47</v>
      </c>
      <c r="D3401" t="s">
        <v>184</v>
      </c>
      <c r="E3401" t="s">
        <v>12</v>
      </c>
      <c r="F3401">
        <v>-0.11042539775371552</v>
      </c>
    </row>
    <row r="3402" spans="2:6">
      <c r="B3402">
        <v>2014</v>
      </c>
      <c r="C3402" t="s">
        <v>47</v>
      </c>
      <c r="D3402" t="s">
        <v>184</v>
      </c>
      <c r="E3402" t="s">
        <v>13</v>
      </c>
      <c r="F3402">
        <v>0.80841273069381714</v>
      </c>
    </row>
    <row r="3403" spans="2:6">
      <c r="B3403">
        <v>2014</v>
      </c>
      <c r="C3403" t="s">
        <v>47</v>
      </c>
      <c r="D3403" t="s">
        <v>184</v>
      </c>
      <c r="E3403" t="s">
        <v>14</v>
      </c>
      <c r="F3403">
        <v>0.59525471925735474</v>
      </c>
    </row>
    <row r="3404" spans="2:6">
      <c r="B3404">
        <v>2014</v>
      </c>
      <c r="C3404" t="s">
        <v>47</v>
      </c>
      <c r="D3404" t="s">
        <v>184</v>
      </c>
      <c r="E3404" t="s">
        <v>15</v>
      </c>
      <c r="F3404">
        <v>0.40022942423820496</v>
      </c>
    </row>
    <row r="3405" spans="2:6">
      <c r="B3405">
        <v>2015</v>
      </c>
      <c r="C3405" t="s">
        <v>47</v>
      </c>
      <c r="D3405" t="s">
        <v>184</v>
      </c>
      <c r="E3405" t="s">
        <v>7</v>
      </c>
      <c r="F3405">
        <v>4.6908302307128906</v>
      </c>
    </row>
    <row r="3406" spans="2:6">
      <c r="B3406">
        <v>2015</v>
      </c>
      <c r="C3406" t="s">
        <v>47</v>
      </c>
      <c r="D3406" t="s">
        <v>184</v>
      </c>
      <c r="E3406" t="s">
        <v>8</v>
      </c>
      <c r="F3406">
        <v>8.2433815002441406</v>
      </c>
    </row>
    <row r="3407" spans="2:6">
      <c r="B3407">
        <v>2015</v>
      </c>
      <c r="C3407" t="s">
        <v>47</v>
      </c>
      <c r="D3407" t="s">
        <v>184</v>
      </c>
      <c r="E3407" t="s">
        <v>9</v>
      </c>
      <c r="F3407">
        <v>0.64213615655899048</v>
      </c>
    </row>
    <row r="3408" spans="2:6">
      <c r="B3408">
        <v>2015</v>
      </c>
      <c r="C3408" t="s">
        <v>47</v>
      </c>
      <c r="D3408" t="s">
        <v>184</v>
      </c>
      <c r="E3408" t="s">
        <v>10</v>
      </c>
      <c r="F3408">
        <v>56.099998474121094</v>
      </c>
    </row>
    <row r="3409" spans="2:6">
      <c r="B3409">
        <v>2015</v>
      </c>
      <c r="C3409" t="s">
        <v>47</v>
      </c>
      <c r="D3409" t="s">
        <v>184</v>
      </c>
      <c r="E3409" t="s">
        <v>11</v>
      </c>
      <c r="F3409">
        <v>0.85017246007919312</v>
      </c>
    </row>
    <row r="3410" spans="2:6">
      <c r="B3410">
        <v>2015</v>
      </c>
      <c r="C3410" t="s">
        <v>47</v>
      </c>
      <c r="D3410" t="s">
        <v>184</v>
      </c>
      <c r="E3410" t="s">
        <v>12</v>
      </c>
      <c r="F3410">
        <v>-0.10392161458730698</v>
      </c>
    </row>
    <row r="3411" spans="2:6">
      <c r="B3411">
        <v>2015</v>
      </c>
      <c r="C3411" t="s">
        <v>47</v>
      </c>
      <c r="D3411" t="s">
        <v>184</v>
      </c>
      <c r="E3411" t="s">
        <v>13</v>
      </c>
      <c r="F3411">
        <v>0.84135949611663818</v>
      </c>
    </row>
    <row r="3412" spans="2:6">
      <c r="B3412">
        <v>2015</v>
      </c>
      <c r="C3412" t="s">
        <v>47</v>
      </c>
      <c r="D3412" t="s">
        <v>184</v>
      </c>
      <c r="E3412" t="s">
        <v>14</v>
      </c>
      <c r="F3412">
        <v>0.60604417324066162</v>
      </c>
    </row>
    <row r="3413" spans="2:6">
      <c r="B3413">
        <v>2015</v>
      </c>
      <c r="C3413" t="s">
        <v>47</v>
      </c>
      <c r="D3413" t="s">
        <v>184</v>
      </c>
      <c r="E3413" t="s">
        <v>15</v>
      </c>
      <c r="F3413">
        <v>0.26067051291465759</v>
      </c>
    </row>
    <row r="3414" spans="2:6">
      <c r="B3414">
        <v>2016</v>
      </c>
      <c r="C3414" t="s">
        <v>47</v>
      </c>
      <c r="D3414" t="s">
        <v>184</v>
      </c>
      <c r="E3414" t="s">
        <v>7</v>
      </c>
      <c r="F3414">
        <v>4.1194934844970703</v>
      </c>
    </row>
    <row r="3415" spans="2:6">
      <c r="B3415">
        <v>2016</v>
      </c>
      <c r="C3415" t="s">
        <v>47</v>
      </c>
      <c r="D3415" t="s">
        <v>184</v>
      </c>
      <c r="E3415" t="s">
        <v>8</v>
      </c>
      <c r="F3415">
        <v>8.1895856857299805</v>
      </c>
    </row>
    <row r="3416" spans="2:6">
      <c r="B3416">
        <v>2016</v>
      </c>
      <c r="C3416" t="s">
        <v>47</v>
      </c>
      <c r="D3416" t="s">
        <v>184</v>
      </c>
      <c r="E3416" t="s">
        <v>9</v>
      </c>
      <c r="F3416">
        <v>0.61544901132583618</v>
      </c>
    </row>
    <row r="3417" spans="2:6">
      <c r="B3417">
        <v>2016</v>
      </c>
      <c r="C3417" t="s">
        <v>47</v>
      </c>
      <c r="D3417" t="s">
        <v>184</v>
      </c>
      <c r="E3417" t="s">
        <v>10</v>
      </c>
      <c r="F3417">
        <v>56.700000762939453</v>
      </c>
    </row>
    <row r="3418" spans="2:6">
      <c r="B3418">
        <v>2016</v>
      </c>
      <c r="C3418" t="s">
        <v>47</v>
      </c>
      <c r="D3418" t="s">
        <v>184</v>
      </c>
      <c r="E3418" t="s">
        <v>11</v>
      </c>
      <c r="F3418">
        <v>0.78590655326843262</v>
      </c>
    </row>
    <row r="3419" spans="2:6">
      <c r="B3419">
        <v>2016</v>
      </c>
      <c r="C3419" t="s">
        <v>47</v>
      </c>
      <c r="D3419" t="s">
        <v>184</v>
      </c>
      <c r="E3419" t="s">
        <v>12</v>
      </c>
      <c r="F3419">
        <v>-7.1726091206073761E-2</v>
      </c>
    </row>
    <row r="3420" spans="2:6">
      <c r="B3420">
        <v>2016</v>
      </c>
      <c r="C3420" t="s">
        <v>47</v>
      </c>
      <c r="D3420" t="s">
        <v>184</v>
      </c>
      <c r="E3420" t="s">
        <v>13</v>
      </c>
      <c r="F3420">
        <v>0.79038572311401367</v>
      </c>
    </row>
    <row r="3421" spans="2:6">
      <c r="B3421">
        <v>2016</v>
      </c>
      <c r="C3421" t="s">
        <v>47</v>
      </c>
      <c r="D3421" t="s">
        <v>184</v>
      </c>
      <c r="E3421" t="s">
        <v>14</v>
      </c>
      <c r="F3421">
        <v>0.61030495166778564</v>
      </c>
    </row>
    <row r="3422" spans="2:6">
      <c r="B3422">
        <v>2016</v>
      </c>
      <c r="C3422" t="s">
        <v>47</v>
      </c>
      <c r="D3422" t="s">
        <v>184</v>
      </c>
      <c r="E3422" t="s">
        <v>15</v>
      </c>
      <c r="F3422">
        <v>0.30366671085357666</v>
      </c>
    </row>
    <row r="3423" spans="2:6">
      <c r="B3423">
        <v>2017</v>
      </c>
      <c r="C3423" t="s">
        <v>47</v>
      </c>
      <c r="D3423" t="s">
        <v>184</v>
      </c>
      <c r="E3423" t="s">
        <v>7</v>
      </c>
      <c r="F3423">
        <v>4.8839912414550781</v>
      </c>
    </row>
    <row r="3424" spans="2:6">
      <c r="B3424">
        <v>2017</v>
      </c>
      <c r="C3424" t="s">
        <v>47</v>
      </c>
      <c r="D3424" t="s">
        <v>184</v>
      </c>
      <c r="E3424" t="s">
        <v>8</v>
      </c>
      <c r="F3424">
        <v>8.1457052230834961</v>
      </c>
    </row>
    <row r="3425" spans="2:6">
      <c r="B3425">
        <v>2017</v>
      </c>
      <c r="C3425" t="s">
        <v>47</v>
      </c>
      <c r="D3425" t="s">
        <v>184</v>
      </c>
      <c r="E3425" t="s">
        <v>9</v>
      </c>
      <c r="F3425">
        <v>0.65544050931930542</v>
      </c>
    </row>
    <row r="3426" spans="2:6">
      <c r="B3426">
        <v>2017</v>
      </c>
      <c r="C3426" t="s">
        <v>47</v>
      </c>
      <c r="D3426" t="s">
        <v>184</v>
      </c>
      <c r="E3426" t="s">
        <v>10</v>
      </c>
      <c r="F3426">
        <v>57.299999237060547</v>
      </c>
    </row>
    <row r="3427" spans="2:6">
      <c r="B3427">
        <v>2017</v>
      </c>
      <c r="C3427" t="s">
        <v>47</v>
      </c>
      <c r="D3427" t="s">
        <v>184</v>
      </c>
      <c r="E3427" t="s">
        <v>11</v>
      </c>
      <c r="F3427">
        <v>0.77778345346450806</v>
      </c>
    </row>
    <row r="3428" spans="2:6">
      <c r="B3428">
        <v>2017</v>
      </c>
      <c r="C3428" t="s">
        <v>47</v>
      </c>
      <c r="D3428" t="s">
        <v>184</v>
      </c>
      <c r="E3428" t="s">
        <v>12</v>
      </c>
      <c r="F3428">
        <v>-0.13051745295524597</v>
      </c>
    </row>
    <row r="3429" spans="2:6">
      <c r="B3429">
        <v>2017</v>
      </c>
      <c r="C3429" t="s">
        <v>47</v>
      </c>
      <c r="D3429" t="s">
        <v>184</v>
      </c>
      <c r="E3429" t="s">
        <v>13</v>
      </c>
      <c r="F3429">
        <v>0.76278311014175415</v>
      </c>
    </row>
    <row r="3430" spans="2:6">
      <c r="B3430">
        <v>2017</v>
      </c>
      <c r="C3430" t="s">
        <v>47</v>
      </c>
      <c r="D3430" t="s">
        <v>184</v>
      </c>
      <c r="E3430" t="s">
        <v>14</v>
      </c>
      <c r="F3430">
        <v>0.59895163774490356</v>
      </c>
    </row>
    <row r="3431" spans="2:6">
      <c r="B3431">
        <v>2017</v>
      </c>
      <c r="C3431" t="s">
        <v>47</v>
      </c>
      <c r="D3431" t="s">
        <v>184</v>
      </c>
      <c r="E3431" t="s">
        <v>15</v>
      </c>
      <c r="F3431">
        <v>0.38164055347442627</v>
      </c>
    </row>
    <row r="3432" spans="2:6">
      <c r="B3432">
        <v>2018</v>
      </c>
      <c r="C3432" t="s">
        <v>47</v>
      </c>
      <c r="D3432" t="s">
        <v>184</v>
      </c>
      <c r="E3432" t="s">
        <v>7</v>
      </c>
      <c r="F3432">
        <v>5.4902143478393555</v>
      </c>
    </row>
    <row r="3433" spans="2:6">
      <c r="B3433">
        <v>2018</v>
      </c>
      <c r="C3433" t="s">
        <v>47</v>
      </c>
      <c r="D3433" t="s">
        <v>184</v>
      </c>
      <c r="E3433" t="s">
        <v>8</v>
      </c>
      <c r="F3433">
        <v>8.1357622146606445</v>
      </c>
    </row>
    <row r="3434" spans="2:6">
      <c r="B3434">
        <v>2018</v>
      </c>
      <c r="C3434" t="s">
        <v>47</v>
      </c>
      <c r="D3434" t="s">
        <v>184</v>
      </c>
      <c r="E3434" t="s">
        <v>9</v>
      </c>
      <c r="F3434">
        <v>0.62062293291091919</v>
      </c>
    </row>
    <row r="3435" spans="2:6">
      <c r="B3435">
        <v>2018</v>
      </c>
      <c r="C3435" t="s">
        <v>47</v>
      </c>
      <c r="D3435" t="s">
        <v>184</v>
      </c>
      <c r="E3435" t="s">
        <v>10</v>
      </c>
      <c r="F3435">
        <v>57.900001525878906</v>
      </c>
    </row>
    <row r="3436" spans="2:6">
      <c r="B3436">
        <v>2018</v>
      </c>
      <c r="C3436" t="s">
        <v>47</v>
      </c>
      <c r="D3436" t="s">
        <v>184</v>
      </c>
      <c r="E3436" t="s">
        <v>11</v>
      </c>
      <c r="F3436">
        <v>0.69870007038116455</v>
      </c>
    </row>
    <row r="3437" spans="2:6">
      <c r="B3437">
        <v>2018</v>
      </c>
      <c r="C3437" t="s">
        <v>47</v>
      </c>
      <c r="D3437" t="s">
        <v>184</v>
      </c>
      <c r="E3437" t="s">
        <v>12</v>
      </c>
      <c r="F3437">
        <v>-9.2254146933555603E-2</v>
      </c>
    </row>
    <row r="3438" spans="2:6">
      <c r="B3438">
        <v>2018</v>
      </c>
      <c r="C3438" t="s">
        <v>47</v>
      </c>
      <c r="D3438" t="s">
        <v>184</v>
      </c>
      <c r="E3438" t="s">
        <v>13</v>
      </c>
      <c r="F3438">
        <v>0.73802018165588379</v>
      </c>
    </row>
    <row r="3439" spans="2:6">
      <c r="B3439">
        <v>2018</v>
      </c>
      <c r="C3439" t="s">
        <v>47</v>
      </c>
      <c r="D3439" t="s">
        <v>184</v>
      </c>
      <c r="E3439" t="s">
        <v>14</v>
      </c>
      <c r="F3439">
        <v>0.58750659227371216</v>
      </c>
    </row>
    <row r="3440" spans="2:6">
      <c r="B3440">
        <v>2018</v>
      </c>
      <c r="C3440" t="s">
        <v>47</v>
      </c>
      <c r="D3440" t="s">
        <v>184</v>
      </c>
      <c r="E3440" t="s">
        <v>15</v>
      </c>
      <c r="F3440">
        <v>0.44764617085456848</v>
      </c>
    </row>
    <row r="3441" spans="2:6">
      <c r="B3441">
        <v>2019</v>
      </c>
      <c r="C3441" t="s">
        <v>47</v>
      </c>
      <c r="D3441" t="s">
        <v>184</v>
      </c>
      <c r="E3441" t="s">
        <v>7</v>
      </c>
      <c r="F3441">
        <v>5.2126226425170898</v>
      </c>
    </row>
    <row r="3442" spans="2:6">
      <c r="B3442">
        <v>2019</v>
      </c>
      <c r="C3442" t="s">
        <v>47</v>
      </c>
      <c r="D3442" t="s">
        <v>184</v>
      </c>
      <c r="E3442" t="s">
        <v>8</v>
      </c>
      <c r="F3442">
        <v>8.1010923385620117</v>
      </c>
    </row>
    <row r="3443" spans="2:6">
      <c r="B3443">
        <v>2019</v>
      </c>
      <c r="C3443" t="s">
        <v>47</v>
      </c>
      <c r="D3443" t="s">
        <v>184</v>
      </c>
      <c r="E3443" t="s">
        <v>9</v>
      </c>
      <c r="F3443">
        <v>0.62476807832717896</v>
      </c>
    </row>
    <row r="3444" spans="2:6">
      <c r="B3444">
        <v>2019</v>
      </c>
      <c r="C3444" t="s">
        <v>47</v>
      </c>
      <c r="D3444" t="s">
        <v>184</v>
      </c>
      <c r="E3444" t="s">
        <v>10</v>
      </c>
      <c r="F3444">
        <v>58.5</v>
      </c>
    </row>
    <row r="3445" spans="2:6">
      <c r="B3445">
        <v>2019</v>
      </c>
      <c r="C3445" t="s">
        <v>47</v>
      </c>
      <c r="D3445" t="s">
        <v>184</v>
      </c>
      <c r="E3445" t="s">
        <v>11</v>
      </c>
      <c r="F3445">
        <v>0.68645197153091431</v>
      </c>
    </row>
    <row r="3446" spans="2:6">
      <c r="B3446">
        <v>2019</v>
      </c>
      <c r="C3446" t="s">
        <v>47</v>
      </c>
      <c r="D3446" t="s">
        <v>184</v>
      </c>
      <c r="E3446" t="s">
        <v>12</v>
      </c>
      <c r="F3446">
        <v>-4.6051237732172012E-2</v>
      </c>
    </row>
    <row r="3447" spans="2:6">
      <c r="B3447">
        <v>2019</v>
      </c>
      <c r="C3447" t="s">
        <v>47</v>
      </c>
      <c r="D3447" t="s">
        <v>184</v>
      </c>
      <c r="E3447" t="s">
        <v>13</v>
      </c>
      <c r="F3447">
        <v>0.740589439868927</v>
      </c>
    </row>
    <row r="3448" spans="2:6">
      <c r="B3448">
        <v>2019</v>
      </c>
      <c r="C3448" t="s">
        <v>47</v>
      </c>
      <c r="D3448" t="s">
        <v>184</v>
      </c>
      <c r="E3448" t="s">
        <v>14</v>
      </c>
      <c r="F3448">
        <v>0.64525395631790161</v>
      </c>
    </row>
    <row r="3449" spans="2:6">
      <c r="B3449">
        <v>2019</v>
      </c>
      <c r="C3449" t="s">
        <v>47</v>
      </c>
      <c r="D3449" t="s">
        <v>184</v>
      </c>
      <c r="E3449" t="s">
        <v>15</v>
      </c>
      <c r="F3449">
        <v>0.40504083037376404</v>
      </c>
    </row>
    <row r="3450" spans="2:6">
      <c r="B3450">
        <v>2009</v>
      </c>
      <c r="C3450" t="s">
        <v>48</v>
      </c>
      <c r="D3450" t="s">
        <v>184</v>
      </c>
      <c r="E3450" t="s">
        <v>7</v>
      </c>
      <c r="F3450">
        <v>3.9838485717773438</v>
      </c>
    </row>
    <row r="3451" spans="2:6">
      <c r="B3451">
        <v>2009</v>
      </c>
      <c r="C3451" t="s">
        <v>48</v>
      </c>
      <c r="D3451" t="s">
        <v>184</v>
      </c>
      <c r="E3451" t="s">
        <v>8</v>
      </c>
      <c r="F3451">
        <v>6.7281641960144043</v>
      </c>
    </row>
    <row r="3452" spans="2:6">
      <c r="B3452">
        <v>2009</v>
      </c>
      <c r="C3452" t="s">
        <v>48</v>
      </c>
      <c r="D3452" t="s">
        <v>184</v>
      </c>
      <c r="E3452" t="s">
        <v>9</v>
      </c>
      <c r="F3452">
        <v>0.73306024074554443</v>
      </c>
    </row>
    <row r="3453" spans="2:6">
      <c r="B3453">
        <v>2009</v>
      </c>
      <c r="C3453" t="s">
        <v>48</v>
      </c>
      <c r="D3453" t="s">
        <v>184</v>
      </c>
      <c r="E3453" t="s">
        <v>10</v>
      </c>
      <c r="F3453">
        <v>49.340000152587891</v>
      </c>
    </row>
    <row r="3454" spans="2:6">
      <c r="B3454">
        <v>2009</v>
      </c>
      <c r="C3454" t="s">
        <v>48</v>
      </c>
      <c r="D3454" t="s">
        <v>184</v>
      </c>
      <c r="E3454" t="s">
        <v>11</v>
      </c>
      <c r="F3454">
        <v>0.5564875602722168</v>
      </c>
    </row>
    <row r="3455" spans="2:6">
      <c r="B3455">
        <v>2009</v>
      </c>
      <c r="C3455" t="s">
        <v>48</v>
      </c>
      <c r="D3455" t="s">
        <v>184</v>
      </c>
      <c r="E3455" t="s">
        <v>12</v>
      </c>
      <c r="F3455">
        <v>-2.2004162892699242E-2</v>
      </c>
    </row>
    <row r="3456" spans="2:6">
      <c r="B3456">
        <v>2009</v>
      </c>
      <c r="C3456" t="s">
        <v>48</v>
      </c>
      <c r="D3456" t="s">
        <v>184</v>
      </c>
      <c r="E3456" t="s">
        <v>13</v>
      </c>
      <c r="F3456">
        <v>0.82401049137115479</v>
      </c>
    </row>
    <row r="3457" spans="2:6">
      <c r="B3457">
        <v>2009</v>
      </c>
      <c r="C3457" t="s">
        <v>48</v>
      </c>
      <c r="D3457" t="s">
        <v>184</v>
      </c>
      <c r="E3457" t="s">
        <v>14</v>
      </c>
      <c r="F3457">
        <v>0.49148929119110107</v>
      </c>
    </row>
    <row r="3458" spans="2:6">
      <c r="B3458">
        <v>2009</v>
      </c>
      <c r="C3458" t="s">
        <v>48</v>
      </c>
      <c r="D3458" t="s">
        <v>184</v>
      </c>
      <c r="E3458" t="s">
        <v>15</v>
      </c>
      <c r="F3458">
        <v>0.28262242674827576</v>
      </c>
    </row>
    <row r="3459" spans="2:6">
      <c r="B3459">
        <v>2011</v>
      </c>
      <c r="C3459" t="s">
        <v>48</v>
      </c>
      <c r="D3459" t="s">
        <v>184</v>
      </c>
      <c r="E3459" t="s">
        <v>7</v>
      </c>
      <c r="F3459">
        <v>4.5169639587402344</v>
      </c>
    </row>
    <row r="3460" spans="2:6">
      <c r="B3460">
        <v>2011</v>
      </c>
      <c r="C3460" t="s">
        <v>48</v>
      </c>
      <c r="D3460" t="s">
        <v>184</v>
      </c>
      <c r="E3460" t="s">
        <v>8</v>
      </c>
      <c r="F3460">
        <v>6.7966299057006836</v>
      </c>
    </row>
    <row r="3461" spans="2:6">
      <c r="B3461">
        <v>2011</v>
      </c>
      <c r="C3461" t="s">
        <v>48</v>
      </c>
      <c r="D3461" t="s">
        <v>184</v>
      </c>
      <c r="E3461" t="s">
        <v>9</v>
      </c>
      <c r="F3461">
        <v>0.74394667148590088</v>
      </c>
    </row>
    <row r="3462" spans="2:6">
      <c r="B3462">
        <v>2011</v>
      </c>
      <c r="C3462" t="s">
        <v>48</v>
      </c>
      <c r="D3462" t="s">
        <v>184</v>
      </c>
      <c r="E3462" t="s">
        <v>10</v>
      </c>
      <c r="F3462">
        <v>50.340000152587891</v>
      </c>
    </row>
    <row r="3463" spans="2:6">
      <c r="B3463">
        <v>2011</v>
      </c>
      <c r="C3463" t="s">
        <v>48</v>
      </c>
      <c r="D3463" t="s">
        <v>184</v>
      </c>
      <c r="E3463" t="s">
        <v>11</v>
      </c>
      <c r="F3463">
        <v>0.63110858201980591</v>
      </c>
    </row>
    <row r="3464" spans="2:6">
      <c r="B3464">
        <v>2011</v>
      </c>
      <c r="C3464" t="s">
        <v>48</v>
      </c>
      <c r="D3464" t="s">
        <v>184</v>
      </c>
      <c r="E3464" t="s">
        <v>12</v>
      </c>
      <c r="F3464">
        <v>-2.5285681709647179E-2</v>
      </c>
    </row>
    <row r="3465" spans="2:6">
      <c r="B3465">
        <v>2011</v>
      </c>
      <c r="C3465" t="s">
        <v>48</v>
      </c>
      <c r="D3465" t="s">
        <v>184</v>
      </c>
      <c r="E3465" t="s">
        <v>13</v>
      </c>
      <c r="F3465">
        <v>0.85649490356445313</v>
      </c>
    </row>
    <row r="3466" spans="2:6">
      <c r="B3466">
        <v>2011</v>
      </c>
      <c r="C3466" t="s">
        <v>48</v>
      </c>
      <c r="D3466" t="s">
        <v>184</v>
      </c>
      <c r="E3466" t="s">
        <v>14</v>
      </c>
      <c r="F3466">
        <v>0.6168060302734375</v>
      </c>
    </row>
    <row r="3467" spans="2:6">
      <c r="B3467">
        <v>2011</v>
      </c>
      <c r="C3467" t="s">
        <v>48</v>
      </c>
      <c r="D3467" t="s">
        <v>184</v>
      </c>
      <c r="E3467" t="s">
        <v>15</v>
      </c>
      <c r="F3467">
        <v>0.20835229754447937</v>
      </c>
    </row>
    <row r="3468" spans="2:6">
      <c r="B3468">
        <v>2012</v>
      </c>
      <c r="C3468" t="s">
        <v>48</v>
      </c>
      <c r="D3468" t="s">
        <v>184</v>
      </c>
      <c r="E3468" t="s">
        <v>7</v>
      </c>
      <c r="F3468">
        <v>4.6392273902893066</v>
      </c>
    </row>
    <row r="3469" spans="2:6">
      <c r="B3469">
        <v>2012</v>
      </c>
      <c r="C3469" t="s">
        <v>48</v>
      </c>
      <c r="D3469" t="s">
        <v>184</v>
      </c>
      <c r="E3469" t="s">
        <v>8</v>
      </c>
      <c r="F3469">
        <v>6.8317246437072754</v>
      </c>
    </row>
    <row r="3470" spans="2:6">
      <c r="B3470">
        <v>2012</v>
      </c>
      <c r="C3470" t="s">
        <v>48</v>
      </c>
      <c r="D3470" t="s">
        <v>184</v>
      </c>
      <c r="E3470" t="s">
        <v>9</v>
      </c>
      <c r="F3470">
        <v>0.76954597234725952</v>
      </c>
    </row>
    <row r="3471" spans="2:6">
      <c r="B3471">
        <v>2012</v>
      </c>
      <c r="C3471" t="s">
        <v>48</v>
      </c>
      <c r="D3471" t="s">
        <v>184</v>
      </c>
      <c r="E3471" t="s">
        <v>10</v>
      </c>
      <c r="F3471">
        <v>50.779998779296875</v>
      </c>
    </row>
    <row r="3472" spans="2:6">
      <c r="B3472">
        <v>2012</v>
      </c>
      <c r="C3472" t="s">
        <v>48</v>
      </c>
      <c r="D3472" t="s">
        <v>184</v>
      </c>
      <c r="E3472" t="s">
        <v>11</v>
      </c>
      <c r="F3472">
        <v>0.55728620290756226</v>
      </c>
    </row>
    <row r="3473" spans="2:6">
      <c r="B3473">
        <v>2012</v>
      </c>
      <c r="C3473" t="s">
        <v>48</v>
      </c>
      <c r="D3473" t="s">
        <v>184</v>
      </c>
      <c r="E3473" t="s">
        <v>12</v>
      </c>
      <c r="F3473">
        <v>-3.452160581946373E-2</v>
      </c>
    </row>
    <row r="3474" spans="2:6">
      <c r="B3474">
        <v>2012</v>
      </c>
      <c r="C3474" t="s">
        <v>48</v>
      </c>
      <c r="D3474" t="s">
        <v>184</v>
      </c>
      <c r="E3474" t="s">
        <v>13</v>
      </c>
      <c r="F3474">
        <v>0.80740660429000854</v>
      </c>
    </row>
    <row r="3475" spans="2:6">
      <c r="B3475">
        <v>2012</v>
      </c>
      <c r="C3475" t="s">
        <v>48</v>
      </c>
      <c r="D3475" t="s">
        <v>184</v>
      </c>
      <c r="E3475" t="s">
        <v>14</v>
      </c>
      <c r="F3475">
        <v>0.63400304317474365</v>
      </c>
    </row>
    <row r="3476" spans="2:6">
      <c r="B3476">
        <v>2012</v>
      </c>
      <c r="C3476" t="s">
        <v>48</v>
      </c>
      <c r="D3476" t="s">
        <v>184</v>
      </c>
      <c r="E3476" t="s">
        <v>15</v>
      </c>
      <c r="F3476">
        <v>0.22965137660503387</v>
      </c>
    </row>
    <row r="3477" spans="2:6">
      <c r="B3477">
        <v>2013</v>
      </c>
      <c r="C3477" t="s">
        <v>48</v>
      </c>
      <c r="D3477" t="s">
        <v>184</v>
      </c>
      <c r="E3477" t="s">
        <v>7</v>
      </c>
      <c r="F3477">
        <v>4.4974770545959473</v>
      </c>
    </row>
    <row r="3478" spans="2:6">
      <c r="B3478">
        <v>2013</v>
      </c>
      <c r="C3478" t="s">
        <v>48</v>
      </c>
      <c r="D3478" t="s">
        <v>184</v>
      </c>
      <c r="E3478" t="s">
        <v>8</v>
      </c>
      <c r="F3478">
        <v>6.8798246383666992</v>
      </c>
    </row>
    <row r="3479" spans="2:6">
      <c r="B3479">
        <v>2013</v>
      </c>
      <c r="C3479" t="s">
        <v>48</v>
      </c>
      <c r="D3479" t="s">
        <v>184</v>
      </c>
      <c r="E3479" t="s">
        <v>9</v>
      </c>
      <c r="F3479">
        <v>0.82985204458236694</v>
      </c>
    </row>
    <row r="3480" spans="2:6">
      <c r="B3480">
        <v>2013</v>
      </c>
      <c r="C3480" t="s">
        <v>48</v>
      </c>
      <c r="D3480" t="s">
        <v>184</v>
      </c>
      <c r="E3480" t="s">
        <v>10</v>
      </c>
      <c r="F3480">
        <v>51.220001220703125</v>
      </c>
    </row>
    <row r="3481" spans="2:6">
      <c r="B3481">
        <v>2013</v>
      </c>
      <c r="C3481" t="s">
        <v>48</v>
      </c>
      <c r="D3481" t="s">
        <v>184</v>
      </c>
      <c r="E3481" t="s">
        <v>11</v>
      </c>
      <c r="F3481">
        <v>0.4803941547870636</v>
      </c>
    </row>
    <row r="3482" spans="2:6">
      <c r="B3482">
        <v>2013</v>
      </c>
      <c r="C3482" t="s">
        <v>48</v>
      </c>
      <c r="D3482" t="s">
        <v>184</v>
      </c>
      <c r="E3482" t="s">
        <v>12</v>
      </c>
      <c r="F3482">
        <v>1.2176308780908585E-2</v>
      </c>
    </row>
    <row r="3483" spans="2:6">
      <c r="B3483">
        <v>2013</v>
      </c>
      <c r="C3483" t="s">
        <v>48</v>
      </c>
      <c r="D3483" t="s">
        <v>184</v>
      </c>
      <c r="E3483" t="s">
        <v>13</v>
      </c>
      <c r="F3483">
        <v>0.91299152374267578</v>
      </c>
    </row>
    <row r="3484" spans="2:6">
      <c r="B3484">
        <v>2013</v>
      </c>
      <c r="C3484" t="s">
        <v>48</v>
      </c>
      <c r="D3484" t="s">
        <v>184</v>
      </c>
      <c r="E3484" t="s">
        <v>14</v>
      </c>
      <c r="F3484">
        <v>0.5891684889793396</v>
      </c>
    </row>
    <row r="3485" spans="2:6">
      <c r="B3485">
        <v>2013</v>
      </c>
      <c r="C3485" t="s">
        <v>48</v>
      </c>
      <c r="D3485" t="s">
        <v>184</v>
      </c>
      <c r="E3485" t="s">
        <v>15</v>
      </c>
      <c r="F3485">
        <v>0.18709465861320496</v>
      </c>
    </row>
    <row r="3486" spans="2:6">
      <c r="B3486">
        <v>2014</v>
      </c>
      <c r="C3486" t="s">
        <v>48</v>
      </c>
      <c r="D3486" t="s">
        <v>184</v>
      </c>
      <c r="E3486" t="s">
        <v>7</v>
      </c>
      <c r="F3486">
        <v>4.4142999649047852</v>
      </c>
    </row>
    <row r="3487" spans="2:6">
      <c r="B3487">
        <v>2014</v>
      </c>
      <c r="C3487" t="s">
        <v>48</v>
      </c>
      <c r="D3487" t="s">
        <v>184</v>
      </c>
      <c r="E3487" t="s">
        <v>8</v>
      </c>
      <c r="F3487">
        <v>6.9371109008789063</v>
      </c>
    </row>
    <row r="3488" spans="2:6">
      <c r="B3488">
        <v>2014</v>
      </c>
      <c r="C3488" t="s">
        <v>48</v>
      </c>
      <c r="D3488" t="s">
        <v>184</v>
      </c>
      <c r="E3488" t="s">
        <v>9</v>
      </c>
      <c r="F3488">
        <v>0.82228606939315796</v>
      </c>
    </row>
    <row r="3489" spans="2:6">
      <c r="B3489">
        <v>2014</v>
      </c>
      <c r="C3489" t="s">
        <v>48</v>
      </c>
      <c r="D3489" t="s">
        <v>184</v>
      </c>
      <c r="E3489" t="s">
        <v>10</v>
      </c>
      <c r="F3489">
        <v>51.659999847412109</v>
      </c>
    </row>
    <row r="3490" spans="2:6">
      <c r="B3490">
        <v>2014</v>
      </c>
      <c r="C3490" t="s">
        <v>48</v>
      </c>
      <c r="D3490" t="s">
        <v>184</v>
      </c>
      <c r="E3490" t="s">
        <v>11</v>
      </c>
      <c r="F3490">
        <v>0.5560992956161499</v>
      </c>
    </row>
    <row r="3491" spans="2:6">
      <c r="B3491">
        <v>2014</v>
      </c>
      <c r="C3491" t="s">
        <v>48</v>
      </c>
      <c r="D3491" t="s">
        <v>184</v>
      </c>
      <c r="E3491" t="s">
        <v>12</v>
      </c>
      <c r="F3491">
        <v>9.1872559860348701E-3</v>
      </c>
    </row>
    <row r="3492" spans="2:6">
      <c r="B3492">
        <v>2014</v>
      </c>
      <c r="C3492" t="s">
        <v>48</v>
      </c>
      <c r="D3492" t="s">
        <v>184</v>
      </c>
      <c r="E3492" t="s">
        <v>13</v>
      </c>
      <c r="F3492">
        <v>0.81367599964141846</v>
      </c>
    </row>
    <row r="3493" spans="2:6">
      <c r="B3493">
        <v>2014</v>
      </c>
      <c r="C3493" t="s">
        <v>48</v>
      </c>
      <c r="D3493" t="s">
        <v>184</v>
      </c>
      <c r="E3493" t="s">
        <v>14</v>
      </c>
      <c r="F3493">
        <v>0.55887025594711304</v>
      </c>
    </row>
    <row r="3494" spans="2:6">
      <c r="B3494">
        <v>2014</v>
      </c>
      <c r="C3494" t="s">
        <v>48</v>
      </c>
      <c r="D3494" t="s">
        <v>184</v>
      </c>
      <c r="E3494" t="s">
        <v>15</v>
      </c>
      <c r="F3494">
        <v>0.30463507771492004</v>
      </c>
    </row>
    <row r="3495" spans="2:6">
      <c r="B3495">
        <v>2015</v>
      </c>
      <c r="C3495" t="s">
        <v>48</v>
      </c>
      <c r="D3495" t="s">
        <v>184</v>
      </c>
      <c r="E3495" t="s">
        <v>7</v>
      </c>
      <c r="F3495">
        <v>3.9027416706085205</v>
      </c>
    </row>
    <row r="3496" spans="2:6">
      <c r="B3496">
        <v>2015</v>
      </c>
      <c r="C3496" t="s">
        <v>48</v>
      </c>
      <c r="D3496" t="s">
        <v>184</v>
      </c>
      <c r="E3496" t="s">
        <v>8</v>
      </c>
      <c r="F3496">
        <v>6.9709577560424805</v>
      </c>
    </row>
    <row r="3497" spans="2:6">
      <c r="B3497">
        <v>2015</v>
      </c>
      <c r="C3497" t="s">
        <v>48</v>
      </c>
      <c r="D3497" t="s">
        <v>184</v>
      </c>
      <c r="E3497" t="s">
        <v>9</v>
      </c>
      <c r="F3497">
        <v>0.76723557710647583</v>
      </c>
    </row>
    <row r="3498" spans="2:6">
      <c r="B3498">
        <v>2015</v>
      </c>
      <c r="C3498" t="s">
        <v>48</v>
      </c>
      <c r="D3498" t="s">
        <v>184</v>
      </c>
      <c r="E3498" t="s">
        <v>10</v>
      </c>
      <c r="F3498">
        <v>52.099998474121094</v>
      </c>
    </row>
    <row r="3499" spans="2:6">
      <c r="B3499">
        <v>2015</v>
      </c>
      <c r="C3499" t="s">
        <v>48</v>
      </c>
      <c r="D3499" t="s">
        <v>184</v>
      </c>
      <c r="E3499" t="s">
        <v>11</v>
      </c>
      <c r="F3499">
        <v>0.57376378774642944</v>
      </c>
    </row>
    <row r="3500" spans="2:6">
      <c r="B3500">
        <v>2015</v>
      </c>
      <c r="C3500" t="s">
        <v>48</v>
      </c>
      <c r="D3500" t="s">
        <v>184</v>
      </c>
      <c r="E3500" t="s">
        <v>12</v>
      </c>
      <c r="F3500">
        <v>-4.7585107386112213E-2</v>
      </c>
    </row>
    <row r="3501" spans="2:6">
      <c r="B3501">
        <v>2015</v>
      </c>
      <c r="C3501" t="s">
        <v>48</v>
      </c>
      <c r="D3501" t="s">
        <v>184</v>
      </c>
      <c r="E3501" t="s">
        <v>13</v>
      </c>
      <c r="F3501">
        <v>0.86637800931930542</v>
      </c>
    </row>
    <row r="3502" spans="2:6">
      <c r="B3502">
        <v>2015</v>
      </c>
      <c r="C3502" t="s">
        <v>48</v>
      </c>
      <c r="D3502" t="s">
        <v>184</v>
      </c>
      <c r="E3502" t="s">
        <v>14</v>
      </c>
      <c r="F3502">
        <v>0.58913075923919678</v>
      </c>
    </row>
    <row r="3503" spans="2:6">
      <c r="B3503">
        <v>2015</v>
      </c>
      <c r="C3503" t="s">
        <v>48</v>
      </c>
      <c r="D3503" t="s">
        <v>184</v>
      </c>
      <c r="E3503" t="s">
        <v>15</v>
      </c>
      <c r="F3503">
        <v>0.30104938149452209</v>
      </c>
    </row>
    <row r="3504" spans="2:6">
      <c r="B3504">
        <v>2016</v>
      </c>
      <c r="C3504" t="s">
        <v>48</v>
      </c>
      <c r="D3504" t="s">
        <v>184</v>
      </c>
      <c r="E3504" t="s">
        <v>7</v>
      </c>
      <c r="F3504">
        <v>4.5219354629516602</v>
      </c>
    </row>
    <row r="3505" spans="2:6">
      <c r="B3505">
        <v>2016</v>
      </c>
      <c r="C3505" t="s">
        <v>48</v>
      </c>
      <c r="D3505" t="s">
        <v>184</v>
      </c>
      <c r="E3505" t="s">
        <v>8</v>
      </c>
      <c r="F3505">
        <v>6.9618391990661621</v>
      </c>
    </row>
    <row r="3506" spans="2:6">
      <c r="B3506">
        <v>2016</v>
      </c>
      <c r="C3506" t="s">
        <v>48</v>
      </c>
      <c r="D3506" t="s">
        <v>184</v>
      </c>
      <c r="E3506" t="s">
        <v>9</v>
      </c>
      <c r="F3506">
        <v>0.86415451765060425</v>
      </c>
    </row>
    <row r="3507" spans="2:6">
      <c r="B3507">
        <v>2016</v>
      </c>
      <c r="C3507" t="s">
        <v>48</v>
      </c>
      <c r="D3507" t="s">
        <v>184</v>
      </c>
      <c r="E3507" t="s">
        <v>10</v>
      </c>
      <c r="F3507">
        <v>52.5</v>
      </c>
    </row>
    <row r="3508" spans="2:6">
      <c r="B3508">
        <v>2016</v>
      </c>
      <c r="C3508" t="s">
        <v>48</v>
      </c>
      <c r="D3508" t="s">
        <v>184</v>
      </c>
      <c r="E3508" t="s">
        <v>11</v>
      </c>
      <c r="F3508">
        <v>0.63736671209335327</v>
      </c>
    </row>
    <row r="3509" spans="2:6">
      <c r="B3509">
        <v>2016</v>
      </c>
      <c r="C3509" t="s">
        <v>48</v>
      </c>
      <c r="D3509" t="s">
        <v>184</v>
      </c>
      <c r="E3509" t="s">
        <v>12</v>
      </c>
      <c r="F3509">
        <v>-2.4395395070314407E-2</v>
      </c>
    </row>
    <row r="3510" spans="2:6">
      <c r="B3510">
        <v>2016</v>
      </c>
      <c r="C3510" t="s">
        <v>48</v>
      </c>
      <c r="D3510" t="s">
        <v>184</v>
      </c>
      <c r="E3510" t="s">
        <v>13</v>
      </c>
      <c r="F3510">
        <v>0.87499964237213135</v>
      </c>
    </row>
    <row r="3511" spans="2:6">
      <c r="B3511">
        <v>2016</v>
      </c>
      <c r="C3511" t="s">
        <v>48</v>
      </c>
      <c r="D3511" t="s">
        <v>184</v>
      </c>
      <c r="E3511" t="s">
        <v>14</v>
      </c>
      <c r="F3511">
        <v>0.64626950025558472</v>
      </c>
    </row>
    <row r="3512" spans="2:6">
      <c r="B3512">
        <v>2016</v>
      </c>
      <c r="C3512" t="s">
        <v>48</v>
      </c>
      <c r="D3512" t="s">
        <v>184</v>
      </c>
      <c r="E3512" t="s">
        <v>15</v>
      </c>
      <c r="F3512">
        <v>0.22241148352622986</v>
      </c>
    </row>
    <row r="3513" spans="2:6">
      <c r="B3513">
        <v>2017</v>
      </c>
      <c r="C3513" t="s">
        <v>48</v>
      </c>
      <c r="D3513" t="s">
        <v>184</v>
      </c>
      <c r="E3513" t="s">
        <v>7</v>
      </c>
      <c r="F3513">
        <v>4.3110332489013672</v>
      </c>
    </row>
    <row r="3514" spans="2:6">
      <c r="B3514">
        <v>2017</v>
      </c>
      <c r="C3514" t="s">
        <v>48</v>
      </c>
      <c r="D3514" t="s">
        <v>184</v>
      </c>
      <c r="E3514" t="s">
        <v>8</v>
      </c>
      <c r="F3514">
        <v>6.9658455848693848</v>
      </c>
    </row>
    <row r="3515" spans="2:6">
      <c r="B3515">
        <v>2017</v>
      </c>
      <c r="C3515" t="s">
        <v>48</v>
      </c>
      <c r="D3515" t="s">
        <v>184</v>
      </c>
      <c r="E3515" t="s">
        <v>9</v>
      </c>
      <c r="F3515">
        <v>0.66968840360641479</v>
      </c>
    </row>
    <row r="3516" spans="2:6">
      <c r="B3516">
        <v>2017</v>
      </c>
      <c r="C3516" t="s">
        <v>48</v>
      </c>
      <c r="D3516" t="s">
        <v>184</v>
      </c>
      <c r="E3516" t="s">
        <v>10</v>
      </c>
      <c r="F3516">
        <v>52.900001525878906</v>
      </c>
    </row>
    <row r="3517" spans="2:6">
      <c r="B3517">
        <v>2017</v>
      </c>
      <c r="C3517" t="s">
        <v>48</v>
      </c>
      <c r="D3517" t="s">
        <v>184</v>
      </c>
      <c r="E3517" t="s">
        <v>11</v>
      </c>
      <c r="F3517">
        <v>0.70423954725265503</v>
      </c>
    </row>
    <row r="3518" spans="2:6">
      <c r="B3518">
        <v>2017</v>
      </c>
      <c r="C3518" t="s">
        <v>48</v>
      </c>
      <c r="D3518" t="s">
        <v>184</v>
      </c>
      <c r="E3518" t="s">
        <v>12</v>
      </c>
      <c r="F3518">
        <v>6.8378172814846039E-2</v>
      </c>
    </row>
    <row r="3519" spans="2:6">
      <c r="B3519">
        <v>2017</v>
      </c>
      <c r="C3519" t="s">
        <v>48</v>
      </c>
      <c r="D3519" t="s">
        <v>184</v>
      </c>
      <c r="E3519" t="s">
        <v>13</v>
      </c>
      <c r="F3519">
        <v>0.80918186902999878</v>
      </c>
    </row>
    <row r="3520" spans="2:6">
      <c r="B3520">
        <v>2017</v>
      </c>
      <c r="C3520" t="s">
        <v>48</v>
      </c>
      <c r="D3520" t="s">
        <v>184</v>
      </c>
      <c r="E3520" t="s">
        <v>14</v>
      </c>
      <c r="F3520">
        <v>0.55052590370178223</v>
      </c>
    </row>
    <row r="3521" spans="2:6">
      <c r="B3521">
        <v>2017</v>
      </c>
      <c r="C3521" t="s">
        <v>48</v>
      </c>
      <c r="D3521" t="s">
        <v>184</v>
      </c>
      <c r="E3521" t="s">
        <v>15</v>
      </c>
      <c r="F3521">
        <v>0.40426206588745117</v>
      </c>
    </row>
    <row r="3522" spans="2:6">
      <c r="B3522">
        <v>2006</v>
      </c>
      <c r="C3522" t="s">
        <v>49</v>
      </c>
      <c r="D3522" t="s">
        <v>185</v>
      </c>
      <c r="E3522" t="s">
        <v>7</v>
      </c>
      <c r="F3522">
        <v>7.0824651718139648</v>
      </c>
    </row>
    <row r="3523" spans="2:6">
      <c r="B3523">
        <v>2006</v>
      </c>
      <c r="C3523" t="s">
        <v>49</v>
      </c>
      <c r="D3523" t="s">
        <v>185</v>
      </c>
      <c r="E3523" t="s">
        <v>8</v>
      </c>
      <c r="F3523">
        <v>9.5646686553955078</v>
      </c>
    </row>
    <row r="3524" spans="2:6">
      <c r="B3524">
        <v>2006</v>
      </c>
      <c r="C3524" t="s">
        <v>49</v>
      </c>
      <c r="D3524" t="s">
        <v>185</v>
      </c>
      <c r="E3524" t="s">
        <v>9</v>
      </c>
      <c r="F3524">
        <v>0.93693804740905762</v>
      </c>
    </row>
    <row r="3525" spans="2:6">
      <c r="B3525">
        <v>2006</v>
      </c>
      <c r="C3525" t="s">
        <v>49</v>
      </c>
      <c r="D3525" t="s">
        <v>185</v>
      </c>
      <c r="E3525" t="s">
        <v>10</v>
      </c>
      <c r="F3525">
        <v>69.94000244140625</v>
      </c>
    </row>
    <row r="3526" spans="2:6">
      <c r="B3526">
        <v>2006</v>
      </c>
      <c r="C3526" t="s">
        <v>49</v>
      </c>
      <c r="D3526" t="s">
        <v>185</v>
      </c>
      <c r="E3526" t="s">
        <v>11</v>
      </c>
      <c r="F3526">
        <v>0.8824198842048645</v>
      </c>
    </row>
    <row r="3527" spans="2:6">
      <c r="B3527">
        <v>2006</v>
      </c>
      <c r="C3527" t="s">
        <v>49</v>
      </c>
      <c r="D3527" t="s">
        <v>185</v>
      </c>
      <c r="E3527" t="s">
        <v>12</v>
      </c>
      <c r="F3527">
        <v>6.0331437736749649E-2</v>
      </c>
    </row>
    <row r="3528" spans="2:6">
      <c r="B3528">
        <v>2006</v>
      </c>
      <c r="C3528" t="s">
        <v>49</v>
      </c>
      <c r="D3528" t="s">
        <v>185</v>
      </c>
      <c r="E3528" t="s">
        <v>13</v>
      </c>
      <c r="F3528">
        <v>0.79752218723297119</v>
      </c>
    </row>
    <row r="3529" spans="2:6">
      <c r="B3529">
        <v>2006</v>
      </c>
      <c r="C3529" t="s">
        <v>49</v>
      </c>
      <c r="D3529" t="s">
        <v>185</v>
      </c>
      <c r="E3529" t="s">
        <v>14</v>
      </c>
      <c r="F3529">
        <v>0.86774015426635742</v>
      </c>
    </row>
    <row r="3530" spans="2:6">
      <c r="B3530">
        <v>2006</v>
      </c>
      <c r="C3530" t="s">
        <v>49</v>
      </c>
      <c r="D3530" t="s">
        <v>185</v>
      </c>
      <c r="E3530" t="s">
        <v>15</v>
      </c>
      <c r="F3530">
        <v>0.2355492115020752</v>
      </c>
    </row>
    <row r="3531" spans="2:6">
      <c r="B3531">
        <v>2007</v>
      </c>
      <c r="C3531" t="s">
        <v>49</v>
      </c>
      <c r="D3531" t="s">
        <v>185</v>
      </c>
      <c r="E3531" t="s">
        <v>7</v>
      </c>
      <c r="F3531">
        <v>7.4321322441101074</v>
      </c>
    </row>
    <row r="3532" spans="2:6">
      <c r="B3532">
        <v>2007</v>
      </c>
      <c r="C3532" t="s">
        <v>49</v>
      </c>
      <c r="D3532" t="s">
        <v>185</v>
      </c>
      <c r="E3532" t="s">
        <v>8</v>
      </c>
      <c r="F3532">
        <v>9.6296472549438477</v>
      </c>
    </row>
    <row r="3533" spans="2:6">
      <c r="B3533">
        <v>2007</v>
      </c>
      <c r="C3533" t="s">
        <v>49</v>
      </c>
      <c r="D3533" t="s">
        <v>185</v>
      </c>
      <c r="E3533" t="s">
        <v>9</v>
      </c>
      <c r="F3533">
        <v>0.91767823696136475</v>
      </c>
    </row>
    <row r="3534" spans="2:6">
      <c r="B3534">
        <v>2007</v>
      </c>
      <c r="C3534" t="s">
        <v>49</v>
      </c>
      <c r="D3534" t="s">
        <v>185</v>
      </c>
      <c r="E3534" t="s">
        <v>10</v>
      </c>
      <c r="F3534">
        <v>69.879997253417969</v>
      </c>
    </row>
    <row r="3535" spans="2:6">
      <c r="B3535">
        <v>2007</v>
      </c>
      <c r="C3535" t="s">
        <v>49</v>
      </c>
      <c r="D3535" t="s">
        <v>185</v>
      </c>
      <c r="E3535" t="s">
        <v>11</v>
      </c>
      <c r="F3535">
        <v>0.92273569107055664</v>
      </c>
    </row>
    <row r="3536" spans="2:6">
      <c r="B3536">
        <v>2007</v>
      </c>
      <c r="C3536" t="s">
        <v>49</v>
      </c>
      <c r="D3536" t="s">
        <v>185</v>
      </c>
      <c r="E3536" t="s">
        <v>12</v>
      </c>
      <c r="F3536">
        <v>9.786001592874527E-2</v>
      </c>
    </row>
    <row r="3537" spans="2:6">
      <c r="B3537">
        <v>2007</v>
      </c>
      <c r="C3537" t="s">
        <v>49</v>
      </c>
      <c r="D3537" t="s">
        <v>185</v>
      </c>
      <c r="E3537" t="s">
        <v>13</v>
      </c>
      <c r="F3537">
        <v>0.81965500116348267</v>
      </c>
    </row>
    <row r="3538" spans="2:6">
      <c r="B3538">
        <v>2007</v>
      </c>
      <c r="C3538" t="s">
        <v>49</v>
      </c>
      <c r="D3538" t="s">
        <v>185</v>
      </c>
      <c r="E3538" t="s">
        <v>14</v>
      </c>
      <c r="F3538">
        <v>0.87529891729354858</v>
      </c>
    </row>
    <row r="3539" spans="2:6">
      <c r="B3539">
        <v>2007</v>
      </c>
      <c r="C3539" t="s">
        <v>49</v>
      </c>
      <c r="D3539" t="s">
        <v>185</v>
      </c>
      <c r="E3539" t="s">
        <v>15</v>
      </c>
      <c r="F3539">
        <v>0.24008014798164368</v>
      </c>
    </row>
    <row r="3540" spans="2:6">
      <c r="B3540">
        <v>2008</v>
      </c>
      <c r="C3540" t="s">
        <v>49</v>
      </c>
      <c r="D3540" t="s">
        <v>185</v>
      </c>
      <c r="E3540" t="s">
        <v>7</v>
      </c>
      <c r="F3540">
        <v>6.850679874420166</v>
      </c>
    </row>
    <row r="3541" spans="2:6">
      <c r="B3541">
        <v>2008</v>
      </c>
      <c r="C3541" t="s">
        <v>49</v>
      </c>
      <c r="D3541" t="s">
        <v>185</v>
      </c>
      <c r="E3541" t="s">
        <v>8</v>
      </c>
      <c r="F3541">
        <v>9.6619014739990234</v>
      </c>
    </row>
    <row r="3542" spans="2:6">
      <c r="B3542">
        <v>2008</v>
      </c>
      <c r="C3542" t="s">
        <v>49</v>
      </c>
      <c r="D3542" t="s">
        <v>185</v>
      </c>
      <c r="E3542" t="s">
        <v>9</v>
      </c>
      <c r="F3542">
        <v>0.91575902700424194</v>
      </c>
    </row>
    <row r="3543" spans="2:6">
      <c r="B3543">
        <v>2008</v>
      </c>
      <c r="C3543" t="s">
        <v>49</v>
      </c>
      <c r="D3543" t="s">
        <v>185</v>
      </c>
      <c r="E3543" t="s">
        <v>10</v>
      </c>
      <c r="F3543">
        <v>69.819999694824219</v>
      </c>
    </row>
    <row r="3544" spans="2:6">
      <c r="B3544">
        <v>2008</v>
      </c>
      <c r="C3544" t="s">
        <v>49</v>
      </c>
      <c r="D3544" t="s">
        <v>185</v>
      </c>
      <c r="E3544" t="s">
        <v>11</v>
      </c>
      <c r="F3544">
        <v>0.9120059609413147</v>
      </c>
    </row>
    <row r="3545" spans="2:6">
      <c r="B3545">
        <v>2008</v>
      </c>
      <c r="C3545" t="s">
        <v>49</v>
      </c>
      <c r="D3545" t="s">
        <v>185</v>
      </c>
      <c r="E3545" t="s">
        <v>12</v>
      </c>
      <c r="F3545">
        <v>9.5703132450580597E-2</v>
      </c>
    </row>
    <row r="3546" spans="2:6">
      <c r="B3546">
        <v>2008</v>
      </c>
      <c r="C3546" t="s">
        <v>49</v>
      </c>
      <c r="D3546" t="s">
        <v>185</v>
      </c>
      <c r="E3546" t="s">
        <v>13</v>
      </c>
      <c r="F3546">
        <v>0.81571263074874878</v>
      </c>
    </row>
    <row r="3547" spans="2:6">
      <c r="B3547">
        <v>2008</v>
      </c>
      <c r="C3547" t="s">
        <v>49</v>
      </c>
      <c r="D3547" t="s">
        <v>185</v>
      </c>
      <c r="E3547" t="s">
        <v>14</v>
      </c>
      <c r="F3547">
        <v>0.84421670436859131</v>
      </c>
    </row>
    <row r="3548" spans="2:6">
      <c r="B3548">
        <v>2008</v>
      </c>
      <c r="C3548" t="s">
        <v>49</v>
      </c>
      <c r="D3548" t="s">
        <v>185</v>
      </c>
      <c r="E3548" t="s">
        <v>15</v>
      </c>
      <c r="F3548">
        <v>0.23294723033905029</v>
      </c>
    </row>
    <row r="3549" spans="2:6">
      <c r="B3549">
        <v>2009</v>
      </c>
      <c r="C3549" t="s">
        <v>49</v>
      </c>
      <c r="D3549" t="s">
        <v>185</v>
      </c>
      <c r="E3549" t="s">
        <v>7</v>
      </c>
      <c r="F3549">
        <v>7.6149287223815918</v>
      </c>
    </row>
    <row r="3550" spans="2:6">
      <c r="B3550">
        <v>2009</v>
      </c>
      <c r="C3550" t="s">
        <v>49</v>
      </c>
      <c r="D3550" t="s">
        <v>185</v>
      </c>
      <c r="E3550" t="s">
        <v>8</v>
      </c>
      <c r="F3550">
        <v>9.6393222808837891</v>
      </c>
    </row>
    <row r="3551" spans="2:6">
      <c r="B3551">
        <v>2009</v>
      </c>
      <c r="C3551" t="s">
        <v>49</v>
      </c>
      <c r="D3551" t="s">
        <v>185</v>
      </c>
      <c r="E3551" t="s">
        <v>9</v>
      </c>
      <c r="F3551">
        <v>0.89978164434432983</v>
      </c>
    </row>
    <row r="3552" spans="2:6">
      <c r="B3552">
        <v>2009</v>
      </c>
      <c r="C3552" t="s">
        <v>49</v>
      </c>
      <c r="D3552" t="s">
        <v>185</v>
      </c>
      <c r="E3552" t="s">
        <v>10</v>
      </c>
      <c r="F3552">
        <v>69.760002136230469</v>
      </c>
    </row>
    <row r="3553" spans="2:6">
      <c r="B3553">
        <v>2009</v>
      </c>
      <c r="C3553" t="s">
        <v>49</v>
      </c>
      <c r="D3553" t="s">
        <v>185</v>
      </c>
      <c r="E3553" t="s">
        <v>11</v>
      </c>
      <c r="F3553">
        <v>0.88606107234954834</v>
      </c>
    </row>
    <row r="3554" spans="2:6">
      <c r="B3554">
        <v>2009</v>
      </c>
      <c r="C3554" t="s">
        <v>49</v>
      </c>
      <c r="D3554" t="s">
        <v>185</v>
      </c>
      <c r="E3554" t="s">
        <v>12</v>
      </c>
      <c r="F3554">
        <v>6.5290577709674835E-2</v>
      </c>
    </row>
    <row r="3555" spans="2:6">
      <c r="B3555">
        <v>2009</v>
      </c>
      <c r="C3555" t="s">
        <v>49</v>
      </c>
      <c r="D3555" t="s">
        <v>185</v>
      </c>
      <c r="E3555" t="s">
        <v>13</v>
      </c>
      <c r="F3555">
        <v>0.78655910491943359</v>
      </c>
    </row>
    <row r="3556" spans="2:6">
      <c r="B3556">
        <v>2009</v>
      </c>
      <c r="C3556" t="s">
        <v>49</v>
      </c>
      <c r="D3556" t="s">
        <v>185</v>
      </c>
      <c r="E3556" t="s">
        <v>14</v>
      </c>
      <c r="F3556">
        <v>0.8762059211730957</v>
      </c>
    </row>
    <row r="3557" spans="2:6">
      <c r="B3557">
        <v>2009</v>
      </c>
      <c r="C3557" t="s">
        <v>49</v>
      </c>
      <c r="D3557" t="s">
        <v>185</v>
      </c>
      <c r="E3557" t="s">
        <v>15</v>
      </c>
      <c r="F3557">
        <v>0.21702422201633453</v>
      </c>
    </row>
    <row r="3558" spans="2:6">
      <c r="B3558">
        <v>2010</v>
      </c>
      <c r="C3558" t="s">
        <v>49</v>
      </c>
      <c r="D3558" t="s">
        <v>185</v>
      </c>
      <c r="E3558" t="s">
        <v>7</v>
      </c>
      <c r="F3558">
        <v>7.2710537910461426</v>
      </c>
    </row>
    <row r="3559" spans="2:6">
      <c r="B3559">
        <v>2010</v>
      </c>
      <c r="C3559" t="s">
        <v>49</v>
      </c>
      <c r="D3559" t="s">
        <v>185</v>
      </c>
      <c r="E3559" t="s">
        <v>8</v>
      </c>
      <c r="F3559">
        <v>9.6752033233642578</v>
      </c>
    </row>
    <row r="3560" spans="2:6">
      <c r="B3560">
        <v>2010</v>
      </c>
      <c r="C3560" t="s">
        <v>49</v>
      </c>
      <c r="D3560" t="s">
        <v>185</v>
      </c>
      <c r="E3560" t="s">
        <v>9</v>
      </c>
      <c r="F3560">
        <v>0.91514128446578979</v>
      </c>
    </row>
    <row r="3561" spans="2:6">
      <c r="B3561">
        <v>2010</v>
      </c>
      <c r="C3561" t="s">
        <v>49</v>
      </c>
      <c r="D3561" t="s">
        <v>185</v>
      </c>
      <c r="E3561" t="s">
        <v>10</v>
      </c>
      <c r="F3561">
        <v>69.699996948242188</v>
      </c>
    </row>
    <row r="3562" spans="2:6">
      <c r="B3562">
        <v>2010</v>
      </c>
      <c r="C3562" t="s">
        <v>49</v>
      </c>
      <c r="D3562" t="s">
        <v>185</v>
      </c>
      <c r="E3562" t="s">
        <v>11</v>
      </c>
      <c r="F3562">
        <v>0.88102960586547852</v>
      </c>
    </row>
    <row r="3563" spans="2:6">
      <c r="B3563">
        <v>2010</v>
      </c>
      <c r="C3563" t="s">
        <v>49</v>
      </c>
      <c r="D3563" t="s">
        <v>185</v>
      </c>
      <c r="E3563" t="s">
        <v>12</v>
      </c>
      <c r="F3563">
        <v>4.7454133629798889E-2</v>
      </c>
    </row>
    <row r="3564" spans="2:6">
      <c r="B3564">
        <v>2010</v>
      </c>
      <c r="C3564" t="s">
        <v>49</v>
      </c>
      <c r="D3564" t="s">
        <v>185</v>
      </c>
      <c r="E3564" t="s">
        <v>13</v>
      </c>
      <c r="F3564">
        <v>0.76258724927902222</v>
      </c>
    </row>
    <row r="3565" spans="2:6">
      <c r="B3565">
        <v>2010</v>
      </c>
      <c r="C3565" t="s">
        <v>49</v>
      </c>
      <c r="D3565" t="s">
        <v>185</v>
      </c>
      <c r="E3565" t="s">
        <v>14</v>
      </c>
      <c r="F3565">
        <v>0.88628709316253662</v>
      </c>
    </row>
    <row r="3566" spans="2:6">
      <c r="B3566">
        <v>2010</v>
      </c>
      <c r="C3566" t="s">
        <v>49</v>
      </c>
      <c r="D3566" t="s">
        <v>185</v>
      </c>
      <c r="E3566" t="s">
        <v>15</v>
      </c>
      <c r="F3566">
        <v>0.22124125063419342</v>
      </c>
    </row>
    <row r="3567" spans="2:6">
      <c r="B3567">
        <v>2011</v>
      </c>
      <c r="C3567" t="s">
        <v>49</v>
      </c>
      <c r="D3567" t="s">
        <v>185</v>
      </c>
      <c r="E3567" t="s">
        <v>7</v>
      </c>
      <c r="F3567">
        <v>7.2288885116577148</v>
      </c>
    </row>
    <row r="3568" spans="2:6">
      <c r="B3568">
        <v>2011</v>
      </c>
      <c r="C3568" t="s">
        <v>49</v>
      </c>
      <c r="D3568" t="s">
        <v>185</v>
      </c>
      <c r="E3568" t="s">
        <v>8</v>
      </c>
      <c r="F3568">
        <v>9.7052755355834961</v>
      </c>
    </row>
    <row r="3569" spans="2:6">
      <c r="B3569">
        <v>2011</v>
      </c>
      <c r="C3569" t="s">
        <v>49</v>
      </c>
      <c r="D3569" t="s">
        <v>185</v>
      </c>
      <c r="E3569" t="s">
        <v>9</v>
      </c>
      <c r="F3569">
        <v>0.892048180103302</v>
      </c>
    </row>
    <row r="3570" spans="2:6">
      <c r="B3570">
        <v>2011</v>
      </c>
      <c r="C3570" t="s">
        <v>49</v>
      </c>
      <c r="D3570" t="s">
        <v>185</v>
      </c>
      <c r="E3570" t="s">
        <v>10</v>
      </c>
      <c r="F3570">
        <v>69.900001525878906</v>
      </c>
    </row>
    <row r="3571" spans="2:6">
      <c r="B3571">
        <v>2011</v>
      </c>
      <c r="C3571" t="s">
        <v>49</v>
      </c>
      <c r="D3571" t="s">
        <v>185</v>
      </c>
      <c r="E3571" t="s">
        <v>11</v>
      </c>
      <c r="F3571">
        <v>0.926105797290802</v>
      </c>
    </row>
    <row r="3572" spans="2:6">
      <c r="B3572">
        <v>2011</v>
      </c>
      <c r="C3572" t="s">
        <v>49</v>
      </c>
      <c r="D3572" t="s">
        <v>185</v>
      </c>
      <c r="E3572" t="s">
        <v>12</v>
      </c>
      <c r="F3572">
        <v>-3.3006332814693451E-2</v>
      </c>
    </row>
    <row r="3573" spans="2:6">
      <c r="B3573">
        <v>2011</v>
      </c>
      <c r="C3573" t="s">
        <v>49</v>
      </c>
      <c r="D3573" t="s">
        <v>185</v>
      </c>
      <c r="E3573" t="s">
        <v>13</v>
      </c>
      <c r="F3573">
        <v>0.83658325672149658</v>
      </c>
    </row>
    <row r="3574" spans="2:6">
      <c r="B3574">
        <v>2011</v>
      </c>
      <c r="C3574" t="s">
        <v>49</v>
      </c>
      <c r="D3574" t="s">
        <v>185</v>
      </c>
      <c r="E3574" t="s">
        <v>14</v>
      </c>
      <c r="F3574">
        <v>0.87564504146575928</v>
      </c>
    </row>
    <row r="3575" spans="2:6">
      <c r="B3575">
        <v>2011</v>
      </c>
      <c r="C3575" t="s">
        <v>49</v>
      </c>
      <c r="D3575" t="s">
        <v>185</v>
      </c>
      <c r="E3575" t="s">
        <v>15</v>
      </c>
      <c r="F3575">
        <v>0.26922520995140076</v>
      </c>
    </row>
    <row r="3576" spans="2:6">
      <c r="B3576">
        <v>2012</v>
      </c>
      <c r="C3576" t="s">
        <v>49</v>
      </c>
      <c r="D3576" t="s">
        <v>185</v>
      </c>
      <c r="E3576" t="s">
        <v>7</v>
      </c>
      <c r="F3576">
        <v>7.2722501754760742</v>
      </c>
    </row>
    <row r="3577" spans="2:6">
      <c r="B3577">
        <v>2012</v>
      </c>
      <c r="C3577" t="s">
        <v>49</v>
      </c>
      <c r="D3577" t="s">
        <v>185</v>
      </c>
      <c r="E3577" t="s">
        <v>8</v>
      </c>
      <c r="F3577">
        <v>9.7403469085693359</v>
      </c>
    </row>
    <row r="3578" spans="2:6">
      <c r="B3578">
        <v>2012</v>
      </c>
      <c r="C3578" t="s">
        <v>49</v>
      </c>
      <c r="D3578" t="s">
        <v>185</v>
      </c>
      <c r="E3578" t="s">
        <v>9</v>
      </c>
      <c r="F3578">
        <v>0.9022068977355957</v>
      </c>
    </row>
    <row r="3579" spans="2:6">
      <c r="B3579">
        <v>2012</v>
      </c>
      <c r="C3579" t="s">
        <v>49</v>
      </c>
      <c r="D3579" t="s">
        <v>185</v>
      </c>
      <c r="E3579" t="s">
        <v>10</v>
      </c>
      <c r="F3579">
        <v>70.099998474121094</v>
      </c>
    </row>
    <row r="3580" spans="2:6">
      <c r="B3580">
        <v>2012</v>
      </c>
      <c r="C3580" t="s">
        <v>49</v>
      </c>
      <c r="D3580" t="s">
        <v>185</v>
      </c>
      <c r="E3580" t="s">
        <v>11</v>
      </c>
      <c r="F3580">
        <v>0.92891407012939453</v>
      </c>
    </row>
    <row r="3581" spans="2:6">
      <c r="B3581">
        <v>2012</v>
      </c>
      <c r="C3581" t="s">
        <v>49</v>
      </c>
      <c r="D3581" t="s">
        <v>185</v>
      </c>
      <c r="E3581" t="s">
        <v>12</v>
      </c>
      <c r="F3581">
        <v>4.5841407030820847E-2</v>
      </c>
    </row>
    <row r="3582" spans="2:6">
      <c r="B3582">
        <v>2012</v>
      </c>
      <c r="C3582" t="s">
        <v>49</v>
      </c>
      <c r="D3582" t="s">
        <v>185</v>
      </c>
      <c r="E3582" t="s">
        <v>13</v>
      </c>
      <c r="F3582">
        <v>0.79430139064788818</v>
      </c>
    </row>
    <row r="3583" spans="2:6">
      <c r="B3583">
        <v>2012</v>
      </c>
      <c r="C3583" t="s">
        <v>49</v>
      </c>
      <c r="D3583" t="s">
        <v>185</v>
      </c>
      <c r="E3583" t="s">
        <v>14</v>
      </c>
      <c r="F3583">
        <v>0.8968852162361145</v>
      </c>
    </row>
    <row r="3584" spans="2:6">
      <c r="B3584">
        <v>2012</v>
      </c>
      <c r="C3584" t="s">
        <v>49</v>
      </c>
      <c r="D3584" t="s">
        <v>185</v>
      </c>
      <c r="E3584" t="s">
        <v>15</v>
      </c>
      <c r="F3584">
        <v>0.2630271315574646</v>
      </c>
    </row>
    <row r="3585" spans="2:6">
      <c r="B3585">
        <v>2013</v>
      </c>
      <c r="C3585" t="s">
        <v>49</v>
      </c>
      <c r="D3585" t="s">
        <v>185</v>
      </c>
      <c r="E3585" t="s">
        <v>7</v>
      </c>
      <c r="F3585">
        <v>7.1580004692077637</v>
      </c>
    </row>
    <row r="3586" spans="2:6">
      <c r="B3586">
        <v>2013</v>
      </c>
      <c r="C3586" t="s">
        <v>49</v>
      </c>
      <c r="D3586" t="s">
        <v>185</v>
      </c>
      <c r="E3586" t="s">
        <v>8</v>
      </c>
      <c r="F3586">
        <v>9.7513084411621094</v>
      </c>
    </row>
    <row r="3587" spans="2:6">
      <c r="B3587">
        <v>2013</v>
      </c>
      <c r="C3587" t="s">
        <v>49</v>
      </c>
      <c r="D3587" t="s">
        <v>185</v>
      </c>
      <c r="E3587" t="s">
        <v>9</v>
      </c>
      <c r="F3587">
        <v>0.90206927061080933</v>
      </c>
    </row>
    <row r="3588" spans="2:6">
      <c r="B3588">
        <v>2013</v>
      </c>
      <c r="C3588" t="s">
        <v>49</v>
      </c>
      <c r="D3588" t="s">
        <v>185</v>
      </c>
      <c r="E3588" t="s">
        <v>10</v>
      </c>
      <c r="F3588">
        <v>70.300003051757813</v>
      </c>
    </row>
    <row r="3589" spans="2:6">
      <c r="B3589">
        <v>2013</v>
      </c>
      <c r="C3589" t="s">
        <v>49</v>
      </c>
      <c r="D3589" t="s">
        <v>185</v>
      </c>
      <c r="E3589" t="s">
        <v>11</v>
      </c>
      <c r="F3589">
        <v>0.89787930250167847</v>
      </c>
    </row>
    <row r="3590" spans="2:6">
      <c r="B3590">
        <v>2013</v>
      </c>
      <c r="C3590" t="s">
        <v>49</v>
      </c>
      <c r="D3590" t="s">
        <v>185</v>
      </c>
      <c r="E3590" t="s">
        <v>12</v>
      </c>
      <c r="F3590">
        <v>1.8084213137626648E-2</v>
      </c>
    </row>
    <row r="3591" spans="2:6">
      <c r="B3591">
        <v>2013</v>
      </c>
      <c r="C3591" t="s">
        <v>49</v>
      </c>
      <c r="D3591" t="s">
        <v>185</v>
      </c>
      <c r="E3591" t="s">
        <v>13</v>
      </c>
      <c r="F3591">
        <v>0.81286311149597168</v>
      </c>
    </row>
    <row r="3592" spans="2:6">
      <c r="B3592">
        <v>2013</v>
      </c>
      <c r="C3592" t="s">
        <v>49</v>
      </c>
      <c r="D3592" t="s">
        <v>185</v>
      </c>
      <c r="E3592" t="s">
        <v>14</v>
      </c>
      <c r="F3592">
        <v>0.85021275281906128</v>
      </c>
    </row>
    <row r="3593" spans="2:6">
      <c r="B3593">
        <v>2013</v>
      </c>
      <c r="C3593" t="s">
        <v>49</v>
      </c>
      <c r="D3593" t="s">
        <v>185</v>
      </c>
      <c r="E3593" t="s">
        <v>15</v>
      </c>
      <c r="F3593">
        <v>0.27814742922782898</v>
      </c>
    </row>
    <row r="3594" spans="2:6">
      <c r="B3594">
        <v>2014</v>
      </c>
      <c r="C3594" t="s">
        <v>49</v>
      </c>
      <c r="D3594" t="s">
        <v>185</v>
      </c>
      <c r="E3594" t="s">
        <v>7</v>
      </c>
      <c r="F3594">
        <v>7.2470860481262207</v>
      </c>
    </row>
    <row r="3595" spans="2:6">
      <c r="B3595">
        <v>2014</v>
      </c>
      <c r="C3595" t="s">
        <v>49</v>
      </c>
      <c r="D3595" t="s">
        <v>185</v>
      </c>
      <c r="E3595" t="s">
        <v>8</v>
      </c>
      <c r="F3595">
        <v>9.7746829986572266</v>
      </c>
    </row>
    <row r="3596" spans="2:6">
      <c r="B3596">
        <v>2014</v>
      </c>
      <c r="C3596" t="s">
        <v>49</v>
      </c>
      <c r="D3596" t="s">
        <v>185</v>
      </c>
      <c r="E3596" t="s">
        <v>9</v>
      </c>
      <c r="F3596">
        <v>0.9142112135887146</v>
      </c>
    </row>
    <row r="3597" spans="2:6">
      <c r="B3597">
        <v>2014</v>
      </c>
      <c r="C3597" t="s">
        <v>49</v>
      </c>
      <c r="D3597" t="s">
        <v>185</v>
      </c>
      <c r="E3597" t="s">
        <v>10</v>
      </c>
      <c r="F3597">
        <v>70.5</v>
      </c>
    </row>
    <row r="3598" spans="2:6">
      <c r="B3598">
        <v>2014</v>
      </c>
      <c r="C3598" t="s">
        <v>49</v>
      </c>
      <c r="D3598" t="s">
        <v>185</v>
      </c>
      <c r="E3598" t="s">
        <v>11</v>
      </c>
      <c r="F3598">
        <v>0.92670738697052002</v>
      </c>
    </row>
    <row r="3599" spans="2:6">
      <c r="B3599">
        <v>2014</v>
      </c>
      <c r="C3599" t="s">
        <v>49</v>
      </c>
      <c r="D3599" t="s">
        <v>185</v>
      </c>
      <c r="E3599" t="s">
        <v>12</v>
      </c>
      <c r="F3599">
        <v>9.6256006509065628E-3</v>
      </c>
    </row>
    <row r="3600" spans="2:6">
      <c r="B3600">
        <v>2014</v>
      </c>
      <c r="C3600" t="s">
        <v>49</v>
      </c>
      <c r="D3600" t="s">
        <v>185</v>
      </c>
      <c r="E3600" t="s">
        <v>13</v>
      </c>
      <c r="F3600">
        <v>0.78803747892379761</v>
      </c>
    </row>
    <row r="3601" spans="2:6">
      <c r="B3601">
        <v>2014</v>
      </c>
      <c r="C3601" t="s">
        <v>49</v>
      </c>
      <c r="D3601" t="s">
        <v>185</v>
      </c>
      <c r="E3601" t="s">
        <v>14</v>
      </c>
      <c r="F3601">
        <v>0.83678627014160156</v>
      </c>
    </row>
    <row r="3602" spans="2:6">
      <c r="B3602">
        <v>2014</v>
      </c>
      <c r="C3602" t="s">
        <v>49</v>
      </c>
      <c r="D3602" t="s">
        <v>185</v>
      </c>
      <c r="E3602" t="s">
        <v>15</v>
      </c>
      <c r="F3602">
        <v>0.28952890634536743</v>
      </c>
    </row>
    <row r="3603" spans="2:6">
      <c r="B3603">
        <v>2015</v>
      </c>
      <c r="C3603" t="s">
        <v>49</v>
      </c>
      <c r="D3603" t="s">
        <v>185</v>
      </c>
      <c r="E3603" t="s">
        <v>7</v>
      </c>
      <c r="F3603">
        <v>6.8540043830871582</v>
      </c>
    </row>
    <row r="3604" spans="2:6">
      <c r="B3604">
        <v>2015</v>
      </c>
      <c r="C3604" t="s">
        <v>49</v>
      </c>
      <c r="D3604" t="s">
        <v>185</v>
      </c>
      <c r="E3604" t="s">
        <v>8</v>
      </c>
      <c r="F3604">
        <v>9.7994871139526367</v>
      </c>
    </row>
    <row r="3605" spans="2:6">
      <c r="B3605">
        <v>2015</v>
      </c>
      <c r="C3605" t="s">
        <v>49</v>
      </c>
      <c r="D3605" t="s">
        <v>185</v>
      </c>
      <c r="E3605" t="s">
        <v>9</v>
      </c>
      <c r="F3605">
        <v>0.87827295064926147</v>
      </c>
    </row>
    <row r="3606" spans="2:6">
      <c r="B3606">
        <v>2015</v>
      </c>
      <c r="C3606" t="s">
        <v>49</v>
      </c>
      <c r="D3606" t="s">
        <v>185</v>
      </c>
      <c r="E3606" t="s">
        <v>10</v>
      </c>
      <c r="F3606">
        <v>70.699996948242188</v>
      </c>
    </row>
    <row r="3607" spans="2:6">
      <c r="B3607">
        <v>2015</v>
      </c>
      <c r="C3607" t="s">
        <v>49</v>
      </c>
      <c r="D3607" t="s">
        <v>185</v>
      </c>
      <c r="E3607" t="s">
        <v>11</v>
      </c>
      <c r="F3607">
        <v>0.90692567825317383</v>
      </c>
    </row>
    <row r="3608" spans="2:6">
      <c r="B3608">
        <v>2015</v>
      </c>
      <c r="C3608" t="s">
        <v>49</v>
      </c>
      <c r="D3608" t="s">
        <v>185</v>
      </c>
      <c r="E3608" t="s">
        <v>12</v>
      </c>
      <c r="F3608">
        <v>-5.9071723371744156E-2</v>
      </c>
    </row>
    <row r="3609" spans="2:6">
      <c r="B3609">
        <v>2015</v>
      </c>
      <c r="C3609" t="s">
        <v>49</v>
      </c>
      <c r="D3609" t="s">
        <v>185</v>
      </c>
      <c r="E3609" t="s">
        <v>13</v>
      </c>
      <c r="F3609">
        <v>0.76141941547393799</v>
      </c>
    </row>
    <row r="3610" spans="2:6">
      <c r="B3610">
        <v>2015</v>
      </c>
      <c r="C3610" t="s">
        <v>49</v>
      </c>
      <c r="D3610" t="s">
        <v>185</v>
      </c>
      <c r="E3610" t="s">
        <v>14</v>
      </c>
      <c r="F3610">
        <v>0.84970957040786743</v>
      </c>
    </row>
    <row r="3611" spans="2:6">
      <c r="B3611">
        <v>2015</v>
      </c>
      <c r="C3611" t="s">
        <v>49</v>
      </c>
      <c r="D3611" t="s">
        <v>185</v>
      </c>
      <c r="E3611" t="s">
        <v>15</v>
      </c>
      <c r="F3611">
        <v>0.28644031286239624</v>
      </c>
    </row>
    <row r="3612" spans="2:6">
      <c r="B3612">
        <v>2016</v>
      </c>
      <c r="C3612" t="s">
        <v>49</v>
      </c>
      <c r="D3612" t="s">
        <v>185</v>
      </c>
      <c r="E3612" t="s">
        <v>7</v>
      </c>
      <c r="F3612">
        <v>7.135617733001709</v>
      </c>
    </row>
    <row r="3613" spans="2:6">
      <c r="B3613">
        <v>2016</v>
      </c>
      <c r="C3613" t="s">
        <v>49</v>
      </c>
      <c r="D3613" t="s">
        <v>185</v>
      </c>
      <c r="E3613" t="s">
        <v>8</v>
      </c>
      <c r="F3613">
        <v>9.8304939270019531</v>
      </c>
    </row>
    <row r="3614" spans="2:6">
      <c r="B3614">
        <v>2016</v>
      </c>
      <c r="C3614" t="s">
        <v>49</v>
      </c>
      <c r="D3614" t="s">
        <v>185</v>
      </c>
      <c r="E3614" t="s">
        <v>9</v>
      </c>
      <c r="F3614">
        <v>0.90070128440856934</v>
      </c>
    </row>
    <row r="3615" spans="2:6">
      <c r="B3615">
        <v>2016</v>
      </c>
      <c r="C3615" t="s">
        <v>49</v>
      </c>
      <c r="D3615" t="s">
        <v>185</v>
      </c>
      <c r="E3615" t="s">
        <v>10</v>
      </c>
      <c r="F3615">
        <v>70.900001525878906</v>
      </c>
    </row>
    <row r="3616" spans="2:6">
      <c r="B3616">
        <v>2016</v>
      </c>
      <c r="C3616" t="s">
        <v>49</v>
      </c>
      <c r="D3616" t="s">
        <v>185</v>
      </c>
      <c r="E3616" t="s">
        <v>11</v>
      </c>
      <c r="F3616">
        <v>0.87297195196151733</v>
      </c>
    </row>
    <row r="3617" spans="2:6">
      <c r="B3617">
        <v>2016</v>
      </c>
      <c r="C3617" t="s">
        <v>49</v>
      </c>
      <c r="D3617" t="s">
        <v>185</v>
      </c>
      <c r="E3617" t="s">
        <v>12</v>
      </c>
      <c r="F3617">
        <v>-3.2443065196275711E-2</v>
      </c>
    </row>
    <row r="3618" spans="2:6">
      <c r="B3618">
        <v>2016</v>
      </c>
      <c r="C3618" t="s">
        <v>49</v>
      </c>
      <c r="D3618" t="s">
        <v>185</v>
      </c>
      <c r="E3618" t="s">
        <v>13</v>
      </c>
      <c r="F3618">
        <v>0.78056204319000244</v>
      </c>
    </row>
    <row r="3619" spans="2:6">
      <c r="B3619">
        <v>2016</v>
      </c>
      <c r="C3619" t="s">
        <v>49</v>
      </c>
      <c r="D3619" t="s">
        <v>185</v>
      </c>
      <c r="E3619" t="s">
        <v>14</v>
      </c>
      <c r="F3619">
        <v>0.87358438968658447</v>
      </c>
    </row>
    <row r="3620" spans="2:6">
      <c r="B3620">
        <v>2016</v>
      </c>
      <c r="C3620" t="s">
        <v>49</v>
      </c>
      <c r="D3620" t="s">
        <v>185</v>
      </c>
      <c r="E3620" t="s">
        <v>15</v>
      </c>
      <c r="F3620">
        <v>0.28142228722572327</v>
      </c>
    </row>
    <row r="3621" spans="2:6">
      <c r="B3621">
        <v>2017</v>
      </c>
      <c r="C3621" t="s">
        <v>49</v>
      </c>
      <c r="D3621" t="s">
        <v>185</v>
      </c>
      <c r="E3621" t="s">
        <v>7</v>
      </c>
      <c r="F3621">
        <v>7.2251815795898438</v>
      </c>
    </row>
    <row r="3622" spans="2:6">
      <c r="B3622">
        <v>2017</v>
      </c>
      <c r="C3622" t="s">
        <v>49</v>
      </c>
      <c r="D3622" t="s">
        <v>185</v>
      </c>
      <c r="E3622" t="s">
        <v>8</v>
      </c>
      <c r="F3622">
        <v>9.85809326171875</v>
      </c>
    </row>
    <row r="3623" spans="2:6">
      <c r="B3623">
        <v>2017</v>
      </c>
      <c r="C3623" t="s">
        <v>49</v>
      </c>
      <c r="D3623" t="s">
        <v>185</v>
      </c>
      <c r="E3623" t="s">
        <v>9</v>
      </c>
      <c r="F3623">
        <v>0.92169713973999023</v>
      </c>
    </row>
    <row r="3624" spans="2:6">
      <c r="B3624">
        <v>2017</v>
      </c>
      <c r="C3624" t="s">
        <v>49</v>
      </c>
      <c r="D3624" t="s">
        <v>185</v>
      </c>
      <c r="E3624" t="s">
        <v>10</v>
      </c>
      <c r="F3624">
        <v>71.099998474121094</v>
      </c>
    </row>
    <row r="3625" spans="2:6">
      <c r="B3625">
        <v>2017</v>
      </c>
      <c r="C3625" t="s">
        <v>49</v>
      </c>
      <c r="D3625" t="s">
        <v>185</v>
      </c>
      <c r="E3625" t="s">
        <v>11</v>
      </c>
      <c r="F3625">
        <v>0.93561846017837524</v>
      </c>
    </row>
    <row r="3626" spans="2:6">
      <c r="B3626">
        <v>2017</v>
      </c>
      <c r="C3626" t="s">
        <v>49</v>
      </c>
      <c r="D3626" t="s">
        <v>185</v>
      </c>
      <c r="E3626" t="s">
        <v>12</v>
      </c>
      <c r="F3626">
        <v>-7.6224103569984436E-2</v>
      </c>
    </row>
    <row r="3627" spans="2:6">
      <c r="B3627">
        <v>2017</v>
      </c>
      <c r="C3627" t="s">
        <v>49</v>
      </c>
      <c r="D3627" t="s">
        <v>185</v>
      </c>
      <c r="E3627" t="s">
        <v>13</v>
      </c>
      <c r="F3627">
        <v>0.74235075712203979</v>
      </c>
    </row>
    <row r="3628" spans="2:6">
      <c r="B3628">
        <v>2017</v>
      </c>
      <c r="C3628" t="s">
        <v>49</v>
      </c>
      <c r="D3628" t="s">
        <v>185</v>
      </c>
      <c r="E3628" t="s">
        <v>14</v>
      </c>
      <c r="F3628">
        <v>0.87439584732055664</v>
      </c>
    </row>
    <row r="3629" spans="2:6">
      <c r="B3629">
        <v>2017</v>
      </c>
      <c r="C3629" t="s">
        <v>49</v>
      </c>
      <c r="D3629" t="s">
        <v>185</v>
      </c>
      <c r="E3629" t="s">
        <v>15</v>
      </c>
      <c r="F3629">
        <v>0.27544006705284119</v>
      </c>
    </row>
    <row r="3630" spans="2:6">
      <c r="B3630">
        <v>2018</v>
      </c>
      <c r="C3630" t="s">
        <v>49</v>
      </c>
      <c r="D3630" t="s">
        <v>185</v>
      </c>
      <c r="E3630" t="s">
        <v>7</v>
      </c>
      <c r="F3630">
        <v>7.1410746574401855</v>
      </c>
    </row>
    <row r="3631" spans="2:6">
      <c r="B3631">
        <v>2018</v>
      </c>
      <c r="C3631" t="s">
        <v>49</v>
      </c>
      <c r="D3631" t="s">
        <v>185</v>
      </c>
      <c r="E3631" t="s">
        <v>8</v>
      </c>
      <c r="F3631">
        <v>9.8744010925292969</v>
      </c>
    </row>
    <row r="3632" spans="2:6">
      <c r="B3632">
        <v>2018</v>
      </c>
      <c r="C3632" t="s">
        <v>49</v>
      </c>
      <c r="D3632" t="s">
        <v>185</v>
      </c>
      <c r="E3632" t="s">
        <v>9</v>
      </c>
      <c r="F3632">
        <v>0.87587243318557739</v>
      </c>
    </row>
    <row r="3633" spans="2:6">
      <c r="B3633">
        <v>2018</v>
      </c>
      <c r="C3633" t="s">
        <v>49</v>
      </c>
      <c r="D3633" t="s">
        <v>185</v>
      </c>
      <c r="E3633" t="s">
        <v>10</v>
      </c>
      <c r="F3633">
        <v>71.300003051757813</v>
      </c>
    </row>
    <row r="3634" spans="2:6">
      <c r="B3634">
        <v>2018</v>
      </c>
      <c r="C3634" t="s">
        <v>49</v>
      </c>
      <c r="D3634" t="s">
        <v>185</v>
      </c>
      <c r="E3634" t="s">
        <v>11</v>
      </c>
      <c r="F3634">
        <v>0.94188833236694336</v>
      </c>
    </row>
    <row r="3635" spans="2:6">
      <c r="B3635">
        <v>2018</v>
      </c>
      <c r="C3635" t="s">
        <v>49</v>
      </c>
      <c r="D3635" t="s">
        <v>185</v>
      </c>
      <c r="E3635" t="s">
        <v>12</v>
      </c>
      <c r="F3635">
        <v>-0.10697375982999802</v>
      </c>
    </row>
    <row r="3636" spans="2:6">
      <c r="B3636">
        <v>2018</v>
      </c>
      <c r="C3636" t="s">
        <v>49</v>
      </c>
      <c r="D3636" t="s">
        <v>185</v>
      </c>
      <c r="E3636" t="s">
        <v>13</v>
      </c>
      <c r="F3636">
        <v>0.78130179643630981</v>
      </c>
    </row>
    <row r="3637" spans="2:6">
      <c r="B3637">
        <v>2018</v>
      </c>
      <c r="C3637" t="s">
        <v>49</v>
      </c>
      <c r="D3637" t="s">
        <v>185</v>
      </c>
      <c r="E3637" t="s">
        <v>14</v>
      </c>
      <c r="F3637">
        <v>0.870097815990448</v>
      </c>
    </row>
    <row r="3638" spans="2:6">
      <c r="B3638">
        <v>2018</v>
      </c>
      <c r="C3638" t="s">
        <v>49</v>
      </c>
      <c r="D3638" t="s">
        <v>185</v>
      </c>
      <c r="E3638" t="s">
        <v>15</v>
      </c>
      <c r="F3638">
        <v>0.32586663961410522</v>
      </c>
    </row>
    <row r="3639" spans="2:6">
      <c r="B3639">
        <v>2019</v>
      </c>
      <c r="C3639" t="s">
        <v>49</v>
      </c>
      <c r="D3639" t="s">
        <v>185</v>
      </c>
      <c r="E3639" t="s">
        <v>7</v>
      </c>
      <c r="F3639">
        <v>6.9976186752319336</v>
      </c>
    </row>
    <row r="3640" spans="2:6">
      <c r="B3640">
        <v>2019</v>
      </c>
      <c r="C3640" t="s">
        <v>49</v>
      </c>
      <c r="D3640" t="s">
        <v>185</v>
      </c>
      <c r="E3640" t="s">
        <v>8</v>
      </c>
      <c r="F3640">
        <v>9.8854465484619141</v>
      </c>
    </row>
    <row r="3641" spans="2:6">
      <c r="B3641">
        <v>2019</v>
      </c>
      <c r="C3641" t="s">
        <v>49</v>
      </c>
      <c r="D3641" t="s">
        <v>185</v>
      </c>
      <c r="E3641" t="s">
        <v>9</v>
      </c>
      <c r="F3641">
        <v>0.90607744455337524</v>
      </c>
    </row>
    <row r="3642" spans="2:6">
      <c r="B3642">
        <v>2019</v>
      </c>
      <c r="C3642" t="s">
        <v>49</v>
      </c>
      <c r="D3642" t="s">
        <v>185</v>
      </c>
      <c r="E3642" t="s">
        <v>10</v>
      </c>
      <c r="F3642">
        <v>71.5</v>
      </c>
    </row>
    <row r="3643" spans="2:6">
      <c r="B3643">
        <v>2019</v>
      </c>
      <c r="C3643" t="s">
        <v>49</v>
      </c>
      <c r="D3643" t="s">
        <v>185</v>
      </c>
      <c r="E3643" t="s">
        <v>11</v>
      </c>
      <c r="F3643">
        <v>0.92683011293411255</v>
      </c>
    </row>
    <row r="3644" spans="2:6">
      <c r="B3644">
        <v>2019</v>
      </c>
      <c r="C3644" t="s">
        <v>49</v>
      </c>
      <c r="D3644" t="s">
        <v>185</v>
      </c>
      <c r="E3644" t="s">
        <v>12</v>
      </c>
      <c r="F3644">
        <v>-0.14599433541297913</v>
      </c>
    </row>
    <row r="3645" spans="2:6">
      <c r="B3645">
        <v>2019</v>
      </c>
      <c r="C3645" t="s">
        <v>49</v>
      </c>
      <c r="D3645" t="s">
        <v>185</v>
      </c>
      <c r="E3645" t="s">
        <v>13</v>
      </c>
      <c r="F3645">
        <v>0.83562833070755005</v>
      </c>
    </row>
    <row r="3646" spans="2:6">
      <c r="B3646">
        <v>2019</v>
      </c>
      <c r="C3646" t="s">
        <v>49</v>
      </c>
      <c r="D3646" t="s">
        <v>185</v>
      </c>
      <c r="E3646" t="s">
        <v>14</v>
      </c>
      <c r="F3646">
        <v>0.84834760427474976</v>
      </c>
    </row>
    <row r="3647" spans="2:6">
      <c r="B3647">
        <v>2019</v>
      </c>
      <c r="C3647" t="s">
        <v>49</v>
      </c>
      <c r="D3647" t="s">
        <v>185</v>
      </c>
      <c r="E3647" t="s">
        <v>15</v>
      </c>
      <c r="F3647">
        <v>0.30332723259925842</v>
      </c>
    </row>
    <row r="3648" spans="2:6">
      <c r="B3648">
        <v>2007</v>
      </c>
      <c r="C3648" t="s">
        <v>50</v>
      </c>
      <c r="D3648" t="s">
        <v>183</v>
      </c>
      <c r="E3648" t="s">
        <v>7</v>
      </c>
      <c r="F3648">
        <v>5.8209075927734375</v>
      </c>
    </row>
    <row r="3649" spans="2:6">
      <c r="B3649">
        <v>2007</v>
      </c>
      <c r="C3649" t="s">
        <v>50</v>
      </c>
      <c r="D3649" t="s">
        <v>183</v>
      </c>
      <c r="E3649" t="s">
        <v>8</v>
      </c>
      <c r="F3649">
        <v>10.161588668823242</v>
      </c>
    </row>
    <row r="3650" spans="2:6">
      <c r="B3650">
        <v>2007</v>
      </c>
      <c r="C3650" t="s">
        <v>50</v>
      </c>
      <c r="D3650" t="s">
        <v>183</v>
      </c>
      <c r="E3650" t="s">
        <v>9</v>
      </c>
      <c r="F3650">
        <v>0.90982216596603394</v>
      </c>
    </row>
    <row r="3651" spans="2:6">
      <c r="B3651">
        <v>2007</v>
      </c>
      <c r="C3651" t="s">
        <v>50</v>
      </c>
      <c r="D3651" t="s">
        <v>183</v>
      </c>
      <c r="E3651" t="s">
        <v>10</v>
      </c>
      <c r="F3651">
        <v>67.120002746582031</v>
      </c>
    </row>
    <row r="3652" spans="2:6">
      <c r="B3652">
        <v>2007</v>
      </c>
      <c r="C3652" t="s">
        <v>50</v>
      </c>
      <c r="D3652" t="s">
        <v>183</v>
      </c>
      <c r="E3652" t="s">
        <v>11</v>
      </c>
      <c r="F3652">
        <v>0.66220575571060181</v>
      </c>
    </row>
    <row r="3653" spans="2:6">
      <c r="B3653">
        <v>2007</v>
      </c>
      <c r="C3653" t="s">
        <v>50</v>
      </c>
      <c r="D3653" t="s">
        <v>183</v>
      </c>
      <c r="E3653" t="s">
        <v>12</v>
      </c>
      <c r="F3653">
        <v>-9.1904371976852417E-2</v>
      </c>
    </row>
    <row r="3654" spans="2:6">
      <c r="B3654">
        <v>2007</v>
      </c>
      <c r="C3654" t="s">
        <v>50</v>
      </c>
      <c r="D3654" t="s">
        <v>183</v>
      </c>
      <c r="E3654" t="s">
        <v>13</v>
      </c>
      <c r="F3654">
        <v>0.93427354097366333</v>
      </c>
    </row>
    <row r="3655" spans="2:6">
      <c r="B3655">
        <v>2007</v>
      </c>
      <c r="C3655" t="s">
        <v>50</v>
      </c>
      <c r="D3655" t="s">
        <v>183</v>
      </c>
      <c r="E3655" t="s">
        <v>14</v>
      </c>
      <c r="F3655">
        <v>0.58631604909896851</v>
      </c>
    </row>
    <row r="3656" spans="2:6">
      <c r="B3656">
        <v>2007</v>
      </c>
      <c r="C3656" t="s">
        <v>50</v>
      </c>
      <c r="D3656" t="s">
        <v>183</v>
      </c>
      <c r="E3656" t="s">
        <v>15</v>
      </c>
      <c r="F3656">
        <v>0.33708485960960388</v>
      </c>
    </row>
    <row r="3657" spans="2:6">
      <c r="B3657">
        <v>2009</v>
      </c>
      <c r="C3657" t="s">
        <v>50</v>
      </c>
      <c r="D3657" t="s">
        <v>183</v>
      </c>
      <c r="E3657" t="s">
        <v>7</v>
      </c>
      <c r="F3657">
        <v>5.4333195686340332</v>
      </c>
    </row>
    <row r="3658" spans="2:6">
      <c r="B3658">
        <v>2009</v>
      </c>
      <c r="C3658" t="s">
        <v>50</v>
      </c>
      <c r="D3658" t="s">
        <v>183</v>
      </c>
      <c r="E3658" t="s">
        <v>8</v>
      </c>
      <c r="F3658">
        <v>10.103758811950684</v>
      </c>
    </row>
    <row r="3659" spans="2:6">
      <c r="B3659">
        <v>2009</v>
      </c>
      <c r="C3659" t="s">
        <v>50</v>
      </c>
      <c r="D3659" t="s">
        <v>183</v>
      </c>
      <c r="E3659" t="s">
        <v>9</v>
      </c>
      <c r="F3659">
        <v>0.86066323518753052</v>
      </c>
    </row>
    <row r="3660" spans="2:6">
      <c r="B3660">
        <v>2009</v>
      </c>
      <c r="C3660" t="s">
        <v>50</v>
      </c>
      <c r="D3660" t="s">
        <v>183</v>
      </c>
      <c r="E3660" t="s">
        <v>10</v>
      </c>
      <c r="F3660">
        <v>67.639999389648438</v>
      </c>
    </row>
    <row r="3661" spans="2:6">
      <c r="B3661">
        <v>2009</v>
      </c>
      <c r="C3661" t="s">
        <v>50</v>
      </c>
      <c r="D3661" t="s">
        <v>183</v>
      </c>
      <c r="E3661" t="s">
        <v>11</v>
      </c>
      <c r="F3661">
        <v>0.54925835132598877</v>
      </c>
    </row>
    <row r="3662" spans="2:6">
      <c r="B3662">
        <v>2009</v>
      </c>
      <c r="C3662" t="s">
        <v>50</v>
      </c>
      <c r="D3662" t="s">
        <v>183</v>
      </c>
      <c r="E3662" t="s">
        <v>12</v>
      </c>
      <c r="F3662">
        <v>-0.27066263556480408</v>
      </c>
    </row>
    <row r="3663" spans="2:6">
      <c r="B3663">
        <v>2009</v>
      </c>
      <c r="C3663" t="s">
        <v>50</v>
      </c>
      <c r="D3663" t="s">
        <v>183</v>
      </c>
      <c r="E3663" t="s">
        <v>13</v>
      </c>
      <c r="F3663">
        <v>0.95813053846359253</v>
      </c>
    </row>
    <row r="3664" spans="2:6">
      <c r="B3664">
        <v>2009</v>
      </c>
      <c r="C3664" t="s">
        <v>50</v>
      </c>
      <c r="D3664" t="s">
        <v>183</v>
      </c>
      <c r="E3664" t="s">
        <v>14</v>
      </c>
      <c r="F3664">
        <v>0.63666313886642456</v>
      </c>
    </row>
    <row r="3665" spans="2:6">
      <c r="B3665">
        <v>2009</v>
      </c>
      <c r="C3665" t="s">
        <v>50</v>
      </c>
      <c r="D3665" t="s">
        <v>183</v>
      </c>
      <c r="E3665" t="s">
        <v>15</v>
      </c>
      <c r="F3665">
        <v>0.27217024564743042</v>
      </c>
    </row>
    <row r="3666" spans="2:6">
      <c r="B3666">
        <v>2010</v>
      </c>
      <c r="C3666" t="s">
        <v>50</v>
      </c>
      <c r="D3666" t="s">
        <v>183</v>
      </c>
      <c r="E3666" t="s">
        <v>7</v>
      </c>
      <c r="F3666">
        <v>5.5955753326416016</v>
      </c>
    </row>
    <row r="3667" spans="2:6">
      <c r="B3667">
        <v>2010</v>
      </c>
      <c r="C3667" t="s">
        <v>50</v>
      </c>
      <c r="D3667" t="s">
        <v>183</v>
      </c>
      <c r="E3667" t="s">
        <v>8</v>
      </c>
      <c r="F3667">
        <v>10.090949058532715</v>
      </c>
    </row>
    <row r="3668" spans="2:6">
      <c r="B3668">
        <v>2010</v>
      </c>
      <c r="C3668" t="s">
        <v>50</v>
      </c>
      <c r="D3668" t="s">
        <v>183</v>
      </c>
      <c r="E3668" t="s">
        <v>9</v>
      </c>
      <c r="F3668">
        <v>0.79639160633087158</v>
      </c>
    </row>
    <row r="3669" spans="2:6">
      <c r="B3669">
        <v>2010</v>
      </c>
      <c r="C3669" t="s">
        <v>50</v>
      </c>
      <c r="D3669" t="s">
        <v>183</v>
      </c>
      <c r="E3669" t="s">
        <v>10</v>
      </c>
      <c r="F3669">
        <v>67.900001525878906</v>
      </c>
    </row>
    <row r="3670" spans="2:6">
      <c r="B3670">
        <v>2010</v>
      </c>
      <c r="C3670" t="s">
        <v>50</v>
      </c>
      <c r="D3670" t="s">
        <v>183</v>
      </c>
      <c r="E3670" t="s">
        <v>11</v>
      </c>
      <c r="F3670">
        <v>0.56437265872955322</v>
      </c>
    </row>
    <row r="3671" spans="2:6">
      <c r="B3671">
        <v>2010</v>
      </c>
      <c r="C3671" t="s">
        <v>50</v>
      </c>
      <c r="D3671" t="s">
        <v>183</v>
      </c>
      <c r="E3671" t="s">
        <v>12</v>
      </c>
      <c r="F3671">
        <v>-0.23707468807697296</v>
      </c>
    </row>
    <row r="3672" spans="2:6">
      <c r="B3672">
        <v>2010</v>
      </c>
      <c r="C3672" t="s">
        <v>50</v>
      </c>
      <c r="D3672" t="s">
        <v>183</v>
      </c>
      <c r="E3672" t="s">
        <v>13</v>
      </c>
      <c r="F3672">
        <v>0.97273898124694824</v>
      </c>
    </row>
    <row r="3673" spans="2:6">
      <c r="B3673">
        <v>2010</v>
      </c>
      <c r="C3673" t="s">
        <v>50</v>
      </c>
      <c r="D3673" t="s">
        <v>183</v>
      </c>
      <c r="E3673" t="s">
        <v>14</v>
      </c>
      <c r="F3673">
        <v>0.60682821273803711</v>
      </c>
    </row>
    <row r="3674" spans="2:6">
      <c r="B3674">
        <v>2010</v>
      </c>
      <c r="C3674" t="s">
        <v>50</v>
      </c>
      <c r="D3674" t="s">
        <v>183</v>
      </c>
      <c r="E3674" t="s">
        <v>15</v>
      </c>
      <c r="F3674">
        <v>0.25888687372207642</v>
      </c>
    </row>
    <row r="3675" spans="2:6">
      <c r="B3675">
        <v>2011</v>
      </c>
      <c r="C3675" t="s">
        <v>50</v>
      </c>
      <c r="D3675" t="s">
        <v>183</v>
      </c>
      <c r="E3675" t="s">
        <v>7</v>
      </c>
      <c r="F3675">
        <v>5.3853726387023926</v>
      </c>
    </row>
    <row r="3676" spans="2:6">
      <c r="B3676">
        <v>2011</v>
      </c>
      <c r="C3676" t="s">
        <v>50</v>
      </c>
      <c r="D3676" t="s">
        <v>183</v>
      </c>
      <c r="E3676" t="s">
        <v>8</v>
      </c>
      <c r="F3676">
        <v>10.091299057006836</v>
      </c>
    </row>
    <row r="3677" spans="2:6">
      <c r="B3677">
        <v>2011</v>
      </c>
      <c r="C3677" t="s">
        <v>50</v>
      </c>
      <c r="D3677" t="s">
        <v>183</v>
      </c>
      <c r="E3677" t="s">
        <v>9</v>
      </c>
      <c r="F3677">
        <v>0.78973871469497681</v>
      </c>
    </row>
    <row r="3678" spans="2:6">
      <c r="B3678">
        <v>2011</v>
      </c>
      <c r="C3678" t="s">
        <v>50</v>
      </c>
      <c r="D3678" t="s">
        <v>183</v>
      </c>
      <c r="E3678" t="s">
        <v>10</v>
      </c>
      <c r="F3678">
        <v>68</v>
      </c>
    </row>
    <row r="3679" spans="2:6">
      <c r="B3679">
        <v>2011</v>
      </c>
      <c r="C3679" t="s">
        <v>50</v>
      </c>
      <c r="D3679" t="s">
        <v>183</v>
      </c>
      <c r="E3679" t="s">
        <v>11</v>
      </c>
      <c r="F3679">
        <v>0.51693242788314819</v>
      </c>
    </row>
    <row r="3680" spans="2:6">
      <c r="B3680">
        <v>2011</v>
      </c>
      <c r="C3680" t="s">
        <v>50</v>
      </c>
      <c r="D3680" t="s">
        <v>183</v>
      </c>
      <c r="E3680" t="s">
        <v>12</v>
      </c>
      <c r="F3680">
        <v>-0.19762971997261047</v>
      </c>
    </row>
    <row r="3681" spans="2:6">
      <c r="B3681">
        <v>2011</v>
      </c>
      <c r="C3681" t="s">
        <v>50</v>
      </c>
      <c r="D3681" t="s">
        <v>183</v>
      </c>
      <c r="E3681" t="s">
        <v>13</v>
      </c>
      <c r="F3681">
        <v>0.97677749395370483</v>
      </c>
    </row>
    <row r="3682" spans="2:6">
      <c r="B3682">
        <v>2011</v>
      </c>
      <c r="C3682" t="s">
        <v>50</v>
      </c>
      <c r="D3682" t="s">
        <v>183</v>
      </c>
      <c r="E3682" t="s">
        <v>14</v>
      </c>
      <c r="F3682">
        <v>0.59750998020172119</v>
      </c>
    </row>
    <row r="3683" spans="2:6">
      <c r="B3683">
        <v>2011</v>
      </c>
      <c r="C3683" t="s">
        <v>50</v>
      </c>
      <c r="D3683" t="s">
        <v>183</v>
      </c>
      <c r="E3683" t="s">
        <v>15</v>
      </c>
      <c r="F3683">
        <v>0.27297970652580261</v>
      </c>
    </row>
    <row r="3684" spans="2:6">
      <c r="B3684">
        <v>2012</v>
      </c>
      <c r="C3684" t="s">
        <v>50</v>
      </c>
      <c r="D3684" t="s">
        <v>183</v>
      </c>
      <c r="E3684" t="s">
        <v>7</v>
      </c>
      <c r="F3684">
        <v>6.0276346206665039</v>
      </c>
    </row>
    <row r="3685" spans="2:6">
      <c r="B3685">
        <v>2012</v>
      </c>
      <c r="C3685" t="s">
        <v>50</v>
      </c>
      <c r="D3685" t="s">
        <v>183</v>
      </c>
      <c r="E3685" t="s">
        <v>8</v>
      </c>
      <c r="F3685">
        <v>10.071724891662598</v>
      </c>
    </row>
    <row r="3686" spans="2:6">
      <c r="B3686">
        <v>2012</v>
      </c>
      <c r="C3686" t="s">
        <v>50</v>
      </c>
      <c r="D3686" t="s">
        <v>183</v>
      </c>
      <c r="E3686" t="s">
        <v>9</v>
      </c>
      <c r="F3686">
        <v>0.77581787109375</v>
      </c>
    </row>
    <row r="3687" spans="2:6">
      <c r="B3687">
        <v>2012</v>
      </c>
      <c r="C3687" t="s">
        <v>50</v>
      </c>
      <c r="D3687" t="s">
        <v>183</v>
      </c>
      <c r="E3687" t="s">
        <v>10</v>
      </c>
      <c r="F3687">
        <v>68.099998474121094</v>
      </c>
    </row>
    <row r="3688" spans="2:6">
      <c r="B3688">
        <v>2012</v>
      </c>
      <c r="C3688" t="s">
        <v>50</v>
      </c>
      <c r="D3688" t="s">
        <v>183</v>
      </c>
      <c r="E3688" t="s">
        <v>11</v>
      </c>
      <c r="F3688">
        <v>0.54190975427627563</v>
      </c>
    </row>
    <row r="3689" spans="2:6">
      <c r="B3689">
        <v>2012</v>
      </c>
      <c r="C3689" t="s">
        <v>50</v>
      </c>
      <c r="D3689" t="s">
        <v>183</v>
      </c>
      <c r="E3689" t="s">
        <v>12</v>
      </c>
      <c r="F3689">
        <v>-0.24231438338756561</v>
      </c>
    </row>
    <row r="3690" spans="2:6">
      <c r="B3690">
        <v>2012</v>
      </c>
      <c r="C3690" t="s">
        <v>50</v>
      </c>
      <c r="D3690" t="s">
        <v>183</v>
      </c>
      <c r="E3690" t="s">
        <v>13</v>
      </c>
      <c r="F3690">
        <v>0.92386001348495483</v>
      </c>
    </row>
    <row r="3691" spans="2:6">
      <c r="B3691">
        <v>2012</v>
      </c>
      <c r="C3691" t="s">
        <v>50</v>
      </c>
      <c r="D3691" t="s">
        <v>183</v>
      </c>
      <c r="E3691" t="s">
        <v>14</v>
      </c>
      <c r="F3691">
        <v>0.62157458066940308</v>
      </c>
    </row>
    <row r="3692" spans="2:6">
      <c r="B3692">
        <v>2012</v>
      </c>
      <c r="C3692" t="s">
        <v>50</v>
      </c>
      <c r="D3692" t="s">
        <v>183</v>
      </c>
      <c r="E3692" t="s">
        <v>15</v>
      </c>
      <c r="F3692">
        <v>0.27104052901268005</v>
      </c>
    </row>
    <row r="3693" spans="2:6">
      <c r="B3693">
        <v>2013</v>
      </c>
      <c r="C3693" t="s">
        <v>50</v>
      </c>
      <c r="D3693" t="s">
        <v>183</v>
      </c>
      <c r="E3693" t="s">
        <v>7</v>
      </c>
      <c r="F3693">
        <v>5.885462760925293</v>
      </c>
    </row>
    <row r="3694" spans="2:6">
      <c r="B3694">
        <v>2013</v>
      </c>
      <c r="C3694" t="s">
        <v>50</v>
      </c>
      <c r="D3694" t="s">
        <v>183</v>
      </c>
      <c r="E3694" t="s">
        <v>8</v>
      </c>
      <c r="F3694">
        <v>10.069009780883789</v>
      </c>
    </row>
    <row r="3695" spans="2:6">
      <c r="B3695">
        <v>2013</v>
      </c>
      <c r="C3695" t="s">
        <v>50</v>
      </c>
      <c r="D3695" t="s">
        <v>183</v>
      </c>
      <c r="E3695" t="s">
        <v>9</v>
      </c>
      <c r="F3695">
        <v>0.75126206874847412</v>
      </c>
    </row>
    <row r="3696" spans="2:6">
      <c r="B3696">
        <v>2013</v>
      </c>
      <c r="C3696" t="s">
        <v>50</v>
      </c>
      <c r="D3696" t="s">
        <v>183</v>
      </c>
      <c r="E3696" t="s">
        <v>10</v>
      </c>
      <c r="F3696">
        <v>68.199996948242188</v>
      </c>
    </row>
    <row r="3697" spans="2:6">
      <c r="B3697">
        <v>2013</v>
      </c>
      <c r="C3697" t="s">
        <v>50</v>
      </c>
      <c r="D3697" t="s">
        <v>183</v>
      </c>
      <c r="E3697" t="s">
        <v>11</v>
      </c>
      <c r="F3697">
        <v>0.62669968605041504</v>
      </c>
    </row>
    <row r="3698" spans="2:6">
      <c r="B3698">
        <v>2013</v>
      </c>
      <c r="C3698" t="s">
        <v>50</v>
      </c>
      <c r="D3698" t="s">
        <v>183</v>
      </c>
      <c r="E3698" t="s">
        <v>12</v>
      </c>
      <c r="F3698">
        <v>-0.20389731228351593</v>
      </c>
    </row>
    <row r="3699" spans="2:6">
      <c r="B3699">
        <v>2013</v>
      </c>
      <c r="C3699" t="s">
        <v>50</v>
      </c>
      <c r="D3699" t="s">
        <v>183</v>
      </c>
      <c r="E3699" t="s">
        <v>13</v>
      </c>
      <c r="F3699">
        <v>0.93605983257293701</v>
      </c>
    </row>
    <row r="3700" spans="2:6">
      <c r="B3700">
        <v>2013</v>
      </c>
      <c r="C3700" t="s">
        <v>50</v>
      </c>
      <c r="D3700" t="s">
        <v>183</v>
      </c>
      <c r="E3700" t="s">
        <v>14</v>
      </c>
      <c r="F3700">
        <v>0.58999752998352051</v>
      </c>
    </row>
    <row r="3701" spans="2:6">
      <c r="B3701">
        <v>2013</v>
      </c>
      <c r="C3701" t="s">
        <v>50</v>
      </c>
      <c r="D3701" t="s">
        <v>183</v>
      </c>
      <c r="E3701" t="s">
        <v>15</v>
      </c>
      <c r="F3701">
        <v>0.28472995758056641</v>
      </c>
    </row>
    <row r="3702" spans="2:6">
      <c r="B3702">
        <v>2014</v>
      </c>
      <c r="C3702" t="s">
        <v>50</v>
      </c>
      <c r="D3702" t="s">
        <v>183</v>
      </c>
      <c r="E3702" t="s">
        <v>7</v>
      </c>
      <c r="F3702">
        <v>5.3806924819946289</v>
      </c>
    </row>
    <row r="3703" spans="2:6">
      <c r="B3703">
        <v>2014</v>
      </c>
      <c r="C3703" t="s">
        <v>50</v>
      </c>
      <c r="D3703" t="s">
        <v>183</v>
      </c>
      <c r="E3703" t="s">
        <v>8</v>
      </c>
      <c r="F3703">
        <v>10.072043418884277</v>
      </c>
    </row>
    <row r="3704" spans="2:6">
      <c r="B3704">
        <v>2014</v>
      </c>
      <c r="C3704" t="s">
        <v>50</v>
      </c>
      <c r="D3704" t="s">
        <v>183</v>
      </c>
      <c r="E3704" t="s">
        <v>9</v>
      </c>
      <c r="F3704">
        <v>0.64569777250289917</v>
      </c>
    </row>
    <row r="3705" spans="2:6">
      <c r="B3705">
        <v>2014</v>
      </c>
      <c r="C3705" t="s">
        <v>50</v>
      </c>
      <c r="D3705" t="s">
        <v>183</v>
      </c>
      <c r="E3705" t="s">
        <v>10</v>
      </c>
      <c r="F3705">
        <v>68.300003051757813</v>
      </c>
    </row>
    <row r="3706" spans="2:6">
      <c r="B3706">
        <v>2014</v>
      </c>
      <c r="C3706" t="s">
        <v>50</v>
      </c>
      <c r="D3706" t="s">
        <v>183</v>
      </c>
      <c r="E3706" t="s">
        <v>11</v>
      </c>
      <c r="F3706">
        <v>0.51887804269790649</v>
      </c>
    </row>
    <row r="3707" spans="2:6">
      <c r="B3707">
        <v>2014</v>
      </c>
      <c r="C3707" t="s">
        <v>50</v>
      </c>
      <c r="D3707" t="s">
        <v>183</v>
      </c>
      <c r="E3707" t="s">
        <v>12</v>
      </c>
      <c r="F3707">
        <v>0.13207980990409851</v>
      </c>
    </row>
    <row r="3708" spans="2:6">
      <c r="B3708">
        <v>2014</v>
      </c>
      <c r="C3708" t="s">
        <v>50</v>
      </c>
      <c r="D3708" t="s">
        <v>183</v>
      </c>
      <c r="E3708" t="s">
        <v>13</v>
      </c>
      <c r="F3708">
        <v>0.91773515939712524</v>
      </c>
    </row>
    <row r="3709" spans="2:6">
      <c r="B3709">
        <v>2014</v>
      </c>
      <c r="C3709" t="s">
        <v>50</v>
      </c>
      <c r="D3709" t="s">
        <v>183</v>
      </c>
      <c r="E3709" t="s">
        <v>14</v>
      </c>
      <c r="F3709">
        <v>0.59617871046066284</v>
      </c>
    </row>
    <row r="3710" spans="2:6">
      <c r="B3710">
        <v>2014</v>
      </c>
      <c r="C3710" t="s">
        <v>50</v>
      </c>
      <c r="D3710" t="s">
        <v>183</v>
      </c>
      <c r="E3710" t="s">
        <v>15</v>
      </c>
      <c r="F3710">
        <v>0.28589510917663574</v>
      </c>
    </row>
    <row r="3711" spans="2:6">
      <c r="B3711">
        <v>2015</v>
      </c>
      <c r="C3711" t="s">
        <v>50</v>
      </c>
      <c r="D3711" t="s">
        <v>183</v>
      </c>
      <c r="E3711" t="s">
        <v>7</v>
      </c>
      <c r="F3711">
        <v>5.2054381370544434</v>
      </c>
    </row>
    <row r="3712" spans="2:6">
      <c r="B3712">
        <v>2015</v>
      </c>
      <c r="C3712" t="s">
        <v>50</v>
      </c>
      <c r="D3712" t="s">
        <v>183</v>
      </c>
      <c r="E3712" t="s">
        <v>8</v>
      </c>
      <c r="F3712">
        <v>10.104363441467285</v>
      </c>
    </row>
    <row r="3713" spans="2:6">
      <c r="B3713">
        <v>2015</v>
      </c>
      <c r="C3713" t="s">
        <v>50</v>
      </c>
      <c r="D3713" t="s">
        <v>183</v>
      </c>
      <c r="E3713" t="s">
        <v>9</v>
      </c>
      <c r="F3713">
        <v>0.76836341619491577</v>
      </c>
    </row>
    <row r="3714" spans="2:6">
      <c r="B3714">
        <v>2015</v>
      </c>
      <c r="C3714" t="s">
        <v>50</v>
      </c>
      <c r="D3714" t="s">
        <v>183</v>
      </c>
      <c r="E3714" t="s">
        <v>10</v>
      </c>
      <c r="F3714">
        <v>68.400001525878906</v>
      </c>
    </row>
    <row r="3715" spans="2:6">
      <c r="B3715">
        <v>2015</v>
      </c>
      <c r="C3715" t="s">
        <v>50</v>
      </c>
      <c r="D3715" t="s">
        <v>183</v>
      </c>
      <c r="E3715" t="s">
        <v>11</v>
      </c>
      <c r="F3715">
        <v>0.69352304935455322</v>
      </c>
    </row>
    <row r="3716" spans="2:6">
      <c r="B3716">
        <v>2015</v>
      </c>
      <c r="C3716" t="s">
        <v>50</v>
      </c>
      <c r="D3716" t="s">
        <v>183</v>
      </c>
      <c r="E3716" t="s">
        <v>12</v>
      </c>
      <c r="F3716">
        <v>-9.64784175157547E-2</v>
      </c>
    </row>
    <row r="3717" spans="2:6">
      <c r="B3717">
        <v>2015</v>
      </c>
      <c r="C3717" t="s">
        <v>50</v>
      </c>
      <c r="D3717" t="s">
        <v>183</v>
      </c>
      <c r="E3717" t="s">
        <v>13</v>
      </c>
      <c r="F3717">
        <v>0.84854555130004883</v>
      </c>
    </row>
    <row r="3718" spans="2:6">
      <c r="B3718">
        <v>2015</v>
      </c>
      <c r="C3718" t="s">
        <v>50</v>
      </c>
      <c r="D3718" t="s">
        <v>183</v>
      </c>
      <c r="E3718" t="s">
        <v>14</v>
      </c>
      <c r="F3718">
        <v>0.60888618230819702</v>
      </c>
    </row>
    <row r="3719" spans="2:6">
      <c r="B3719">
        <v>2015</v>
      </c>
      <c r="C3719" t="s">
        <v>50</v>
      </c>
      <c r="D3719" t="s">
        <v>183</v>
      </c>
      <c r="E3719" t="s">
        <v>15</v>
      </c>
      <c r="F3719">
        <v>0.29401934146881104</v>
      </c>
    </row>
    <row r="3720" spans="2:6">
      <c r="B3720">
        <v>2016</v>
      </c>
      <c r="C3720" t="s">
        <v>50</v>
      </c>
      <c r="D3720" t="s">
        <v>183</v>
      </c>
      <c r="E3720" t="s">
        <v>7</v>
      </c>
      <c r="F3720">
        <v>5.4168753623962402</v>
      </c>
    </row>
    <row r="3721" spans="2:6">
      <c r="B3721">
        <v>2016</v>
      </c>
      <c r="C3721" t="s">
        <v>50</v>
      </c>
      <c r="D3721" t="s">
        <v>183</v>
      </c>
      <c r="E3721" t="s">
        <v>8</v>
      </c>
      <c r="F3721">
        <v>10.145591735839844</v>
      </c>
    </row>
    <row r="3722" spans="2:6">
      <c r="B3722">
        <v>2016</v>
      </c>
      <c r="C3722" t="s">
        <v>50</v>
      </c>
      <c r="D3722" t="s">
        <v>183</v>
      </c>
      <c r="E3722" t="s">
        <v>9</v>
      </c>
      <c r="F3722">
        <v>0.79833215475082397</v>
      </c>
    </row>
    <row r="3723" spans="2:6">
      <c r="B3723">
        <v>2016</v>
      </c>
      <c r="C3723" t="s">
        <v>50</v>
      </c>
      <c r="D3723" t="s">
        <v>183</v>
      </c>
      <c r="E3723" t="s">
        <v>10</v>
      </c>
      <c r="F3723">
        <v>69</v>
      </c>
    </row>
    <row r="3724" spans="2:6">
      <c r="B3724">
        <v>2016</v>
      </c>
      <c r="C3724" t="s">
        <v>50</v>
      </c>
      <c r="D3724" t="s">
        <v>183</v>
      </c>
      <c r="E3724" t="s">
        <v>11</v>
      </c>
      <c r="F3724">
        <v>0.67197054624557495</v>
      </c>
    </row>
    <row r="3725" spans="2:6">
      <c r="B3725">
        <v>2016</v>
      </c>
      <c r="C3725" t="s">
        <v>50</v>
      </c>
      <c r="D3725" t="s">
        <v>183</v>
      </c>
      <c r="E3725" t="s">
        <v>12</v>
      </c>
      <c r="F3725">
        <v>-6.4612023532390594E-2</v>
      </c>
    </row>
    <row r="3726" spans="2:6">
      <c r="B3726">
        <v>2016</v>
      </c>
      <c r="C3726" t="s">
        <v>50</v>
      </c>
      <c r="D3726" t="s">
        <v>183</v>
      </c>
      <c r="E3726" t="s">
        <v>13</v>
      </c>
      <c r="F3726">
        <v>0.88405978679656982</v>
      </c>
    </row>
    <row r="3727" spans="2:6">
      <c r="B3727">
        <v>2016</v>
      </c>
      <c r="C3727" t="s">
        <v>50</v>
      </c>
      <c r="D3727" t="s">
        <v>183</v>
      </c>
      <c r="E3727" t="s">
        <v>14</v>
      </c>
      <c r="F3727">
        <v>0.61368566751480103</v>
      </c>
    </row>
    <row r="3728" spans="2:6">
      <c r="B3728">
        <v>2016</v>
      </c>
      <c r="C3728" t="s">
        <v>50</v>
      </c>
      <c r="D3728" t="s">
        <v>183</v>
      </c>
      <c r="E3728" t="s">
        <v>15</v>
      </c>
      <c r="F3728">
        <v>0.33654126524925232</v>
      </c>
    </row>
    <row r="3729" spans="2:6">
      <c r="B3729">
        <v>2017</v>
      </c>
      <c r="C3729" t="s">
        <v>50</v>
      </c>
      <c r="D3729" t="s">
        <v>183</v>
      </c>
      <c r="E3729" t="s">
        <v>7</v>
      </c>
      <c r="F3729">
        <v>5.3431658744812012</v>
      </c>
    </row>
    <row r="3730" spans="2:6">
      <c r="B3730">
        <v>2017</v>
      </c>
      <c r="C3730" t="s">
        <v>50</v>
      </c>
      <c r="D3730" t="s">
        <v>183</v>
      </c>
      <c r="E3730" t="s">
        <v>8</v>
      </c>
      <c r="F3730">
        <v>10.188506126403809</v>
      </c>
    </row>
    <row r="3731" spans="2:6">
      <c r="B3731">
        <v>2017</v>
      </c>
      <c r="C3731" t="s">
        <v>50</v>
      </c>
      <c r="D3731" t="s">
        <v>183</v>
      </c>
      <c r="E3731" t="s">
        <v>9</v>
      </c>
      <c r="F3731">
        <v>0.7703096866607666</v>
      </c>
    </row>
    <row r="3732" spans="2:6">
      <c r="B3732">
        <v>2017</v>
      </c>
      <c r="C3732" t="s">
        <v>50</v>
      </c>
      <c r="D3732" t="s">
        <v>183</v>
      </c>
      <c r="E3732" t="s">
        <v>10</v>
      </c>
      <c r="F3732">
        <v>69.599998474121094</v>
      </c>
    </row>
    <row r="3733" spans="2:6">
      <c r="B3733">
        <v>2017</v>
      </c>
      <c r="C3733" t="s">
        <v>50</v>
      </c>
      <c r="D3733" t="s">
        <v>183</v>
      </c>
      <c r="E3733" t="s">
        <v>11</v>
      </c>
      <c r="F3733">
        <v>0.71582227945327759</v>
      </c>
    </row>
    <row r="3734" spans="2:6">
      <c r="B3734">
        <v>2017</v>
      </c>
      <c r="C3734" t="s">
        <v>50</v>
      </c>
      <c r="D3734" t="s">
        <v>183</v>
      </c>
      <c r="E3734" t="s">
        <v>12</v>
      </c>
      <c r="F3734">
        <v>-0.10434379428625107</v>
      </c>
    </row>
    <row r="3735" spans="2:6">
      <c r="B3735">
        <v>2017</v>
      </c>
      <c r="C3735" t="s">
        <v>50</v>
      </c>
      <c r="D3735" t="s">
        <v>183</v>
      </c>
      <c r="E3735" t="s">
        <v>13</v>
      </c>
      <c r="F3735">
        <v>0.89155972003936768</v>
      </c>
    </row>
    <row r="3736" spans="2:6">
      <c r="B3736">
        <v>2017</v>
      </c>
      <c r="C3736" t="s">
        <v>50</v>
      </c>
      <c r="D3736" t="s">
        <v>183</v>
      </c>
      <c r="E3736" t="s">
        <v>14</v>
      </c>
      <c r="F3736">
        <v>0.65530502796173096</v>
      </c>
    </row>
    <row r="3737" spans="2:6">
      <c r="B3737">
        <v>2017</v>
      </c>
      <c r="C3737" t="s">
        <v>50</v>
      </c>
      <c r="D3737" t="s">
        <v>183</v>
      </c>
      <c r="E3737" t="s">
        <v>15</v>
      </c>
      <c r="F3737">
        <v>0.31648823618888855</v>
      </c>
    </row>
    <row r="3738" spans="2:6">
      <c r="B3738">
        <v>2018</v>
      </c>
      <c r="C3738" t="s">
        <v>50</v>
      </c>
      <c r="D3738" t="s">
        <v>183</v>
      </c>
      <c r="E3738" t="s">
        <v>7</v>
      </c>
      <c r="F3738">
        <v>5.5362710952758789</v>
      </c>
    </row>
    <row r="3739" spans="2:6">
      <c r="B3739">
        <v>2018</v>
      </c>
      <c r="C3739" t="s">
        <v>50</v>
      </c>
      <c r="D3739" t="s">
        <v>183</v>
      </c>
      <c r="E3739" t="s">
        <v>8</v>
      </c>
      <c r="F3739">
        <v>10.224031448364258</v>
      </c>
    </row>
    <row r="3740" spans="2:6">
      <c r="B3740">
        <v>2018</v>
      </c>
      <c r="C3740" t="s">
        <v>50</v>
      </c>
      <c r="D3740" t="s">
        <v>183</v>
      </c>
      <c r="E3740" t="s">
        <v>9</v>
      </c>
      <c r="F3740">
        <v>0.90980684757232666</v>
      </c>
    </row>
    <row r="3741" spans="2:6">
      <c r="B3741">
        <v>2018</v>
      </c>
      <c r="C3741" t="s">
        <v>50</v>
      </c>
      <c r="D3741" t="s">
        <v>183</v>
      </c>
      <c r="E3741" t="s">
        <v>10</v>
      </c>
      <c r="F3741">
        <v>70.199996948242188</v>
      </c>
    </row>
    <row r="3742" spans="2:6">
      <c r="B3742">
        <v>2018</v>
      </c>
      <c r="C3742" t="s">
        <v>50</v>
      </c>
      <c r="D3742" t="s">
        <v>183</v>
      </c>
      <c r="E3742" t="s">
        <v>11</v>
      </c>
      <c r="F3742">
        <v>0.69085562229156494</v>
      </c>
    </row>
    <row r="3743" spans="2:6">
      <c r="B3743">
        <v>2018</v>
      </c>
      <c r="C3743" t="s">
        <v>50</v>
      </c>
      <c r="D3743" t="s">
        <v>183</v>
      </c>
      <c r="E3743" t="s">
        <v>12</v>
      </c>
      <c r="F3743">
        <v>-0.15074986219406128</v>
      </c>
    </row>
    <row r="3744" spans="2:6">
      <c r="B3744">
        <v>2018</v>
      </c>
      <c r="C3744" t="s">
        <v>50</v>
      </c>
      <c r="D3744" t="s">
        <v>183</v>
      </c>
      <c r="E3744" t="s">
        <v>13</v>
      </c>
      <c r="F3744">
        <v>0.92540830373764038</v>
      </c>
    </row>
    <row r="3745" spans="2:6">
      <c r="B3745">
        <v>2018</v>
      </c>
      <c r="C3745" t="s">
        <v>50</v>
      </c>
      <c r="D3745" t="s">
        <v>183</v>
      </c>
      <c r="E3745" t="s">
        <v>14</v>
      </c>
      <c r="F3745">
        <v>0.58204412460327148</v>
      </c>
    </row>
    <row r="3746" spans="2:6">
      <c r="B3746">
        <v>2018</v>
      </c>
      <c r="C3746" t="s">
        <v>50</v>
      </c>
      <c r="D3746" t="s">
        <v>183</v>
      </c>
      <c r="E3746" t="s">
        <v>15</v>
      </c>
      <c r="F3746">
        <v>0.2903759777545929</v>
      </c>
    </row>
    <row r="3747" spans="2:6">
      <c r="B3747">
        <v>2019</v>
      </c>
      <c r="C3747" t="s">
        <v>50</v>
      </c>
      <c r="D3747" t="s">
        <v>183</v>
      </c>
      <c r="E3747" t="s">
        <v>7</v>
      </c>
      <c r="F3747">
        <v>5.6257438659667969</v>
      </c>
    </row>
    <row r="3748" spans="2:6">
      <c r="B3748">
        <v>2019</v>
      </c>
      <c r="C3748" t="s">
        <v>50</v>
      </c>
      <c r="D3748" t="s">
        <v>183</v>
      </c>
      <c r="E3748" t="s">
        <v>8</v>
      </c>
      <c r="F3748">
        <v>10.25795841217041</v>
      </c>
    </row>
    <row r="3749" spans="2:6">
      <c r="B3749">
        <v>2019</v>
      </c>
      <c r="C3749" t="s">
        <v>50</v>
      </c>
      <c r="D3749" t="s">
        <v>183</v>
      </c>
      <c r="E3749" t="s">
        <v>9</v>
      </c>
      <c r="F3749">
        <v>0.93598872423171997</v>
      </c>
    </row>
    <row r="3750" spans="2:6">
      <c r="B3750">
        <v>2019</v>
      </c>
      <c r="C3750" t="s">
        <v>50</v>
      </c>
      <c r="D3750" t="s">
        <v>183</v>
      </c>
      <c r="E3750" t="s">
        <v>10</v>
      </c>
      <c r="F3750">
        <v>70.800003051757813</v>
      </c>
    </row>
    <row r="3751" spans="2:6">
      <c r="B3751">
        <v>2019</v>
      </c>
      <c r="C3751" t="s">
        <v>50</v>
      </c>
      <c r="D3751" t="s">
        <v>183</v>
      </c>
      <c r="E3751" t="s">
        <v>11</v>
      </c>
      <c r="F3751">
        <v>0.73930060863494873</v>
      </c>
    </row>
    <row r="3752" spans="2:6">
      <c r="B3752">
        <v>2019</v>
      </c>
      <c r="C3752" t="s">
        <v>50</v>
      </c>
      <c r="D3752" t="s">
        <v>183</v>
      </c>
      <c r="E3752" t="s">
        <v>12</v>
      </c>
      <c r="F3752">
        <v>-0.13739271461963654</v>
      </c>
    </row>
    <row r="3753" spans="2:6">
      <c r="B3753">
        <v>2019</v>
      </c>
      <c r="C3753" t="s">
        <v>50</v>
      </c>
      <c r="D3753" t="s">
        <v>183</v>
      </c>
      <c r="E3753" t="s">
        <v>13</v>
      </c>
      <c r="F3753">
        <v>0.93161463737487793</v>
      </c>
    </row>
    <row r="3754" spans="2:6">
      <c r="B3754">
        <v>2019</v>
      </c>
      <c r="C3754" t="s">
        <v>50</v>
      </c>
      <c r="D3754" t="s">
        <v>183</v>
      </c>
      <c r="E3754" t="s">
        <v>14</v>
      </c>
      <c r="F3754">
        <v>0.55068951845169067</v>
      </c>
    </row>
    <row r="3755" spans="2:6">
      <c r="B3755">
        <v>2019</v>
      </c>
      <c r="C3755" t="s">
        <v>50</v>
      </c>
      <c r="D3755" t="s">
        <v>183</v>
      </c>
      <c r="E3755" t="s">
        <v>15</v>
      </c>
      <c r="F3755">
        <v>0.26915451884269714</v>
      </c>
    </row>
    <row r="3756" spans="2:6">
      <c r="B3756">
        <v>2020</v>
      </c>
      <c r="C3756" t="s">
        <v>50</v>
      </c>
      <c r="D3756" t="s">
        <v>183</v>
      </c>
      <c r="E3756" t="s">
        <v>7</v>
      </c>
      <c r="F3756">
        <v>6.5079922676086426</v>
      </c>
    </row>
    <row r="3757" spans="2:6">
      <c r="B3757">
        <v>2020</v>
      </c>
      <c r="C3757" t="s">
        <v>50</v>
      </c>
      <c r="D3757" t="s">
        <v>183</v>
      </c>
      <c r="E3757" t="s">
        <v>8</v>
      </c>
      <c r="F3757">
        <v>10.165817260742188</v>
      </c>
    </row>
    <row r="3758" spans="2:6">
      <c r="B3758">
        <v>2020</v>
      </c>
      <c r="C3758" t="s">
        <v>50</v>
      </c>
      <c r="D3758" t="s">
        <v>183</v>
      </c>
      <c r="E3758" t="s">
        <v>9</v>
      </c>
      <c r="F3758">
        <v>0.92291349172592163</v>
      </c>
    </row>
    <row r="3759" spans="2:6">
      <c r="B3759">
        <v>2020</v>
      </c>
      <c r="C3759" t="s">
        <v>50</v>
      </c>
      <c r="D3759" t="s">
        <v>183</v>
      </c>
      <c r="E3759" t="s">
        <v>10</v>
      </c>
      <c r="F3759">
        <v>71.400001525878906</v>
      </c>
    </row>
    <row r="3760" spans="2:6">
      <c r="B3760">
        <v>2020</v>
      </c>
      <c r="C3760" t="s">
        <v>50</v>
      </c>
      <c r="D3760" t="s">
        <v>183</v>
      </c>
      <c r="E3760" t="s">
        <v>11</v>
      </c>
      <c r="F3760">
        <v>0.83665764331817627</v>
      </c>
    </row>
    <row r="3761" spans="2:6">
      <c r="B3761">
        <v>2020</v>
      </c>
      <c r="C3761" t="s">
        <v>50</v>
      </c>
      <c r="D3761" t="s">
        <v>183</v>
      </c>
      <c r="E3761" t="s">
        <v>12</v>
      </c>
      <c r="F3761">
        <v>-6.296810507774353E-2</v>
      </c>
    </row>
    <row r="3762" spans="2:6">
      <c r="B3762">
        <v>2020</v>
      </c>
      <c r="C3762" t="s">
        <v>50</v>
      </c>
      <c r="D3762" t="s">
        <v>183</v>
      </c>
      <c r="E3762" t="s">
        <v>13</v>
      </c>
      <c r="F3762">
        <v>0.96093928813934326</v>
      </c>
    </row>
    <row r="3763" spans="2:6">
      <c r="B3763">
        <v>2020</v>
      </c>
      <c r="C3763" t="s">
        <v>50</v>
      </c>
      <c r="D3763" t="s">
        <v>183</v>
      </c>
      <c r="E3763" t="s">
        <v>14</v>
      </c>
      <c r="F3763">
        <v>0.74278050661087036</v>
      </c>
    </row>
    <row r="3764" spans="2:6">
      <c r="B3764">
        <v>2020</v>
      </c>
      <c r="C3764" t="s">
        <v>50</v>
      </c>
      <c r="D3764" t="s">
        <v>183</v>
      </c>
      <c r="E3764" t="s">
        <v>15</v>
      </c>
      <c r="F3764">
        <v>0.28560975193977356</v>
      </c>
    </row>
    <row r="3765" spans="2:6">
      <c r="B3765">
        <v>2006</v>
      </c>
      <c r="C3765" t="s">
        <v>51</v>
      </c>
      <c r="D3765" t="s">
        <v>185</v>
      </c>
      <c r="E3765" t="s">
        <v>7</v>
      </c>
      <c r="F3765">
        <v>5.4178686141967773</v>
      </c>
    </row>
    <row r="3766" spans="2:6">
      <c r="B3766">
        <v>2006</v>
      </c>
      <c r="C3766" t="s">
        <v>51</v>
      </c>
      <c r="D3766" t="s">
        <v>185</v>
      </c>
      <c r="E3766" t="s">
        <v>9</v>
      </c>
      <c r="F3766">
        <v>0.96959513425827026</v>
      </c>
    </row>
    <row r="3767" spans="2:6">
      <c r="B3767">
        <v>2006</v>
      </c>
      <c r="C3767" t="s">
        <v>51</v>
      </c>
      <c r="D3767" t="s">
        <v>185</v>
      </c>
      <c r="E3767" t="s">
        <v>10</v>
      </c>
      <c r="F3767">
        <v>68.44000244140625</v>
      </c>
    </row>
    <row r="3768" spans="2:6">
      <c r="B3768">
        <v>2006</v>
      </c>
      <c r="C3768" t="s">
        <v>51</v>
      </c>
      <c r="D3768" t="s">
        <v>185</v>
      </c>
      <c r="E3768" t="s">
        <v>11</v>
      </c>
      <c r="F3768">
        <v>0.28145793080329895</v>
      </c>
    </row>
    <row r="3769" spans="2:6">
      <c r="B3769">
        <v>2006</v>
      </c>
      <c r="C3769" t="s">
        <v>51</v>
      </c>
      <c r="D3769" t="s">
        <v>185</v>
      </c>
      <c r="E3769" t="s">
        <v>14</v>
      </c>
      <c r="F3769">
        <v>0.64671176671981812</v>
      </c>
    </row>
    <row r="3770" spans="2:6">
      <c r="B3770">
        <v>2006</v>
      </c>
      <c r="C3770" t="s">
        <v>51</v>
      </c>
      <c r="D3770" t="s">
        <v>185</v>
      </c>
      <c r="E3770" t="s">
        <v>15</v>
      </c>
      <c r="F3770">
        <v>0.27660152316093445</v>
      </c>
    </row>
    <row r="3771" spans="2:6">
      <c r="B3771">
        <v>2006</v>
      </c>
      <c r="C3771" t="s">
        <v>52</v>
      </c>
      <c r="D3771" t="s">
        <v>183</v>
      </c>
      <c r="E3771" t="s">
        <v>7</v>
      </c>
      <c r="F3771">
        <v>6.2379584312438965</v>
      </c>
    </row>
    <row r="3772" spans="2:6">
      <c r="B3772">
        <v>2006</v>
      </c>
      <c r="C3772" t="s">
        <v>52</v>
      </c>
      <c r="D3772" t="s">
        <v>183</v>
      </c>
      <c r="E3772" t="s">
        <v>8</v>
      </c>
      <c r="F3772">
        <v>10.56556510925293</v>
      </c>
    </row>
    <row r="3773" spans="2:6">
      <c r="B3773">
        <v>2006</v>
      </c>
      <c r="C3773" t="s">
        <v>52</v>
      </c>
      <c r="D3773" t="s">
        <v>183</v>
      </c>
      <c r="E3773" t="s">
        <v>9</v>
      </c>
      <c r="F3773">
        <v>0.87820106744766235</v>
      </c>
    </row>
    <row r="3774" spans="2:6">
      <c r="B3774">
        <v>2006</v>
      </c>
      <c r="C3774" t="s">
        <v>52</v>
      </c>
      <c r="D3774" t="s">
        <v>183</v>
      </c>
      <c r="E3774" t="s">
        <v>10</v>
      </c>
      <c r="F3774">
        <v>71.44000244140625</v>
      </c>
    </row>
    <row r="3775" spans="2:6">
      <c r="B3775">
        <v>2006</v>
      </c>
      <c r="C3775" t="s">
        <v>52</v>
      </c>
      <c r="D3775" t="s">
        <v>183</v>
      </c>
      <c r="E3775" t="s">
        <v>11</v>
      </c>
      <c r="F3775">
        <v>0.83610117435455322</v>
      </c>
    </row>
    <row r="3776" spans="2:6">
      <c r="B3776">
        <v>2006</v>
      </c>
      <c r="C3776" t="s">
        <v>52</v>
      </c>
      <c r="D3776" t="s">
        <v>183</v>
      </c>
      <c r="E3776" t="s">
        <v>12</v>
      </c>
      <c r="F3776">
        <v>1.8174579367041588E-2</v>
      </c>
    </row>
    <row r="3777" spans="2:6">
      <c r="B3777">
        <v>2006</v>
      </c>
      <c r="C3777" t="s">
        <v>52</v>
      </c>
      <c r="D3777" t="s">
        <v>183</v>
      </c>
      <c r="E3777" t="s">
        <v>13</v>
      </c>
      <c r="F3777">
        <v>0.71246892213821411</v>
      </c>
    </row>
    <row r="3778" spans="2:6">
      <c r="B3778">
        <v>2006</v>
      </c>
      <c r="C3778" t="s">
        <v>52</v>
      </c>
      <c r="D3778" t="s">
        <v>183</v>
      </c>
      <c r="E3778" t="s">
        <v>14</v>
      </c>
      <c r="F3778">
        <v>0.82941251993179321</v>
      </c>
    </row>
    <row r="3779" spans="2:6">
      <c r="B3779">
        <v>2006</v>
      </c>
      <c r="C3779" t="s">
        <v>52</v>
      </c>
      <c r="D3779" t="s">
        <v>183</v>
      </c>
      <c r="E3779" t="s">
        <v>15</v>
      </c>
      <c r="F3779">
        <v>0.25321221351623535</v>
      </c>
    </row>
    <row r="3780" spans="2:6">
      <c r="B3780">
        <v>2009</v>
      </c>
      <c r="C3780" t="s">
        <v>52</v>
      </c>
      <c r="D3780" t="s">
        <v>183</v>
      </c>
      <c r="E3780" t="s">
        <v>7</v>
      </c>
      <c r="F3780">
        <v>6.8334774971008301</v>
      </c>
    </row>
    <row r="3781" spans="2:6">
      <c r="B3781">
        <v>2009</v>
      </c>
      <c r="C3781" t="s">
        <v>52</v>
      </c>
      <c r="D3781" t="s">
        <v>183</v>
      </c>
      <c r="E3781" t="s">
        <v>8</v>
      </c>
      <c r="F3781">
        <v>10.557502746582031</v>
      </c>
    </row>
    <row r="3782" spans="2:6">
      <c r="B3782">
        <v>2009</v>
      </c>
      <c r="C3782" t="s">
        <v>52</v>
      </c>
      <c r="D3782" t="s">
        <v>183</v>
      </c>
      <c r="E3782" t="s">
        <v>9</v>
      </c>
      <c r="F3782">
        <v>0.81173610687255859</v>
      </c>
    </row>
    <row r="3783" spans="2:6">
      <c r="B3783">
        <v>2009</v>
      </c>
      <c r="C3783" t="s">
        <v>52</v>
      </c>
      <c r="D3783" t="s">
        <v>183</v>
      </c>
      <c r="E3783" t="s">
        <v>10</v>
      </c>
      <c r="F3783">
        <v>72.160003662109375</v>
      </c>
    </row>
    <row r="3784" spans="2:6">
      <c r="B3784">
        <v>2009</v>
      </c>
      <c r="C3784" t="s">
        <v>52</v>
      </c>
      <c r="D3784" t="s">
        <v>183</v>
      </c>
      <c r="E3784" t="s">
        <v>11</v>
      </c>
      <c r="F3784">
        <v>0.77459067106246948</v>
      </c>
    </row>
    <row r="3785" spans="2:6">
      <c r="B3785">
        <v>2009</v>
      </c>
      <c r="C3785" t="s">
        <v>52</v>
      </c>
      <c r="D3785" t="s">
        <v>183</v>
      </c>
      <c r="E3785" t="s">
        <v>12</v>
      </c>
      <c r="F3785">
        <v>5.4318379610776901E-2</v>
      </c>
    </row>
    <row r="3786" spans="2:6">
      <c r="B3786">
        <v>2009</v>
      </c>
      <c r="C3786" t="s">
        <v>52</v>
      </c>
      <c r="D3786" t="s">
        <v>183</v>
      </c>
      <c r="E3786" t="s">
        <v>13</v>
      </c>
      <c r="F3786">
        <v>0.80142360925674438</v>
      </c>
    </row>
    <row r="3787" spans="2:6">
      <c r="B3787">
        <v>2009</v>
      </c>
      <c r="C3787" t="s">
        <v>52</v>
      </c>
      <c r="D3787" t="s">
        <v>183</v>
      </c>
      <c r="E3787" t="s">
        <v>14</v>
      </c>
      <c r="F3787">
        <v>0.74621307849884033</v>
      </c>
    </row>
    <row r="3788" spans="2:6">
      <c r="B3788">
        <v>2009</v>
      </c>
      <c r="C3788" t="s">
        <v>52</v>
      </c>
      <c r="D3788" t="s">
        <v>183</v>
      </c>
      <c r="E3788" t="s">
        <v>15</v>
      </c>
      <c r="F3788">
        <v>0.32930794358253479</v>
      </c>
    </row>
    <row r="3789" spans="2:6">
      <c r="B3789">
        <v>2010</v>
      </c>
      <c r="C3789" t="s">
        <v>52</v>
      </c>
      <c r="D3789" t="s">
        <v>183</v>
      </c>
      <c r="E3789" t="s">
        <v>7</v>
      </c>
      <c r="F3789">
        <v>6.3865461349487305</v>
      </c>
    </row>
    <row r="3790" spans="2:6">
      <c r="B3790">
        <v>2010</v>
      </c>
      <c r="C3790" t="s">
        <v>52</v>
      </c>
      <c r="D3790" t="s">
        <v>183</v>
      </c>
      <c r="E3790" t="s">
        <v>8</v>
      </c>
      <c r="F3790">
        <v>10.551297187805176</v>
      </c>
    </row>
    <row r="3791" spans="2:6">
      <c r="B3791">
        <v>2010</v>
      </c>
      <c r="C3791" t="s">
        <v>52</v>
      </c>
      <c r="D3791" t="s">
        <v>183</v>
      </c>
      <c r="E3791" t="s">
        <v>9</v>
      </c>
      <c r="F3791">
        <v>0.82212370634078979</v>
      </c>
    </row>
    <row r="3792" spans="2:6">
      <c r="B3792">
        <v>2010</v>
      </c>
      <c r="C3792" t="s">
        <v>52</v>
      </c>
      <c r="D3792" t="s">
        <v>183</v>
      </c>
      <c r="E3792" t="s">
        <v>10</v>
      </c>
      <c r="F3792">
        <v>72.400001525878906</v>
      </c>
    </row>
    <row r="3793" spans="2:6">
      <c r="B3793">
        <v>2010</v>
      </c>
      <c r="C3793" t="s">
        <v>52</v>
      </c>
      <c r="D3793" t="s">
        <v>183</v>
      </c>
      <c r="E3793" t="s">
        <v>11</v>
      </c>
      <c r="F3793">
        <v>0.75536280870437622</v>
      </c>
    </row>
    <row r="3794" spans="2:6">
      <c r="B3794">
        <v>2010</v>
      </c>
      <c r="C3794" t="s">
        <v>52</v>
      </c>
      <c r="D3794" t="s">
        <v>183</v>
      </c>
      <c r="E3794" t="s">
        <v>12</v>
      </c>
      <c r="F3794">
        <v>7.2532564401626587E-2</v>
      </c>
    </row>
    <row r="3795" spans="2:6">
      <c r="B3795">
        <v>2010</v>
      </c>
      <c r="C3795" t="s">
        <v>52</v>
      </c>
      <c r="D3795" t="s">
        <v>183</v>
      </c>
      <c r="E3795" t="s">
        <v>13</v>
      </c>
      <c r="F3795">
        <v>0.83342701196670532</v>
      </c>
    </row>
    <row r="3796" spans="2:6">
      <c r="B3796">
        <v>2010</v>
      </c>
      <c r="C3796" t="s">
        <v>52</v>
      </c>
      <c r="D3796" t="s">
        <v>183</v>
      </c>
      <c r="E3796" t="s">
        <v>14</v>
      </c>
      <c r="F3796">
        <v>0.78611147403717041</v>
      </c>
    </row>
    <row r="3797" spans="2:6">
      <c r="B3797">
        <v>2010</v>
      </c>
      <c r="C3797" t="s">
        <v>52</v>
      </c>
      <c r="D3797" t="s">
        <v>183</v>
      </c>
      <c r="E3797" t="s">
        <v>15</v>
      </c>
      <c r="F3797">
        <v>0.29570585489273071</v>
      </c>
    </row>
    <row r="3798" spans="2:6">
      <c r="B3798">
        <v>2011</v>
      </c>
      <c r="C3798" t="s">
        <v>52</v>
      </c>
      <c r="D3798" t="s">
        <v>183</v>
      </c>
      <c r="E3798" t="s">
        <v>7</v>
      </c>
      <c r="F3798">
        <v>6.6896085739135742</v>
      </c>
    </row>
    <row r="3799" spans="2:6">
      <c r="B3799">
        <v>2011</v>
      </c>
      <c r="C3799" t="s">
        <v>52</v>
      </c>
      <c r="D3799" t="s">
        <v>183</v>
      </c>
      <c r="E3799" t="s">
        <v>8</v>
      </c>
      <c r="F3799">
        <v>10.529788970947266</v>
      </c>
    </row>
    <row r="3800" spans="2:6">
      <c r="B3800">
        <v>2011</v>
      </c>
      <c r="C3800" t="s">
        <v>52</v>
      </c>
      <c r="D3800" t="s">
        <v>183</v>
      </c>
      <c r="E3800" t="s">
        <v>9</v>
      </c>
      <c r="F3800">
        <v>0.84365451335906982</v>
      </c>
    </row>
    <row r="3801" spans="2:6">
      <c r="B3801">
        <v>2011</v>
      </c>
      <c r="C3801" t="s">
        <v>52</v>
      </c>
      <c r="D3801" t="s">
        <v>183</v>
      </c>
      <c r="E3801" t="s">
        <v>10</v>
      </c>
      <c r="F3801">
        <v>72.540000915527344</v>
      </c>
    </row>
    <row r="3802" spans="2:6">
      <c r="B3802">
        <v>2011</v>
      </c>
      <c r="C3802" t="s">
        <v>52</v>
      </c>
      <c r="D3802" t="s">
        <v>183</v>
      </c>
      <c r="E3802" t="s">
        <v>11</v>
      </c>
      <c r="F3802">
        <v>0.7454688549041748</v>
      </c>
    </row>
    <row r="3803" spans="2:6">
      <c r="B3803">
        <v>2011</v>
      </c>
      <c r="C3803" t="s">
        <v>52</v>
      </c>
      <c r="D3803" t="s">
        <v>183</v>
      </c>
      <c r="E3803" t="s">
        <v>12</v>
      </c>
      <c r="F3803">
        <v>0.17963440716266632</v>
      </c>
    </row>
    <row r="3804" spans="2:6">
      <c r="B3804">
        <v>2011</v>
      </c>
      <c r="C3804" t="s">
        <v>52</v>
      </c>
      <c r="D3804" t="s">
        <v>183</v>
      </c>
      <c r="E3804" t="s">
        <v>13</v>
      </c>
      <c r="F3804">
        <v>0.84067648649215698</v>
      </c>
    </row>
    <row r="3805" spans="2:6">
      <c r="B3805">
        <v>2011</v>
      </c>
      <c r="C3805" t="s">
        <v>52</v>
      </c>
      <c r="D3805" t="s">
        <v>183</v>
      </c>
      <c r="E3805" t="s">
        <v>14</v>
      </c>
      <c r="F3805">
        <v>0.76307427883148193</v>
      </c>
    </row>
    <row r="3806" spans="2:6">
      <c r="B3806">
        <v>2011</v>
      </c>
      <c r="C3806" t="s">
        <v>52</v>
      </c>
      <c r="D3806" t="s">
        <v>183</v>
      </c>
      <c r="E3806" t="s">
        <v>15</v>
      </c>
      <c r="F3806">
        <v>0.27229958772659302</v>
      </c>
    </row>
    <row r="3807" spans="2:6">
      <c r="B3807">
        <v>2012</v>
      </c>
      <c r="C3807" t="s">
        <v>52</v>
      </c>
      <c r="D3807" t="s">
        <v>183</v>
      </c>
      <c r="E3807" t="s">
        <v>7</v>
      </c>
      <c r="F3807">
        <v>6.1805071830749512</v>
      </c>
    </row>
    <row r="3808" spans="2:6">
      <c r="B3808">
        <v>2012</v>
      </c>
      <c r="C3808" t="s">
        <v>52</v>
      </c>
      <c r="D3808" t="s">
        <v>183</v>
      </c>
      <c r="E3808" t="s">
        <v>8</v>
      </c>
      <c r="F3808">
        <v>10.479475975036621</v>
      </c>
    </row>
    <row r="3809" spans="2:6">
      <c r="B3809">
        <v>2012</v>
      </c>
      <c r="C3809" t="s">
        <v>52</v>
      </c>
      <c r="D3809" t="s">
        <v>183</v>
      </c>
      <c r="E3809" t="s">
        <v>9</v>
      </c>
      <c r="F3809">
        <v>0.76717710494995117</v>
      </c>
    </row>
    <row r="3810" spans="2:6">
      <c r="B3810">
        <v>2012</v>
      </c>
      <c r="C3810" t="s">
        <v>52</v>
      </c>
      <c r="D3810" t="s">
        <v>183</v>
      </c>
      <c r="E3810" t="s">
        <v>10</v>
      </c>
      <c r="F3810">
        <v>72.680000305175781</v>
      </c>
    </row>
    <row r="3811" spans="2:6">
      <c r="B3811">
        <v>2012</v>
      </c>
      <c r="C3811" t="s">
        <v>52</v>
      </c>
      <c r="D3811" t="s">
        <v>183</v>
      </c>
      <c r="E3811" t="s">
        <v>11</v>
      </c>
      <c r="F3811">
        <v>0.72462958097457886</v>
      </c>
    </row>
    <row r="3812" spans="2:6">
      <c r="B3812">
        <v>2012</v>
      </c>
      <c r="C3812" t="s">
        <v>52</v>
      </c>
      <c r="D3812" t="s">
        <v>183</v>
      </c>
      <c r="E3812" t="s">
        <v>12</v>
      </c>
      <c r="F3812">
        <v>9.8051920533180237E-2</v>
      </c>
    </row>
    <row r="3813" spans="2:6">
      <c r="B3813">
        <v>2012</v>
      </c>
      <c r="C3813" t="s">
        <v>52</v>
      </c>
      <c r="D3813" t="s">
        <v>183</v>
      </c>
      <c r="E3813" t="s">
        <v>13</v>
      </c>
      <c r="F3813">
        <v>0.87069171667098999</v>
      </c>
    </row>
    <row r="3814" spans="2:6">
      <c r="B3814">
        <v>2012</v>
      </c>
      <c r="C3814" t="s">
        <v>52</v>
      </c>
      <c r="D3814" t="s">
        <v>183</v>
      </c>
      <c r="E3814" t="s">
        <v>14</v>
      </c>
      <c r="F3814">
        <v>0.75531685352325439</v>
      </c>
    </row>
    <row r="3815" spans="2:6">
      <c r="B3815">
        <v>2012</v>
      </c>
      <c r="C3815" t="s">
        <v>52</v>
      </c>
      <c r="D3815" t="s">
        <v>183</v>
      </c>
      <c r="E3815" t="s">
        <v>15</v>
      </c>
      <c r="F3815">
        <v>0.36863291263580322</v>
      </c>
    </row>
    <row r="3816" spans="2:6">
      <c r="B3816">
        <v>2013</v>
      </c>
      <c r="C3816" t="s">
        <v>52</v>
      </c>
      <c r="D3816" t="s">
        <v>183</v>
      </c>
      <c r="E3816" t="s">
        <v>7</v>
      </c>
      <c r="F3816">
        <v>5.4389524459838867</v>
      </c>
    </row>
    <row r="3817" spans="2:6">
      <c r="B3817">
        <v>2013</v>
      </c>
      <c r="C3817" t="s">
        <v>52</v>
      </c>
      <c r="D3817" t="s">
        <v>183</v>
      </c>
      <c r="E3817" t="s">
        <v>8</v>
      </c>
      <c r="F3817">
        <v>10.414024353027344</v>
      </c>
    </row>
    <row r="3818" spans="2:6">
      <c r="B3818">
        <v>2013</v>
      </c>
      <c r="C3818" t="s">
        <v>52</v>
      </c>
      <c r="D3818" t="s">
        <v>183</v>
      </c>
      <c r="E3818" t="s">
        <v>9</v>
      </c>
      <c r="F3818">
        <v>0.74403208494186401</v>
      </c>
    </row>
    <row r="3819" spans="2:6">
      <c r="B3819">
        <v>2013</v>
      </c>
      <c r="C3819" t="s">
        <v>52</v>
      </c>
      <c r="D3819" t="s">
        <v>183</v>
      </c>
      <c r="E3819" t="s">
        <v>10</v>
      </c>
      <c r="F3819">
        <v>72.819999694824219</v>
      </c>
    </row>
    <row r="3820" spans="2:6">
      <c r="B3820">
        <v>2013</v>
      </c>
      <c r="C3820" t="s">
        <v>52</v>
      </c>
      <c r="D3820" t="s">
        <v>183</v>
      </c>
      <c r="E3820" t="s">
        <v>11</v>
      </c>
      <c r="F3820">
        <v>0.65626794099807739</v>
      </c>
    </row>
    <row r="3821" spans="2:6">
      <c r="B3821">
        <v>2013</v>
      </c>
      <c r="C3821" t="s">
        <v>52</v>
      </c>
      <c r="D3821" t="s">
        <v>183</v>
      </c>
      <c r="E3821" t="s">
        <v>12</v>
      </c>
      <c r="F3821">
        <v>0.10191962867975235</v>
      </c>
    </row>
    <row r="3822" spans="2:6">
      <c r="B3822">
        <v>2013</v>
      </c>
      <c r="C3822" t="s">
        <v>52</v>
      </c>
      <c r="D3822" t="s">
        <v>183</v>
      </c>
      <c r="E3822" t="s">
        <v>13</v>
      </c>
      <c r="F3822">
        <v>0.86731046438217163</v>
      </c>
    </row>
    <row r="3823" spans="2:6">
      <c r="B3823">
        <v>2013</v>
      </c>
      <c r="C3823" t="s">
        <v>52</v>
      </c>
      <c r="D3823" t="s">
        <v>183</v>
      </c>
      <c r="E3823" t="s">
        <v>14</v>
      </c>
      <c r="F3823">
        <v>0.74781161546707153</v>
      </c>
    </row>
    <row r="3824" spans="2:6">
      <c r="B3824">
        <v>2013</v>
      </c>
      <c r="C3824" t="s">
        <v>52</v>
      </c>
      <c r="D3824" t="s">
        <v>183</v>
      </c>
      <c r="E3824" t="s">
        <v>15</v>
      </c>
      <c r="F3824">
        <v>0.42025870084762573</v>
      </c>
    </row>
    <row r="3825" spans="2:6">
      <c r="B3825">
        <v>2014</v>
      </c>
      <c r="C3825" t="s">
        <v>52</v>
      </c>
      <c r="D3825" t="s">
        <v>183</v>
      </c>
      <c r="E3825" t="s">
        <v>7</v>
      </c>
      <c r="F3825">
        <v>5.6271238327026367</v>
      </c>
    </row>
    <row r="3826" spans="2:6">
      <c r="B3826">
        <v>2014</v>
      </c>
      <c r="C3826" t="s">
        <v>52</v>
      </c>
      <c r="D3826" t="s">
        <v>183</v>
      </c>
      <c r="E3826" t="s">
        <v>8</v>
      </c>
      <c r="F3826">
        <v>10.406217575073242</v>
      </c>
    </row>
    <row r="3827" spans="2:6">
      <c r="B3827">
        <v>2014</v>
      </c>
      <c r="C3827" t="s">
        <v>52</v>
      </c>
      <c r="D3827" t="s">
        <v>183</v>
      </c>
      <c r="E3827" t="s">
        <v>9</v>
      </c>
      <c r="F3827">
        <v>0.7701759934425354</v>
      </c>
    </row>
    <row r="3828" spans="2:6">
      <c r="B3828">
        <v>2014</v>
      </c>
      <c r="C3828" t="s">
        <v>52</v>
      </c>
      <c r="D3828" t="s">
        <v>183</v>
      </c>
      <c r="E3828" t="s">
        <v>10</v>
      </c>
      <c r="F3828">
        <v>72.959999084472656</v>
      </c>
    </row>
    <row r="3829" spans="2:6">
      <c r="B3829">
        <v>2014</v>
      </c>
      <c r="C3829" t="s">
        <v>52</v>
      </c>
      <c r="D3829" t="s">
        <v>183</v>
      </c>
      <c r="E3829" t="s">
        <v>11</v>
      </c>
      <c r="F3829">
        <v>0.71506565809249878</v>
      </c>
    </row>
    <row r="3830" spans="2:6">
      <c r="B3830">
        <v>2014</v>
      </c>
      <c r="C3830" t="s">
        <v>52</v>
      </c>
      <c r="D3830" t="s">
        <v>183</v>
      </c>
      <c r="E3830" t="s">
        <v>12</v>
      </c>
      <c r="F3830">
        <v>5.9810332953929901E-2</v>
      </c>
    </row>
    <row r="3831" spans="2:6">
      <c r="B3831">
        <v>2014</v>
      </c>
      <c r="C3831" t="s">
        <v>52</v>
      </c>
      <c r="D3831" t="s">
        <v>183</v>
      </c>
      <c r="E3831" t="s">
        <v>13</v>
      </c>
      <c r="F3831">
        <v>0.86823755502700806</v>
      </c>
    </row>
    <row r="3832" spans="2:6">
      <c r="B3832">
        <v>2014</v>
      </c>
      <c r="C3832" t="s">
        <v>52</v>
      </c>
      <c r="D3832" t="s">
        <v>183</v>
      </c>
      <c r="E3832" t="s">
        <v>14</v>
      </c>
      <c r="F3832">
        <v>0.73728412389755249</v>
      </c>
    </row>
    <row r="3833" spans="2:6">
      <c r="B3833">
        <v>2014</v>
      </c>
      <c r="C3833" t="s">
        <v>52</v>
      </c>
      <c r="D3833" t="s">
        <v>183</v>
      </c>
      <c r="E3833" t="s">
        <v>15</v>
      </c>
      <c r="F3833">
        <v>0.39717298746109009</v>
      </c>
    </row>
    <row r="3834" spans="2:6">
      <c r="B3834">
        <v>2015</v>
      </c>
      <c r="C3834" t="s">
        <v>52</v>
      </c>
      <c r="D3834" t="s">
        <v>183</v>
      </c>
      <c r="E3834" t="s">
        <v>7</v>
      </c>
      <c r="F3834">
        <v>5.4391613006591797</v>
      </c>
    </row>
    <row r="3835" spans="2:6">
      <c r="B3835">
        <v>2015</v>
      </c>
      <c r="C3835" t="s">
        <v>52</v>
      </c>
      <c r="D3835" t="s">
        <v>183</v>
      </c>
      <c r="E3835" t="s">
        <v>8</v>
      </c>
      <c r="F3835">
        <v>10.445100784301758</v>
      </c>
    </row>
    <row r="3836" spans="2:6">
      <c r="B3836">
        <v>2015</v>
      </c>
      <c r="C3836" t="s">
        <v>52</v>
      </c>
      <c r="D3836" t="s">
        <v>183</v>
      </c>
      <c r="E3836" t="s">
        <v>9</v>
      </c>
      <c r="F3836">
        <v>0.76955610513687134</v>
      </c>
    </row>
    <row r="3837" spans="2:6">
      <c r="B3837">
        <v>2015</v>
      </c>
      <c r="C3837" t="s">
        <v>52</v>
      </c>
      <c r="D3837" t="s">
        <v>183</v>
      </c>
      <c r="E3837" t="s">
        <v>10</v>
      </c>
      <c r="F3837">
        <v>73.099998474121094</v>
      </c>
    </row>
    <row r="3838" spans="2:6">
      <c r="B3838">
        <v>2015</v>
      </c>
      <c r="C3838" t="s">
        <v>52</v>
      </c>
      <c r="D3838" t="s">
        <v>183</v>
      </c>
      <c r="E3838" t="s">
        <v>11</v>
      </c>
      <c r="F3838">
        <v>0.62803483009338379</v>
      </c>
    </row>
    <row r="3839" spans="2:6">
      <c r="B3839">
        <v>2015</v>
      </c>
      <c r="C3839" t="s">
        <v>52</v>
      </c>
      <c r="D3839" t="s">
        <v>183</v>
      </c>
      <c r="E3839" t="s">
        <v>12</v>
      </c>
      <c r="F3839">
        <v>0.11379989981651306</v>
      </c>
    </row>
    <row r="3840" spans="2:6">
      <c r="B3840">
        <v>2015</v>
      </c>
      <c r="C3840" t="s">
        <v>52</v>
      </c>
      <c r="D3840" t="s">
        <v>183</v>
      </c>
      <c r="E3840" t="s">
        <v>13</v>
      </c>
      <c r="F3840">
        <v>0.8927951455116272</v>
      </c>
    </row>
    <row r="3841" spans="2:6">
      <c r="B3841">
        <v>2015</v>
      </c>
      <c r="C3841" t="s">
        <v>52</v>
      </c>
      <c r="D3841" t="s">
        <v>183</v>
      </c>
      <c r="E3841" t="s">
        <v>14</v>
      </c>
      <c r="F3841">
        <v>0.74673008918762207</v>
      </c>
    </row>
    <row r="3842" spans="2:6">
      <c r="B3842">
        <v>2015</v>
      </c>
      <c r="C3842" t="s">
        <v>52</v>
      </c>
      <c r="D3842" t="s">
        <v>183</v>
      </c>
      <c r="E3842" t="s">
        <v>15</v>
      </c>
      <c r="F3842">
        <v>0.38310641050338745</v>
      </c>
    </row>
    <row r="3843" spans="2:6">
      <c r="B3843">
        <v>2016</v>
      </c>
      <c r="C3843" t="s">
        <v>52</v>
      </c>
      <c r="D3843" t="s">
        <v>183</v>
      </c>
      <c r="E3843" t="s">
        <v>7</v>
      </c>
      <c r="F3843">
        <v>5.7946186065673828</v>
      </c>
    </row>
    <row r="3844" spans="2:6">
      <c r="B3844">
        <v>2016</v>
      </c>
      <c r="C3844" t="s">
        <v>52</v>
      </c>
      <c r="D3844" t="s">
        <v>183</v>
      </c>
      <c r="E3844" t="s">
        <v>8</v>
      </c>
      <c r="F3844">
        <v>10.505802154541016</v>
      </c>
    </row>
    <row r="3845" spans="2:6">
      <c r="B3845">
        <v>2016</v>
      </c>
      <c r="C3845" t="s">
        <v>52</v>
      </c>
      <c r="D3845" t="s">
        <v>183</v>
      </c>
      <c r="E3845" t="s">
        <v>9</v>
      </c>
      <c r="F3845">
        <v>0.7864384651184082</v>
      </c>
    </row>
    <row r="3846" spans="2:6">
      <c r="B3846">
        <v>2016</v>
      </c>
      <c r="C3846" t="s">
        <v>52</v>
      </c>
      <c r="D3846" t="s">
        <v>183</v>
      </c>
      <c r="E3846" t="s">
        <v>10</v>
      </c>
      <c r="F3846">
        <v>73.300003051757813</v>
      </c>
    </row>
    <row r="3847" spans="2:6">
      <c r="B3847">
        <v>2016</v>
      </c>
      <c r="C3847" t="s">
        <v>52</v>
      </c>
      <c r="D3847" t="s">
        <v>183</v>
      </c>
      <c r="E3847" t="s">
        <v>11</v>
      </c>
      <c r="F3847">
        <v>0.75622099637985229</v>
      </c>
    </row>
    <row r="3848" spans="2:6">
      <c r="B3848">
        <v>2016</v>
      </c>
      <c r="C3848" t="s">
        <v>52</v>
      </c>
      <c r="D3848" t="s">
        <v>183</v>
      </c>
      <c r="E3848" t="s">
        <v>12</v>
      </c>
      <c r="F3848">
        <v>-3.0234199017286301E-2</v>
      </c>
    </row>
    <row r="3849" spans="2:6">
      <c r="B3849">
        <v>2016</v>
      </c>
      <c r="C3849" t="s">
        <v>52</v>
      </c>
      <c r="D3849" t="s">
        <v>183</v>
      </c>
      <c r="E3849" t="s">
        <v>13</v>
      </c>
      <c r="F3849">
        <v>0.89763951301574707</v>
      </c>
    </row>
    <row r="3850" spans="2:6">
      <c r="B3850">
        <v>2016</v>
      </c>
      <c r="C3850" t="s">
        <v>52</v>
      </c>
      <c r="D3850" t="s">
        <v>183</v>
      </c>
      <c r="E3850" t="s">
        <v>14</v>
      </c>
      <c r="F3850">
        <v>0.74204939603805542</v>
      </c>
    </row>
    <row r="3851" spans="2:6">
      <c r="B3851">
        <v>2016</v>
      </c>
      <c r="C3851" t="s">
        <v>52</v>
      </c>
      <c r="D3851" t="s">
        <v>183</v>
      </c>
      <c r="E3851" t="s">
        <v>15</v>
      </c>
      <c r="F3851">
        <v>0.33634468913078308</v>
      </c>
    </row>
    <row r="3852" spans="2:6">
      <c r="B3852">
        <v>2017</v>
      </c>
      <c r="C3852" t="s">
        <v>52</v>
      </c>
      <c r="D3852" t="s">
        <v>183</v>
      </c>
      <c r="E3852" t="s">
        <v>7</v>
      </c>
      <c r="F3852">
        <v>6.0620512962341309</v>
      </c>
    </row>
    <row r="3853" spans="2:6">
      <c r="B3853">
        <v>2017</v>
      </c>
      <c r="C3853" t="s">
        <v>52</v>
      </c>
      <c r="D3853" t="s">
        <v>183</v>
      </c>
      <c r="E3853" t="s">
        <v>8</v>
      </c>
      <c r="F3853">
        <v>10.539188385009766</v>
      </c>
    </row>
    <row r="3854" spans="2:6">
      <c r="B3854">
        <v>2017</v>
      </c>
      <c r="C3854" t="s">
        <v>52</v>
      </c>
      <c r="D3854" t="s">
        <v>183</v>
      </c>
      <c r="E3854" t="s">
        <v>9</v>
      </c>
      <c r="F3854">
        <v>0.81867104768753052</v>
      </c>
    </row>
    <row r="3855" spans="2:6">
      <c r="B3855">
        <v>2017</v>
      </c>
      <c r="C3855" t="s">
        <v>52</v>
      </c>
      <c r="D3855" t="s">
        <v>183</v>
      </c>
      <c r="E3855" t="s">
        <v>10</v>
      </c>
      <c r="F3855">
        <v>73.5</v>
      </c>
    </row>
    <row r="3856" spans="2:6">
      <c r="B3856">
        <v>2017</v>
      </c>
      <c r="C3856" t="s">
        <v>52</v>
      </c>
      <c r="D3856" t="s">
        <v>183</v>
      </c>
      <c r="E3856" t="s">
        <v>11</v>
      </c>
      <c r="F3856">
        <v>0.81167066097259521</v>
      </c>
    </row>
    <row r="3857" spans="2:6">
      <c r="B3857">
        <v>2017</v>
      </c>
      <c r="C3857" t="s">
        <v>52</v>
      </c>
      <c r="D3857" t="s">
        <v>183</v>
      </c>
      <c r="E3857" t="s">
        <v>12</v>
      </c>
      <c r="F3857">
        <v>4.3223161250352859E-2</v>
      </c>
    </row>
    <row r="3858" spans="2:6">
      <c r="B3858">
        <v>2017</v>
      </c>
      <c r="C3858" t="s">
        <v>52</v>
      </c>
      <c r="D3858" t="s">
        <v>183</v>
      </c>
      <c r="E3858" t="s">
        <v>13</v>
      </c>
      <c r="F3858">
        <v>0.85120642185211182</v>
      </c>
    </row>
    <row r="3859" spans="2:6">
      <c r="B3859">
        <v>2017</v>
      </c>
      <c r="C3859" t="s">
        <v>52</v>
      </c>
      <c r="D3859" t="s">
        <v>183</v>
      </c>
      <c r="E3859" t="s">
        <v>14</v>
      </c>
      <c r="F3859">
        <v>0.78418844938278198</v>
      </c>
    </row>
    <row r="3860" spans="2:6">
      <c r="B3860">
        <v>2017</v>
      </c>
      <c r="C3860" t="s">
        <v>52</v>
      </c>
      <c r="D3860" t="s">
        <v>183</v>
      </c>
      <c r="E3860" t="s">
        <v>15</v>
      </c>
      <c r="F3860">
        <v>0.30051660537719727</v>
      </c>
    </row>
    <row r="3861" spans="2:6">
      <c r="B3861">
        <v>2018</v>
      </c>
      <c r="C3861" t="s">
        <v>52</v>
      </c>
      <c r="D3861" t="s">
        <v>183</v>
      </c>
      <c r="E3861" t="s">
        <v>7</v>
      </c>
      <c r="F3861">
        <v>6.2764430046081543</v>
      </c>
    </row>
    <row r="3862" spans="2:6">
      <c r="B3862">
        <v>2018</v>
      </c>
      <c r="C3862" t="s">
        <v>52</v>
      </c>
      <c r="D3862" t="s">
        <v>183</v>
      </c>
      <c r="E3862" t="s">
        <v>8</v>
      </c>
      <c r="F3862">
        <v>10.566755294799805</v>
      </c>
    </row>
    <row r="3863" spans="2:6">
      <c r="B3863">
        <v>2018</v>
      </c>
      <c r="C3863" t="s">
        <v>52</v>
      </c>
      <c r="D3863" t="s">
        <v>183</v>
      </c>
      <c r="E3863" t="s">
        <v>9</v>
      </c>
      <c r="F3863">
        <v>0.82557320594787598</v>
      </c>
    </row>
    <row r="3864" spans="2:6">
      <c r="B3864">
        <v>2018</v>
      </c>
      <c r="C3864" t="s">
        <v>52</v>
      </c>
      <c r="D3864" t="s">
        <v>183</v>
      </c>
      <c r="E3864" t="s">
        <v>10</v>
      </c>
      <c r="F3864">
        <v>73.699996948242188</v>
      </c>
    </row>
    <row r="3865" spans="2:6">
      <c r="B3865">
        <v>2018</v>
      </c>
      <c r="C3865" t="s">
        <v>52</v>
      </c>
      <c r="D3865" t="s">
        <v>183</v>
      </c>
      <c r="E3865" t="s">
        <v>11</v>
      </c>
      <c r="F3865">
        <v>0.79421502351760864</v>
      </c>
    </row>
    <row r="3866" spans="2:6">
      <c r="B3866">
        <v>2018</v>
      </c>
      <c r="C3866" t="s">
        <v>52</v>
      </c>
      <c r="D3866" t="s">
        <v>183</v>
      </c>
      <c r="E3866" t="s">
        <v>12</v>
      </c>
      <c r="F3866">
        <v>-2.2269060835242271E-2</v>
      </c>
    </row>
    <row r="3867" spans="2:6">
      <c r="B3867">
        <v>2018</v>
      </c>
      <c r="C3867" t="s">
        <v>52</v>
      </c>
      <c r="D3867" t="s">
        <v>183</v>
      </c>
      <c r="E3867" t="s">
        <v>13</v>
      </c>
      <c r="F3867">
        <v>0.84833723306655884</v>
      </c>
    </row>
    <row r="3868" spans="2:6">
      <c r="B3868">
        <v>2018</v>
      </c>
      <c r="C3868" t="s">
        <v>52</v>
      </c>
      <c r="D3868" t="s">
        <v>183</v>
      </c>
      <c r="E3868" t="s">
        <v>14</v>
      </c>
      <c r="F3868">
        <v>0.75012248754501343</v>
      </c>
    </row>
    <row r="3869" spans="2:6">
      <c r="B3869">
        <v>2018</v>
      </c>
      <c r="C3869" t="s">
        <v>52</v>
      </c>
      <c r="D3869" t="s">
        <v>183</v>
      </c>
      <c r="E3869" t="s">
        <v>15</v>
      </c>
      <c r="F3869">
        <v>0.29802113771438599</v>
      </c>
    </row>
    <row r="3870" spans="2:6">
      <c r="B3870">
        <v>2019</v>
      </c>
      <c r="C3870" t="s">
        <v>52</v>
      </c>
      <c r="D3870" t="s">
        <v>183</v>
      </c>
      <c r="E3870" t="s">
        <v>7</v>
      </c>
      <c r="F3870">
        <v>6.1368327140808105</v>
      </c>
    </row>
    <row r="3871" spans="2:6">
      <c r="B3871">
        <v>2019</v>
      </c>
      <c r="C3871" t="s">
        <v>52</v>
      </c>
      <c r="D3871" t="s">
        <v>183</v>
      </c>
      <c r="E3871" t="s">
        <v>8</v>
      </c>
      <c r="F3871">
        <v>10.585186958312988</v>
      </c>
    </row>
    <row r="3872" spans="2:6">
      <c r="B3872">
        <v>2019</v>
      </c>
      <c r="C3872" t="s">
        <v>52</v>
      </c>
      <c r="D3872" t="s">
        <v>183</v>
      </c>
      <c r="E3872" t="s">
        <v>9</v>
      </c>
      <c r="F3872">
        <v>0.77607804536819458</v>
      </c>
    </row>
    <row r="3873" spans="2:6">
      <c r="B3873">
        <v>2019</v>
      </c>
      <c r="C3873" t="s">
        <v>52</v>
      </c>
      <c r="D3873" t="s">
        <v>183</v>
      </c>
      <c r="E3873" t="s">
        <v>10</v>
      </c>
      <c r="F3873">
        <v>73.900001525878906</v>
      </c>
    </row>
    <row r="3874" spans="2:6">
      <c r="B3874">
        <v>2019</v>
      </c>
      <c r="C3874" t="s">
        <v>52</v>
      </c>
      <c r="D3874" t="s">
        <v>183</v>
      </c>
      <c r="E3874" t="s">
        <v>11</v>
      </c>
      <c r="F3874">
        <v>0.74005800485610962</v>
      </c>
    </row>
    <row r="3875" spans="2:6">
      <c r="B3875">
        <v>2019</v>
      </c>
      <c r="C3875" t="s">
        <v>52</v>
      </c>
      <c r="D3875" t="s">
        <v>183</v>
      </c>
      <c r="E3875" t="s">
        <v>12</v>
      </c>
      <c r="F3875">
        <v>-7.6628290116786957E-3</v>
      </c>
    </row>
    <row r="3876" spans="2:6">
      <c r="B3876">
        <v>2019</v>
      </c>
      <c r="C3876" t="s">
        <v>52</v>
      </c>
      <c r="D3876" t="s">
        <v>183</v>
      </c>
      <c r="E3876" t="s">
        <v>13</v>
      </c>
      <c r="F3876">
        <v>0.86529421806335449</v>
      </c>
    </row>
    <row r="3877" spans="2:6">
      <c r="B3877">
        <v>2019</v>
      </c>
      <c r="C3877" t="s">
        <v>52</v>
      </c>
      <c r="D3877" t="s">
        <v>183</v>
      </c>
      <c r="E3877" t="s">
        <v>14</v>
      </c>
      <c r="F3877">
        <v>0.76267707347869873</v>
      </c>
    </row>
    <row r="3878" spans="2:6">
      <c r="B3878">
        <v>2019</v>
      </c>
      <c r="C3878" t="s">
        <v>52</v>
      </c>
      <c r="D3878" t="s">
        <v>183</v>
      </c>
      <c r="E3878" t="s">
        <v>15</v>
      </c>
      <c r="F3878">
        <v>0.29022520780563354</v>
      </c>
    </row>
    <row r="3879" spans="2:6">
      <c r="B3879">
        <v>2020</v>
      </c>
      <c r="C3879" t="s">
        <v>52</v>
      </c>
      <c r="D3879" t="s">
        <v>183</v>
      </c>
      <c r="E3879" t="s">
        <v>7</v>
      </c>
      <c r="F3879">
        <v>6.2598104476928711</v>
      </c>
    </row>
    <row r="3880" spans="2:6">
      <c r="B3880">
        <v>2020</v>
      </c>
      <c r="C3880" t="s">
        <v>52</v>
      </c>
      <c r="D3880" t="s">
        <v>183</v>
      </c>
      <c r="E3880" t="s">
        <v>9</v>
      </c>
      <c r="F3880">
        <v>0.80555939674377441</v>
      </c>
    </row>
    <row r="3881" spans="2:6">
      <c r="B3881">
        <v>2020</v>
      </c>
      <c r="C3881" t="s">
        <v>52</v>
      </c>
      <c r="D3881" t="s">
        <v>183</v>
      </c>
      <c r="E3881" t="s">
        <v>10</v>
      </c>
      <c r="F3881">
        <v>74.099998474121094</v>
      </c>
    </row>
    <row r="3882" spans="2:6">
      <c r="B3882">
        <v>2020</v>
      </c>
      <c r="C3882" t="s">
        <v>52</v>
      </c>
      <c r="D3882" t="s">
        <v>183</v>
      </c>
      <c r="E3882" t="s">
        <v>11</v>
      </c>
      <c r="F3882">
        <v>0.76278233528137207</v>
      </c>
    </row>
    <row r="3883" spans="2:6">
      <c r="B3883">
        <v>2020</v>
      </c>
      <c r="C3883" t="s">
        <v>52</v>
      </c>
      <c r="D3883" t="s">
        <v>183</v>
      </c>
      <c r="E3883" t="s">
        <v>13</v>
      </c>
      <c r="F3883">
        <v>0.81623172760009766</v>
      </c>
    </row>
    <row r="3884" spans="2:6">
      <c r="B3884">
        <v>2020</v>
      </c>
      <c r="C3884" t="s">
        <v>52</v>
      </c>
      <c r="D3884" t="s">
        <v>183</v>
      </c>
      <c r="E3884" t="s">
        <v>14</v>
      </c>
      <c r="F3884">
        <v>0.75886303186416626</v>
      </c>
    </row>
    <row r="3885" spans="2:6">
      <c r="B3885">
        <v>2020</v>
      </c>
      <c r="C3885" t="s">
        <v>52</v>
      </c>
      <c r="D3885" t="s">
        <v>183</v>
      </c>
      <c r="E3885" t="s">
        <v>15</v>
      </c>
      <c r="F3885">
        <v>0.28352245688438416</v>
      </c>
    </row>
    <row r="3886" spans="2:6">
      <c r="B3886">
        <v>2005</v>
      </c>
      <c r="C3886" t="s">
        <v>53</v>
      </c>
      <c r="D3886" t="s">
        <v>183</v>
      </c>
      <c r="E3886" t="s">
        <v>7</v>
      </c>
      <c r="F3886">
        <v>6.4392566680908203</v>
      </c>
    </row>
    <row r="3887" spans="2:6">
      <c r="B3887">
        <v>2005</v>
      </c>
      <c r="C3887" t="s">
        <v>53</v>
      </c>
      <c r="D3887" t="s">
        <v>183</v>
      </c>
      <c r="E3887" t="s">
        <v>8</v>
      </c>
      <c r="F3887">
        <v>10.324370384216309</v>
      </c>
    </row>
    <row r="3888" spans="2:6">
      <c r="B3888">
        <v>2005</v>
      </c>
      <c r="C3888" t="s">
        <v>53</v>
      </c>
      <c r="D3888" t="s">
        <v>183</v>
      </c>
      <c r="E3888" t="s">
        <v>9</v>
      </c>
      <c r="F3888">
        <v>0.91875946521759033</v>
      </c>
    </row>
    <row r="3889" spans="2:6">
      <c r="B3889">
        <v>2005</v>
      </c>
      <c r="C3889" t="s">
        <v>53</v>
      </c>
      <c r="D3889" t="s">
        <v>183</v>
      </c>
      <c r="E3889" t="s">
        <v>10</v>
      </c>
      <c r="F3889">
        <v>67</v>
      </c>
    </row>
    <row r="3890" spans="2:6">
      <c r="B3890">
        <v>2005</v>
      </c>
      <c r="C3890" t="s">
        <v>53</v>
      </c>
      <c r="D3890" t="s">
        <v>183</v>
      </c>
      <c r="E3890" t="s">
        <v>11</v>
      </c>
      <c r="F3890">
        <v>0.86523497104644775</v>
      </c>
    </row>
    <row r="3891" spans="2:6">
      <c r="B3891">
        <v>2005</v>
      </c>
      <c r="C3891" t="s">
        <v>53</v>
      </c>
      <c r="D3891" t="s">
        <v>183</v>
      </c>
      <c r="E3891" t="s">
        <v>13</v>
      </c>
      <c r="F3891">
        <v>0.90073275566101074</v>
      </c>
    </row>
    <row r="3892" spans="2:6">
      <c r="B3892">
        <v>2005</v>
      </c>
      <c r="C3892" t="s">
        <v>53</v>
      </c>
      <c r="D3892" t="s">
        <v>183</v>
      </c>
      <c r="E3892" t="s">
        <v>14</v>
      </c>
      <c r="F3892">
        <v>0.72287458181381226</v>
      </c>
    </row>
    <row r="3893" spans="2:6">
      <c r="B3893">
        <v>2005</v>
      </c>
      <c r="C3893" t="s">
        <v>53</v>
      </c>
      <c r="D3893" t="s">
        <v>183</v>
      </c>
      <c r="E3893" t="s">
        <v>15</v>
      </c>
      <c r="F3893">
        <v>0.25794896483421326</v>
      </c>
    </row>
    <row r="3894" spans="2:6">
      <c r="B3894">
        <v>2007</v>
      </c>
      <c r="C3894" t="s">
        <v>53</v>
      </c>
      <c r="D3894" t="s">
        <v>183</v>
      </c>
      <c r="E3894" t="s">
        <v>7</v>
      </c>
      <c r="F3894">
        <v>6.5001940727233887</v>
      </c>
    </row>
    <row r="3895" spans="2:6">
      <c r="B3895">
        <v>2007</v>
      </c>
      <c r="C3895" t="s">
        <v>53</v>
      </c>
      <c r="D3895" t="s">
        <v>183</v>
      </c>
      <c r="E3895" t="s">
        <v>8</v>
      </c>
      <c r="F3895">
        <v>10.436629295349121</v>
      </c>
    </row>
    <row r="3896" spans="2:6">
      <c r="B3896">
        <v>2007</v>
      </c>
      <c r="C3896" t="s">
        <v>53</v>
      </c>
      <c r="D3896" t="s">
        <v>183</v>
      </c>
      <c r="E3896" t="s">
        <v>9</v>
      </c>
      <c r="F3896">
        <v>0.89977902173995972</v>
      </c>
    </row>
    <row r="3897" spans="2:6">
      <c r="B3897">
        <v>2007</v>
      </c>
      <c r="C3897" t="s">
        <v>53</v>
      </c>
      <c r="D3897" t="s">
        <v>183</v>
      </c>
      <c r="E3897" t="s">
        <v>10</v>
      </c>
      <c r="F3897">
        <v>67.44000244140625</v>
      </c>
    </row>
    <row r="3898" spans="2:6">
      <c r="B3898">
        <v>2007</v>
      </c>
      <c r="C3898" t="s">
        <v>53</v>
      </c>
      <c r="D3898" t="s">
        <v>183</v>
      </c>
      <c r="E3898" t="s">
        <v>11</v>
      </c>
      <c r="F3898">
        <v>0.79894936084747314</v>
      </c>
    </row>
    <row r="3899" spans="2:6">
      <c r="B3899">
        <v>2007</v>
      </c>
      <c r="C3899" t="s">
        <v>53</v>
      </c>
      <c r="D3899" t="s">
        <v>183</v>
      </c>
      <c r="E3899" t="s">
        <v>12</v>
      </c>
      <c r="F3899">
        <v>-6.3436970114707947E-2</v>
      </c>
    </row>
    <row r="3900" spans="2:6">
      <c r="B3900">
        <v>2007</v>
      </c>
      <c r="C3900" t="s">
        <v>53</v>
      </c>
      <c r="D3900" t="s">
        <v>183</v>
      </c>
      <c r="E3900" t="s">
        <v>13</v>
      </c>
      <c r="F3900">
        <v>0.9278714656829834</v>
      </c>
    </row>
    <row r="3901" spans="2:6">
      <c r="B3901">
        <v>2007</v>
      </c>
      <c r="C3901" t="s">
        <v>53</v>
      </c>
      <c r="D3901" t="s">
        <v>183</v>
      </c>
      <c r="E3901" t="s">
        <v>14</v>
      </c>
      <c r="F3901">
        <v>0.73643398284912109</v>
      </c>
    </row>
    <row r="3902" spans="2:6">
      <c r="B3902">
        <v>2007</v>
      </c>
      <c r="C3902" t="s">
        <v>53</v>
      </c>
      <c r="D3902" t="s">
        <v>183</v>
      </c>
      <c r="E3902" t="s">
        <v>15</v>
      </c>
      <c r="F3902">
        <v>0.27690744400024414</v>
      </c>
    </row>
    <row r="3903" spans="2:6">
      <c r="B3903">
        <v>2010</v>
      </c>
      <c r="C3903" t="s">
        <v>53</v>
      </c>
      <c r="D3903" t="s">
        <v>183</v>
      </c>
      <c r="E3903" t="s">
        <v>7</v>
      </c>
      <c r="F3903">
        <v>6.2496175765991211</v>
      </c>
    </row>
    <row r="3904" spans="2:6">
      <c r="B3904">
        <v>2010</v>
      </c>
      <c r="C3904" t="s">
        <v>53</v>
      </c>
      <c r="D3904" t="s">
        <v>183</v>
      </c>
      <c r="E3904" t="s">
        <v>8</v>
      </c>
      <c r="F3904">
        <v>10.419456481933594</v>
      </c>
    </row>
    <row r="3905" spans="2:6">
      <c r="B3905">
        <v>2010</v>
      </c>
      <c r="C3905" t="s">
        <v>53</v>
      </c>
      <c r="D3905" t="s">
        <v>183</v>
      </c>
      <c r="E3905" t="s">
        <v>9</v>
      </c>
      <c r="F3905">
        <v>0.93416112661361694</v>
      </c>
    </row>
    <row r="3906" spans="2:6">
      <c r="B3906">
        <v>2010</v>
      </c>
      <c r="C3906" t="s">
        <v>53</v>
      </c>
      <c r="D3906" t="s">
        <v>183</v>
      </c>
      <c r="E3906" t="s">
        <v>10</v>
      </c>
      <c r="F3906">
        <v>68.099998474121094</v>
      </c>
    </row>
    <row r="3907" spans="2:6">
      <c r="B3907">
        <v>2010</v>
      </c>
      <c r="C3907" t="s">
        <v>53</v>
      </c>
      <c r="D3907" t="s">
        <v>183</v>
      </c>
      <c r="E3907" t="s">
        <v>11</v>
      </c>
      <c r="F3907">
        <v>0.77911221981048584</v>
      </c>
    </row>
    <row r="3908" spans="2:6">
      <c r="B3908">
        <v>2010</v>
      </c>
      <c r="C3908" t="s">
        <v>53</v>
      </c>
      <c r="D3908" t="s">
        <v>183</v>
      </c>
      <c r="E3908" t="s">
        <v>12</v>
      </c>
      <c r="F3908">
        <v>-4.1805721819400787E-2</v>
      </c>
    </row>
    <row r="3909" spans="2:6">
      <c r="B3909">
        <v>2010</v>
      </c>
      <c r="C3909" t="s">
        <v>53</v>
      </c>
      <c r="D3909" t="s">
        <v>183</v>
      </c>
      <c r="E3909" t="s">
        <v>13</v>
      </c>
      <c r="F3909">
        <v>0.9259641170501709</v>
      </c>
    </row>
    <row r="3910" spans="2:6">
      <c r="B3910">
        <v>2010</v>
      </c>
      <c r="C3910" t="s">
        <v>53</v>
      </c>
      <c r="D3910" t="s">
        <v>183</v>
      </c>
      <c r="E3910" t="s">
        <v>14</v>
      </c>
      <c r="F3910">
        <v>0.6413692831993103</v>
      </c>
    </row>
    <row r="3911" spans="2:6">
      <c r="B3911">
        <v>2010</v>
      </c>
      <c r="C3911" t="s">
        <v>53</v>
      </c>
      <c r="D3911" t="s">
        <v>183</v>
      </c>
      <c r="E3911" t="s">
        <v>15</v>
      </c>
      <c r="F3911">
        <v>0.24408434331417084</v>
      </c>
    </row>
    <row r="3912" spans="2:6">
      <c r="B3912">
        <v>2011</v>
      </c>
      <c r="C3912" t="s">
        <v>53</v>
      </c>
      <c r="D3912" t="s">
        <v>183</v>
      </c>
      <c r="E3912" t="s">
        <v>7</v>
      </c>
      <c r="F3912">
        <v>6.3314909934997559</v>
      </c>
    </row>
    <row r="3913" spans="2:6">
      <c r="B3913">
        <v>2011</v>
      </c>
      <c r="C3913" t="s">
        <v>53</v>
      </c>
      <c r="D3913" t="s">
        <v>183</v>
      </c>
      <c r="E3913" t="s">
        <v>8</v>
      </c>
      <c r="F3913">
        <v>10.43501091003418</v>
      </c>
    </row>
    <row r="3914" spans="2:6">
      <c r="B3914">
        <v>2011</v>
      </c>
      <c r="C3914" t="s">
        <v>53</v>
      </c>
      <c r="D3914" t="s">
        <v>183</v>
      </c>
      <c r="E3914" t="s">
        <v>9</v>
      </c>
      <c r="F3914">
        <v>0.91351073980331421</v>
      </c>
    </row>
    <row r="3915" spans="2:6">
      <c r="B3915">
        <v>2011</v>
      </c>
      <c r="C3915" t="s">
        <v>53</v>
      </c>
      <c r="D3915" t="s">
        <v>183</v>
      </c>
      <c r="E3915" t="s">
        <v>10</v>
      </c>
      <c r="F3915">
        <v>68.239997863769531</v>
      </c>
    </row>
    <row r="3916" spans="2:6">
      <c r="B3916">
        <v>2011</v>
      </c>
      <c r="C3916" t="s">
        <v>53</v>
      </c>
      <c r="D3916" t="s">
        <v>183</v>
      </c>
      <c r="E3916" t="s">
        <v>11</v>
      </c>
      <c r="F3916">
        <v>0.78718000650405884</v>
      </c>
    </row>
    <row r="3917" spans="2:6">
      <c r="B3917">
        <v>2011</v>
      </c>
      <c r="C3917" t="s">
        <v>53</v>
      </c>
      <c r="D3917" t="s">
        <v>183</v>
      </c>
      <c r="E3917" t="s">
        <v>12</v>
      </c>
      <c r="F3917">
        <v>-0.10645871609449387</v>
      </c>
    </row>
    <row r="3918" spans="2:6">
      <c r="B3918">
        <v>2011</v>
      </c>
      <c r="C3918" t="s">
        <v>53</v>
      </c>
      <c r="D3918" t="s">
        <v>183</v>
      </c>
      <c r="E3918" t="s">
        <v>13</v>
      </c>
      <c r="F3918">
        <v>0.94978785514831543</v>
      </c>
    </row>
    <row r="3919" spans="2:6">
      <c r="B3919">
        <v>2011</v>
      </c>
      <c r="C3919" t="s">
        <v>53</v>
      </c>
      <c r="D3919" t="s">
        <v>183</v>
      </c>
      <c r="E3919" t="s">
        <v>14</v>
      </c>
      <c r="F3919">
        <v>0.6009259819984436</v>
      </c>
    </row>
    <row r="3920" spans="2:6">
      <c r="B3920">
        <v>2011</v>
      </c>
      <c r="C3920" t="s">
        <v>53</v>
      </c>
      <c r="D3920" t="s">
        <v>183</v>
      </c>
      <c r="E3920" t="s">
        <v>15</v>
      </c>
      <c r="F3920">
        <v>0.25280886888504028</v>
      </c>
    </row>
    <row r="3921" spans="2:6">
      <c r="B3921">
        <v>2012</v>
      </c>
      <c r="C3921" t="s">
        <v>53</v>
      </c>
      <c r="D3921" t="s">
        <v>183</v>
      </c>
      <c r="E3921" t="s">
        <v>7</v>
      </c>
      <c r="F3921">
        <v>6.3341493606567383</v>
      </c>
    </row>
    <row r="3922" spans="2:6">
      <c r="B3922">
        <v>2012</v>
      </c>
      <c r="C3922" t="s">
        <v>53</v>
      </c>
      <c r="D3922" t="s">
        <v>183</v>
      </c>
      <c r="E3922" t="s">
        <v>8</v>
      </c>
      <c r="F3922">
        <v>10.425580978393555</v>
      </c>
    </row>
    <row r="3923" spans="2:6">
      <c r="B3923">
        <v>2012</v>
      </c>
      <c r="C3923" t="s">
        <v>53</v>
      </c>
      <c r="D3923" t="s">
        <v>183</v>
      </c>
      <c r="E3923" t="s">
        <v>9</v>
      </c>
      <c r="F3923">
        <v>0.91242676973342896</v>
      </c>
    </row>
    <row r="3924" spans="2:6">
      <c r="B3924">
        <v>2012</v>
      </c>
      <c r="C3924" t="s">
        <v>53</v>
      </c>
      <c r="D3924" t="s">
        <v>183</v>
      </c>
      <c r="E3924" t="s">
        <v>10</v>
      </c>
      <c r="F3924">
        <v>68.379997253417969</v>
      </c>
    </row>
    <row r="3925" spans="2:6">
      <c r="B3925">
        <v>2012</v>
      </c>
      <c r="C3925" t="s">
        <v>53</v>
      </c>
      <c r="D3925" t="s">
        <v>183</v>
      </c>
      <c r="E3925" t="s">
        <v>11</v>
      </c>
      <c r="F3925">
        <v>0.73980873823165894</v>
      </c>
    </row>
    <row r="3926" spans="2:6">
      <c r="B3926">
        <v>2012</v>
      </c>
      <c r="C3926" t="s">
        <v>53</v>
      </c>
      <c r="D3926" t="s">
        <v>183</v>
      </c>
      <c r="E3926" t="s">
        <v>12</v>
      </c>
      <c r="F3926">
        <v>-0.15375302731990814</v>
      </c>
    </row>
    <row r="3927" spans="2:6">
      <c r="B3927">
        <v>2012</v>
      </c>
      <c r="C3927" t="s">
        <v>53</v>
      </c>
      <c r="D3927" t="s">
        <v>183</v>
      </c>
      <c r="E3927" t="s">
        <v>13</v>
      </c>
      <c r="F3927">
        <v>0.95679968595504761</v>
      </c>
    </row>
    <row r="3928" spans="2:6">
      <c r="B3928">
        <v>2012</v>
      </c>
      <c r="C3928" t="s">
        <v>53</v>
      </c>
      <c r="D3928" t="s">
        <v>183</v>
      </c>
      <c r="E3928" t="s">
        <v>14</v>
      </c>
      <c r="F3928">
        <v>0.60904079675674438</v>
      </c>
    </row>
    <row r="3929" spans="2:6">
      <c r="B3929">
        <v>2012</v>
      </c>
      <c r="C3929" t="s">
        <v>53</v>
      </c>
      <c r="D3929" t="s">
        <v>183</v>
      </c>
      <c r="E3929" t="s">
        <v>15</v>
      </c>
      <c r="F3929">
        <v>0.25650814175605774</v>
      </c>
    </row>
    <row r="3930" spans="2:6">
      <c r="B3930">
        <v>2013</v>
      </c>
      <c r="C3930" t="s">
        <v>53</v>
      </c>
      <c r="D3930" t="s">
        <v>183</v>
      </c>
      <c r="E3930" t="s">
        <v>7</v>
      </c>
      <c r="F3930">
        <v>6.6976556777954102</v>
      </c>
    </row>
    <row r="3931" spans="2:6">
      <c r="B3931">
        <v>2013</v>
      </c>
      <c r="C3931" t="s">
        <v>53</v>
      </c>
      <c r="D3931" t="s">
        <v>183</v>
      </c>
      <c r="E3931" t="s">
        <v>8</v>
      </c>
      <c r="F3931">
        <v>10.420400619506836</v>
      </c>
    </row>
    <row r="3932" spans="2:6">
      <c r="B3932">
        <v>2013</v>
      </c>
      <c r="C3932" t="s">
        <v>53</v>
      </c>
      <c r="D3932" t="s">
        <v>183</v>
      </c>
      <c r="E3932" t="s">
        <v>9</v>
      </c>
      <c r="F3932">
        <v>0.88804334402084351</v>
      </c>
    </row>
    <row r="3933" spans="2:6">
      <c r="B3933">
        <v>2013</v>
      </c>
      <c r="C3933" t="s">
        <v>53</v>
      </c>
      <c r="D3933" t="s">
        <v>183</v>
      </c>
      <c r="E3933" t="s">
        <v>10</v>
      </c>
      <c r="F3933">
        <v>68.519996643066406</v>
      </c>
    </row>
    <row r="3934" spans="2:6">
      <c r="B3934">
        <v>2013</v>
      </c>
      <c r="C3934" t="s">
        <v>53</v>
      </c>
      <c r="D3934" t="s">
        <v>183</v>
      </c>
      <c r="E3934" t="s">
        <v>11</v>
      </c>
      <c r="F3934">
        <v>0.72594565153121948</v>
      </c>
    </row>
    <row r="3935" spans="2:6">
      <c r="B3935">
        <v>2013</v>
      </c>
      <c r="C3935" t="s">
        <v>53</v>
      </c>
      <c r="D3935" t="s">
        <v>183</v>
      </c>
      <c r="E3935" t="s">
        <v>12</v>
      </c>
      <c r="F3935">
        <v>-0.15571865439414978</v>
      </c>
    </row>
    <row r="3936" spans="2:6">
      <c r="B3936">
        <v>2013</v>
      </c>
      <c r="C3936" t="s">
        <v>53</v>
      </c>
      <c r="D3936" t="s">
        <v>183</v>
      </c>
      <c r="E3936" t="s">
        <v>13</v>
      </c>
      <c r="F3936">
        <v>0.91589885950088501</v>
      </c>
    </row>
    <row r="3937" spans="2:6">
      <c r="B3937">
        <v>2013</v>
      </c>
      <c r="C3937" t="s">
        <v>53</v>
      </c>
      <c r="D3937" t="s">
        <v>183</v>
      </c>
      <c r="E3937" t="s">
        <v>14</v>
      </c>
      <c r="F3937">
        <v>0.71995782852172852</v>
      </c>
    </row>
    <row r="3938" spans="2:6">
      <c r="B3938">
        <v>2013</v>
      </c>
      <c r="C3938" t="s">
        <v>53</v>
      </c>
      <c r="D3938" t="s">
        <v>183</v>
      </c>
      <c r="E3938" t="s">
        <v>15</v>
      </c>
      <c r="F3938">
        <v>0.2526526153087616</v>
      </c>
    </row>
    <row r="3939" spans="2:6">
      <c r="B3939">
        <v>2014</v>
      </c>
      <c r="C3939" t="s">
        <v>53</v>
      </c>
      <c r="D3939" t="s">
        <v>183</v>
      </c>
      <c r="E3939" t="s">
        <v>7</v>
      </c>
      <c r="F3939">
        <v>6.4837298393249512</v>
      </c>
    </row>
    <row r="3940" spans="2:6">
      <c r="B3940">
        <v>2014</v>
      </c>
      <c r="C3940" t="s">
        <v>53</v>
      </c>
      <c r="D3940" t="s">
        <v>183</v>
      </c>
      <c r="E3940" t="s">
        <v>8</v>
      </c>
      <c r="F3940">
        <v>10.446137428283691</v>
      </c>
    </row>
    <row r="3941" spans="2:6">
      <c r="B3941">
        <v>2014</v>
      </c>
      <c r="C3941" t="s">
        <v>53</v>
      </c>
      <c r="D3941" t="s">
        <v>183</v>
      </c>
      <c r="E3941" t="s">
        <v>9</v>
      </c>
      <c r="F3941">
        <v>0.87791520357131958</v>
      </c>
    </row>
    <row r="3942" spans="2:6">
      <c r="B3942">
        <v>2014</v>
      </c>
      <c r="C3942" t="s">
        <v>53</v>
      </c>
      <c r="D3942" t="s">
        <v>183</v>
      </c>
      <c r="E3942" t="s">
        <v>10</v>
      </c>
      <c r="F3942">
        <v>68.660003662109375</v>
      </c>
    </row>
    <row r="3943" spans="2:6">
      <c r="B3943">
        <v>2014</v>
      </c>
      <c r="C3943" t="s">
        <v>53</v>
      </c>
      <c r="D3943" t="s">
        <v>183</v>
      </c>
      <c r="E3943" t="s">
        <v>11</v>
      </c>
      <c r="F3943">
        <v>0.80042099952697754</v>
      </c>
    </row>
    <row r="3944" spans="2:6">
      <c r="B3944">
        <v>2014</v>
      </c>
      <c r="C3944" t="s">
        <v>53</v>
      </c>
      <c r="D3944" t="s">
        <v>183</v>
      </c>
      <c r="E3944" t="s">
        <v>12</v>
      </c>
      <c r="F3944">
        <v>-0.16794578731060028</v>
      </c>
    </row>
    <row r="3945" spans="2:6">
      <c r="B3945">
        <v>2014</v>
      </c>
      <c r="C3945" t="s">
        <v>53</v>
      </c>
      <c r="D3945" t="s">
        <v>183</v>
      </c>
      <c r="E3945" t="s">
        <v>13</v>
      </c>
      <c r="F3945">
        <v>0.89688068628311157</v>
      </c>
    </row>
    <row r="3946" spans="2:6">
      <c r="B3946">
        <v>2014</v>
      </c>
      <c r="C3946" t="s">
        <v>53</v>
      </c>
      <c r="D3946" t="s">
        <v>183</v>
      </c>
      <c r="E3946" t="s">
        <v>14</v>
      </c>
      <c r="F3946">
        <v>0.67840695381164551</v>
      </c>
    </row>
    <row r="3947" spans="2:6">
      <c r="B3947">
        <v>2014</v>
      </c>
      <c r="C3947" t="s">
        <v>53</v>
      </c>
      <c r="D3947" t="s">
        <v>183</v>
      </c>
      <c r="E3947" t="s">
        <v>15</v>
      </c>
      <c r="F3947">
        <v>0.23522056639194489</v>
      </c>
    </row>
    <row r="3948" spans="2:6">
      <c r="B3948">
        <v>2015</v>
      </c>
      <c r="C3948" t="s">
        <v>53</v>
      </c>
      <c r="D3948" t="s">
        <v>183</v>
      </c>
      <c r="E3948" t="s">
        <v>7</v>
      </c>
      <c r="F3948">
        <v>6.6080174446105957</v>
      </c>
    </row>
    <row r="3949" spans="2:6">
      <c r="B3949">
        <v>2015</v>
      </c>
      <c r="C3949" t="s">
        <v>53</v>
      </c>
      <c r="D3949" t="s">
        <v>183</v>
      </c>
      <c r="E3949" t="s">
        <v>8</v>
      </c>
      <c r="F3949">
        <v>10.495902061462402</v>
      </c>
    </row>
    <row r="3950" spans="2:6">
      <c r="B3950">
        <v>2015</v>
      </c>
      <c r="C3950" t="s">
        <v>53</v>
      </c>
      <c r="D3950" t="s">
        <v>183</v>
      </c>
      <c r="E3950" t="s">
        <v>9</v>
      </c>
      <c r="F3950">
        <v>0.91136258840560913</v>
      </c>
    </row>
    <row r="3951" spans="2:6">
      <c r="B3951">
        <v>2015</v>
      </c>
      <c r="C3951" t="s">
        <v>53</v>
      </c>
      <c r="D3951" t="s">
        <v>183</v>
      </c>
      <c r="E3951" t="s">
        <v>10</v>
      </c>
      <c r="F3951">
        <v>68.800003051757813</v>
      </c>
    </row>
    <row r="3952" spans="2:6">
      <c r="B3952">
        <v>2015</v>
      </c>
      <c r="C3952" t="s">
        <v>53</v>
      </c>
      <c r="D3952" t="s">
        <v>183</v>
      </c>
      <c r="E3952" t="s">
        <v>11</v>
      </c>
      <c r="F3952">
        <v>0.80848419666290283</v>
      </c>
    </row>
    <row r="3953" spans="2:6">
      <c r="B3953">
        <v>2015</v>
      </c>
      <c r="C3953" t="s">
        <v>53</v>
      </c>
      <c r="D3953" t="s">
        <v>183</v>
      </c>
      <c r="E3953" t="s">
        <v>12</v>
      </c>
      <c r="F3953">
        <v>-0.14585736393928528</v>
      </c>
    </row>
    <row r="3954" spans="2:6">
      <c r="B3954">
        <v>2015</v>
      </c>
      <c r="C3954" t="s">
        <v>53</v>
      </c>
      <c r="D3954" t="s">
        <v>183</v>
      </c>
      <c r="E3954" t="s">
        <v>13</v>
      </c>
      <c r="F3954">
        <v>0.88646745681762695</v>
      </c>
    </row>
    <row r="3955" spans="2:6">
      <c r="B3955">
        <v>2015</v>
      </c>
      <c r="C3955" t="s">
        <v>53</v>
      </c>
      <c r="D3955" t="s">
        <v>183</v>
      </c>
      <c r="E3955" t="s">
        <v>14</v>
      </c>
      <c r="F3955">
        <v>0.7507738471031189</v>
      </c>
    </row>
    <row r="3956" spans="2:6">
      <c r="B3956">
        <v>2015</v>
      </c>
      <c r="C3956" t="s">
        <v>53</v>
      </c>
      <c r="D3956" t="s">
        <v>183</v>
      </c>
      <c r="E3956" t="s">
        <v>15</v>
      </c>
      <c r="F3956">
        <v>0.20608052611351013</v>
      </c>
    </row>
    <row r="3957" spans="2:6">
      <c r="B3957">
        <v>2016</v>
      </c>
      <c r="C3957" t="s">
        <v>53</v>
      </c>
      <c r="D3957" t="s">
        <v>183</v>
      </c>
      <c r="E3957" t="s">
        <v>7</v>
      </c>
      <c r="F3957">
        <v>6.7356271743774414</v>
      </c>
    </row>
    <row r="3958" spans="2:6">
      <c r="B3958">
        <v>2016</v>
      </c>
      <c r="C3958" t="s">
        <v>53</v>
      </c>
      <c r="D3958" t="s">
        <v>183</v>
      </c>
      <c r="E3958" t="s">
        <v>8</v>
      </c>
      <c r="F3958">
        <v>10.518191337585449</v>
      </c>
    </row>
    <row r="3959" spans="2:6">
      <c r="B3959">
        <v>2016</v>
      </c>
      <c r="C3959" t="s">
        <v>53</v>
      </c>
      <c r="D3959" t="s">
        <v>183</v>
      </c>
      <c r="E3959" t="s">
        <v>9</v>
      </c>
      <c r="F3959">
        <v>0.93059289455413818</v>
      </c>
    </row>
    <row r="3960" spans="2:6">
      <c r="B3960">
        <v>2016</v>
      </c>
      <c r="C3960" t="s">
        <v>53</v>
      </c>
      <c r="D3960" t="s">
        <v>183</v>
      </c>
      <c r="E3960" t="s">
        <v>10</v>
      </c>
      <c r="F3960">
        <v>69.300003051757813</v>
      </c>
    </row>
    <row r="3961" spans="2:6">
      <c r="B3961">
        <v>2016</v>
      </c>
      <c r="C3961" t="s">
        <v>53</v>
      </c>
      <c r="D3961" t="s">
        <v>183</v>
      </c>
      <c r="E3961" t="s">
        <v>11</v>
      </c>
      <c r="F3961">
        <v>0.85032826662063599</v>
      </c>
    </row>
    <row r="3962" spans="2:6">
      <c r="B3962">
        <v>2016</v>
      </c>
      <c r="C3962" t="s">
        <v>53</v>
      </c>
      <c r="D3962" t="s">
        <v>183</v>
      </c>
      <c r="E3962" t="s">
        <v>12</v>
      </c>
      <c r="F3962">
        <v>-0.19747526943683624</v>
      </c>
    </row>
    <row r="3963" spans="2:6">
      <c r="B3963">
        <v>2016</v>
      </c>
      <c r="C3963" t="s">
        <v>53</v>
      </c>
      <c r="D3963" t="s">
        <v>183</v>
      </c>
      <c r="E3963" t="s">
        <v>13</v>
      </c>
      <c r="F3963">
        <v>0.90043073892593384</v>
      </c>
    </row>
    <row r="3964" spans="2:6">
      <c r="B3964">
        <v>2016</v>
      </c>
      <c r="C3964" t="s">
        <v>53</v>
      </c>
      <c r="D3964" t="s">
        <v>183</v>
      </c>
      <c r="E3964" t="s">
        <v>14</v>
      </c>
      <c r="F3964">
        <v>0.75570195913314819</v>
      </c>
    </row>
    <row r="3965" spans="2:6">
      <c r="B3965">
        <v>2016</v>
      </c>
      <c r="C3965" t="s">
        <v>53</v>
      </c>
      <c r="D3965" t="s">
        <v>183</v>
      </c>
      <c r="E3965" t="s">
        <v>15</v>
      </c>
      <c r="F3965">
        <v>0.20104163885116577</v>
      </c>
    </row>
    <row r="3966" spans="2:6">
      <c r="B3966">
        <v>2017</v>
      </c>
      <c r="C3966" t="s">
        <v>53</v>
      </c>
      <c r="D3966" t="s">
        <v>183</v>
      </c>
      <c r="E3966" t="s">
        <v>7</v>
      </c>
      <c r="F3966">
        <v>6.7895679473876953</v>
      </c>
    </row>
    <row r="3967" spans="2:6">
      <c r="B3967">
        <v>2017</v>
      </c>
      <c r="C3967" t="s">
        <v>53</v>
      </c>
      <c r="D3967" t="s">
        <v>183</v>
      </c>
      <c r="E3967" t="s">
        <v>8</v>
      </c>
      <c r="F3967">
        <v>10.558140754699707</v>
      </c>
    </row>
    <row r="3968" spans="2:6">
      <c r="B3968">
        <v>2017</v>
      </c>
      <c r="C3968" t="s">
        <v>53</v>
      </c>
      <c r="D3968" t="s">
        <v>183</v>
      </c>
      <c r="E3968" t="s">
        <v>9</v>
      </c>
      <c r="F3968">
        <v>0.90096896886825562</v>
      </c>
    </row>
    <row r="3969" spans="2:6">
      <c r="B3969">
        <v>2017</v>
      </c>
      <c r="C3969" t="s">
        <v>53</v>
      </c>
      <c r="D3969" t="s">
        <v>183</v>
      </c>
      <c r="E3969" t="s">
        <v>10</v>
      </c>
      <c r="F3969">
        <v>69.800003051757813</v>
      </c>
    </row>
    <row r="3970" spans="2:6">
      <c r="B3970">
        <v>2017</v>
      </c>
      <c r="C3970" t="s">
        <v>53</v>
      </c>
      <c r="D3970" t="s">
        <v>183</v>
      </c>
      <c r="E3970" t="s">
        <v>11</v>
      </c>
      <c r="F3970">
        <v>0.83178550004959106</v>
      </c>
    </row>
    <row r="3971" spans="2:6">
      <c r="B3971">
        <v>2017</v>
      </c>
      <c r="C3971" t="s">
        <v>53</v>
      </c>
      <c r="D3971" t="s">
        <v>183</v>
      </c>
      <c r="E3971" t="s">
        <v>12</v>
      </c>
      <c r="F3971">
        <v>-0.17652042210102081</v>
      </c>
    </row>
    <row r="3972" spans="2:6">
      <c r="B3972">
        <v>2017</v>
      </c>
      <c r="C3972" t="s">
        <v>53</v>
      </c>
      <c r="D3972" t="s">
        <v>183</v>
      </c>
      <c r="E3972" t="s">
        <v>13</v>
      </c>
      <c r="F3972">
        <v>0.86652499437332153</v>
      </c>
    </row>
    <row r="3973" spans="2:6">
      <c r="B3973">
        <v>2017</v>
      </c>
      <c r="C3973" t="s">
        <v>53</v>
      </c>
      <c r="D3973" t="s">
        <v>183</v>
      </c>
      <c r="E3973" t="s">
        <v>14</v>
      </c>
      <c r="F3973">
        <v>0.73874396085739136</v>
      </c>
    </row>
    <row r="3974" spans="2:6">
      <c r="B3974">
        <v>2017</v>
      </c>
      <c r="C3974" t="s">
        <v>53</v>
      </c>
      <c r="D3974" t="s">
        <v>183</v>
      </c>
      <c r="E3974" t="s">
        <v>15</v>
      </c>
      <c r="F3974">
        <v>0.22664979100227356</v>
      </c>
    </row>
    <row r="3975" spans="2:6">
      <c r="B3975">
        <v>2018</v>
      </c>
      <c r="C3975" t="s">
        <v>53</v>
      </c>
      <c r="D3975" t="s">
        <v>183</v>
      </c>
      <c r="E3975" t="s">
        <v>7</v>
      </c>
      <c r="F3975">
        <v>7.0341653823852539</v>
      </c>
    </row>
    <row r="3976" spans="2:6">
      <c r="B3976">
        <v>2018</v>
      </c>
      <c r="C3976" t="s">
        <v>53</v>
      </c>
      <c r="D3976" t="s">
        <v>183</v>
      </c>
      <c r="E3976" t="s">
        <v>8</v>
      </c>
      <c r="F3976">
        <v>10.582859992980957</v>
      </c>
    </row>
    <row r="3977" spans="2:6">
      <c r="B3977">
        <v>2018</v>
      </c>
      <c r="C3977" t="s">
        <v>53</v>
      </c>
      <c r="D3977" t="s">
        <v>183</v>
      </c>
      <c r="E3977" t="s">
        <v>9</v>
      </c>
      <c r="F3977">
        <v>0.92916393280029297</v>
      </c>
    </row>
    <row r="3978" spans="2:6">
      <c r="B3978">
        <v>2018</v>
      </c>
      <c r="C3978" t="s">
        <v>53</v>
      </c>
      <c r="D3978" t="s">
        <v>183</v>
      </c>
      <c r="E3978" t="s">
        <v>10</v>
      </c>
      <c r="F3978">
        <v>70.300003051757813</v>
      </c>
    </row>
    <row r="3979" spans="2:6">
      <c r="B3979">
        <v>2018</v>
      </c>
      <c r="C3979" t="s">
        <v>53</v>
      </c>
      <c r="D3979" t="s">
        <v>183</v>
      </c>
      <c r="E3979" t="s">
        <v>11</v>
      </c>
      <c r="F3979">
        <v>0.79013240337371826</v>
      </c>
    </row>
    <row r="3980" spans="2:6">
      <c r="B3980">
        <v>2018</v>
      </c>
      <c r="C3980" t="s">
        <v>53</v>
      </c>
      <c r="D3980" t="s">
        <v>183</v>
      </c>
      <c r="E3980" t="s">
        <v>12</v>
      </c>
      <c r="F3980">
        <v>-0.29185196757316589</v>
      </c>
    </row>
    <row r="3981" spans="2:6">
      <c r="B3981">
        <v>2018</v>
      </c>
      <c r="C3981" t="s">
        <v>53</v>
      </c>
      <c r="D3981" t="s">
        <v>183</v>
      </c>
      <c r="E3981" t="s">
        <v>13</v>
      </c>
      <c r="F3981">
        <v>0.85138225555419922</v>
      </c>
    </row>
    <row r="3982" spans="2:6">
      <c r="B3982">
        <v>2018</v>
      </c>
      <c r="C3982" t="s">
        <v>53</v>
      </c>
      <c r="D3982" t="s">
        <v>183</v>
      </c>
      <c r="E3982" t="s">
        <v>14</v>
      </c>
      <c r="F3982">
        <v>0.71370011568069458</v>
      </c>
    </row>
    <row r="3983" spans="2:6">
      <c r="B3983">
        <v>2018</v>
      </c>
      <c r="C3983" t="s">
        <v>53</v>
      </c>
      <c r="D3983" t="s">
        <v>183</v>
      </c>
      <c r="E3983" t="s">
        <v>15</v>
      </c>
      <c r="F3983">
        <v>0.17806810140609741</v>
      </c>
    </row>
    <row r="3984" spans="2:6">
      <c r="B3984">
        <v>2020</v>
      </c>
      <c r="C3984" t="s">
        <v>53</v>
      </c>
      <c r="D3984" t="s">
        <v>183</v>
      </c>
      <c r="E3984" t="s">
        <v>7</v>
      </c>
      <c r="F3984">
        <v>6.8970913887023926</v>
      </c>
    </row>
    <row r="3985" spans="2:6">
      <c r="B3985">
        <v>2020</v>
      </c>
      <c r="C3985" t="s">
        <v>53</v>
      </c>
      <c r="D3985" t="s">
        <v>183</v>
      </c>
      <c r="E3985" t="s">
        <v>8</v>
      </c>
      <c r="F3985">
        <v>10.530134201049805</v>
      </c>
    </row>
    <row r="3986" spans="2:6">
      <c r="B3986">
        <v>2020</v>
      </c>
      <c r="C3986" t="s">
        <v>53</v>
      </c>
      <c r="D3986" t="s">
        <v>183</v>
      </c>
      <c r="E3986" t="s">
        <v>9</v>
      </c>
      <c r="F3986">
        <v>0.9640536904335022</v>
      </c>
    </row>
    <row r="3987" spans="2:6">
      <c r="B3987">
        <v>2020</v>
      </c>
      <c r="C3987" t="s">
        <v>53</v>
      </c>
      <c r="D3987" t="s">
        <v>183</v>
      </c>
      <c r="E3987" t="s">
        <v>10</v>
      </c>
      <c r="F3987">
        <v>71.300003051757813</v>
      </c>
    </row>
    <row r="3988" spans="2:6">
      <c r="B3988">
        <v>2020</v>
      </c>
      <c r="C3988" t="s">
        <v>53</v>
      </c>
      <c r="D3988" t="s">
        <v>183</v>
      </c>
      <c r="E3988" t="s">
        <v>11</v>
      </c>
      <c r="F3988">
        <v>0.90642201900482178</v>
      </c>
    </row>
    <row r="3989" spans="2:6">
      <c r="B3989">
        <v>2020</v>
      </c>
      <c r="C3989" t="s">
        <v>53</v>
      </c>
      <c r="D3989" t="s">
        <v>183</v>
      </c>
      <c r="E3989" t="s">
        <v>12</v>
      </c>
      <c r="F3989">
        <v>-0.12702237069606781</v>
      </c>
    </row>
    <row r="3990" spans="2:6">
      <c r="B3990">
        <v>2020</v>
      </c>
      <c r="C3990" t="s">
        <v>53</v>
      </c>
      <c r="D3990" t="s">
        <v>183</v>
      </c>
      <c r="E3990" t="s">
        <v>13</v>
      </c>
      <c r="F3990">
        <v>0.88369959592819214</v>
      </c>
    </row>
    <row r="3991" spans="2:6">
      <c r="B3991">
        <v>2020</v>
      </c>
      <c r="C3991" t="s">
        <v>53</v>
      </c>
      <c r="D3991" t="s">
        <v>183</v>
      </c>
      <c r="E3991" t="s">
        <v>14</v>
      </c>
      <c r="F3991">
        <v>0.8320576548576355</v>
      </c>
    </row>
    <row r="3992" spans="2:6">
      <c r="B3992">
        <v>2020</v>
      </c>
      <c r="C3992" t="s">
        <v>53</v>
      </c>
      <c r="D3992" t="s">
        <v>183</v>
      </c>
      <c r="E3992" t="s">
        <v>15</v>
      </c>
      <c r="F3992">
        <v>0.29044169187545776</v>
      </c>
    </row>
    <row r="3993" spans="2:6">
      <c r="B3993">
        <v>2005</v>
      </c>
      <c r="C3993" t="s">
        <v>54</v>
      </c>
      <c r="D3993" t="s">
        <v>183</v>
      </c>
      <c r="E3993" t="s">
        <v>7</v>
      </c>
      <c r="F3993">
        <v>8.0189342498779297</v>
      </c>
    </row>
    <row r="3994" spans="2:6">
      <c r="B3994">
        <v>2005</v>
      </c>
      <c r="C3994" t="s">
        <v>54</v>
      </c>
      <c r="D3994" t="s">
        <v>183</v>
      </c>
      <c r="E3994" t="s">
        <v>8</v>
      </c>
      <c r="F3994">
        <v>10.851396560668945</v>
      </c>
    </row>
    <row r="3995" spans="2:6">
      <c r="B3995">
        <v>2005</v>
      </c>
      <c r="C3995" t="s">
        <v>54</v>
      </c>
      <c r="D3995" t="s">
        <v>183</v>
      </c>
      <c r="E3995" t="s">
        <v>9</v>
      </c>
      <c r="F3995">
        <v>0.97237151861190796</v>
      </c>
    </row>
    <row r="3996" spans="2:6">
      <c r="B3996">
        <v>2005</v>
      </c>
      <c r="C3996" t="s">
        <v>54</v>
      </c>
      <c r="D3996" t="s">
        <v>183</v>
      </c>
      <c r="E3996" t="s">
        <v>10</v>
      </c>
      <c r="F3996">
        <v>69.599998474121094</v>
      </c>
    </row>
    <row r="3997" spans="2:6">
      <c r="B3997">
        <v>2005</v>
      </c>
      <c r="C3997" t="s">
        <v>54</v>
      </c>
      <c r="D3997" t="s">
        <v>183</v>
      </c>
      <c r="E3997" t="s">
        <v>11</v>
      </c>
      <c r="F3997">
        <v>0.97113502025604248</v>
      </c>
    </row>
    <row r="3998" spans="2:6">
      <c r="B3998">
        <v>2005</v>
      </c>
      <c r="C3998" t="s">
        <v>54</v>
      </c>
      <c r="D3998" t="s">
        <v>183</v>
      </c>
      <c r="E3998" t="s">
        <v>13</v>
      </c>
      <c r="F3998">
        <v>0.23652170598506927</v>
      </c>
    </row>
    <row r="3999" spans="2:6">
      <c r="B3999">
        <v>2005</v>
      </c>
      <c r="C3999" t="s">
        <v>54</v>
      </c>
      <c r="D3999" t="s">
        <v>183</v>
      </c>
      <c r="E3999" t="s">
        <v>14</v>
      </c>
      <c r="F3999">
        <v>0.85954904556274414</v>
      </c>
    </row>
    <row r="4000" spans="2:6">
      <c r="B4000">
        <v>2005</v>
      </c>
      <c r="C4000" t="s">
        <v>54</v>
      </c>
      <c r="D4000" t="s">
        <v>183</v>
      </c>
      <c r="E4000" t="s">
        <v>15</v>
      </c>
      <c r="F4000">
        <v>0.15367195010185242</v>
      </c>
    </row>
    <row r="4001" spans="2:6">
      <c r="B4001">
        <v>2007</v>
      </c>
      <c r="C4001" t="s">
        <v>54</v>
      </c>
      <c r="D4001" t="s">
        <v>183</v>
      </c>
      <c r="E4001" t="s">
        <v>7</v>
      </c>
      <c r="F4001">
        <v>7.834233283996582</v>
      </c>
    </row>
    <row r="4002" spans="2:6">
      <c r="B4002">
        <v>2007</v>
      </c>
      <c r="C4002" t="s">
        <v>54</v>
      </c>
      <c r="D4002" t="s">
        <v>183</v>
      </c>
      <c r="E4002" t="s">
        <v>8</v>
      </c>
      <c r="F4002">
        <v>10.891111373901367</v>
      </c>
    </row>
    <row r="4003" spans="2:6">
      <c r="B4003">
        <v>2007</v>
      </c>
      <c r="C4003" t="s">
        <v>54</v>
      </c>
      <c r="D4003" t="s">
        <v>183</v>
      </c>
      <c r="E4003" t="s">
        <v>9</v>
      </c>
      <c r="F4003">
        <v>0.9542011022567749</v>
      </c>
    </row>
    <row r="4004" spans="2:6">
      <c r="B4004">
        <v>2007</v>
      </c>
      <c r="C4004" t="s">
        <v>54</v>
      </c>
      <c r="D4004" t="s">
        <v>183</v>
      </c>
      <c r="E4004" t="s">
        <v>10</v>
      </c>
      <c r="F4004">
        <v>69.919998168945313</v>
      </c>
    </row>
    <row r="4005" spans="2:6">
      <c r="B4005">
        <v>2007</v>
      </c>
      <c r="C4005" t="s">
        <v>54</v>
      </c>
      <c r="D4005" t="s">
        <v>183</v>
      </c>
      <c r="E4005" t="s">
        <v>11</v>
      </c>
      <c r="F4005">
        <v>0.93208622932434082</v>
      </c>
    </row>
    <row r="4006" spans="2:6">
      <c r="B4006">
        <v>2007</v>
      </c>
      <c r="C4006" t="s">
        <v>54</v>
      </c>
      <c r="D4006" t="s">
        <v>183</v>
      </c>
      <c r="E4006" t="s">
        <v>12</v>
      </c>
      <c r="F4006">
        <v>0.24002371728420258</v>
      </c>
    </row>
    <row r="4007" spans="2:6">
      <c r="B4007">
        <v>2007</v>
      </c>
      <c r="C4007" t="s">
        <v>54</v>
      </c>
      <c r="D4007" t="s">
        <v>183</v>
      </c>
      <c r="E4007" t="s">
        <v>13</v>
      </c>
      <c r="F4007">
        <v>0.20600567758083344</v>
      </c>
    </row>
    <row r="4008" spans="2:6">
      <c r="B4008">
        <v>2007</v>
      </c>
      <c r="C4008" t="s">
        <v>54</v>
      </c>
      <c r="D4008" t="s">
        <v>183</v>
      </c>
      <c r="E4008" t="s">
        <v>14</v>
      </c>
      <c r="F4008">
        <v>0.82785993814468384</v>
      </c>
    </row>
    <row r="4009" spans="2:6">
      <c r="B4009">
        <v>2007</v>
      </c>
      <c r="C4009" t="s">
        <v>54</v>
      </c>
      <c r="D4009" t="s">
        <v>183</v>
      </c>
      <c r="E4009" t="s">
        <v>15</v>
      </c>
      <c r="F4009">
        <v>0.19432368874549866</v>
      </c>
    </row>
    <row r="4010" spans="2:6">
      <c r="B4010">
        <v>2008</v>
      </c>
      <c r="C4010" t="s">
        <v>54</v>
      </c>
      <c r="D4010" t="s">
        <v>183</v>
      </c>
      <c r="E4010" t="s">
        <v>7</v>
      </c>
      <c r="F4010">
        <v>7.9708919525146484</v>
      </c>
    </row>
    <row r="4011" spans="2:6">
      <c r="B4011">
        <v>2008</v>
      </c>
      <c r="C4011" t="s">
        <v>54</v>
      </c>
      <c r="D4011" t="s">
        <v>183</v>
      </c>
      <c r="E4011" t="s">
        <v>8</v>
      </c>
      <c r="F4011">
        <v>10.880102157592773</v>
      </c>
    </row>
    <row r="4012" spans="2:6">
      <c r="B4012">
        <v>2008</v>
      </c>
      <c r="C4012" t="s">
        <v>54</v>
      </c>
      <c r="D4012" t="s">
        <v>183</v>
      </c>
      <c r="E4012" t="s">
        <v>9</v>
      </c>
      <c r="F4012">
        <v>0.95391172170639038</v>
      </c>
    </row>
    <row r="4013" spans="2:6">
      <c r="B4013">
        <v>2008</v>
      </c>
      <c r="C4013" t="s">
        <v>54</v>
      </c>
      <c r="D4013" t="s">
        <v>183</v>
      </c>
      <c r="E4013" t="s">
        <v>10</v>
      </c>
      <c r="F4013">
        <v>70.080001831054688</v>
      </c>
    </row>
    <row r="4014" spans="2:6">
      <c r="B4014">
        <v>2008</v>
      </c>
      <c r="C4014" t="s">
        <v>54</v>
      </c>
      <c r="D4014" t="s">
        <v>183</v>
      </c>
      <c r="E4014" t="s">
        <v>11</v>
      </c>
      <c r="F4014">
        <v>0.96978837251663208</v>
      </c>
    </row>
    <row r="4015" spans="2:6">
      <c r="B4015">
        <v>2008</v>
      </c>
      <c r="C4015" t="s">
        <v>54</v>
      </c>
      <c r="D4015" t="s">
        <v>183</v>
      </c>
      <c r="E4015" t="s">
        <v>12</v>
      </c>
      <c r="F4015">
        <v>0.27208679914474487</v>
      </c>
    </row>
    <row r="4016" spans="2:6">
      <c r="B4016">
        <v>2008</v>
      </c>
      <c r="C4016" t="s">
        <v>54</v>
      </c>
      <c r="D4016" t="s">
        <v>183</v>
      </c>
      <c r="E4016" t="s">
        <v>13</v>
      </c>
      <c r="F4016">
        <v>0.2475053071975708</v>
      </c>
    </row>
    <row r="4017" spans="2:6">
      <c r="B4017">
        <v>2008</v>
      </c>
      <c r="C4017" t="s">
        <v>54</v>
      </c>
      <c r="D4017" t="s">
        <v>183</v>
      </c>
      <c r="E4017" t="s">
        <v>14</v>
      </c>
      <c r="F4017">
        <v>0.75686550140380859</v>
      </c>
    </row>
    <row r="4018" spans="2:6">
      <c r="B4018">
        <v>2008</v>
      </c>
      <c r="C4018" t="s">
        <v>54</v>
      </c>
      <c r="D4018" t="s">
        <v>183</v>
      </c>
      <c r="E4018" t="s">
        <v>15</v>
      </c>
      <c r="F4018">
        <v>0.16309092938899994</v>
      </c>
    </row>
    <row r="4019" spans="2:6">
      <c r="B4019">
        <v>2009</v>
      </c>
      <c r="C4019" t="s">
        <v>54</v>
      </c>
      <c r="D4019" t="s">
        <v>183</v>
      </c>
      <c r="E4019" t="s">
        <v>7</v>
      </c>
      <c r="F4019">
        <v>7.6833586692810059</v>
      </c>
    </row>
    <row r="4020" spans="2:6">
      <c r="B4020">
        <v>2009</v>
      </c>
      <c r="C4020" t="s">
        <v>54</v>
      </c>
      <c r="D4020" t="s">
        <v>183</v>
      </c>
      <c r="E4020" t="s">
        <v>8</v>
      </c>
      <c r="F4020">
        <v>10.824441909790039</v>
      </c>
    </row>
    <row r="4021" spans="2:6">
      <c r="B4021">
        <v>2009</v>
      </c>
      <c r="C4021" t="s">
        <v>54</v>
      </c>
      <c r="D4021" t="s">
        <v>183</v>
      </c>
      <c r="E4021" t="s">
        <v>9</v>
      </c>
      <c r="F4021">
        <v>0.93889158964157104</v>
      </c>
    </row>
    <row r="4022" spans="2:6">
      <c r="B4022">
        <v>2009</v>
      </c>
      <c r="C4022" t="s">
        <v>54</v>
      </c>
      <c r="D4022" t="s">
        <v>183</v>
      </c>
      <c r="E4022" t="s">
        <v>10</v>
      </c>
      <c r="F4022">
        <v>70.239997863769531</v>
      </c>
    </row>
    <row r="4023" spans="2:6">
      <c r="B4023">
        <v>2009</v>
      </c>
      <c r="C4023" t="s">
        <v>54</v>
      </c>
      <c r="D4023" t="s">
        <v>183</v>
      </c>
      <c r="E4023" t="s">
        <v>11</v>
      </c>
      <c r="F4023">
        <v>0.94933557510375977</v>
      </c>
    </row>
    <row r="4024" spans="2:6">
      <c r="B4024">
        <v>2009</v>
      </c>
      <c r="C4024" t="s">
        <v>54</v>
      </c>
      <c r="D4024" t="s">
        <v>183</v>
      </c>
      <c r="E4024" t="s">
        <v>12</v>
      </c>
      <c r="F4024">
        <v>0.26355043053627014</v>
      </c>
    </row>
    <row r="4025" spans="2:6">
      <c r="B4025">
        <v>2009</v>
      </c>
      <c r="C4025" t="s">
        <v>54</v>
      </c>
      <c r="D4025" t="s">
        <v>183</v>
      </c>
      <c r="E4025" t="s">
        <v>13</v>
      </c>
      <c r="F4025">
        <v>0.20576976239681244</v>
      </c>
    </row>
    <row r="4026" spans="2:6">
      <c r="B4026">
        <v>2009</v>
      </c>
      <c r="C4026" t="s">
        <v>54</v>
      </c>
      <c r="D4026" t="s">
        <v>183</v>
      </c>
      <c r="E4026" t="s">
        <v>14</v>
      </c>
      <c r="F4026">
        <v>0.74894917011260986</v>
      </c>
    </row>
    <row r="4027" spans="2:6">
      <c r="B4027">
        <v>2009</v>
      </c>
      <c r="C4027" t="s">
        <v>54</v>
      </c>
      <c r="D4027" t="s">
        <v>183</v>
      </c>
      <c r="E4027" t="s">
        <v>15</v>
      </c>
      <c r="F4027">
        <v>0.23358477652072906</v>
      </c>
    </row>
    <row r="4028" spans="2:6">
      <c r="B4028">
        <v>2010</v>
      </c>
      <c r="C4028" t="s">
        <v>54</v>
      </c>
      <c r="D4028" t="s">
        <v>183</v>
      </c>
      <c r="E4028" t="s">
        <v>7</v>
      </c>
      <c r="F4028">
        <v>7.7705154418945313</v>
      </c>
    </row>
    <row r="4029" spans="2:6">
      <c r="B4029">
        <v>2010</v>
      </c>
      <c r="C4029" t="s">
        <v>54</v>
      </c>
      <c r="D4029" t="s">
        <v>183</v>
      </c>
      <c r="E4029" t="s">
        <v>8</v>
      </c>
      <c r="F4029">
        <v>10.838536262512207</v>
      </c>
    </row>
    <row r="4030" spans="2:6">
      <c r="B4030">
        <v>2010</v>
      </c>
      <c r="C4030" t="s">
        <v>54</v>
      </c>
      <c r="D4030" t="s">
        <v>183</v>
      </c>
      <c r="E4030" t="s">
        <v>9</v>
      </c>
      <c r="F4030">
        <v>0.97497707605361938</v>
      </c>
    </row>
    <row r="4031" spans="2:6">
      <c r="B4031">
        <v>2010</v>
      </c>
      <c r="C4031" t="s">
        <v>54</v>
      </c>
      <c r="D4031" t="s">
        <v>183</v>
      </c>
      <c r="E4031" t="s">
        <v>10</v>
      </c>
      <c r="F4031">
        <v>70.400001525878906</v>
      </c>
    </row>
    <row r="4032" spans="2:6">
      <c r="B4032">
        <v>2010</v>
      </c>
      <c r="C4032" t="s">
        <v>54</v>
      </c>
      <c r="D4032" t="s">
        <v>183</v>
      </c>
      <c r="E4032" t="s">
        <v>11</v>
      </c>
      <c r="F4032">
        <v>0.94363081455230713</v>
      </c>
    </row>
    <row r="4033" spans="2:6">
      <c r="B4033">
        <v>2010</v>
      </c>
      <c r="C4033" t="s">
        <v>54</v>
      </c>
      <c r="D4033" t="s">
        <v>183</v>
      </c>
      <c r="E4033" t="s">
        <v>12</v>
      </c>
      <c r="F4033">
        <v>0.24244248867034912</v>
      </c>
    </row>
    <row r="4034" spans="2:6">
      <c r="B4034">
        <v>2010</v>
      </c>
      <c r="C4034" t="s">
        <v>54</v>
      </c>
      <c r="D4034" t="s">
        <v>183</v>
      </c>
      <c r="E4034" t="s">
        <v>13</v>
      </c>
      <c r="F4034">
        <v>0.17489609122276306</v>
      </c>
    </row>
    <row r="4035" spans="2:6">
      <c r="B4035">
        <v>2010</v>
      </c>
      <c r="C4035" t="s">
        <v>54</v>
      </c>
      <c r="D4035" t="s">
        <v>183</v>
      </c>
      <c r="E4035" t="s">
        <v>14</v>
      </c>
      <c r="F4035">
        <v>0.78482663631439209</v>
      </c>
    </row>
    <row r="4036" spans="2:6">
      <c r="B4036">
        <v>2010</v>
      </c>
      <c r="C4036" t="s">
        <v>54</v>
      </c>
      <c r="D4036" t="s">
        <v>183</v>
      </c>
      <c r="E4036" t="s">
        <v>15</v>
      </c>
      <c r="F4036">
        <v>0.15456293523311615</v>
      </c>
    </row>
    <row r="4037" spans="2:6">
      <c r="B4037">
        <v>2011</v>
      </c>
      <c r="C4037" t="s">
        <v>54</v>
      </c>
      <c r="D4037" t="s">
        <v>183</v>
      </c>
      <c r="E4037" t="s">
        <v>7</v>
      </c>
      <c r="F4037">
        <v>7.7882318496704102</v>
      </c>
    </row>
    <row r="4038" spans="2:6">
      <c r="B4038">
        <v>2011</v>
      </c>
      <c r="C4038" t="s">
        <v>54</v>
      </c>
      <c r="D4038" t="s">
        <v>183</v>
      </c>
      <c r="E4038" t="s">
        <v>8</v>
      </c>
      <c r="F4038">
        <v>10.847698211669922</v>
      </c>
    </row>
    <row r="4039" spans="2:6">
      <c r="B4039">
        <v>2011</v>
      </c>
      <c r="C4039" t="s">
        <v>54</v>
      </c>
      <c r="D4039" t="s">
        <v>183</v>
      </c>
      <c r="E4039" t="s">
        <v>9</v>
      </c>
      <c r="F4039">
        <v>0.96173614263534546</v>
      </c>
    </row>
    <row r="4040" spans="2:6">
      <c r="B4040">
        <v>2011</v>
      </c>
      <c r="C4040" t="s">
        <v>54</v>
      </c>
      <c r="D4040" t="s">
        <v>183</v>
      </c>
      <c r="E4040" t="s">
        <v>10</v>
      </c>
      <c r="F4040">
        <v>70.620002746582031</v>
      </c>
    </row>
    <row r="4041" spans="2:6">
      <c r="B4041">
        <v>2011</v>
      </c>
      <c r="C4041" t="s">
        <v>54</v>
      </c>
      <c r="D4041" t="s">
        <v>183</v>
      </c>
      <c r="E4041" t="s">
        <v>11</v>
      </c>
      <c r="F4041">
        <v>0.93476015329360962</v>
      </c>
    </row>
    <row r="4042" spans="2:6">
      <c r="B4042">
        <v>2011</v>
      </c>
      <c r="C4042" t="s">
        <v>54</v>
      </c>
      <c r="D4042" t="s">
        <v>183</v>
      </c>
      <c r="E4042" t="s">
        <v>12</v>
      </c>
      <c r="F4042">
        <v>0.2975311279296875</v>
      </c>
    </row>
    <row r="4043" spans="2:6">
      <c r="B4043">
        <v>2011</v>
      </c>
      <c r="C4043" t="s">
        <v>54</v>
      </c>
      <c r="D4043" t="s">
        <v>183</v>
      </c>
      <c r="E4043" t="s">
        <v>13</v>
      </c>
      <c r="F4043">
        <v>0.22004307806491852</v>
      </c>
    </row>
    <row r="4044" spans="2:6">
      <c r="B4044">
        <v>2011</v>
      </c>
      <c r="C4044" t="s">
        <v>54</v>
      </c>
      <c r="D4044" t="s">
        <v>183</v>
      </c>
      <c r="E4044" t="s">
        <v>14</v>
      </c>
      <c r="F4044">
        <v>0.76943600177764893</v>
      </c>
    </row>
    <row r="4045" spans="2:6">
      <c r="B4045">
        <v>2011</v>
      </c>
      <c r="C4045" t="s">
        <v>54</v>
      </c>
      <c r="D4045" t="s">
        <v>183</v>
      </c>
      <c r="E4045" t="s">
        <v>15</v>
      </c>
      <c r="F4045">
        <v>0.17488338053226471</v>
      </c>
    </row>
    <row r="4046" spans="2:6">
      <c r="B4046">
        <v>2012</v>
      </c>
      <c r="C4046" t="s">
        <v>54</v>
      </c>
      <c r="D4046" t="s">
        <v>183</v>
      </c>
      <c r="E4046" t="s">
        <v>7</v>
      </c>
      <c r="F4046">
        <v>7.5199093818664551</v>
      </c>
    </row>
    <row r="4047" spans="2:6">
      <c r="B4047">
        <v>2012</v>
      </c>
      <c r="C4047" t="s">
        <v>54</v>
      </c>
      <c r="D4047" t="s">
        <v>183</v>
      </c>
      <c r="E4047" t="s">
        <v>8</v>
      </c>
      <c r="F4047">
        <v>10.846198081970215</v>
      </c>
    </row>
    <row r="4048" spans="2:6">
      <c r="B4048">
        <v>2012</v>
      </c>
      <c r="C4048" t="s">
        <v>54</v>
      </c>
      <c r="D4048" t="s">
        <v>183</v>
      </c>
      <c r="E4048" t="s">
        <v>9</v>
      </c>
      <c r="F4048">
        <v>0.95143717527389526</v>
      </c>
    </row>
    <row r="4049" spans="2:6">
      <c r="B4049">
        <v>2012</v>
      </c>
      <c r="C4049" t="s">
        <v>54</v>
      </c>
      <c r="D4049" t="s">
        <v>183</v>
      </c>
      <c r="E4049" t="s">
        <v>10</v>
      </c>
      <c r="F4049">
        <v>70.839996337890625</v>
      </c>
    </row>
    <row r="4050" spans="2:6">
      <c r="B4050">
        <v>2012</v>
      </c>
      <c r="C4050" t="s">
        <v>54</v>
      </c>
      <c r="D4050" t="s">
        <v>183</v>
      </c>
      <c r="E4050" t="s">
        <v>11</v>
      </c>
      <c r="F4050">
        <v>0.93262791633605957</v>
      </c>
    </row>
    <row r="4051" spans="2:6">
      <c r="B4051">
        <v>2012</v>
      </c>
      <c r="C4051" t="s">
        <v>54</v>
      </c>
      <c r="D4051" t="s">
        <v>183</v>
      </c>
      <c r="E4051" t="s">
        <v>12</v>
      </c>
      <c r="F4051">
        <v>0.13876083493232727</v>
      </c>
    </row>
    <row r="4052" spans="2:6">
      <c r="B4052">
        <v>2012</v>
      </c>
      <c r="C4052" t="s">
        <v>54</v>
      </c>
      <c r="D4052" t="s">
        <v>183</v>
      </c>
      <c r="E4052" t="s">
        <v>13</v>
      </c>
      <c r="F4052">
        <v>0.18740761280059814</v>
      </c>
    </row>
    <row r="4053" spans="2:6">
      <c r="B4053">
        <v>2012</v>
      </c>
      <c r="C4053" t="s">
        <v>54</v>
      </c>
      <c r="D4053" t="s">
        <v>183</v>
      </c>
      <c r="E4053" t="s">
        <v>14</v>
      </c>
      <c r="F4053">
        <v>0.77376359701156616</v>
      </c>
    </row>
    <row r="4054" spans="2:6">
      <c r="B4054">
        <v>2012</v>
      </c>
      <c r="C4054" t="s">
        <v>54</v>
      </c>
      <c r="D4054" t="s">
        <v>183</v>
      </c>
      <c r="E4054" t="s">
        <v>15</v>
      </c>
      <c r="F4054">
        <v>0.20856951177120209</v>
      </c>
    </row>
    <row r="4055" spans="2:6">
      <c r="B4055">
        <v>2013</v>
      </c>
      <c r="C4055" t="s">
        <v>54</v>
      </c>
      <c r="D4055" t="s">
        <v>183</v>
      </c>
      <c r="E4055" t="s">
        <v>7</v>
      </c>
      <c r="F4055">
        <v>7.5886068344116211</v>
      </c>
    </row>
    <row r="4056" spans="2:6">
      <c r="B4056">
        <v>2013</v>
      </c>
      <c r="C4056" t="s">
        <v>54</v>
      </c>
      <c r="D4056" t="s">
        <v>183</v>
      </c>
      <c r="E4056" t="s">
        <v>8</v>
      </c>
      <c r="F4056">
        <v>10.851319313049316</v>
      </c>
    </row>
    <row r="4057" spans="2:6">
      <c r="B4057">
        <v>2013</v>
      </c>
      <c r="C4057" t="s">
        <v>54</v>
      </c>
      <c r="D4057" t="s">
        <v>183</v>
      </c>
      <c r="E4057" t="s">
        <v>9</v>
      </c>
      <c r="F4057">
        <v>0.96470797061920166</v>
      </c>
    </row>
    <row r="4058" spans="2:6">
      <c r="B4058">
        <v>2013</v>
      </c>
      <c r="C4058" t="s">
        <v>54</v>
      </c>
      <c r="D4058" t="s">
        <v>183</v>
      </c>
      <c r="E4058" t="s">
        <v>10</v>
      </c>
      <c r="F4058">
        <v>71.05999755859375</v>
      </c>
    </row>
    <row r="4059" spans="2:6">
      <c r="B4059">
        <v>2013</v>
      </c>
      <c r="C4059" t="s">
        <v>54</v>
      </c>
      <c r="D4059" t="s">
        <v>183</v>
      </c>
      <c r="E4059" t="s">
        <v>11</v>
      </c>
      <c r="F4059">
        <v>0.92025464773178101</v>
      </c>
    </row>
    <row r="4060" spans="2:6">
      <c r="B4060">
        <v>2013</v>
      </c>
      <c r="C4060" t="s">
        <v>54</v>
      </c>
      <c r="D4060" t="s">
        <v>183</v>
      </c>
      <c r="E4060" t="s">
        <v>12</v>
      </c>
      <c r="F4060">
        <v>0.21479260921478271</v>
      </c>
    </row>
    <row r="4061" spans="2:6">
      <c r="B4061">
        <v>2013</v>
      </c>
      <c r="C4061" t="s">
        <v>54</v>
      </c>
      <c r="D4061" t="s">
        <v>183</v>
      </c>
      <c r="E4061" t="s">
        <v>13</v>
      </c>
      <c r="F4061">
        <v>0.17004217207431793</v>
      </c>
    </row>
    <row r="4062" spans="2:6">
      <c r="B4062">
        <v>2013</v>
      </c>
      <c r="C4062" t="s">
        <v>54</v>
      </c>
      <c r="D4062" t="s">
        <v>183</v>
      </c>
      <c r="E4062" t="s">
        <v>14</v>
      </c>
      <c r="F4062">
        <v>0.8623468279838562</v>
      </c>
    </row>
    <row r="4063" spans="2:6">
      <c r="B4063">
        <v>2013</v>
      </c>
      <c r="C4063" t="s">
        <v>54</v>
      </c>
      <c r="D4063" t="s">
        <v>183</v>
      </c>
      <c r="E4063" t="s">
        <v>15</v>
      </c>
      <c r="F4063">
        <v>0.19467379152774811</v>
      </c>
    </row>
    <row r="4064" spans="2:6">
      <c r="B4064">
        <v>2014</v>
      </c>
      <c r="C4064" t="s">
        <v>54</v>
      </c>
      <c r="D4064" t="s">
        <v>183</v>
      </c>
      <c r="E4064" t="s">
        <v>7</v>
      </c>
      <c r="F4064">
        <v>7.5075592994689941</v>
      </c>
    </row>
    <row r="4065" spans="2:6">
      <c r="B4065">
        <v>2014</v>
      </c>
      <c r="C4065" t="s">
        <v>54</v>
      </c>
      <c r="D4065" t="s">
        <v>183</v>
      </c>
      <c r="E4065" t="s">
        <v>8</v>
      </c>
      <c r="F4065">
        <v>10.862313270568848</v>
      </c>
    </row>
    <row r="4066" spans="2:6">
      <c r="B4066">
        <v>2014</v>
      </c>
      <c r="C4066" t="s">
        <v>54</v>
      </c>
      <c r="D4066" t="s">
        <v>183</v>
      </c>
      <c r="E4066" t="s">
        <v>9</v>
      </c>
      <c r="F4066">
        <v>0.95634430646896362</v>
      </c>
    </row>
    <row r="4067" spans="2:6">
      <c r="B4067">
        <v>2014</v>
      </c>
      <c r="C4067" t="s">
        <v>54</v>
      </c>
      <c r="D4067" t="s">
        <v>183</v>
      </c>
      <c r="E4067" t="s">
        <v>10</v>
      </c>
      <c r="F4067">
        <v>71.279998779296875</v>
      </c>
    </row>
    <row r="4068" spans="2:6">
      <c r="B4068">
        <v>2014</v>
      </c>
      <c r="C4068" t="s">
        <v>54</v>
      </c>
      <c r="D4068" t="s">
        <v>183</v>
      </c>
      <c r="E4068" t="s">
        <v>11</v>
      </c>
      <c r="F4068">
        <v>0.94157224893569946</v>
      </c>
    </row>
    <row r="4069" spans="2:6">
      <c r="B4069">
        <v>2014</v>
      </c>
      <c r="C4069" t="s">
        <v>54</v>
      </c>
      <c r="D4069" t="s">
        <v>183</v>
      </c>
      <c r="E4069" t="s">
        <v>12</v>
      </c>
      <c r="F4069">
        <v>0.11803747713565826</v>
      </c>
    </row>
    <row r="4070" spans="2:6">
      <c r="B4070">
        <v>2014</v>
      </c>
      <c r="C4070" t="s">
        <v>54</v>
      </c>
      <c r="D4070" t="s">
        <v>183</v>
      </c>
      <c r="E4070" t="s">
        <v>13</v>
      </c>
      <c r="F4070">
        <v>0.23721833527088165</v>
      </c>
    </row>
    <row r="4071" spans="2:6">
      <c r="B4071">
        <v>2014</v>
      </c>
      <c r="C4071" t="s">
        <v>54</v>
      </c>
      <c r="D4071" t="s">
        <v>183</v>
      </c>
      <c r="E4071" t="s">
        <v>14</v>
      </c>
      <c r="F4071">
        <v>0.83248293399810791</v>
      </c>
    </row>
    <row r="4072" spans="2:6">
      <c r="B4072">
        <v>2014</v>
      </c>
      <c r="C4072" t="s">
        <v>54</v>
      </c>
      <c r="D4072" t="s">
        <v>183</v>
      </c>
      <c r="E4072" t="s">
        <v>15</v>
      </c>
      <c r="F4072">
        <v>0.23261277377605438</v>
      </c>
    </row>
    <row r="4073" spans="2:6">
      <c r="B4073">
        <v>2015</v>
      </c>
      <c r="C4073" t="s">
        <v>54</v>
      </c>
      <c r="D4073" t="s">
        <v>183</v>
      </c>
      <c r="E4073" t="s">
        <v>7</v>
      </c>
      <c r="F4073">
        <v>7.5144248008728027</v>
      </c>
    </row>
    <row r="4074" spans="2:6">
      <c r="B4074">
        <v>2015</v>
      </c>
      <c r="C4074" t="s">
        <v>54</v>
      </c>
      <c r="D4074" t="s">
        <v>183</v>
      </c>
      <c r="E4074" t="s">
        <v>8</v>
      </c>
      <c r="F4074">
        <v>10.87840461730957</v>
      </c>
    </row>
    <row r="4075" spans="2:6">
      <c r="B4075">
        <v>2015</v>
      </c>
      <c r="C4075" t="s">
        <v>54</v>
      </c>
      <c r="D4075" t="s">
        <v>183</v>
      </c>
      <c r="E4075" t="s">
        <v>9</v>
      </c>
      <c r="F4075">
        <v>0.9597012996673584</v>
      </c>
    </row>
    <row r="4076" spans="2:6">
      <c r="B4076">
        <v>2015</v>
      </c>
      <c r="C4076" t="s">
        <v>54</v>
      </c>
      <c r="D4076" t="s">
        <v>183</v>
      </c>
      <c r="E4076" t="s">
        <v>10</v>
      </c>
      <c r="F4076">
        <v>71.5</v>
      </c>
    </row>
    <row r="4077" spans="2:6">
      <c r="B4077">
        <v>2015</v>
      </c>
      <c r="C4077" t="s">
        <v>54</v>
      </c>
      <c r="D4077" t="s">
        <v>183</v>
      </c>
      <c r="E4077" t="s">
        <v>11</v>
      </c>
      <c r="F4077">
        <v>0.94143640995025635</v>
      </c>
    </row>
    <row r="4078" spans="2:6">
      <c r="B4078">
        <v>2015</v>
      </c>
      <c r="C4078" t="s">
        <v>54</v>
      </c>
      <c r="D4078" t="s">
        <v>183</v>
      </c>
      <c r="E4078" t="s">
        <v>12</v>
      </c>
      <c r="F4078">
        <v>0.22208371758460999</v>
      </c>
    </row>
    <row r="4079" spans="2:6">
      <c r="B4079">
        <v>2015</v>
      </c>
      <c r="C4079" t="s">
        <v>54</v>
      </c>
      <c r="D4079" t="s">
        <v>183</v>
      </c>
      <c r="E4079" t="s">
        <v>13</v>
      </c>
      <c r="F4079">
        <v>0.19101639091968536</v>
      </c>
    </row>
    <row r="4080" spans="2:6">
      <c r="B4080">
        <v>2015</v>
      </c>
      <c r="C4080" t="s">
        <v>54</v>
      </c>
      <c r="D4080" t="s">
        <v>183</v>
      </c>
      <c r="E4080" t="s">
        <v>14</v>
      </c>
      <c r="F4080">
        <v>0.82921749353408813</v>
      </c>
    </row>
    <row r="4081" spans="2:6">
      <c r="B4081">
        <v>2015</v>
      </c>
      <c r="C4081" t="s">
        <v>54</v>
      </c>
      <c r="D4081" t="s">
        <v>183</v>
      </c>
      <c r="E4081" t="s">
        <v>15</v>
      </c>
      <c r="F4081">
        <v>0.21757757663726807</v>
      </c>
    </row>
    <row r="4082" spans="2:6">
      <c r="B4082">
        <v>2016</v>
      </c>
      <c r="C4082" t="s">
        <v>54</v>
      </c>
      <c r="D4082" t="s">
        <v>183</v>
      </c>
      <c r="E4082" t="s">
        <v>7</v>
      </c>
      <c r="F4082">
        <v>7.5577826499938965</v>
      </c>
    </row>
    <row r="4083" spans="2:6">
      <c r="B4083">
        <v>2016</v>
      </c>
      <c r="C4083" t="s">
        <v>54</v>
      </c>
      <c r="D4083" t="s">
        <v>183</v>
      </c>
      <c r="E4083" t="s">
        <v>8</v>
      </c>
      <c r="F4083">
        <v>10.902544021606445</v>
      </c>
    </row>
    <row r="4084" spans="2:6">
      <c r="B4084">
        <v>2016</v>
      </c>
      <c r="C4084" t="s">
        <v>54</v>
      </c>
      <c r="D4084" t="s">
        <v>183</v>
      </c>
      <c r="E4084" t="s">
        <v>9</v>
      </c>
      <c r="F4084">
        <v>0.95445150136947632</v>
      </c>
    </row>
    <row r="4085" spans="2:6">
      <c r="B4085">
        <v>2016</v>
      </c>
      <c r="C4085" t="s">
        <v>54</v>
      </c>
      <c r="D4085" t="s">
        <v>183</v>
      </c>
      <c r="E4085" t="s">
        <v>10</v>
      </c>
      <c r="F4085">
        <v>71.800003051757813</v>
      </c>
    </row>
    <row r="4086" spans="2:6">
      <c r="B4086">
        <v>2016</v>
      </c>
      <c r="C4086" t="s">
        <v>54</v>
      </c>
      <c r="D4086" t="s">
        <v>183</v>
      </c>
      <c r="E4086" t="s">
        <v>11</v>
      </c>
      <c r="F4086">
        <v>0.9482305645942688</v>
      </c>
    </row>
    <row r="4087" spans="2:6">
      <c r="B4087">
        <v>2016</v>
      </c>
      <c r="C4087" t="s">
        <v>54</v>
      </c>
      <c r="D4087" t="s">
        <v>183</v>
      </c>
      <c r="E4087" t="s">
        <v>12</v>
      </c>
      <c r="F4087">
        <v>0.13780741393566132</v>
      </c>
    </row>
    <row r="4088" spans="2:6">
      <c r="B4088">
        <v>2016</v>
      </c>
      <c r="C4088" t="s">
        <v>54</v>
      </c>
      <c r="D4088" t="s">
        <v>183</v>
      </c>
      <c r="E4088" t="s">
        <v>13</v>
      </c>
      <c r="F4088">
        <v>0.20989337563514709</v>
      </c>
    </row>
    <row r="4089" spans="2:6">
      <c r="B4089">
        <v>2016</v>
      </c>
      <c r="C4089" t="s">
        <v>54</v>
      </c>
      <c r="D4089" t="s">
        <v>183</v>
      </c>
      <c r="E4089" t="s">
        <v>14</v>
      </c>
      <c r="F4089">
        <v>0.83611571788787842</v>
      </c>
    </row>
    <row r="4090" spans="2:6">
      <c r="B4090">
        <v>2016</v>
      </c>
      <c r="C4090" t="s">
        <v>54</v>
      </c>
      <c r="D4090" t="s">
        <v>183</v>
      </c>
      <c r="E4090" t="s">
        <v>15</v>
      </c>
      <c r="F4090">
        <v>0.20758342742919922</v>
      </c>
    </row>
    <row r="4091" spans="2:6">
      <c r="B4091">
        <v>2017</v>
      </c>
      <c r="C4091" t="s">
        <v>54</v>
      </c>
      <c r="D4091" t="s">
        <v>183</v>
      </c>
      <c r="E4091" t="s">
        <v>7</v>
      </c>
      <c r="F4091">
        <v>7.5937023162841797</v>
      </c>
    </row>
    <row r="4092" spans="2:6">
      <c r="B4092">
        <v>2017</v>
      </c>
      <c r="C4092" t="s">
        <v>54</v>
      </c>
      <c r="D4092" t="s">
        <v>183</v>
      </c>
      <c r="E4092" t="s">
        <v>8</v>
      </c>
      <c r="F4092">
        <v>10.916268348693848</v>
      </c>
    </row>
    <row r="4093" spans="2:6">
      <c r="B4093">
        <v>2017</v>
      </c>
      <c r="C4093" t="s">
        <v>54</v>
      </c>
      <c r="D4093" t="s">
        <v>183</v>
      </c>
      <c r="E4093" t="s">
        <v>9</v>
      </c>
      <c r="F4093">
        <v>0.95210009813308716</v>
      </c>
    </row>
    <row r="4094" spans="2:6">
      <c r="B4094">
        <v>2017</v>
      </c>
      <c r="C4094" t="s">
        <v>54</v>
      </c>
      <c r="D4094" t="s">
        <v>183</v>
      </c>
      <c r="E4094" t="s">
        <v>10</v>
      </c>
      <c r="F4094">
        <v>72.099998474121094</v>
      </c>
    </row>
    <row r="4095" spans="2:6">
      <c r="B4095">
        <v>2017</v>
      </c>
      <c r="C4095" t="s">
        <v>54</v>
      </c>
      <c r="D4095" t="s">
        <v>183</v>
      </c>
      <c r="E4095" t="s">
        <v>11</v>
      </c>
      <c r="F4095">
        <v>0.95541632175445557</v>
      </c>
    </row>
    <row r="4096" spans="2:6">
      <c r="B4096">
        <v>2017</v>
      </c>
      <c r="C4096" t="s">
        <v>54</v>
      </c>
      <c r="D4096" t="s">
        <v>183</v>
      </c>
      <c r="E4096" t="s">
        <v>12</v>
      </c>
      <c r="F4096">
        <v>0.15543529391288757</v>
      </c>
    </row>
    <row r="4097" spans="2:6">
      <c r="B4097">
        <v>2017</v>
      </c>
      <c r="C4097" t="s">
        <v>54</v>
      </c>
      <c r="D4097" t="s">
        <v>183</v>
      </c>
      <c r="E4097" t="s">
        <v>13</v>
      </c>
      <c r="F4097">
        <v>0.18114756047725677</v>
      </c>
    </row>
    <row r="4098" spans="2:6">
      <c r="B4098">
        <v>2017</v>
      </c>
      <c r="C4098" t="s">
        <v>54</v>
      </c>
      <c r="D4098" t="s">
        <v>183</v>
      </c>
      <c r="E4098" t="s">
        <v>14</v>
      </c>
      <c r="F4098">
        <v>0.82366740703582764</v>
      </c>
    </row>
    <row r="4099" spans="2:6">
      <c r="B4099">
        <v>2017</v>
      </c>
      <c r="C4099" t="s">
        <v>54</v>
      </c>
      <c r="D4099" t="s">
        <v>183</v>
      </c>
      <c r="E4099" t="s">
        <v>15</v>
      </c>
      <c r="F4099">
        <v>0.20577530562877655</v>
      </c>
    </row>
    <row r="4100" spans="2:6">
      <c r="B4100">
        <v>2018</v>
      </c>
      <c r="C4100" t="s">
        <v>54</v>
      </c>
      <c r="D4100" t="s">
        <v>183</v>
      </c>
      <c r="E4100" t="s">
        <v>7</v>
      </c>
      <c r="F4100">
        <v>7.6487855911254883</v>
      </c>
    </row>
    <row r="4101" spans="2:6">
      <c r="B4101">
        <v>2018</v>
      </c>
      <c r="C4101" t="s">
        <v>54</v>
      </c>
      <c r="D4101" t="s">
        <v>183</v>
      </c>
      <c r="E4101" t="s">
        <v>8</v>
      </c>
      <c r="F4101">
        <v>10.934941291809082</v>
      </c>
    </row>
    <row r="4102" spans="2:6">
      <c r="B4102">
        <v>2018</v>
      </c>
      <c r="C4102" t="s">
        <v>54</v>
      </c>
      <c r="D4102" t="s">
        <v>183</v>
      </c>
      <c r="E4102" t="s">
        <v>9</v>
      </c>
      <c r="F4102">
        <v>0.95821887254714966</v>
      </c>
    </row>
    <row r="4103" spans="2:6">
      <c r="B4103">
        <v>2018</v>
      </c>
      <c r="C4103" t="s">
        <v>54</v>
      </c>
      <c r="D4103" t="s">
        <v>183</v>
      </c>
      <c r="E4103" t="s">
        <v>10</v>
      </c>
      <c r="F4103">
        <v>72.400001525878906</v>
      </c>
    </row>
    <row r="4104" spans="2:6">
      <c r="B4104">
        <v>2018</v>
      </c>
      <c r="C4104" t="s">
        <v>54</v>
      </c>
      <c r="D4104" t="s">
        <v>183</v>
      </c>
      <c r="E4104" t="s">
        <v>11</v>
      </c>
      <c r="F4104">
        <v>0.93543779850006104</v>
      </c>
    </row>
    <row r="4105" spans="2:6">
      <c r="B4105">
        <v>2018</v>
      </c>
      <c r="C4105" t="s">
        <v>54</v>
      </c>
      <c r="D4105" t="s">
        <v>183</v>
      </c>
      <c r="E4105" t="s">
        <v>12</v>
      </c>
      <c r="F4105">
        <v>1.799970306456089E-2</v>
      </c>
    </row>
    <row r="4106" spans="2:6">
      <c r="B4106">
        <v>2018</v>
      </c>
      <c r="C4106" t="s">
        <v>54</v>
      </c>
      <c r="D4106" t="s">
        <v>183</v>
      </c>
      <c r="E4106" t="s">
        <v>13</v>
      </c>
      <c r="F4106">
        <v>0.15060743689537048</v>
      </c>
    </row>
    <row r="4107" spans="2:6">
      <c r="B4107">
        <v>2018</v>
      </c>
      <c r="C4107" t="s">
        <v>54</v>
      </c>
      <c r="D4107" t="s">
        <v>183</v>
      </c>
      <c r="E4107" t="s">
        <v>14</v>
      </c>
      <c r="F4107">
        <v>0.82142263650894165</v>
      </c>
    </row>
    <row r="4108" spans="2:6">
      <c r="B4108">
        <v>2018</v>
      </c>
      <c r="C4108" t="s">
        <v>54</v>
      </c>
      <c r="D4108" t="s">
        <v>183</v>
      </c>
      <c r="E4108" t="s">
        <v>15</v>
      </c>
      <c r="F4108">
        <v>0.20605280995368958</v>
      </c>
    </row>
    <row r="4109" spans="2:6">
      <c r="B4109">
        <v>2019</v>
      </c>
      <c r="C4109" t="s">
        <v>54</v>
      </c>
      <c r="D4109" t="s">
        <v>183</v>
      </c>
      <c r="E4109" t="s">
        <v>7</v>
      </c>
      <c r="F4109">
        <v>7.6930031776428223</v>
      </c>
    </row>
    <row r="4110" spans="2:6">
      <c r="B4110">
        <v>2019</v>
      </c>
      <c r="C4110" t="s">
        <v>54</v>
      </c>
      <c r="D4110" t="s">
        <v>183</v>
      </c>
      <c r="E4110" t="s">
        <v>8</v>
      </c>
      <c r="F4110">
        <v>10.954032897949219</v>
      </c>
    </row>
    <row r="4111" spans="2:6">
      <c r="B4111">
        <v>2019</v>
      </c>
      <c r="C4111" t="s">
        <v>54</v>
      </c>
      <c r="D4111" t="s">
        <v>183</v>
      </c>
      <c r="E4111" t="s">
        <v>9</v>
      </c>
      <c r="F4111">
        <v>0.95770639181137085</v>
      </c>
    </row>
    <row r="4112" spans="2:6">
      <c r="B4112">
        <v>2019</v>
      </c>
      <c r="C4112" t="s">
        <v>54</v>
      </c>
      <c r="D4112" t="s">
        <v>183</v>
      </c>
      <c r="E4112" t="s">
        <v>10</v>
      </c>
      <c r="F4112">
        <v>72.699996948242188</v>
      </c>
    </row>
    <row r="4113" spans="2:6">
      <c r="B4113">
        <v>2019</v>
      </c>
      <c r="C4113" t="s">
        <v>54</v>
      </c>
      <c r="D4113" t="s">
        <v>183</v>
      </c>
      <c r="E4113" t="s">
        <v>11</v>
      </c>
      <c r="F4113">
        <v>0.96331840753555298</v>
      </c>
    </row>
    <row r="4114" spans="2:6">
      <c r="B4114">
        <v>2019</v>
      </c>
      <c r="C4114" t="s">
        <v>54</v>
      </c>
      <c r="D4114" t="s">
        <v>183</v>
      </c>
      <c r="E4114" t="s">
        <v>12</v>
      </c>
      <c r="F4114">
        <v>2.0323727279901505E-2</v>
      </c>
    </row>
    <row r="4115" spans="2:6">
      <c r="B4115">
        <v>2019</v>
      </c>
      <c r="C4115" t="s">
        <v>54</v>
      </c>
      <c r="D4115" t="s">
        <v>183</v>
      </c>
      <c r="E4115" t="s">
        <v>13</v>
      </c>
      <c r="F4115">
        <v>0.17415058612823486</v>
      </c>
    </row>
    <row r="4116" spans="2:6">
      <c r="B4116">
        <v>2019</v>
      </c>
      <c r="C4116" t="s">
        <v>54</v>
      </c>
      <c r="D4116" t="s">
        <v>183</v>
      </c>
      <c r="E4116" t="s">
        <v>14</v>
      </c>
      <c r="F4116">
        <v>0.86193501949310303</v>
      </c>
    </row>
    <row r="4117" spans="2:6">
      <c r="B4117">
        <v>2019</v>
      </c>
      <c r="C4117" t="s">
        <v>54</v>
      </c>
      <c r="D4117" t="s">
        <v>183</v>
      </c>
      <c r="E4117" t="s">
        <v>15</v>
      </c>
      <c r="F4117">
        <v>0.18107062578201294</v>
      </c>
    </row>
    <row r="4118" spans="2:6">
      <c r="B4118">
        <v>2020</v>
      </c>
      <c r="C4118" t="s">
        <v>54</v>
      </c>
      <c r="D4118" t="s">
        <v>183</v>
      </c>
      <c r="E4118" t="s">
        <v>7</v>
      </c>
      <c r="F4118">
        <v>7.5146312713623047</v>
      </c>
    </row>
    <row r="4119" spans="2:6">
      <c r="B4119">
        <v>2020</v>
      </c>
      <c r="C4119" t="s">
        <v>54</v>
      </c>
      <c r="D4119" t="s">
        <v>183</v>
      </c>
      <c r="E4119" t="s">
        <v>8</v>
      </c>
      <c r="F4119">
        <v>10.909995079040527</v>
      </c>
    </row>
    <row r="4120" spans="2:6">
      <c r="B4120">
        <v>2020</v>
      </c>
      <c r="C4120" t="s">
        <v>54</v>
      </c>
      <c r="D4120" t="s">
        <v>183</v>
      </c>
      <c r="E4120" t="s">
        <v>9</v>
      </c>
      <c r="F4120">
        <v>0.94737136363983154</v>
      </c>
    </row>
    <row r="4121" spans="2:6">
      <c r="B4121">
        <v>2020</v>
      </c>
      <c r="C4121" t="s">
        <v>54</v>
      </c>
      <c r="D4121" t="s">
        <v>183</v>
      </c>
      <c r="E4121" t="s">
        <v>10</v>
      </c>
      <c r="F4121">
        <v>73</v>
      </c>
    </row>
    <row r="4122" spans="2:6">
      <c r="B4122">
        <v>2020</v>
      </c>
      <c r="C4122" t="s">
        <v>54</v>
      </c>
      <c r="D4122" t="s">
        <v>183</v>
      </c>
      <c r="E4122" t="s">
        <v>11</v>
      </c>
      <c r="F4122">
        <v>0.93793183565139771</v>
      </c>
    </row>
    <row r="4123" spans="2:6">
      <c r="B4123">
        <v>2020</v>
      </c>
      <c r="C4123" t="s">
        <v>54</v>
      </c>
      <c r="D4123" t="s">
        <v>183</v>
      </c>
      <c r="E4123" t="s">
        <v>12</v>
      </c>
      <c r="F4123">
        <v>5.2293024957180023E-2</v>
      </c>
    </row>
    <row r="4124" spans="2:6">
      <c r="B4124">
        <v>2020</v>
      </c>
      <c r="C4124" t="s">
        <v>54</v>
      </c>
      <c r="D4124" t="s">
        <v>183</v>
      </c>
      <c r="E4124" t="s">
        <v>13</v>
      </c>
      <c r="F4124">
        <v>0.2138417512178421</v>
      </c>
    </row>
    <row r="4125" spans="2:6">
      <c r="B4125">
        <v>2020</v>
      </c>
      <c r="C4125" t="s">
        <v>54</v>
      </c>
      <c r="D4125" t="s">
        <v>183</v>
      </c>
      <c r="E4125" t="s">
        <v>14</v>
      </c>
      <c r="F4125">
        <v>0.81766366958618164</v>
      </c>
    </row>
    <row r="4126" spans="2:6">
      <c r="B4126">
        <v>2020</v>
      </c>
      <c r="C4126" t="s">
        <v>54</v>
      </c>
      <c r="D4126" t="s">
        <v>183</v>
      </c>
      <c r="E4126" t="s">
        <v>15</v>
      </c>
      <c r="F4126">
        <v>0.2271018922328949</v>
      </c>
    </row>
    <row r="4127" spans="2:6">
      <c r="B4127">
        <v>2008</v>
      </c>
      <c r="C4127" t="s">
        <v>55</v>
      </c>
      <c r="D4127" t="s">
        <v>184</v>
      </c>
      <c r="E4127" t="s">
        <v>7</v>
      </c>
      <c r="F4127">
        <v>5.0093302726745605</v>
      </c>
    </row>
    <row r="4128" spans="2:6">
      <c r="B4128">
        <v>2008</v>
      </c>
      <c r="C4128" t="s">
        <v>55</v>
      </c>
      <c r="D4128" t="s">
        <v>184</v>
      </c>
      <c r="E4128" t="s">
        <v>8</v>
      </c>
      <c r="F4128">
        <v>8.1111993789672852</v>
      </c>
    </row>
    <row r="4129" spans="2:6">
      <c r="B4129">
        <v>2008</v>
      </c>
      <c r="C4129" t="s">
        <v>55</v>
      </c>
      <c r="D4129" t="s">
        <v>184</v>
      </c>
      <c r="E4129" t="s">
        <v>9</v>
      </c>
      <c r="F4129">
        <v>0.69043958187103271</v>
      </c>
    </row>
    <row r="4130" spans="2:6">
      <c r="B4130">
        <v>2008</v>
      </c>
      <c r="C4130" t="s">
        <v>55</v>
      </c>
      <c r="D4130" t="s">
        <v>184</v>
      </c>
      <c r="E4130" t="s">
        <v>10</v>
      </c>
      <c r="F4130">
        <v>53.259998321533203</v>
      </c>
    </row>
    <row r="4131" spans="2:6">
      <c r="B4131">
        <v>2008</v>
      </c>
      <c r="C4131" t="s">
        <v>55</v>
      </c>
      <c r="D4131" t="s">
        <v>184</v>
      </c>
      <c r="E4131" t="s">
        <v>11</v>
      </c>
      <c r="F4131">
        <v>0.77345669269561768</v>
      </c>
    </row>
    <row r="4132" spans="2:6">
      <c r="B4132">
        <v>2008</v>
      </c>
      <c r="C4132" t="s">
        <v>55</v>
      </c>
      <c r="D4132" t="s">
        <v>184</v>
      </c>
      <c r="E4132" t="s">
        <v>12</v>
      </c>
      <c r="F4132">
        <v>0.12871977686882019</v>
      </c>
    </row>
    <row r="4133" spans="2:6">
      <c r="B4133">
        <v>2008</v>
      </c>
      <c r="C4133" t="s">
        <v>55</v>
      </c>
      <c r="D4133" t="s">
        <v>184</v>
      </c>
      <c r="E4133" t="s">
        <v>13</v>
      </c>
      <c r="F4133">
        <v>0.57609766721725464</v>
      </c>
    </row>
    <row r="4134" spans="2:6">
      <c r="B4134">
        <v>2008</v>
      </c>
      <c r="C4134" t="s">
        <v>55</v>
      </c>
      <c r="D4134" t="s">
        <v>184</v>
      </c>
      <c r="E4134" t="s">
        <v>14</v>
      </c>
      <c r="F4134">
        <v>0.75454580783843994</v>
      </c>
    </row>
    <row r="4135" spans="2:6">
      <c r="B4135">
        <v>2008</v>
      </c>
      <c r="C4135" t="s">
        <v>55</v>
      </c>
      <c r="D4135" t="s">
        <v>184</v>
      </c>
      <c r="E4135" t="s">
        <v>15</v>
      </c>
      <c r="F4135">
        <v>0.12019216269254684</v>
      </c>
    </row>
    <row r="4136" spans="2:6">
      <c r="B4136">
        <v>2009</v>
      </c>
      <c r="C4136" t="s">
        <v>55</v>
      </c>
      <c r="D4136" t="s">
        <v>184</v>
      </c>
      <c r="E4136" t="s">
        <v>7</v>
      </c>
      <c r="F4136">
        <v>4.9059252738952637</v>
      </c>
    </row>
    <row r="4137" spans="2:6">
      <c r="B4137">
        <v>2009</v>
      </c>
      <c r="C4137" t="s">
        <v>55</v>
      </c>
      <c r="D4137" t="s">
        <v>184</v>
      </c>
      <c r="E4137" t="s">
        <v>8</v>
      </c>
      <c r="F4137">
        <v>7.9265561103820801</v>
      </c>
    </row>
    <row r="4138" spans="2:6">
      <c r="B4138">
        <v>2009</v>
      </c>
      <c r="C4138" t="s">
        <v>55</v>
      </c>
      <c r="D4138" t="s">
        <v>184</v>
      </c>
      <c r="E4138" t="s">
        <v>9</v>
      </c>
      <c r="F4138">
        <v>0.90056502819061279</v>
      </c>
    </row>
    <row r="4139" spans="2:6">
      <c r="B4139">
        <v>2009</v>
      </c>
      <c r="C4139" t="s">
        <v>55</v>
      </c>
      <c r="D4139" t="s">
        <v>184</v>
      </c>
      <c r="E4139" t="s">
        <v>10</v>
      </c>
      <c r="F4139">
        <v>53.779998779296875</v>
      </c>
    </row>
    <row r="4140" spans="2:6">
      <c r="B4140">
        <v>2009</v>
      </c>
      <c r="C4140" t="s">
        <v>55</v>
      </c>
      <c r="D4140" t="s">
        <v>184</v>
      </c>
      <c r="E4140" t="s">
        <v>11</v>
      </c>
      <c r="F4140">
        <v>0.64931601285934448</v>
      </c>
    </row>
    <row r="4141" spans="2:6">
      <c r="B4141">
        <v>2009</v>
      </c>
      <c r="C4141" t="s">
        <v>55</v>
      </c>
      <c r="D4141" t="s">
        <v>184</v>
      </c>
      <c r="E4141" t="s">
        <v>12</v>
      </c>
      <c r="F4141">
        <v>4.6826149336993694E-3</v>
      </c>
    </row>
    <row r="4142" spans="2:6">
      <c r="B4142">
        <v>2009</v>
      </c>
      <c r="C4142" t="s">
        <v>55</v>
      </c>
      <c r="D4142" t="s">
        <v>184</v>
      </c>
      <c r="E4142" t="s">
        <v>13</v>
      </c>
      <c r="F4142">
        <v>0.63422280550003052</v>
      </c>
    </row>
    <row r="4143" spans="2:6">
      <c r="B4143">
        <v>2009</v>
      </c>
      <c r="C4143" t="s">
        <v>55</v>
      </c>
      <c r="D4143" t="s">
        <v>184</v>
      </c>
      <c r="E4143" t="s">
        <v>14</v>
      </c>
      <c r="F4143">
        <v>0.66216754913330078</v>
      </c>
    </row>
    <row r="4144" spans="2:6">
      <c r="B4144">
        <v>2009</v>
      </c>
      <c r="C4144" t="s">
        <v>55</v>
      </c>
      <c r="D4144" t="s">
        <v>184</v>
      </c>
      <c r="E4144" t="s">
        <v>15</v>
      </c>
      <c r="F4144">
        <v>0.23213280737400055</v>
      </c>
    </row>
    <row r="4145" spans="2:6">
      <c r="B4145">
        <v>2010</v>
      </c>
      <c r="C4145" t="s">
        <v>55</v>
      </c>
      <c r="D4145" t="s">
        <v>184</v>
      </c>
      <c r="E4145" t="s">
        <v>7</v>
      </c>
      <c r="F4145">
        <v>5.0058107376098633</v>
      </c>
    </row>
    <row r="4146" spans="2:6">
      <c r="B4146">
        <v>2010</v>
      </c>
      <c r="C4146" t="s">
        <v>55</v>
      </c>
      <c r="D4146" t="s">
        <v>184</v>
      </c>
      <c r="E4146" t="s">
        <v>8</v>
      </c>
      <c r="F4146">
        <v>7.8118629455566406</v>
      </c>
    </row>
    <row r="4147" spans="2:6">
      <c r="B4147">
        <v>2010</v>
      </c>
      <c r="C4147" t="s">
        <v>55</v>
      </c>
      <c r="D4147" t="s">
        <v>184</v>
      </c>
      <c r="E4147" t="s">
        <v>10</v>
      </c>
      <c r="F4147">
        <v>54.299999237060547</v>
      </c>
    </row>
    <row r="4148" spans="2:6">
      <c r="B4148">
        <v>2010</v>
      </c>
      <c r="C4148" t="s">
        <v>55</v>
      </c>
      <c r="D4148" t="s">
        <v>184</v>
      </c>
      <c r="E4148" t="s">
        <v>11</v>
      </c>
      <c r="F4148">
        <v>0.76373034715652466</v>
      </c>
    </row>
    <row r="4149" spans="2:6">
      <c r="B4149">
        <v>2010</v>
      </c>
      <c r="C4149" t="s">
        <v>55</v>
      </c>
      <c r="D4149" t="s">
        <v>184</v>
      </c>
      <c r="E4149" t="s">
        <v>12</v>
      </c>
      <c r="F4149">
        <v>-5.8335963636636734E-2</v>
      </c>
    </row>
    <row r="4150" spans="2:6">
      <c r="B4150">
        <v>2010</v>
      </c>
      <c r="C4150" t="s">
        <v>55</v>
      </c>
      <c r="D4150" t="s">
        <v>184</v>
      </c>
      <c r="E4150" t="s">
        <v>13</v>
      </c>
      <c r="F4150">
        <v>0.59691023826599121</v>
      </c>
    </row>
    <row r="4151" spans="2:6">
      <c r="B4151">
        <v>2011</v>
      </c>
      <c r="C4151" t="s">
        <v>55</v>
      </c>
      <c r="D4151" t="s">
        <v>184</v>
      </c>
      <c r="E4151" t="s">
        <v>7</v>
      </c>
      <c r="F4151">
        <v>4.3691935539245605</v>
      </c>
    </row>
    <row r="4152" spans="2:6">
      <c r="B4152">
        <v>2011</v>
      </c>
      <c r="C4152" t="s">
        <v>55</v>
      </c>
      <c r="D4152" t="s">
        <v>184</v>
      </c>
      <c r="E4152" t="s">
        <v>8</v>
      </c>
      <c r="F4152">
        <v>7.8800992965698242</v>
      </c>
    </row>
    <row r="4153" spans="2:6">
      <c r="B4153">
        <v>2011</v>
      </c>
      <c r="C4153" t="s">
        <v>55</v>
      </c>
      <c r="D4153" t="s">
        <v>184</v>
      </c>
      <c r="E4153" t="s">
        <v>9</v>
      </c>
      <c r="F4153">
        <v>0.63297325372695923</v>
      </c>
    </row>
    <row r="4154" spans="2:6">
      <c r="B4154">
        <v>2011</v>
      </c>
      <c r="C4154" t="s">
        <v>55</v>
      </c>
      <c r="D4154" t="s">
        <v>184</v>
      </c>
      <c r="E4154" t="s">
        <v>10</v>
      </c>
      <c r="F4154">
        <v>54.700000762939453</v>
      </c>
    </row>
    <row r="4155" spans="2:6">
      <c r="B4155">
        <v>2011</v>
      </c>
      <c r="C4155" t="s">
        <v>55</v>
      </c>
      <c r="D4155" t="s">
        <v>184</v>
      </c>
      <c r="E4155" t="s">
        <v>11</v>
      </c>
      <c r="F4155">
        <v>0.74643945693969727</v>
      </c>
    </row>
    <row r="4156" spans="2:6">
      <c r="B4156">
        <v>2011</v>
      </c>
      <c r="C4156" t="s">
        <v>55</v>
      </c>
      <c r="D4156" t="s">
        <v>184</v>
      </c>
      <c r="E4156" t="s">
        <v>12</v>
      </c>
      <c r="F4156">
        <v>-5.731891468167305E-2</v>
      </c>
    </row>
    <row r="4157" spans="2:6">
      <c r="B4157">
        <v>2011</v>
      </c>
      <c r="C4157" t="s">
        <v>55</v>
      </c>
      <c r="D4157" t="s">
        <v>184</v>
      </c>
      <c r="E4157" t="s">
        <v>13</v>
      </c>
      <c r="F4157">
        <v>0.51893013715744019</v>
      </c>
    </row>
    <row r="4158" spans="2:6">
      <c r="B4158">
        <v>2011</v>
      </c>
      <c r="C4158" t="s">
        <v>55</v>
      </c>
      <c r="D4158" t="s">
        <v>184</v>
      </c>
      <c r="E4158" t="s">
        <v>14</v>
      </c>
      <c r="F4158">
        <v>0.57930284738540649</v>
      </c>
    </row>
    <row r="4159" spans="2:6">
      <c r="B4159">
        <v>2011</v>
      </c>
      <c r="C4159" t="s">
        <v>55</v>
      </c>
      <c r="D4159" t="s">
        <v>184</v>
      </c>
      <c r="E4159" t="s">
        <v>15</v>
      </c>
      <c r="F4159">
        <v>0.18059262633323669</v>
      </c>
    </row>
    <row r="4160" spans="2:6">
      <c r="B4160">
        <v>2006</v>
      </c>
      <c r="C4160" t="s">
        <v>56</v>
      </c>
      <c r="D4160" t="s">
        <v>185</v>
      </c>
      <c r="E4160" t="s">
        <v>7</v>
      </c>
      <c r="F4160">
        <v>5.0879678726196289</v>
      </c>
    </row>
    <row r="4161" spans="2:6">
      <c r="B4161">
        <v>2006</v>
      </c>
      <c r="C4161" t="s">
        <v>56</v>
      </c>
      <c r="D4161" t="s">
        <v>185</v>
      </c>
      <c r="E4161" t="s">
        <v>8</v>
      </c>
      <c r="F4161">
        <v>9.3135709762573242</v>
      </c>
    </row>
    <row r="4162" spans="2:6">
      <c r="B4162">
        <v>2006</v>
      </c>
      <c r="C4162" t="s">
        <v>56</v>
      </c>
      <c r="D4162" t="s">
        <v>185</v>
      </c>
      <c r="E4162" t="s">
        <v>9</v>
      </c>
      <c r="F4162">
        <v>0.91889888048171997</v>
      </c>
    </row>
    <row r="4163" spans="2:6">
      <c r="B4163">
        <v>2006</v>
      </c>
      <c r="C4163" t="s">
        <v>56</v>
      </c>
      <c r="D4163" t="s">
        <v>185</v>
      </c>
      <c r="E4163" t="s">
        <v>10</v>
      </c>
      <c r="F4163">
        <v>62.680000305175781</v>
      </c>
    </row>
    <row r="4164" spans="2:6">
      <c r="B4164">
        <v>2006</v>
      </c>
      <c r="C4164" t="s">
        <v>56</v>
      </c>
      <c r="D4164" t="s">
        <v>185</v>
      </c>
      <c r="E4164" t="s">
        <v>11</v>
      </c>
      <c r="F4164">
        <v>0.85824143886566162</v>
      </c>
    </row>
    <row r="4165" spans="2:6">
      <c r="B4165">
        <v>2006</v>
      </c>
      <c r="C4165" t="s">
        <v>56</v>
      </c>
      <c r="D4165" t="s">
        <v>185</v>
      </c>
      <c r="E4165" t="s">
        <v>12</v>
      </c>
      <c r="F4165">
        <v>3.7692919373512268E-2</v>
      </c>
    </row>
    <row r="4166" spans="2:6">
      <c r="B4166">
        <v>2006</v>
      </c>
      <c r="C4166" t="s">
        <v>56</v>
      </c>
      <c r="D4166" t="s">
        <v>185</v>
      </c>
      <c r="E4166" t="s">
        <v>13</v>
      </c>
      <c r="F4166">
        <v>0.75472933053970337</v>
      </c>
    </row>
    <row r="4167" spans="2:6">
      <c r="B4167">
        <v>2006</v>
      </c>
      <c r="C4167" t="s">
        <v>56</v>
      </c>
      <c r="D4167" t="s">
        <v>185</v>
      </c>
      <c r="E4167" t="s">
        <v>14</v>
      </c>
      <c r="F4167">
        <v>0.74772799015045166</v>
      </c>
    </row>
    <row r="4168" spans="2:6">
      <c r="B4168">
        <v>2006</v>
      </c>
      <c r="C4168" t="s">
        <v>56</v>
      </c>
      <c r="D4168" t="s">
        <v>185</v>
      </c>
      <c r="E4168" t="s">
        <v>15</v>
      </c>
      <c r="F4168">
        <v>0.27433845400810242</v>
      </c>
    </row>
    <row r="4169" spans="2:6">
      <c r="B4169">
        <v>2007</v>
      </c>
      <c r="C4169" t="s">
        <v>56</v>
      </c>
      <c r="D4169" t="s">
        <v>185</v>
      </c>
      <c r="E4169" t="s">
        <v>7</v>
      </c>
      <c r="F4169">
        <v>5.081305980682373</v>
      </c>
    </row>
    <row r="4170" spans="2:6">
      <c r="B4170">
        <v>2007</v>
      </c>
      <c r="C4170" t="s">
        <v>56</v>
      </c>
      <c r="D4170" t="s">
        <v>185</v>
      </c>
      <c r="E4170" t="s">
        <v>8</v>
      </c>
      <c r="F4170">
        <v>9.3721580505371094</v>
      </c>
    </row>
    <row r="4171" spans="2:6">
      <c r="B4171">
        <v>2007</v>
      </c>
      <c r="C4171" t="s">
        <v>56</v>
      </c>
      <c r="D4171" t="s">
        <v>185</v>
      </c>
      <c r="E4171" t="s">
        <v>9</v>
      </c>
      <c r="F4171">
        <v>0.84754484891891479</v>
      </c>
    </row>
    <row r="4172" spans="2:6">
      <c r="B4172">
        <v>2007</v>
      </c>
      <c r="C4172" t="s">
        <v>56</v>
      </c>
      <c r="D4172" t="s">
        <v>185</v>
      </c>
      <c r="E4172" t="s">
        <v>10</v>
      </c>
      <c r="F4172">
        <v>62.959999084472656</v>
      </c>
    </row>
    <row r="4173" spans="2:6">
      <c r="B4173">
        <v>2007</v>
      </c>
      <c r="C4173" t="s">
        <v>56</v>
      </c>
      <c r="D4173" t="s">
        <v>185</v>
      </c>
      <c r="E4173" t="s">
        <v>11</v>
      </c>
      <c r="F4173">
        <v>0.88624668121337891</v>
      </c>
    </row>
    <row r="4174" spans="2:6">
      <c r="B4174">
        <v>2007</v>
      </c>
      <c r="C4174" t="s">
        <v>56</v>
      </c>
      <c r="D4174" t="s">
        <v>185</v>
      </c>
      <c r="E4174" t="s">
        <v>12</v>
      </c>
      <c r="F4174">
        <v>-7.6592038385570049E-3</v>
      </c>
    </row>
    <row r="4175" spans="2:6">
      <c r="B4175">
        <v>2007</v>
      </c>
      <c r="C4175" t="s">
        <v>56</v>
      </c>
      <c r="D4175" t="s">
        <v>185</v>
      </c>
      <c r="E4175" t="s">
        <v>13</v>
      </c>
      <c r="F4175">
        <v>0.77157425880432129</v>
      </c>
    </row>
    <row r="4176" spans="2:6">
      <c r="B4176">
        <v>2007</v>
      </c>
      <c r="C4176" t="s">
        <v>56</v>
      </c>
      <c r="D4176" t="s">
        <v>185</v>
      </c>
      <c r="E4176" t="s">
        <v>14</v>
      </c>
      <c r="F4176">
        <v>0.76655423641204834</v>
      </c>
    </row>
    <row r="4177" spans="2:6">
      <c r="B4177">
        <v>2007</v>
      </c>
      <c r="C4177" t="s">
        <v>56</v>
      </c>
      <c r="D4177" t="s">
        <v>185</v>
      </c>
      <c r="E4177" t="s">
        <v>15</v>
      </c>
      <c r="F4177">
        <v>0.26009896397590637</v>
      </c>
    </row>
    <row r="4178" spans="2:6">
      <c r="B4178">
        <v>2008</v>
      </c>
      <c r="C4178" t="s">
        <v>56</v>
      </c>
      <c r="D4178" t="s">
        <v>185</v>
      </c>
      <c r="E4178" t="s">
        <v>7</v>
      </c>
      <c r="F4178">
        <v>4.8423056602478027</v>
      </c>
    </row>
    <row r="4179" spans="2:6">
      <c r="B4179">
        <v>2008</v>
      </c>
      <c r="C4179" t="s">
        <v>56</v>
      </c>
      <c r="D4179" t="s">
        <v>185</v>
      </c>
      <c r="E4179" t="s">
        <v>8</v>
      </c>
      <c r="F4179">
        <v>9.3910646438598633</v>
      </c>
    </row>
    <row r="4180" spans="2:6">
      <c r="B4180">
        <v>2008</v>
      </c>
      <c r="C4180" t="s">
        <v>56</v>
      </c>
      <c r="D4180" t="s">
        <v>185</v>
      </c>
      <c r="E4180" t="s">
        <v>9</v>
      </c>
      <c r="F4180">
        <v>0.85013747215270996</v>
      </c>
    </row>
    <row r="4181" spans="2:6">
      <c r="B4181">
        <v>2008</v>
      </c>
      <c r="C4181" t="s">
        <v>56</v>
      </c>
      <c r="D4181" t="s">
        <v>185</v>
      </c>
      <c r="E4181" t="s">
        <v>10</v>
      </c>
      <c r="F4181">
        <v>63.240001678466797</v>
      </c>
    </row>
    <row r="4182" spans="2:6">
      <c r="B4182">
        <v>2008</v>
      </c>
      <c r="C4182" t="s">
        <v>56</v>
      </c>
      <c r="D4182" t="s">
        <v>185</v>
      </c>
      <c r="E4182" t="s">
        <v>11</v>
      </c>
      <c r="F4182">
        <v>0.84811663627624512</v>
      </c>
    </row>
    <row r="4183" spans="2:6">
      <c r="B4183">
        <v>2008</v>
      </c>
      <c r="C4183" t="s">
        <v>56</v>
      </c>
      <c r="D4183" t="s">
        <v>185</v>
      </c>
      <c r="E4183" t="s">
        <v>12</v>
      </c>
      <c r="F4183">
        <v>-4.5099016278982162E-2</v>
      </c>
    </row>
    <row r="4184" spans="2:6">
      <c r="B4184">
        <v>2008</v>
      </c>
      <c r="C4184" t="s">
        <v>56</v>
      </c>
      <c r="D4184" t="s">
        <v>185</v>
      </c>
      <c r="E4184" t="s">
        <v>13</v>
      </c>
      <c r="F4184">
        <v>0.72759830951690674</v>
      </c>
    </row>
    <row r="4185" spans="2:6">
      <c r="B4185">
        <v>2008</v>
      </c>
      <c r="C4185" t="s">
        <v>56</v>
      </c>
      <c r="D4185" t="s">
        <v>185</v>
      </c>
      <c r="E4185" t="s">
        <v>14</v>
      </c>
      <c r="F4185">
        <v>0.73157322406768799</v>
      </c>
    </row>
    <row r="4186" spans="2:6">
      <c r="B4186">
        <v>2008</v>
      </c>
      <c r="C4186" t="s">
        <v>56</v>
      </c>
      <c r="D4186" t="s">
        <v>185</v>
      </c>
      <c r="E4186" t="s">
        <v>15</v>
      </c>
      <c r="F4186">
        <v>0.32941639423370361</v>
      </c>
    </row>
    <row r="4187" spans="2:6">
      <c r="B4187">
        <v>2009</v>
      </c>
      <c r="C4187" t="s">
        <v>56</v>
      </c>
      <c r="D4187" t="s">
        <v>185</v>
      </c>
      <c r="E4187" t="s">
        <v>7</v>
      </c>
      <c r="F4187">
        <v>5.4316139221191406</v>
      </c>
    </row>
    <row r="4188" spans="2:6">
      <c r="B4188">
        <v>2009</v>
      </c>
      <c r="C4188" t="s">
        <v>56</v>
      </c>
      <c r="D4188" t="s">
        <v>185</v>
      </c>
      <c r="E4188" t="s">
        <v>8</v>
      </c>
      <c r="F4188">
        <v>9.3880138397216797</v>
      </c>
    </row>
    <row r="4189" spans="2:6">
      <c r="B4189">
        <v>2009</v>
      </c>
      <c r="C4189" t="s">
        <v>56</v>
      </c>
      <c r="D4189" t="s">
        <v>185</v>
      </c>
      <c r="E4189" t="s">
        <v>9</v>
      </c>
      <c r="F4189">
        <v>0.87816148996353149</v>
      </c>
    </row>
    <row r="4190" spans="2:6">
      <c r="B4190">
        <v>2009</v>
      </c>
      <c r="C4190" t="s">
        <v>56</v>
      </c>
      <c r="D4190" t="s">
        <v>185</v>
      </c>
      <c r="E4190" t="s">
        <v>10</v>
      </c>
      <c r="F4190">
        <v>63.520000457763672</v>
      </c>
    </row>
    <row r="4191" spans="2:6">
      <c r="B4191">
        <v>2009</v>
      </c>
      <c r="C4191" t="s">
        <v>56</v>
      </c>
      <c r="D4191" t="s">
        <v>185</v>
      </c>
      <c r="E4191" t="s">
        <v>11</v>
      </c>
      <c r="F4191">
        <v>0.8629794716835022</v>
      </c>
    </row>
    <row r="4192" spans="2:6">
      <c r="B4192">
        <v>2009</v>
      </c>
      <c r="C4192" t="s">
        <v>56</v>
      </c>
      <c r="D4192" t="s">
        <v>185</v>
      </c>
      <c r="E4192" t="s">
        <v>12</v>
      </c>
      <c r="F4192">
        <v>-5.2840705960988998E-2</v>
      </c>
    </row>
    <row r="4193" spans="2:6">
      <c r="B4193">
        <v>2009</v>
      </c>
      <c r="C4193" t="s">
        <v>56</v>
      </c>
      <c r="D4193" t="s">
        <v>185</v>
      </c>
      <c r="E4193" t="s">
        <v>13</v>
      </c>
      <c r="F4193">
        <v>0.80591040849685669</v>
      </c>
    </row>
    <row r="4194" spans="2:6">
      <c r="B4194">
        <v>2009</v>
      </c>
      <c r="C4194" t="s">
        <v>56</v>
      </c>
      <c r="D4194" t="s">
        <v>185</v>
      </c>
      <c r="E4194" t="s">
        <v>14</v>
      </c>
      <c r="F4194">
        <v>0.78539258241653442</v>
      </c>
    </row>
    <row r="4195" spans="2:6">
      <c r="B4195">
        <v>2009</v>
      </c>
      <c r="C4195" t="s">
        <v>56</v>
      </c>
      <c r="D4195" t="s">
        <v>185</v>
      </c>
      <c r="E4195" t="s">
        <v>15</v>
      </c>
      <c r="F4195">
        <v>0.27978846430778503</v>
      </c>
    </row>
    <row r="4196" spans="2:6">
      <c r="B4196">
        <v>2010</v>
      </c>
      <c r="C4196" t="s">
        <v>56</v>
      </c>
      <c r="D4196" t="s">
        <v>185</v>
      </c>
      <c r="E4196" t="s">
        <v>7</v>
      </c>
      <c r="F4196">
        <v>4.7350211143493652</v>
      </c>
    </row>
    <row r="4197" spans="2:6">
      <c r="B4197">
        <v>2010</v>
      </c>
      <c r="C4197" t="s">
        <v>56</v>
      </c>
      <c r="D4197" t="s">
        <v>185</v>
      </c>
      <c r="E4197" t="s">
        <v>8</v>
      </c>
      <c r="F4197">
        <v>9.4558286666870117</v>
      </c>
    </row>
    <row r="4198" spans="2:6">
      <c r="B4198">
        <v>2010</v>
      </c>
      <c r="C4198" t="s">
        <v>56</v>
      </c>
      <c r="D4198" t="s">
        <v>185</v>
      </c>
      <c r="E4198" t="s">
        <v>9</v>
      </c>
      <c r="F4198">
        <v>0.85996931791305542</v>
      </c>
    </row>
    <row r="4199" spans="2:6">
      <c r="B4199">
        <v>2010</v>
      </c>
      <c r="C4199" t="s">
        <v>56</v>
      </c>
      <c r="D4199" t="s">
        <v>185</v>
      </c>
      <c r="E4199" t="s">
        <v>10</v>
      </c>
      <c r="F4199">
        <v>63.799999237060547</v>
      </c>
    </row>
    <row r="4200" spans="2:6">
      <c r="B4200">
        <v>2010</v>
      </c>
      <c r="C4200" t="s">
        <v>56</v>
      </c>
      <c r="D4200" t="s">
        <v>185</v>
      </c>
      <c r="E4200" t="s">
        <v>11</v>
      </c>
      <c r="F4200">
        <v>0.82390284538269043</v>
      </c>
    </row>
    <row r="4201" spans="2:6">
      <c r="B4201">
        <v>2010</v>
      </c>
      <c r="C4201" t="s">
        <v>56</v>
      </c>
      <c r="D4201" t="s">
        <v>185</v>
      </c>
      <c r="E4201" t="s">
        <v>12</v>
      </c>
      <c r="F4201">
        <v>-7.4849270284175873E-2</v>
      </c>
    </row>
    <row r="4202" spans="2:6">
      <c r="B4202">
        <v>2010</v>
      </c>
      <c r="C4202" t="s">
        <v>56</v>
      </c>
      <c r="D4202" t="s">
        <v>185</v>
      </c>
      <c r="E4202" t="s">
        <v>13</v>
      </c>
      <c r="F4202">
        <v>0.77974212169647217</v>
      </c>
    </row>
    <row r="4203" spans="2:6">
      <c r="B4203">
        <v>2010</v>
      </c>
      <c r="C4203" t="s">
        <v>56</v>
      </c>
      <c r="D4203" t="s">
        <v>185</v>
      </c>
      <c r="E4203" t="s">
        <v>14</v>
      </c>
      <c r="F4203">
        <v>0.78700566291809082</v>
      </c>
    </row>
    <row r="4204" spans="2:6">
      <c r="B4204">
        <v>2010</v>
      </c>
      <c r="C4204" t="s">
        <v>56</v>
      </c>
      <c r="D4204" t="s">
        <v>185</v>
      </c>
      <c r="E4204" t="s">
        <v>15</v>
      </c>
      <c r="F4204">
        <v>0.28169485926628113</v>
      </c>
    </row>
    <row r="4205" spans="2:6">
      <c r="B4205">
        <v>2011</v>
      </c>
      <c r="C4205" t="s">
        <v>56</v>
      </c>
      <c r="D4205" t="s">
        <v>185</v>
      </c>
      <c r="E4205" t="s">
        <v>7</v>
      </c>
      <c r="F4205">
        <v>5.3965353965759277</v>
      </c>
    </row>
    <row r="4206" spans="2:6">
      <c r="B4206">
        <v>2011</v>
      </c>
      <c r="C4206" t="s">
        <v>56</v>
      </c>
      <c r="D4206" t="s">
        <v>185</v>
      </c>
      <c r="E4206" t="s">
        <v>8</v>
      </c>
      <c r="F4206">
        <v>9.4745750427246094</v>
      </c>
    </row>
    <row r="4207" spans="2:6">
      <c r="B4207">
        <v>2011</v>
      </c>
      <c r="C4207" t="s">
        <v>56</v>
      </c>
      <c r="D4207" t="s">
        <v>185</v>
      </c>
      <c r="E4207" t="s">
        <v>9</v>
      </c>
      <c r="F4207">
        <v>0.87208622694015503</v>
      </c>
    </row>
    <row r="4208" spans="2:6">
      <c r="B4208">
        <v>2011</v>
      </c>
      <c r="C4208" t="s">
        <v>56</v>
      </c>
      <c r="D4208" t="s">
        <v>185</v>
      </c>
      <c r="E4208" t="s">
        <v>10</v>
      </c>
      <c r="F4208">
        <v>64.019996643066406</v>
      </c>
    </row>
    <row r="4209" spans="2:6">
      <c r="B4209">
        <v>2011</v>
      </c>
      <c r="C4209" t="s">
        <v>56</v>
      </c>
      <c r="D4209" t="s">
        <v>185</v>
      </c>
      <c r="E4209" t="s">
        <v>11</v>
      </c>
      <c r="F4209">
        <v>0.84797531366348267</v>
      </c>
    </row>
    <row r="4210" spans="2:6">
      <c r="B4210">
        <v>2011</v>
      </c>
      <c r="C4210" t="s">
        <v>56</v>
      </c>
      <c r="D4210" t="s">
        <v>185</v>
      </c>
      <c r="E4210" t="s">
        <v>12</v>
      </c>
      <c r="F4210">
        <v>1.3952828012406826E-2</v>
      </c>
    </row>
    <row r="4211" spans="2:6">
      <c r="B4211">
        <v>2011</v>
      </c>
      <c r="C4211" t="s">
        <v>56</v>
      </c>
      <c r="D4211" t="s">
        <v>185</v>
      </c>
      <c r="E4211" t="s">
        <v>13</v>
      </c>
      <c r="F4211">
        <v>0.78825473785400391</v>
      </c>
    </row>
    <row r="4212" spans="2:6">
      <c r="B4212">
        <v>2011</v>
      </c>
      <c r="C4212" t="s">
        <v>56</v>
      </c>
      <c r="D4212" t="s">
        <v>185</v>
      </c>
      <c r="E4212" t="s">
        <v>14</v>
      </c>
      <c r="F4212">
        <v>0.8088410496711731</v>
      </c>
    </row>
    <row r="4213" spans="2:6">
      <c r="B4213">
        <v>2011</v>
      </c>
      <c r="C4213" t="s">
        <v>56</v>
      </c>
      <c r="D4213" t="s">
        <v>185</v>
      </c>
      <c r="E4213" t="s">
        <v>15</v>
      </c>
      <c r="F4213">
        <v>0.29983928799629211</v>
      </c>
    </row>
    <row r="4214" spans="2:6">
      <c r="B4214">
        <v>2012</v>
      </c>
      <c r="C4214" t="s">
        <v>56</v>
      </c>
      <c r="D4214" t="s">
        <v>185</v>
      </c>
      <c r="E4214" t="s">
        <v>7</v>
      </c>
      <c r="F4214">
        <v>4.7533111572265625</v>
      </c>
    </row>
    <row r="4215" spans="2:6">
      <c r="B4215">
        <v>2012</v>
      </c>
      <c r="C4215" t="s">
        <v>56</v>
      </c>
      <c r="D4215" t="s">
        <v>185</v>
      </c>
      <c r="E4215" t="s">
        <v>8</v>
      </c>
      <c r="F4215">
        <v>9.4894638061523438</v>
      </c>
    </row>
    <row r="4216" spans="2:6">
      <c r="B4216">
        <v>2012</v>
      </c>
      <c r="C4216" t="s">
        <v>56</v>
      </c>
      <c r="D4216" t="s">
        <v>185</v>
      </c>
      <c r="E4216" t="s">
        <v>9</v>
      </c>
      <c r="F4216">
        <v>0.87915819883346558</v>
      </c>
    </row>
    <row r="4217" spans="2:6">
      <c r="B4217">
        <v>2012</v>
      </c>
      <c r="C4217" t="s">
        <v>56</v>
      </c>
      <c r="D4217" t="s">
        <v>185</v>
      </c>
      <c r="E4217" t="s">
        <v>10</v>
      </c>
      <c r="F4217">
        <v>64.239997863769531</v>
      </c>
    </row>
    <row r="4218" spans="2:6">
      <c r="B4218">
        <v>2012</v>
      </c>
      <c r="C4218" t="s">
        <v>56</v>
      </c>
      <c r="D4218" t="s">
        <v>185</v>
      </c>
      <c r="E4218" t="s">
        <v>11</v>
      </c>
      <c r="F4218">
        <v>0.84012937545776367</v>
      </c>
    </row>
    <row r="4219" spans="2:6">
      <c r="B4219">
        <v>2012</v>
      </c>
      <c r="C4219" t="s">
        <v>56</v>
      </c>
      <c r="D4219" t="s">
        <v>185</v>
      </c>
      <c r="E4219" t="s">
        <v>12</v>
      </c>
      <c r="F4219">
        <v>-6.1735197901725769E-2</v>
      </c>
    </row>
    <row r="4220" spans="2:6">
      <c r="B4220">
        <v>2012</v>
      </c>
      <c r="C4220" t="s">
        <v>56</v>
      </c>
      <c r="D4220" t="s">
        <v>185</v>
      </c>
      <c r="E4220" t="s">
        <v>13</v>
      </c>
      <c r="F4220">
        <v>0.72730028629302979</v>
      </c>
    </row>
    <row r="4221" spans="2:6">
      <c r="B4221">
        <v>2012</v>
      </c>
      <c r="C4221" t="s">
        <v>56</v>
      </c>
      <c r="D4221" t="s">
        <v>185</v>
      </c>
      <c r="E4221" t="s">
        <v>14</v>
      </c>
      <c r="F4221">
        <v>0.79680180549621582</v>
      </c>
    </row>
    <row r="4222" spans="2:6">
      <c r="B4222">
        <v>2012</v>
      </c>
      <c r="C4222" t="s">
        <v>56</v>
      </c>
      <c r="D4222" t="s">
        <v>185</v>
      </c>
      <c r="E4222" t="s">
        <v>15</v>
      </c>
      <c r="F4222">
        <v>0.29704314470291138</v>
      </c>
    </row>
    <row r="4223" spans="2:6">
      <c r="B4223">
        <v>2013</v>
      </c>
      <c r="C4223" t="s">
        <v>56</v>
      </c>
      <c r="D4223" t="s">
        <v>185</v>
      </c>
      <c r="E4223" t="s">
        <v>7</v>
      </c>
      <c r="F4223">
        <v>5.0155153274536133</v>
      </c>
    </row>
    <row r="4224" spans="2:6">
      <c r="B4224">
        <v>2013</v>
      </c>
      <c r="C4224" t="s">
        <v>56</v>
      </c>
      <c r="D4224" t="s">
        <v>185</v>
      </c>
      <c r="E4224" t="s">
        <v>8</v>
      </c>
      <c r="F4224">
        <v>9.5253210067749023</v>
      </c>
    </row>
    <row r="4225" spans="2:6">
      <c r="B4225">
        <v>2013</v>
      </c>
      <c r="C4225" t="s">
        <v>56</v>
      </c>
      <c r="D4225" t="s">
        <v>185</v>
      </c>
      <c r="E4225" t="s">
        <v>9</v>
      </c>
      <c r="F4225">
        <v>0.87844914197921753</v>
      </c>
    </row>
    <row r="4226" spans="2:6">
      <c r="B4226">
        <v>2013</v>
      </c>
      <c r="C4226" t="s">
        <v>56</v>
      </c>
      <c r="D4226" t="s">
        <v>185</v>
      </c>
      <c r="E4226" t="s">
        <v>10</v>
      </c>
      <c r="F4226">
        <v>64.459999084472656</v>
      </c>
    </row>
    <row r="4227" spans="2:6">
      <c r="B4227">
        <v>2013</v>
      </c>
      <c r="C4227" t="s">
        <v>56</v>
      </c>
      <c r="D4227" t="s">
        <v>185</v>
      </c>
      <c r="E4227" t="s">
        <v>11</v>
      </c>
      <c r="F4227">
        <v>0.88856607675552368</v>
      </c>
    </row>
    <row r="4228" spans="2:6">
      <c r="B4228">
        <v>2013</v>
      </c>
      <c r="C4228" t="s">
        <v>56</v>
      </c>
      <c r="D4228" t="s">
        <v>185</v>
      </c>
      <c r="E4228" t="s">
        <v>12</v>
      </c>
      <c r="F4228">
        <v>2.0656948909163475E-2</v>
      </c>
    </row>
    <row r="4229" spans="2:6">
      <c r="B4229">
        <v>2013</v>
      </c>
      <c r="C4229" t="s">
        <v>56</v>
      </c>
      <c r="D4229" t="s">
        <v>185</v>
      </c>
      <c r="E4229" t="s">
        <v>13</v>
      </c>
      <c r="F4229">
        <v>0.75175082683563232</v>
      </c>
    </row>
    <row r="4230" spans="2:6">
      <c r="B4230">
        <v>2013</v>
      </c>
      <c r="C4230" t="s">
        <v>56</v>
      </c>
      <c r="D4230" t="s">
        <v>185</v>
      </c>
      <c r="E4230" t="s">
        <v>14</v>
      </c>
      <c r="F4230">
        <v>0.79331445693969727</v>
      </c>
    </row>
    <row r="4231" spans="2:6">
      <c r="B4231">
        <v>2013</v>
      </c>
      <c r="C4231" t="s">
        <v>56</v>
      </c>
      <c r="D4231" t="s">
        <v>185</v>
      </c>
      <c r="E4231" t="s">
        <v>15</v>
      </c>
      <c r="F4231">
        <v>0.29513144493103027</v>
      </c>
    </row>
    <row r="4232" spans="2:6">
      <c r="B4232">
        <v>2014</v>
      </c>
      <c r="C4232" t="s">
        <v>56</v>
      </c>
      <c r="D4232" t="s">
        <v>185</v>
      </c>
      <c r="E4232" t="s">
        <v>7</v>
      </c>
      <c r="F4232">
        <v>5.3873319625854492</v>
      </c>
    </row>
    <row r="4233" spans="2:6">
      <c r="B4233">
        <v>2014</v>
      </c>
      <c r="C4233" t="s">
        <v>56</v>
      </c>
      <c r="D4233" t="s">
        <v>185</v>
      </c>
      <c r="E4233" t="s">
        <v>8</v>
      </c>
      <c r="F4233">
        <v>9.581878662109375</v>
      </c>
    </row>
    <row r="4234" spans="2:6">
      <c r="B4234">
        <v>2014</v>
      </c>
      <c r="C4234" t="s">
        <v>56</v>
      </c>
      <c r="D4234" t="s">
        <v>185</v>
      </c>
      <c r="E4234" t="s">
        <v>9</v>
      </c>
      <c r="F4234">
        <v>0.89058804512023926</v>
      </c>
    </row>
    <row r="4235" spans="2:6">
      <c r="B4235">
        <v>2014</v>
      </c>
      <c r="C4235" t="s">
        <v>56</v>
      </c>
      <c r="D4235" t="s">
        <v>185</v>
      </c>
      <c r="E4235" t="s">
        <v>10</v>
      </c>
      <c r="F4235">
        <v>64.680000305175781</v>
      </c>
    </row>
    <row r="4236" spans="2:6">
      <c r="B4236">
        <v>2014</v>
      </c>
      <c r="C4236" t="s">
        <v>56</v>
      </c>
      <c r="D4236" t="s">
        <v>185</v>
      </c>
      <c r="E4236" t="s">
        <v>11</v>
      </c>
      <c r="F4236">
        <v>0.90457439422607422</v>
      </c>
    </row>
    <row r="4237" spans="2:6">
      <c r="B4237">
        <v>2014</v>
      </c>
      <c r="C4237" t="s">
        <v>56</v>
      </c>
      <c r="D4237" t="s">
        <v>185</v>
      </c>
      <c r="E4237" t="s">
        <v>12</v>
      </c>
      <c r="F4237">
        <v>-2.0420173183083534E-2</v>
      </c>
    </row>
    <row r="4238" spans="2:6">
      <c r="B4238">
        <v>2014</v>
      </c>
      <c r="C4238" t="s">
        <v>56</v>
      </c>
      <c r="D4238" t="s">
        <v>185</v>
      </c>
      <c r="E4238" t="s">
        <v>13</v>
      </c>
      <c r="F4238">
        <v>0.76002347469329834</v>
      </c>
    </row>
    <row r="4239" spans="2:6">
      <c r="B4239">
        <v>2014</v>
      </c>
      <c r="C4239" t="s">
        <v>56</v>
      </c>
      <c r="D4239" t="s">
        <v>185</v>
      </c>
      <c r="E4239" t="s">
        <v>14</v>
      </c>
      <c r="F4239">
        <v>0.79770457744598389</v>
      </c>
    </row>
    <row r="4240" spans="2:6">
      <c r="B4240">
        <v>2014</v>
      </c>
      <c r="C4240" t="s">
        <v>56</v>
      </c>
      <c r="D4240" t="s">
        <v>185</v>
      </c>
      <c r="E4240" t="s">
        <v>15</v>
      </c>
      <c r="F4240">
        <v>0.30009919404983521</v>
      </c>
    </row>
    <row r="4241" spans="2:6">
      <c r="B4241">
        <v>2015</v>
      </c>
      <c r="C4241" t="s">
        <v>56</v>
      </c>
      <c r="D4241" t="s">
        <v>185</v>
      </c>
      <c r="E4241" t="s">
        <v>7</v>
      </c>
      <c r="F4241">
        <v>5.0618624687194824</v>
      </c>
    </row>
    <row r="4242" spans="2:6">
      <c r="B4242">
        <v>2015</v>
      </c>
      <c r="C4242" t="s">
        <v>56</v>
      </c>
      <c r="D4242" t="s">
        <v>185</v>
      </c>
      <c r="E4242" t="s">
        <v>8</v>
      </c>
      <c r="F4242">
        <v>9.6374597549438477</v>
      </c>
    </row>
    <row r="4243" spans="2:6">
      <c r="B4243">
        <v>2015</v>
      </c>
      <c r="C4243" t="s">
        <v>56</v>
      </c>
      <c r="D4243" t="s">
        <v>185</v>
      </c>
      <c r="E4243" t="s">
        <v>9</v>
      </c>
      <c r="F4243">
        <v>0.89319777488708496</v>
      </c>
    </row>
    <row r="4244" spans="2:6">
      <c r="B4244">
        <v>2015</v>
      </c>
      <c r="C4244" t="s">
        <v>56</v>
      </c>
      <c r="D4244" t="s">
        <v>185</v>
      </c>
      <c r="E4244" t="s">
        <v>10</v>
      </c>
      <c r="F4244">
        <v>64.900001525878906</v>
      </c>
    </row>
    <row r="4245" spans="2:6">
      <c r="B4245">
        <v>2015</v>
      </c>
      <c r="C4245" t="s">
        <v>56</v>
      </c>
      <c r="D4245" t="s">
        <v>185</v>
      </c>
      <c r="E4245" t="s">
        <v>11</v>
      </c>
      <c r="F4245">
        <v>0.8560253381729126</v>
      </c>
    </row>
    <row r="4246" spans="2:6">
      <c r="B4246">
        <v>2015</v>
      </c>
      <c r="C4246" t="s">
        <v>56</v>
      </c>
      <c r="D4246" t="s">
        <v>185</v>
      </c>
      <c r="E4246" t="s">
        <v>12</v>
      </c>
      <c r="F4246">
        <v>-6.5386712551116943E-2</v>
      </c>
    </row>
    <row r="4247" spans="2:6">
      <c r="B4247">
        <v>2015</v>
      </c>
      <c r="C4247" t="s">
        <v>56</v>
      </c>
      <c r="D4247" t="s">
        <v>185</v>
      </c>
      <c r="E4247" t="s">
        <v>13</v>
      </c>
      <c r="F4247">
        <v>0.75528818368911743</v>
      </c>
    </row>
    <row r="4248" spans="2:6">
      <c r="B4248">
        <v>2015</v>
      </c>
      <c r="C4248" t="s">
        <v>56</v>
      </c>
      <c r="D4248" t="s">
        <v>185</v>
      </c>
      <c r="E4248" t="s">
        <v>14</v>
      </c>
      <c r="F4248">
        <v>0.71390771865844727</v>
      </c>
    </row>
    <row r="4249" spans="2:6">
      <c r="B4249">
        <v>2015</v>
      </c>
      <c r="C4249" t="s">
        <v>56</v>
      </c>
      <c r="D4249" t="s">
        <v>185</v>
      </c>
      <c r="E4249" t="s">
        <v>15</v>
      </c>
      <c r="F4249">
        <v>0.29525309801101685</v>
      </c>
    </row>
    <row r="4250" spans="2:6">
      <c r="B4250">
        <v>2016</v>
      </c>
      <c r="C4250" t="s">
        <v>56</v>
      </c>
      <c r="D4250" t="s">
        <v>185</v>
      </c>
      <c r="E4250" t="s">
        <v>7</v>
      </c>
      <c r="F4250">
        <v>5.2386984825134277</v>
      </c>
    </row>
    <row r="4251" spans="2:6">
      <c r="B4251">
        <v>2016</v>
      </c>
      <c r="C4251" t="s">
        <v>56</v>
      </c>
      <c r="D4251" t="s">
        <v>185</v>
      </c>
      <c r="E4251" t="s">
        <v>8</v>
      </c>
      <c r="F4251">
        <v>9.6907024383544922</v>
      </c>
    </row>
    <row r="4252" spans="2:6">
      <c r="B4252">
        <v>2016</v>
      </c>
      <c r="C4252" t="s">
        <v>56</v>
      </c>
      <c r="D4252" t="s">
        <v>185</v>
      </c>
      <c r="E4252" t="s">
        <v>9</v>
      </c>
      <c r="F4252">
        <v>0.89475345611572266</v>
      </c>
    </row>
    <row r="4253" spans="2:6">
      <c r="B4253">
        <v>2016</v>
      </c>
      <c r="C4253" t="s">
        <v>56</v>
      </c>
      <c r="D4253" t="s">
        <v>185</v>
      </c>
      <c r="E4253" t="s">
        <v>10</v>
      </c>
      <c r="F4253">
        <v>65.199996948242188</v>
      </c>
    </row>
    <row r="4254" spans="2:6">
      <c r="B4254">
        <v>2016</v>
      </c>
      <c r="C4254" t="s">
        <v>56</v>
      </c>
      <c r="D4254" t="s">
        <v>185</v>
      </c>
      <c r="E4254" t="s">
        <v>11</v>
      </c>
      <c r="F4254">
        <v>0.87271243333816528</v>
      </c>
    </row>
    <row r="4255" spans="2:6">
      <c r="B4255">
        <v>2016</v>
      </c>
      <c r="C4255" t="s">
        <v>56</v>
      </c>
      <c r="D4255" t="s">
        <v>185</v>
      </c>
      <c r="E4255" t="s">
        <v>12</v>
      </c>
      <c r="F4255">
        <v>-8.0135166645050049E-2</v>
      </c>
    </row>
    <row r="4256" spans="2:6">
      <c r="B4256">
        <v>2016</v>
      </c>
      <c r="C4256" t="s">
        <v>56</v>
      </c>
      <c r="D4256" t="s">
        <v>185</v>
      </c>
      <c r="E4256" t="s">
        <v>13</v>
      </c>
      <c r="F4256">
        <v>0.73718297481536865</v>
      </c>
    </row>
    <row r="4257" spans="2:6">
      <c r="B4257">
        <v>2016</v>
      </c>
      <c r="C4257" t="s">
        <v>56</v>
      </c>
      <c r="D4257" t="s">
        <v>185</v>
      </c>
      <c r="E4257" t="s">
        <v>14</v>
      </c>
      <c r="F4257">
        <v>0.7599455714225769</v>
      </c>
    </row>
    <row r="4258" spans="2:6">
      <c r="B4258">
        <v>2016</v>
      </c>
      <c r="C4258" t="s">
        <v>56</v>
      </c>
      <c r="D4258" t="s">
        <v>185</v>
      </c>
      <c r="E4258" t="s">
        <v>15</v>
      </c>
      <c r="F4258">
        <v>0.27809512615203857</v>
      </c>
    </row>
    <row r="4259" spans="2:6">
      <c r="B4259">
        <v>2017</v>
      </c>
      <c r="C4259" t="s">
        <v>56</v>
      </c>
      <c r="D4259" t="s">
        <v>185</v>
      </c>
      <c r="E4259" t="s">
        <v>7</v>
      </c>
      <c r="F4259">
        <v>5.6052026748657227</v>
      </c>
    </row>
    <row r="4260" spans="2:6">
      <c r="B4260">
        <v>2017</v>
      </c>
      <c r="C4260" t="s">
        <v>56</v>
      </c>
      <c r="D4260" t="s">
        <v>185</v>
      </c>
      <c r="E4260" t="s">
        <v>8</v>
      </c>
      <c r="F4260">
        <v>9.7252779006958008</v>
      </c>
    </row>
    <row r="4261" spans="2:6">
      <c r="B4261">
        <v>2017</v>
      </c>
      <c r="C4261" t="s">
        <v>56</v>
      </c>
      <c r="D4261" t="s">
        <v>185</v>
      </c>
      <c r="E4261" t="s">
        <v>9</v>
      </c>
      <c r="F4261">
        <v>0.89436811208724976</v>
      </c>
    </row>
    <row r="4262" spans="2:6">
      <c r="B4262">
        <v>2017</v>
      </c>
      <c r="C4262" t="s">
        <v>56</v>
      </c>
      <c r="D4262" t="s">
        <v>185</v>
      </c>
      <c r="E4262" t="s">
        <v>10</v>
      </c>
      <c r="F4262">
        <v>65.5</v>
      </c>
    </row>
    <row r="4263" spans="2:6">
      <c r="B4263">
        <v>2017</v>
      </c>
      <c r="C4263" t="s">
        <v>56</v>
      </c>
      <c r="D4263" t="s">
        <v>185</v>
      </c>
      <c r="E4263" t="s">
        <v>11</v>
      </c>
      <c r="F4263">
        <v>0.85535901784896851</v>
      </c>
    </row>
    <row r="4264" spans="2:6">
      <c r="B4264">
        <v>2017</v>
      </c>
      <c r="C4264" t="s">
        <v>56</v>
      </c>
      <c r="D4264" t="s">
        <v>185</v>
      </c>
      <c r="E4264" t="s">
        <v>12</v>
      </c>
      <c r="F4264">
        <v>-0.12145987898111343</v>
      </c>
    </row>
    <row r="4265" spans="2:6">
      <c r="B4265">
        <v>2017</v>
      </c>
      <c r="C4265" t="s">
        <v>56</v>
      </c>
      <c r="D4265" t="s">
        <v>185</v>
      </c>
      <c r="E4265" t="s">
        <v>13</v>
      </c>
      <c r="F4265">
        <v>0.76048964262008667</v>
      </c>
    </row>
    <row r="4266" spans="2:6">
      <c r="B4266">
        <v>2017</v>
      </c>
      <c r="C4266" t="s">
        <v>56</v>
      </c>
      <c r="D4266" t="s">
        <v>185</v>
      </c>
      <c r="E4266" t="s">
        <v>14</v>
      </c>
      <c r="F4266">
        <v>0.73894363641738892</v>
      </c>
    </row>
    <row r="4267" spans="2:6">
      <c r="B4267">
        <v>2017</v>
      </c>
      <c r="C4267" t="s">
        <v>56</v>
      </c>
      <c r="D4267" t="s">
        <v>185</v>
      </c>
      <c r="E4267" t="s">
        <v>15</v>
      </c>
      <c r="F4267">
        <v>0.27474552392959595</v>
      </c>
    </row>
    <row r="4268" spans="2:6">
      <c r="B4268">
        <v>2018</v>
      </c>
      <c r="C4268" t="s">
        <v>56</v>
      </c>
      <c r="D4268" t="s">
        <v>185</v>
      </c>
      <c r="E4268" t="s">
        <v>7</v>
      </c>
      <c r="F4268">
        <v>5.4332156181335449</v>
      </c>
    </row>
    <row r="4269" spans="2:6">
      <c r="B4269">
        <v>2018</v>
      </c>
      <c r="C4269" t="s">
        <v>56</v>
      </c>
      <c r="D4269" t="s">
        <v>185</v>
      </c>
      <c r="E4269" t="s">
        <v>8</v>
      </c>
      <c r="F4269">
        <v>9.7819843292236328</v>
      </c>
    </row>
    <row r="4270" spans="2:6">
      <c r="B4270">
        <v>2018</v>
      </c>
      <c r="C4270" t="s">
        <v>56</v>
      </c>
      <c r="D4270" t="s">
        <v>185</v>
      </c>
      <c r="E4270" t="s">
        <v>9</v>
      </c>
      <c r="F4270">
        <v>0.86198633909225464</v>
      </c>
    </row>
    <row r="4271" spans="2:6">
      <c r="B4271">
        <v>2018</v>
      </c>
      <c r="C4271" t="s">
        <v>56</v>
      </c>
      <c r="D4271" t="s">
        <v>185</v>
      </c>
      <c r="E4271" t="s">
        <v>10</v>
      </c>
      <c r="F4271">
        <v>65.800003051757813</v>
      </c>
    </row>
    <row r="4272" spans="2:6">
      <c r="B4272">
        <v>2018</v>
      </c>
      <c r="C4272" t="s">
        <v>56</v>
      </c>
      <c r="D4272" t="s">
        <v>185</v>
      </c>
      <c r="E4272" t="s">
        <v>11</v>
      </c>
      <c r="F4272">
        <v>0.8666415810585022</v>
      </c>
    </row>
    <row r="4273" spans="2:6">
      <c r="B4273">
        <v>2018</v>
      </c>
      <c r="C4273" t="s">
        <v>56</v>
      </c>
      <c r="D4273" t="s">
        <v>185</v>
      </c>
      <c r="E4273" t="s">
        <v>12</v>
      </c>
      <c r="F4273">
        <v>-0.15029221773147583</v>
      </c>
    </row>
    <row r="4274" spans="2:6">
      <c r="B4274">
        <v>2018</v>
      </c>
      <c r="C4274" t="s">
        <v>56</v>
      </c>
      <c r="D4274" t="s">
        <v>185</v>
      </c>
      <c r="E4274" t="s">
        <v>13</v>
      </c>
      <c r="F4274">
        <v>0.76227355003356934</v>
      </c>
    </row>
    <row r="4275" spans="2:6">
      <c r="B4275">
        <v>2018</v>
      </c>
      <c r="C4275" t="s">
        <v>56</v>
      </c>
      <c r="D4275" t="s">
        <v>185</v>
      </c>
      <c r="E4275" t="s">
        <v>14</v>
      </c>
      <c r="F4275">
        <v>0.74487185478210449</v>
      </c>
    </row>
    <row r="4276" spans="2:6">
      <c r="B4276">
        <v>2018</v>
      </c>
      <c r="C4276" t="s">
        <v>56</v>
      </c>
      <c r="D4276" t="s">
        <v>185</v>
      </c>
      <c r="E4276" t="s">
        <v>15</v>
      </c>
      <c r="F4276">
        <v>0.29140302538871765</v>
      </c>
    </row>
    <row r="4277" spans="2:6">
      <c r="B4277">
        <v>2019</v>
      </c>
      <c r="C4277" t="s">
        <v>56</v>
      </c>
      <c r="D4277" t="s">
        <v>185</v>
      </c>
      <c r="E4277" t="s">
        <v>7</v>
      </c>
      <c r="F4277">
        <v>6.004237174987793</v>
      </c>
    </row>
    <row r="4278" spans="2:6">
      <c r="B4278">
        <v>2019</v>
      </c>
      <c r="C4278" t="s">
        <v>56</v>
      </c>
      <c r="D4278" t="s">
        <v>185</v>
      </c>
      <c r="E4278" t="s">
        <v>8</v>
      </c>
      <c r="F4278">
        <v>9.8211402893066406</v>
      </c>
    </row>
    <row r="4279" spans="2:6">
      <c r="B4279">
        <v>2019</v>
      </c>
      <c r="C4279" t="s">
        <v>56</v>
      </c>
      <c r="D4279" t="s">
        <v>185</v>
      </c>
      <c r="E4279" t="s">
        <v>9</v>
      </c>
      <c r="F4279">
        <v>0.8840898871421814</v>
      </c>
    </row>
    <row r="4280" spans="2:6">
      <c r="B4280">
        <v>2019</v>
      </c>
      <c r="C4280" t="s">
        <v>56</v>
      </c>
      <c r="D4280" t="s">
        <v>185</v>
      </c>
      <c r="E4280" t="s">
        <v>10</v>
      </c>
      <c r="F4280">
        <v>66.099998474121094</v>
      </c>
    </row>
    <row r="4281" spans="2:6">
      <c r="B4281">
        <v>2019</v>
      </c>
      <c r="C4281" t="s">
        <v>56</v>
      </c>
      <c r="D4281" t="s">
        <v>185</v>
      </c>
      <c r="E4281" t="s">
        <v>11</v>
      </c>
      <c r="F4281">
        <v>0.87740623950958252</v>
      </c>
    </row>
    <row r="4282" spans="2:6">
      <c r="B4282">
        <v>2019</v>
      </c>
      <c r="C4282" t="s">
        <v>56</v>
      </c>
      <c r="D4282" t="s">
        <v>185</v>
      </c>
      <c r="E4282" t="s">
        <v>12</v>
      </c>
      <c r="F4282">
        <v>-0.12269604206085205</v>
      </c>
    </row>
    <row r="4283" spans="2:6">
      <c r="B4283">
        <v>2019</v>
      </c>
      <c r="C4283" t="s">
        <v>56</v>
      </c>
      <c r="D4283" t="s">
        <v>185</v>
      </c>
      <c r="E4283" t="s">
        <v>13</v>
      </c>
      <c r="F4283">
        <v>0.74561536312103271</v>
      </c>
    </row>
    <row r="4284" spans="2:6">
      <c r="B4284">
        <v>2019</v>
      </c>
      <c r="C4284" t="s">
        <v>56</v>
      </c>
      <c r="D4284" t="s">
        <v>185</v>
      </c>
      <c r="E4284" t="s">
        <v>14</v>
      </c>
      <c r="F4284">
        <v>0.78421831130981445</v>
      </c>
    </row>
    <row r="4285" spans="2:6">
      <c r="B4285">
        <v>2019</v>
      </c>
      <c r="C4285" t="s">
        <v>56</v>
      </c>
      <c r="D4285" t="s">
        <v>185</v>
      </c>
      <c r="E4285" t="s">
        <v>15</v>
      </c>
      <c r="F4285">
        <v>0.26405411958694458</v>
      </c>
    </row>
    <row r="4286" spans="2:6">
      <c r="B4286">
        <v>2020</v>
      </c>
      <c r="C4286" t="s">
        <v>56</v>
      </c>
      <c r="D4286" t="s">
        <v>185</v>
      </c>
      <c r="E4286" t="s">
        <v>7</v>
      </c>
      <c r="F4286">
        <v>5.1684098243713379</v>
      </c>
    </row>
    <row r="4287" spans="2:6">
      <c r="B4287">
        <v>2020</v>
      </c>
      <c r="C4287" t="s">
        <v>56</v>
      </c>
      <c r="D4287" t="s">
        <v>185</v>
      </c>
      <c r="E4287" t="s">
        <v>8</v>
      </c>
      <c r="F4287">
        <v>9.8024463653564453</v>
      </c>
    </row>
    <row r="4288" spans="2:6">
      <c r="B4288">
        <v>2020</v>
      </c>
      <c r="C4288" t="s">
        <v>56</v>
      </c>
      <c r="D4288" t="s">
        <v>185</v>
      </c>
      <c r="E4288" t="s">
        <v>9</v>
      </c>
      <c r="F4288">
        <v>0.80611765384674072</v>
      </c>
    </row>
    <row r="4289" spans="2:6">
      <c r="B4289">
        <v>2020</v>
      </c>
      <c r="C4289" t="s">
        <v>56</v>
      </c>
      <c r="D4289" t="s">
        <v>185</v>
      </c>
      <c r="E4289" t="s">
        <v>10</v>
      </c>
      <c r="F4289">
        <v>66.400001525878906</v>
      </c>
    </row>
    <row r="4290" spans="2:6">
      <c r="B4290">
        <v>2020</v>
      </c>
      <c r="C4290" t="s">
        <v>56</v>
      </c>
      <c r="D4290" t="s">
        <v>185</v>
      </c>
      <c r="E4290" t="s">
        <v>11</v>
      </c>
      <c r="F4290">
        <v>0.83464294672012329</v>
      </c>
    </row>
    <row r="4291" spans="2:6">
      <c r="B4291">
        <v>2020</v>
      </c>
      <c r="C4291" t="s">
        <v>56</v>
      </c>
      <c r="D4291" t="s">
        <v>185</v>
      </c>
      <c r="E4291" t="s">
        <v>12</v>
      </c>
      <c r="F4291">
        <v>-0.12783403694629669</v>
      </c>
    </row>
    <row r="4292" spans="2:6">
      <c r="B4292">
        <v>2020</v>
      </c>
      <c r="C4292" t="s">
        <v>56</v>
      </c>
      <c r="D4292" t="s">
        <v>185</v>
      </c>
      <c r="E4292" t="s">
        <v>13</v>
      </c>
      <c r="F4292">
        <v>0.63611656427383423</v>
      </c>
    </row>
    <row r="4293" spans="2:6">
      <c r="B4293">
        <v>2020</v>
      </c>
      <c r="C4293" t="s">
        <v>56</v>
      </c>
      <c r="D4293" t="s">
        <v>185</v>
      </c>
      <c r="E4293" t="s">
        <v>14</v>
      </c>
      <c r="F4293">
        <v>0.73386693000793457</v>
      </c>
    </row>
    <row r="4294" spans="2:6">
      <c r="B4294">
        <v>2020</v>
      </c>
      <c r="C4294" t="s">
        <v>56</v>
      </c>
      <c r="D4294" t="s">
        <v>185</v>
      </c>
      <c r="E4294" t="s">
        <v>15</v>
      </c>
      <c r="F4294">
        <v>0.31392830610275269</v>
      </c>
    </row>
    <row r="4295" spans="2:6">
      <c r="B4295">
        <v>2006</v>
      </c>
      <c r="C4295" t="s">
        <v>57</v>
      </c>
      <c r="D4295" t="s">
        <v>185</v>
      </c>
      <c r="E4295" t="s">
        <v>7</v>
      </c>
      <c r="F4295">
        <v>5.0241913795471191</v>
      </c>
    </row>
    <row r="4296" spans="2:6">
      <c r="B4296">
        <v>2006</v>
      </c>
      <c r="C4296" t="s">
        <v>57</v>
      </c>
      <c r="D4296" t="s">
        <v>185</v>
      </c>
      <c r="E4296" t="s">
        <v>8</v>
      </c>
      <c r="F4296">
        <v>9.1857786178588867</v>
      </c>
    </row>
    <row r="4297" spans="2:6">
      <c r="B4297">
        <v>2006</v>
      </c>
      <c r="C4297" t="s">
        <v>57</v>
      </c>
      <c r="D4297" t="s">
        <v>185</v>
      </c>
      <c r="E4297" t="s">
        <v>9</v>
      </c>
      <c r="F4297">
        <v>0.91018843650817871</v>
      </c>
    </row>
    <row r="4298" spans="2:6">
      <c r="B4298">
        <v>2006</v>
      </c>
      <c r="C4298" t="s">
        <v>57</v>
      </c>
      <c r="D4298" t="s">
        <v>185</v>
      </c>
      <c r="E4298" t="s">
        <v>10</v>
      </c>
      <c r="F4298">
        <v>66.080001831054688</v>
      </c>
    </row>
    <row r="4299" spans="2:6">
      <c r="B4299">
        <v>2006</v>
      </c>
      <c r="C4299" t="s">
        <v>57</v>
      </c>
      <c r="D4299" t="s">
        <v>185</v>
      </c>
      <c r="E4299" t="s">
        <v>11</v>
      </c>
      <c r="F4299">
        <v>0.67107498645782471</v>
      </c>
    </row>
    <row r="4300" spans="2:6">
      <c r="B4300">
        <v>2006</v>
      </c>
      <c r="C4300" t="s">
        <v>57</v>
      </c>
      <c r="D4300" t="s">
        <v>185</v>
      </c>
      <c r="E4300" t="s">
        <v>12</v>
      </c>
      <c r="F4300">
        <v>-9.0794317424297333E-2</v>
      </c>
    </row>
    <row r="4301" spans="2:6">
      <c r="B4301">
        <v>2006</v>
      </c>
      <c r="C4301" t="s">
        <v>57</v>
      </c>
      <c r="D4301" t="s">
        <v>185</v>
      </c>
      <c r="E4301" t="s">
        <v>13</v>
      </c>
      <c r="F4301">
        <v>0.90068662166595459</v>
      </c>
    </row>
    <row r="4302" spans="2:6">
      <c r="B4302">
        <v>2006</v>
      </c>
      <c r="C4302" t="s">
        <v>57</v>
      </c>
      <c r="D4302" t="s">
        <v>185</v>
      </c>
      <c r="E4302" t="s">
        <v>14</v>
      </c>
      <c r="F4302">
        <v>0.82487022876739502</v>
      </c>
    </row>
    <row r="4303" spans="2:6">
      <c r="B4303">
        <v>2006</v>
      </c>
      <c r="C4303" t="s">
        <v>57</v>
      </c>
      <c r="D4303" t="s">
        <v>185</v>
      </c>
      <c r="E4303" t="s">
        <v>15</v>
      </c>
      <c r="F4303">
        <v>0.35684746503829956</v>
      </c>
    </row>
    <row r="4304" spans="2:6">
      <c r="B4304">
        <v>2007</v>
      </c>
      <c r="C4304" t="s">
        <v>57</v>
      </c>
      <c r="D4304" t="s">
        <v>185</v>
      </c>
      <c r="E4304" t="s">
        <v>7</v>
      </c>
      <c r="F4304">
        <v>4.995875358581543</v>
      </c>
    </row>
    <row r="4305" spans="2:6">
      <c r="B4305">
        <v>2007</v>
      </c>
      <c r="C4305" t="s">
        <v>57</v>
      </c>
      <c r="D4305" t="s">
        <v>185</v>
      </c>
      <c r="E4305" t="s">
        <v>8</v>
      </c>
      <c r="F4305">
        <v>9.1907138824462891</v>
      </c>
    </row>
    <row r="4306" spans="2:6">
      <c r="B4306">
        <v>2007</v>
      </c>
      <c r="C4306" t="s">
        <v>57</v>
      </c>
      <c r="D4306" t="s">
        <v>185</v>
      </c>
      <c r="E4306" t="s">
        <v>9</v>
      </c>
      <c r="F4306">
        <v>0.83885949850082397</v>
      </c>
    </row>
    <row r="4307" spans="2:6">
      <c r="B4307">
        <v>2007</v>
      </c>
      <c r="C4307" t="s">
        <v>57</v>
      </c>
      <c r="D4307" t="s">
        <v>185</v>
      </c>
      <c r="E4307" t="s">
        <v>10</v>
      </c>
      <c r="F4307">
        <v>66.260002136230469</v>
      </c>
    </row>
    <row r="4308" spans="2:6">
      <c r="B4308">
        <v>2007</v>
      </c>
      <c r="C4308" t="s">
        <v>57</v>
      </c>
      <c r="D4308" t="s">
        <v>185</v>
      </c>
      <c r="E4308" t="s">
        <v>11</v>
      </c>
      <c r="F4308">
        <v>0.66984337568283081</v>
      </c>
    </row>
    <row r="4309" spans="2:6">
      <c r="B4309">
        <v>2007</v>
      </c>
      <c r="C4309" t="s">
        <v>57</v>
      </c>
      <c r="D4309" t="s">
        <v>185</v>
      </c>
      <c r="E4309" t="s">
        <v>12</v>
      </c>
      <c r="F4309">
        <v>-6.3084565103054047E-2</v>
      </c>
    </row>
    <row r="4310" spans="2:6">
      <c r="B4310">
        <v>2007</v>
      </c>
      <c r="C4310" t="s">
        <v>57</v>
      </c>
      <c r="D4310" t="s">
        <v>185</v>
      </c>
      <c r="E4310" t="s">
        <v>13</v>
      </c>
      <c r="F4310">
        <v>0.82965147495269775</v>
      </c>
    </row>
    <row r="4311" spans="2:6">
      <c r="B4311">
        <v>2007</v>
      </c>
      <c r="C4311" t="s">
        <v>57</v>
      </c>
      <c r="D4311" t="s">
        <v>185</v>
      </c>
      <c r="E4311" t="s">
        <v>14</v>
      </c>
      <c r="F4311">
        <v>0.83328306674957275</v>
      </c>
    </row>
    <row r="4312" spans="2:6">
      <c r="B4312">
        <v>2007</v>
      </c>
      <c r="C4312" t="s">
        <v>57</v>
      </c>
      <c r="D4312" t="s">
        <v>185</v>
      </c>
      <c r="E4312" t="s">
        <v>15</v>
      </c>
      <c r="F4312">
        <v>0.2861441969871521</v>
      </c>
    </row>
    <row r="4313" spans="2:6">
      <c r="B4313">
        <v>2008</v>
      </c>
      <c r="C4313" t="s">
        <v>57</v>
      </c>
      <c r="D4313" t="s">
        <v>185</v>
      </c>
      <c r="E4313" t="s">
        <v>7</v>
      </c>
      <c r="F4313">
        <v>5.2965130805969238</v>
      </c>
    </row>
    <row r="4314" spans="2:6">
      <c r="B4314">
        <v>2008</v>
      </c>
      <c r="C4314" t="s">
        <v>57</v>
      </c>
      <c r="D4314" t="s">
        <v>185</v>
      </c>
      <c r="E4314" t="s">
        <v>8</v>
      </c>
      <c r="F4314">
        <v>9.2357549667358398</v>
      </c>
    </row>
    <row r="4315" spans="2:6">
      <c r="B4315">
        <v>2008</v>
      </c>
      <c r="C4315" t="s">
        <v>57</v>
      </c>
      <c r="D4315" t="s">
        <v>185</v>
      </c>
      <c r="E4315" t="s">
        <v>9</v>
      </c>
      <c r="F4315">
        <v>0.8293946385383606</v>
      </c>
    </row>
    <row r="4316" spans="2:6">
      <c r="B4316">
        <v>2008</v>
      </c>
      <c r="C4316" t="s">
        <v>57</v>
      </c>
      <c r="D4316" t="s">
        <v>185</v>
      </c>
      <c r="E4316" t="s">
        <v>10</v>
      </c>
      <c r="F4316">
        <v>66.44000244140625</v>
      </c>
    </row>
    <row r="4317" spans="2:6">
      <c r="B4317">
        <v>2008</v>
      </c>
      <c r="C4317" t="s">
        <v>57</v>
      </c>
      <c r="D4317" t="s">
        <v>185</v>
      </c>
      <c r="E4317" t="s">
        <v>11</v>
      </c>
      <c r="F4317">
        <v>0.64031726121902466</v>
      </c>
    </row>
    <row r="4318" spans="2:6">
      <c r="B4318">
        <v>2008</v>
      </c>
      <c r="C4318" t="s">
        <v>57</v>
      </c>
      <c r="D4318" t="s">
        <v>185</v>
      </c>
      <c r="E4318" t="s">
        <v>12</v>
      </c>
      <c r="F4318">
        <v>-9.4336450099945068E-2</v>
      </c>
    </row>
    <row r="4319" spans="2:6">
      <c r="B4319">
        <v>2008</v>
      </c>
      <c r="C4319" t="s">
        <v>57</v>
      </c>
      <c r="D4319" t="s">
        <v>185</v>
      </c>
      <c r="E4319" t="s">
        <v>13</v>
      </c>
      <c r="F4319">
        <v>0.80125665664672852</v>
      </c>
    </row>
    <row r="4320" spans="2:6">
      <c r="B4320">
        <v>2008</v>
      </c>
      <c r="C4320" t="s">
        <v>57</v>
      </c>
      <c r="D4320" t="s">
        <v>185</v>
      </c>
      <c r="E4320" t="s">
        <v>14</v>
      </c>
      <c r="F4320">
        <v>0.84258663654327393</v>
      </c>
    </row>
    <row r="4321" spans="2:6">
      <c r="B4321">
        <v>2008</v>
      </c>
      <c r="C4321" t="s">
        <v>57</v>
      </c>
      <c r="D4321" t="s">
        <v>185</v>
      </c>
      <c r="E4321" t="s">
        <v>15</v>
      </c>
      <c r="F4321">
        <v>0.28316414356231689</v>
      </c>
    </row>
    <row r="4322" spans="2:6">
      <c r="B4322">
        <v>2009</v>
      </c>
      <c r="C4322" t="s">
        <v>57</v>
      </c>
      <c r="D4322" t="s">
        <v>185</v>
      </c>
      <c r="E4322" t="s">
        <v>7</v>
      </c>
      <c r="F4322">
        <v>6.0218033790588379</v>
      </c>
    </row>
    <row r="4323" spans="2:6">
      <c r="B4323">
        <v>2009</v>
      </c>
      <c r="C4323" t="s">
        <v>57</v>
      </c>
      <c r="D4323" t="s">
        <v>185</v>
      </c>
      <c r="E4323" t="s">
        <v>8</v>
      </c>
      <c r="F4323">
        <v>9.2251167297363281</v>
      </c>
    </row>
    <row r="4324" spans="2:6">
      <c r="B4324">
        <v>2009</v>
      </c>
      <c r="C4324" t="s">
        <v>57</v>
      </c>
      <c r="D4324" t="s">
        <v>185</v>
      </c>
      <c r="E4324" t="s">
        <v>9</v>
      </c>
      <c r="F4324">
        <v>0.77939796447753906</v>
      </c>
    </row>
    <row r="4325" spans="2:6">
      <c r="B4325">
        <v>2009</v>
      </c>
      <c r="C4325" t="s">
        <v>57</v>
      </c>
      <c r="D4325" t="s">
        <v>185</v>
      </c>
      <c r="E4325" t="s">
        <v>10</v>
      </c>
      <c r="F4325">
        <v>66.620002746582031</v>
      </c>
    </row>
    <row r="4326" spans="2:6">
      <c r="B4326">
        <v>2009</v>
      </c>
      <c r="C4326" t="s">
        <v>57</v>
      </c>
      <c r="D4326" t="s">
        <v>185</v>
      </c>
      <c r="E4326" t="s">
        <v>11</v>
      </c>
      <c r="F4326">
        <v>0.7368808388710022</v>
      </c>
    </row>
    <row r="4327" spans="2:6">
      <c r="B4327">
        <v>2009</v>
      </c>
      <c r="C4327" t="s">
        <v>57</v>
      </c>
      <c r="D4327" t="s">
        <v>185</v>
      </c>
      <c r="E4327" t="s">
        <v>12</v>
      </c>
      <c r="F4327">
        <v>-0.10808223485946655</v>
      </c>
    </row>
    <row r="4328" spans="2:6">
      <c r="B4328">
        <v>2009</v>
      </c>
      <c r="C4328" t="s">
        <v>57</v>
      </c>
      <c r="D4328" t="s">
        <v>185</v>
      </c>
      <c r="E4328" t="s">
        <v>13</v>
      </c>
      <c r="F4328">
        <v>0.77430450916290283</v>
      </c>
    </row>
    <row r="4329" spans="2:6">
      <c r="B4329">
        <v>2009</v>
      </c>
      <c r="C4329" t="s">
        <v>57</v>
      </c>
      <c r="D4329" t="s">
        <v>185</v>
      </c>
      <c r="E4329" t="s">
        <v>14</v>
      </c>
      <c r="F4329">
        <v>0.84036314487457275</v>
      </c>
    </row>
    <row r="4330" spans="2:6">
      <c r="B4330">
        <v>2009</v>
      </c>
      <c r="C4330" t="s">
        <v>57</v>
      </c>
      <c r="D4330" t="s">
        <v>185</v>
      </c>
      <c r="E4330" t="s">
        <v>15</v>
      </c>
      <c r="F4330">
        <v>0.25596791505813599</v>
      </c>
    </row>
    <row r="4331" spans="2:6">
      <c r="B4331">
        <v>2010</v>
      </c>
      <c r="C4331" t="s">
        <v>57</v>
      </c>
      <c r="D4331" t="s">
        <v>185</v>
      </c>
      <c r="E4331" t="s">
        <v>7</v>
      </c>
      <c r="F4331">
        <v>5.8380513191223145</v>
      </c>
    </row>
    <row r="4332" spans="2:6">
      <c r="B4332">
        <v>2010</v>
      </c>
      <c r="C4332" t="s">
        <v>57</v>
      </c>
      <c r="D4332" t="s">
        <v>185</v>
      </c>
      <c r="E4332" t="s">
        <v>8</v>
      </c>
      <c r="F4332">
        <v>9.2438688278198242</v>
      </c>
    </row>
    <row r="4333" spans="2:6">
      <c r="B4333">
        <v>2010</v>
      </c>
      <c r="C4333" t="s">
        <v>57</v>
      </c>
      <c r="D4333" t="s">
        <v>185</v>
      </c>
      <c r="E4333" t="s">
        <v>9</v>
      </c>
      <c r="F4333">
        <v>0.83927971124649048</v>
      </c>
    </row>
    <row r="4334" spans="2:6">
      <c r="B4334">
        <v>2010</v>
      </c>
      <c r="C4334" t="s">
        <v>57</v>
      </c>
      <c r="D4334" t="s">
        <v>185</v>
      </c>
      <c r="E4334" t="s">
        <v>10</v>
      </c>
      <c r="F4334">
        <v>66.800003051757813</v>
      </c>
    </row>
    <row r="4335" spans="2:6">
      <c r="B4335">
        <v>2010</v>
      </c>
      <c r="C4335" t="s">
        <v>57</v>
      </c>
      <c r="D4335" t="s">
        <v>185</v>
      </c>
      <c r="E4335" t="s">
        <v>11</v>
      </c>
      <c r="F4335">
        <v>0.72307908535003662</v>
      </c>
    </row>
    <row r="4336" spans="2:6">
      <c r="B4336">
        <v>2010</v>
      </c>
      <c r="C4336" t="s">
        <v>57</v>
      </c>
      <c r="D4336" t="s">
        <v>185</v>
      </c>
      <c r="E4336" t="s">
        <v>12</v>
      </c>
      <c r="F4336">
        <v>-6.3228622078895569E-2</v>
      </c>
    </row>
    <row r="4337" spans="2:6">
      <c r="B4337">
        <v>2010</v>
      </c>
      <c r="C4337" t="s">
        <v>57</v>
      </c>
      <c r="D4337" t="s">
        <v>185</v>
      </c>
      <c r="E4337" t="s">
        <v>13</v>
      </c>
      <c r="F4337">
        <v>0.80563884973526001</v>
      </c>
    </row>
    <row r="4338" spans="2:6">
      <c r="B4338">
        <v>2010</v>
      </c>
      <c r="C4338" t="s">
        <v>57</v>
      </c>
      <c r="D4338" t="s">
        <v>185</v>
      </c>
      <c r="E4338" t="s">
        <v>14</v>
      </c>
      <c r="F4338">
        <v>0.82649505138397217</v>
      </c>
    </row>
    <row r="4339" spans="2:6">
      <c r="B4339">
        <v>2010</v>
      </c>
      <c r="C4339" t="s">
        <v>57</v>
      </c>
      <c r="D4339" t="s">
        <v>185</v>
      </c>
      <c r="E4339" t="s">
        <v>15</v>
      </c>
      <c r="F4339">
        <v>0.22001370787620544</v>
      </c>
    </row>
    <row r="4340" spans="2:6">
      <c r="B4340">
        <v>2011</v>
      </c>
      <c r="C4340" t="s">
        <v>57</v>
      </c>
      <c r="D4340" t="s">
        <v>185</v>
      </c>
      <c r="E4340" t="s">
        <v>7</v>
      </c>
      <c r="F4340">
        <v>5.7950882911682129</v>
      </c>
    </row>
    <row r="4341" spans="2:6">
      <c r="B4341">
        <v>2011</v>
      </c>
      <c r="C4341" t="s">
        <v>57</v>
      </c>
      <c r="D4341" t="s">
        <v>185</v>
      </c>
      <c r="E4341" t="s">
        <v>8</v>
      </c>
      <c r="F4341">
        <v>9.3042211532592773</v>
      </c>
    </row>
    <row r="4342" spans="2:6">
      <c r="B4342">
        <v>2011</v>
      </c>
      <c r="C4342" t="s">
        <v>57</v>
      </c>
      <c r="D4342" t="s">
        <v>185</v>
      </c>
      <c r="E4342" t="s">
        <v>9</v>
      </c>
      <c r="F4342">
        <v>0.81805133819580078</v>
      </c>
    </row>
    <row r="4343" spans="2:6">
      <c r="B4343">
        <v>2011</v>
      </c>
      <c r="C4343" t="s">
        <v>57</v>
      </c>
      <c r="D4343" t="s">
        <v>185</v>
      </c>
      <c r="E4343" t="s">
        <v>10</v>
      </c>
      <c r="F4343">
        <v>66.959999084472656</v>
      </c>
    </row>
    <row r="4344" spans="2:6">
      <c r="B4344">
        <v>2011</v>
      </c>
      <c r="C4344" t="s">
        <v>57</v>
      </c>
      <c r="D4344" t="s">
        <v>185</v>
      </c>
      <c r="E4344" t="s">
        <v>11</v>
      </c>
      <c r="F4344">
        <v>0.78830569982528687</v>
      </c>
    </row>
    <row r="4345" spans="2:6">
      <c r="B4345">
        <v>2011</v>
      </c>
      <c r="C4345" t="s">
        <v>57</v>
      </c>
      <c r="D4345" t="s">
        <v>185</v>
      </c>
      <c r="E4345" t="s">
        <v>12</v>
      </c>
      <c r="F4345">
        <v>-0.15505300462245941</v>
      </c>
    </row>
    <row r="4346" spans="2:6">
      <c r="B4346">
        <v>2011</v>
      </c>
      <c r="C4346" t="s">
        <v>57</v>
      </c>
      <c r="D4346" t="s">
        <v>185</v>
      </c>
      <c r="E4346" t="s">
        <v>13</v>
      </c>
      <c r="F4346">
        <v>0.70159566402435303</v>
      </c>
    </row>
    <row r="4347" spans="2:6">
      <c r="B4347">
        <v>2011</v>
      </c>
      <c r="C4347" t="s">
        <v>57</v>
      </c>
      <c r="D4347" t="s">
        <v>185</v>
      </c>
      <c r="E4347" t="s">
        <v>14</v>
      </c>
      <c r="F4347">
        <v>0.86169999837875366</v>
      </c>
    </row>
    <row r="4348" spans="2:6">
      <c r="B4348">
        <v>2011</v>
      </c>
      <c r="C4348" t="s">
        <v>57</v>
      </c>
      <c r="D4348" t="s">
        <v>185</v>
      </c>
      <c r="E4348" t="s">
        <v>15</v>
      </c>
      <c r="F4348">
        <v>0.27068766951560974</v>
      </c>
    </row>
    <row r="4349" spans="2:6">
      <c r="B4349">
        <v>2012</v>
      </c>
      <c r="C4349" t="s">
        <v>57</v>
      </c>
      <c r="D4349" t="s">
        <v>185</v>
      </c>
      <c r="E4349" t="s">
        <v>7</v>
      </c>
      <c r="F4349">
        <v>5.9607162475585938</v>
      </c>
    </row>
    <row r="4350" spans="2:6">
      <c r="B4350">
        <v>2012</v>
      </c>
      <c r="C4350" t="s">
        <v>57</v>
      </c>
      <c r="D4350" t="s">
        <v>185</v>
      </c>
      <c r="E4350" t="s">
        <v>8</v>
      </c>
      <c r="F4350">
        <v>9.3441171646118164</v>
      </c>
    </row>
    <row r="4351" spans="2:6">
      <c r="B4351">
        <v>2012</v>
      </c>
      <c r="C4351" t="s">
        <v>57</v>
      </c>
      <c r="D4351" t="s">
        <v>185</v>
      </c>
      <c r="E4351" t="s">
        <v>9</v>
      </c>
      <c r="F4351">
        <v>0.78520101308822632</v>
      </c>
    </row>
    <row r="4352" spans="2:6">
      <c r="B4352">
        <v>2012</v>
      </c>
      <c r="C4352" t="s">
        <v>57</v>
      </c>
      <c r="D4352" t="s">
        <v>185</v>
      </c>
      <c r="E4352" t="s">
        <v>10</v>
      </c>
      <c r="F4352">
        <v>67.120002746582031</v>
      </c>
    </row>
    <row r="4353" spans="2:6">
      <c r="B4353">
        <v>2012</v>
      </c>
      <c r="C4353" t="s">
        <v>57</v>
      </c>
      <c r="D4353" t="s">
        <v>185</v>
      </c>
      <c r="E4353" t="s">
        <v>11</v>
      </c>
      <c r="F4353">
        <v>0.82527512311935425</v>
      </c>
    </row>
    <row r="4354" spans="2:6">
      <c r="B4354">
        <v>2012</v>
      </c>
      <c r="C4354" t="s">
        <v>57</v>
      </c>
      <c r="D4354" t="s">
        <v>185</v>
      </c>
      <c r="E4354" t="s">
        <v>12</v>
      </c>
      <c r="F4354">
        <v>-8.3768360316753387E-2</v>
      </c>
    </row>
    <row r="4355" spans="2:6">
      <c r="B4355">
        <v>2012</v>
      </c>
      <c r="C4355" t="s">
        <v>57</v>
      </c>
      <c r="D4355" t="s">
        <v>185</v>
      </c>
      <c r="E4355" t="s">
        <v>13</v>
      </c>
      <c r="F4355">
        <v>0.72997885942459106</v>
      </c>
    </row>
    <row r="4356" spans="2:6">
      <c r="B4356">
        <v>2012</v>
      </c>
      <c r="C4356" t="s">
        <v>57</v>
      </c>
      <c r="D4356" t="s">
        <v>185</v>
      </c>
      <c r="E4356" t="s">
        <v>14</v>
      </c>
      <c r="F4356">
        <v>0.84718483686447144</v>
      </c>
    </row>
    <row r="4357" spans="2:6">
      <c r="B4357">
        <v>2012</v>
      </c>
      <c r="C4357" t="s">
        <v>57</v>
      </c>
      <c r="D4357" t="s">
        <v>185</v>
      </c>
      <c r="E4357" t="s">
        <v>15</v>
      </c>
      <c r="F4357">
        <v>0.33330905437469482</v>
      </c>
    </row>
    <row r="4358" spans="2:6">
      <c r="B4358">
        <v>2013</v>
      </c>
      <c r="C4358" t="s">
        <v>57</v>
      </c>
      <c r="D4358" t="s">
        <v>185</v>
      </c>
      <c r="E4358" t="s">
        <v>7</v>
      </c>
      <c r="F4358">
        <v>6.0192060470581055</v>
      </c>
    </row>
    <row r="4359" spans="2:6">
      <c r="B4359">
        <v>2013</v>
      </c>
      <c r="C4359" t="s">
        <v>57</v>
      </c>
      <c r="D4359" t="s">
        <v>185</v>
      </c>
      <c r="E4359" t="s">
        <v>8</v>
      </c>
      <c r="F4359">
        <v>9.3774290084838867</v>
      </c>
    </row>
    <row r="4360" spans="2:6">
      <c r="B4360">
        <v>2013</v>
      </c>
      <c r="C4360" t="s">
        <v>57</v>
      </c>
      <c r="D4360" t="s">
        <v>185</v>
      </c>
      <c r="E4360" t="s">
        <v>9</v>
      </c>
      <c r="F4360">
        <v>0.80125093460083008</v>
      </c>
    </row>
    <row r="4361" spans="2:6">
      <c r="B4361">
        <v>2013</v>
      </c>
      <c r="C4361" t="s">
        <v>57</v>
      </c>
      <c r="D4361" t="s">
        <v>185</v>
      </c>
      <c r="E4361" t="s">
        <v>10</v>
      </c>
      <c r="F4361">
        <v>67.279998779296875</v>
      </c>
    </row>
    <row r="4362" spans="2:6">
      <c r="B4362">
        <v>2013</v>
      </c>
      <c r="C4362" t="s">
        <v>57</v>
      </c>
      <c r="D4362" t="s">
        <v>185</v>
      </c>
      <c r="E4362" t="s">
        <v>11</v>
      </c>
      <c r="F4362">
        <v>0.78679811954498291</v>
      </c>
    </row>
    <row r="4363" spans="2:6">
      <c r="B4363">
        <v>2013</v>
      </c>
      <c r="C4363" t="s">
        <v>57</v>
      </c>
      <c r="D4363" t="s">
        <v>185</v>
      </c>
      <c r="E4363" t="s">
        <v>12</v>
      </c>
      <c r="F4363">
        <v>-0.1905500590801239</v>
      </c>
    </row>
    <row r="4364" spans="2:6">
      <c r="B4364">
        <v>2013</v>
      </c>
      <c r="C4364" t="s">
        <v>57</v>
      </c>
      <c r="D4364" t="s">
        <v>185</v>
      </c>
      <c r="E4364" t="s">
        <v>13</v>
      </c>
      <c r="F4364">
        <v>0.64584863185882568</v>
      </c>
    </row>
    <row r="4365" spans="2:6">
      <c r="B4365">
        <v>2013</v>
      </c>
      <c r="C4365" t="s">
        <v>57</v>
      </c>
      <c r="D4365" t="s">
        <v>185</v>
      </c>
      <c r="E4365" t="s">
        <v>14</v>
      </c>
      <c r="F4365">
        <v>0.85089731216430664</v>
      </c>
    </row>
    <row r="4366" spans="2:6">
      <c r="B4366">
        <v>2013</v>
      </c>
      <c r="C4366" t="s">
        <v>57</v>
      </c>
      <c r="D4366" t="s">
        <v>185</v>
      </c>
      <c r="E4366" t="s">
        <v>15</v>
      </c>
      <c r="F4366">
        <v>0.26650404930114746</v>
      </c>
    </row>
    <row r="4367" spans="2:6">
      <c r="B4367">
        <v>2014</v>
      </c>
      <c r="C4367" t="s">
        <v>57</v>
      </c>
      <c r="D4367" t="s">
        <v>185</v>
      </c>
      <c r="E4367" t="s">
        <v>7</v>
      </c>
      <c r="F4367">
        <v>5.9458518028259277</v>
      </c>
    </row>
    <row r="4368" spans="2:6">
      <c r="B4368">
        <v>2014</v>
      </c>
      <c r="C4368" t="s">
        <v>57</v>
      </c>
      <c r="D4368" t="s">
        <v>185</v>
      </c>
      <c r="E4368" t="s">
        <v>8</v>
      </c>
      <c r="F4368">
        <v>9.3991794586181641</v>
      </c>
    </row>
    <row r="4369" spans="2:6">
      <c r="B4369">
        <v>2014</v>
      </c>
      <c r="C4369" t="s">
        <v>57</v>
      </c>
      <c r="D4369" t="s">
        <v>185</v>
      </c>
      <c r="E4369" t="s">
        <v>9</v>
      </c>
      <c r="F4369">
        <v>0.83096319437026978</v>
      </c>
    </row>
    <row r="4370" spans="2:6">
      <c r="B4370">
        <v>2014</v>
      </c>
      <c r="C4370" t="s">
        <v>57</v>
      </c>
      <c r="D4370" t="s">
        <v>185</v>
      </c>
      <c r="E4370" t="s">
        <v>10</v>
      </c>
      <c r="F4370">
        <v>67.44000244140625</v>
      </c>
    </row>
    <row r="4371" spans="2:6">
      <c r="B4371">
        <v>2014</v>
      </c>
      <c r="C4371" t="s">
        <v>57</v>
      </c>
      <c r="D4371" t="s">
        <v>185</v>
      </c>
      <c r="E4371" t="s">
        <v>11</v>
      </c>
      <c r="F4371">
        <v>0.7191048264503479</v>
      </c>
    </row>
    <row r="4372" spans="2:6">
      <c r="B4372">
        <v>2014</v>
      </c>
      <c r="C4372" t="s">
        <v>57</v>
      </c>
      <c r="D4372" t="s">
        <v>185</v>
      </c>
      <c r="E4372" t="s">
        <v>12</v>
      </c>
      <c r="F4372">
        <v>-0.16720996797084808</v>
      </c>
    </row>
    <row r="4373" spans="2:6">
      <c r="B4373">
        <v>2014</v>
      </c>
      <c r="C4373" t="s">
        <v>57</v>
      </c>
      <c r="D4373" t="s">
        <v>185</v>
      </c>
      <c r="E4373" t="s">
        <v>13</v>
      </c>
      <c r="F4373">
        <v>0.6609349250793457</v>
      </c>
    </row>
    <row r="4374" spans="2:6">
      <c r="B4374">
        <v>2014</v>
      </c>
      <c r="C4374" t="s">
        <v>57</v>
      </c>
      <c r="D4374" t="s">
        <v>185</v>
      </c>
      <c r="E4374" t="s">
        <v>14</v>
      </c>
      <c r="F4374">
        <v>0.85931551456451416</v>
      </c>
    </row>
    <row r="4375" spans="2:6">
      <c r="B4375">
        <v>2014</v>
      </c>
      <c r="C4375" t="s">
        <v>57</v>
      </c>
      <c r="D4375" t="s">
        <v>185</v>
      </c>
      <c r="E4375" t="s">
        <v>15</v>
      </c>
      <c r="F4375">
        <v>0.30579295754432678</v>
      </c>
    </row>
    <row r="4376" spans="2:6">
      <c r="B4376">
        <v>2015</v>
      </c>
      <c r="C4376" t="s">
        <v>57</v>
      </c>
      <c r="D4376" t="s">
        <v>185</v>
      </c>
      <c r="E4376" t="s">
        <v>7</v>
      </c>
      <c r="F4376">
        <v>5.9640750885009766</v>
      </c>
    </row>
    <row r="4377" spans="2:6">
      <c r="B4377">
        <v>2015</v>
      </c>
      <c r="C4377" t="s">
        <v>57</v>
      </c>
      <c r="D4377" t="s">
        <v>185</v>
      </c>
      <c r="E4377" t="s">
        <v>8</v>
      </c>
      <c r="F4377">
        <v>9.3839893341064453</v>
      </c>
    </row>
    <row r="4378" spans="2:6">
      <c r="B4378">
        <v>2015</v>
      </c>
      <c r="C4378" t="s">
        <v>57</v>
      </c>
      <c r="D4378" t="s">
        <v>185</v>
      </c>
      <c r="E4378" t="s">
        <v>9</v>
      </c>
      <c r="F4378">
        <v>0.85588920116424561</v>
      </c>
    </row>
    <row r="4379" spans="2:6">
      <c r="B4379">
        <v>2015</v>
      </c>
      <c r="C4379" t="s">
        <v>57</v>
      </c>
      <c r="D4379" t="s">
        <v>185</v>
      </c>
      <c r="E4379" t="s">
        <v>10</v>
      </c>
      <c r="F4379">
        <v>67.599998474121094</v>
      </c>
    </row>
    <row r="4380" spans="2:6">
      <c r="B4380">
        <v>2015</v>
      </c>
      <c r="C4380" t="s">
        <v>57</v>
      </c>
      <c r="D4380" t="s">
        <v>185</v>
      </c>
      <c r="E4380" t="s">
        <v>11</v>
      </c>
      <c r="F4380">
        <v>0.80087047815322876</v>
      </c>
    </row>
    <row r="4381" spans="2:6">
      <c r="B4381">
        <v>2015</v>
      </c>
      <c r="C4381" t="s">
        <v>57</v>
      </c>
      <c r="D4381" t="s">
        <v>185</v>
      </c>
      <c r="E4381" t="s">
        <v>12</v>
      </c>
      <c r="F4381">
        <v>-0.11392004787921906</v>
      </c>
    </row>
    <row r="4382" spans="2:6">
      <c r="B4382">
        <v>2015</v>
      </c>
      <c r="C4382" t="s">
        <v>57</v>
      </c>
      <c r="D4382" t="s">
        <v>185</v>
      </c>
      <c r="E4382" t="s">
        <v>13</v>
      </c>
      <c r="F4382">
        <v>0.66582751274108887</v>
      </c>
    </row>
    <row r="4383" spans="2:6">
      <c r="B4383">
        <v>2015</v>
      </c>
      <c r="C4383" t="s">
        <v>57</v>
      </c>
      <c r="D4383" t="s">
        <v>185</v>
      </c>
      <c r="E4383" t="s">
        <v>14</v>
      </c>
      <c r="F4383">
        <v>0.85054606199264526</v>
      </c>
    </row>
    <row r="4384" spans="2:6">
      <c r="B4384">
        <v>2015</v>
      </c>
      <c r="C4384" t="s">
        <v>57</v>
      </c>
      <c r="D4384" t="s">
        <v>185</v>
      </c>
      <c r="E4384" t="s">
        <v>15</v>
      </c>
      <c r="F4384">
        <v>0.32294610142707825</v>
      </c>
    </row>
    <row r="4385" spans="2:6">
      <c r="B4385">
        <v>2016</v>
      </c>
      <c r="C4385" t="s">
        <v>57</v>
      </c>
      <c r="D4385" t="s">
        <v>185</v>
      </c>
      <c r="E4385" t="s">
        <v>7</v>
      </c>
      <c r="F4385">
        <v>6.1154375076293945</v>
      </c>
    </row>
    <row r="4386" spans="2:6">
      <c r="B4386">
        <v>2016</v>
      </c>
      <c r="C4386" t="s">
        <v>57</v>
      </c>
      <c r="D4386" t="s">
        <v>185</v>
      </c>
      <c r="E4386" t="s">
        <v>8</v>
      </c>
      <c r="F4386">
        <v>9.3545808792114258</v>
      </c>
    </row>
    <row r="4387" spans="2:6">
      <c r="B4387">
        <v>2016</v>
      </c>
      <c r="C4387" t="s">
        <v>57</v>
      </c>
      <c r="D4387" t="s">
        <v>185</v>
      </c>
      <c r="E4387" t="s">
        <v>9</v>
      </c>
      <c r="F4387">
        <v>0.84235209226608276</v>
      </c>
    </row>
    <row r="4388" spans="2:6">
      <c r="B4388">
        <v>2016</v>
      </c>
      <c r="C4388" t="s">
        <v>57</v>
      </c>
      <c r="D4388" t="s">
        <v>185</v>
      </c>
      <c r="E4388" t="s">
        <v>10</v>
      </c>
      <c r="F4388">
        <v>67.900001525878906</v>
      </c>
    </row>
    <row r="4389" spans="2:6">
      <c r="B4389">
        <v>2016</v>
      </c>
      <c r="C4389" t="s">
        <v>57</v>
      </c>
      <c r="D4389" t="s">
        <v>185</v>
      </c>
      <c r="E4389" t="s">
        <v>11</v>
      </c>
      <c r="F4389">
        <v>0.84633630514144897</v>
      </c>
    </row>
    <row r="4390" spans="2:6">
      <c r="B4390">
        <v>2016</v>
      </c>
      <c r="C4390" t="s">
        <v>57</v>
      </c>
      <c r="D4390" t="s">
        <v>185</v>
      </c>
      <c r="E4390" t="s">
        <v>12</v>
      </c>
      <c r="F4390">
        <v>-1.5231534838676453E-2</v>
      </c>
    </row>
    <row r="4391" spans="2:6">
      <c r="B4391">
        <v>2016</v>
      </c>
      <c r="C4391" t="s">
        <v>57</v>
      </c>
      <c r="D4391" t="s">
        <v>185</v>
      </c>
      <c r="E4391" t="s">
        <v>13</v>
      </c>
      <c r="F4391">
        <v>0.77408415079116821</v>
      </c>
    </row>
    <row r="4392" spans="2:6">
      <c r="B4392">
        <v>2016</v>
      </c>
      <c r="C4392" t="s">
        <v>57</v>
      </c>
      <c r="D4392" t="s">
        <v>185</v>
      </c>
      <c r="E4392" t="s">
        <v>14</v>
      </c>
      <c r="F4392">
        <v>0.84635400772094727</v>
      </c>
    </row>
    <row r="4393" spans="2:6">
      <c r="B4393">
        <v>2016</v>
      </c>
      <c r="C4393" t="s">
        <v>57</v>
      </c>
      <c r="D4393" t="s">
        <v>185</v>
      </c>
      <c r="E4393" t="s">
        <v>15</v>
      </c>
      <c r="F4393">
        <v>0.36524659395217896</v>
      </c>
    </row>
    <row r="4394" spans="2:6">
      <c r="B4394">
        <v>2017</v>
      </c>
      <c r="C4394" t="s">
        <v>57</v>
      </c>
      <c r="D4394" t="s">
        <v>185</v>
      </c>
      <c r="E4394" t="s">
        <v>7</v>
      </c>
      <c r="F4394">
        <v>5.8395185470581055</v>
      </c>
    </row>
    <row r="4395" spans="2:6">
      <c r="B4395">
        <v>2017</v>
      </c>
      <c r="C4395" t="s">
        <v>57</v>
      </c>
      <c r="D4395" t="s">
        <v>185</v>
      </c>
      <c r="E4395" t="s">
        <v>8</v>
      </c>
      <c r="F4395">
        <v>9.3603029251098633</v>
      </c>
    </row>
    <row r="4396" spans="2:6">
      <c r="B4396">
        <v>2017</v>
      </c>
      <c r="C4396" t="s">
        <v>57</v>
      </c>
      <c r="D4396" t="s">
        <v>185</v>
      </c>
      <c r="E4396" t="s">
        <v>9</v>
      </c>
      <c r="F4396">
        <v>0.84894174337387085</v>
      </c>
    </row>
    <row r="4397" spans="2:6">
      <c r="B4397">
        <v>2017</v>
      </c>
      <c r="C4397" t="s">
        <v>57</v>
      </c>
      <c r="D4397" t="s">
        <v>185</v>
      </c>
      <c r="E4397" t="s">
        <v>10</v>
      </c>
      <c r="F4397">
        <v>68.199996948242188</v>
      </c>
    </row>
    <row r="4398" spans="2:6">
      <c r="B4398">
        <v>2017</v>
      </c>
      <c r="C4398" t="s">
        <v>57</v>
      </c>
      <c r="D4398" t="s">
        <v>185</v>
      </c>
      <c r="E4398" t="s">
        <v>11</v>
      </c>
      <c r="F4398">
        <v>0.87912815809249878</v>
      </c>
    </row>
    <row r="4399" spans="2:6">
      <c r="B4399">
        <v>2017</v>
      </c>
      <c r="C4399" t="s">
        <v>57</v>
      </c>
      <c r="D4399" t="s">
        <v>185</v>
      </c>
      <c r="E4399" t="s">
        <v>12</v>
      </c>
      <c r="F4399">
        <v>-0.1670355498790741</v>
      </c>
    </row>
    <row r="4400" spans="2:6">
      <c r="B4400">
        <v>2017</v>
      </c>
      <c r="C4400" t="s">
        <v>57</v>
      </c>
      <c r="D4400" t="s">
        <v>185</v>
      </c>
      <c r="E4400" t="s">
        <v>13</v>
      </c>
      <c r="F4400">
        <v>0.73358875513076782</v>
      </c>
    </row>
    <row r="4401" spans="2:6">
      <c r="B4401">
        <v>2017</v>
      </c>
      <c r="C4401" t="s">
        <v>57</v>
      </c>
      <c r="D4401" t="s">
        <v>185</v>
      </c>
      <c r="E4401" t="s">
        <v>14</v>
      </c>
      <c r="F4401">
        <v>0.82914197444915771</v>
      </c>
    </row>
    <row r="4402" spans="2:6">
      <c r="B4402">
        <v>2017</v>
      </c>
      <c r="C4402" t="s">
        <v>57</v>
      </c>
      <c r="D4402" t="s">
        <v>185</v>
      </c>
      <c r="E4402" t="s">
        <v>15</v>
      </c>
      <c r="F4402">
        <v>0.31434348225593567</v>
      </c>
    </row>
    <row r="4403" spans="2:6">
      <c r="B4403">
        <v>2018</v>
      </c>
      <c r="C4403" t="s">
        <v>57</v>
      </c>
      <c r="D4403" t="s">
        <v>185</v>
      </c>
      <c r="E4403" t="s">
        <v>7</v>
      </c>
      <c r="F4403">
        <v>6.1280102729797363</v>
      </c>
    </row>
    <row r="4404" spans="2:6">
      <c r="B4404">
        <v>2018</v>
      </c>
      <c r="C4404" t="s">
        <v>57</v>
      </c>
      <c r="D4404" t="s">
        <v>185</v>
      </c>
      <c r="E4404" t="s">
        <v>8</v>
      </c>
      <c r="F4404">
        <v>9.3554573059082031</v>
      </c>
    </row>
    <row r="4405" spans="2:6">
      <c r="B4405">
        <v>2018</v>
      </c>
      <c r="C4405" t="s">
        <v>57</v>
      </c>
      <c r="D4405" t="s">
        <v>185</v>
      </c>
      <c r="E4405" t="s">
        <v>9</v>
      </c>
      <c r="F4405">
        <v>0.8513450026512146</v>
      </c>
    </row>
    <row r="4406" spans="2:6">
      <c r="B4406">
        <v>2018</v>
      </c>
      <c r="C4406" t="s">
        <v>57</v>
      </c>
      <c r="D4406" t="s">
        <v>185</v>
      </c>
      <c r="E4406" t="s">
        <v>10</v>
      </c>
      <c r="F4406">
        <v>68.5</v>
      </c>
    </row>
    <row r="4407" spans="2:6">
      <c r="B4407">
        <v>2018</v>
      </c>
      <c r="C4407" t="s">
        <v>57</v>
      </c>
      <c r="D4407" t="s">
        <v>185</v>
      </c>
      <c r="E4407" t="s">
        <v>11</v>
      </c>
      <c r="F4407">
        <v>0.86936372518539429</v>
      </c>
    </row>
    <row r="4408" spans="2:6">
      <c r="B4408">
        <v>2018</v>
      </c>
      <c r="C4408" t="s">
        <v>57</v>
      </c>
      <c r="D4408" t="s">
        <v>185</v>
      </c>
      <c r="E4408" t="s">
        <v>12</v>
      </c>
      <c r="F4408">
        <v>-9.9170565605163574E-2</v>
      </c>
    </row>
    <row r="4409" spans="2:6">
      <c r="B4409">
        <v>2018</v>
      </c>
      <c r="C4409" t="s">
        <v>57</v>
      </c>
      <c r="D4409" t="s">
        <v>185</v>
      </c>
      <c r="E4409" t="s">
        <v>13</v>
      </c>
      <c r="F4409">
        <v>0.83074319362640381</v>
      </c>
    </row>
    <row r="4410" spans="2:6">
      <c r="B4410">
        <v>2018</v>
      </c>
      <c r="C4410" t="s">
        <v>57</v>
      </c>
      <c r="D4410" t="s">
        <v>185</v>
      </c>
      <c r="E4410" t="s">
        <v>14</v>
      </c>
      <c r="F4410">
        <v>0.87647491693496704</v>
      </c>
    </row>
    <row r="4411" spans="2:6">
      <c r="B4411">
        <v>2018</v>
      </c>
      <c r="C4411" t="s">
        <v>57</v>
      </c>
      <c r="D4411" t="s">
        <v>185</v>
      </c>
      <c r="E4411" t="s">
        <v>15</v>
      </c>
      <c r="F4411">
        <v>0.32817104458808899</v>
      </c>
    </row>
    <row r="4412" spans="2:6">
      <c r="B4412">
        <v>2019</v>
      </c>
      <c r="C4412" t="s">
        <v>57</v>
      </c>
      <c r="D4412" t="s">
        <v>185</v>
      </c>
      <c r="E4412" t="s">
        <v>7</v>
      </c>
      <c r="F4412">
        <v>5.8091311454772949</v>
      </c>
    </row>
    <row r="4413" spans="2:6">
      <c r="B4413">
        <v>2019</v>
      </c>
      <c r="C4413" t="s">
        <v>57</v>
      </c>
      <c r="D4413" t="s">
        <v>185</v>
      </c>
      <c r="E4413" t="s">
        <v>8</v>
      </c>
      <c r="F4413">
        <v>9.3392019271850586</v>
      </c>
    </row>
    <row r="4414" spans="2:6">
      <c r="B4414">
        <v>2019</v>
      </c>
      <c r="C4414" t="s">
        <v>57</v>
      </c>
      <c r="D4414" t="s">
        <v>185</v>
      </c>
      <c r="E4414" t="s">
        <v>9</v>
      </c>
      <c r="F4414">
        <v>0.80848580598831177</v>
      </c>
    </row>
    <row r="4415" spans="2:6">
      <c r="B4415">
        <v>2019</v>
      </c>
      <c r="C4415" t="s">
        <v>57</v>
      </c>
      <c r="D4415" t="s">
        <v>185</v>
      </c>
      <c r="E4415" t="s">
        <v>10</v>
      </c>
      <c r="F4415">
        <v>68.800003051757813</v>
      </c>
    </row>
    <row r="4416" spans="2:6">
      <c r="B4416">
        <v>2019</v>
      </c>
      <c r="C4416" t="s">
        <v>57</v>
      </c>
      <c r="D4416" t="s">
        <v>185</v>
      </c>
      <c r="E4416" t="s">
        <v>11</v>
      </c>
      <c r="F4416">
        <v>0.82957369089126587</v>
      </c>
    </row>
    <row r="4417" spans="2:6">
      <c r="B4417">
        <v>2019</v>
      </c>
      <c r="C4417" t="s">
        <v>57</v>
      </c>
      <c r="D4417" t="s">
        <v>185</v>
      </c>
      <c r="E4417" t="s">
        <v>12</v>
      </c>
      <c r="F4417">
        <v>-0.11483294516801834</v>
      </c>
    </row>
    <row r="4418" spans="2:6">
      <c r="B4418">
        <v>2019</v>
      </c>
      <c r="C4418" t="s">
        <v>57</v>
      </c>
      <c r="D4418" t="s">
        <v>185</v>
      </c>
      <c r="E4418" t="s">
        <v>13</v>
      </c>
      <c r="F4418">
        <v>0.83949500322341919</v>
      </c>
    </row>
    <row r="4419" spans="2:6">
      <c r="B4419">
        <v>2019</v>
      </c>
      <c r="C4419" t="s">
        <v>57</v>
      </c>
      <c r="D4419" t="s">
        <v>185</v>
      </c>
      <c r="E4419" t="s">
        <v>14</v>
      </c>
      <c r="F4419">
        <v>0.81105005741119385</v>
      </c>
    </row>
    <row r="4420" spans="2:6">
      <c r="B4420">
        <v>2019</v>
      </c>
      <c r="C4420" t="s">
        <v>57</v>
      </c>
      <c r="D4420" t="s">
        <v>185</v>
      </c>
      <c r="E4420" t="s">
        <v>15</v>
      </c>
      <c r="F4420">
        <v>0.37355819344520569</v>
      </c>
    </row>
    <row r="4421" spans="2:6">
      <c r="B4421">
        <v>2020</v>
      </c>
      <c r="C4421" t="s">
        <v>57</v>
      </c>
      <c r="D4421" t="s">
        <v>185</v>
      </c>
      <c r="E4421" t="s">
        <v>7</v>
      </c>
      <c r="F4421">
        <v>5.354461669921875</v>
      </c>
    </row>
    <row r="4422" spans="2:6">
      <c r="B4422">
        <v>2020</v>
      </c>
      <c r="C4422" t="s">
        <v>57</v>
      </c>
      <c r="D4422" t="s">
        <v>185</v>
      </c>
      <c r="E4422" t="s">
        <v>8</v>
      </c>
      <c r="F4422">
        <v>9.2438650131225586</v>
      </c>
    </row>
    <row r="4423" spans="2:6">
      <c r="B4423">
        <v>2020</v>
      </c>
      <c r="C4423" t="s">
        <v>57</v>
      </c>
      <c r="D4423" t="s">
        <v>185</v>
      </c>
      <c r="E4423" t="s">
        <v>9</v>
      </c>
      <c r="F4423">
        <v>0.80400854349136353</v>
      </c>
    </row>
    <row r="4424" spans="2:6">
      <c r="B4424">
        <v>2020</v>
      </c>
      <c r="C4424" t="s">
        <v>57</v>
      </c>
      <c r="D4424" t="s">
        <v>185</v>
      </c>
      <c r="E4424" t="s">
        <v>10</v>
      </c>
      <c r="F4424">
        <v>69.099998474121094</v>
      </c>
    </row>
    <row r="4425" spans="2:6">
      <c r="B4425">
        <v>2020</v>
      </c>
      <c r="C4425" t="s">
        <v>57</v>
      </c>
      <c r="D4425" t="s">
        <v>185</v>
      </c>
      <c r="E4425" t="s">
        <v>11</v>
      </c>
      <c r="F4425">
        <v>0.82851153612136841</v>
      </c>
    </row>
    <row r="4426" spans="2:6">
      <c r="B4426">
        <v>2020</v>
      </c>
      <c r="C4426" t="s">
        <v>57</v>
      </c>
      <c r="D4426" t="s">
        <v>185</v>
      </c>
      <c r="E4426" t="s">
        <v>12</v>
      </c>
      <c r="F4426">
        <v>-0.15709003806114197</v>
      </c>
    </row>
    <row r="4427" spans="2:6">
      <c r="B4427">
        <v>2020</v>
      </c>
      <c r="C4427" t="s">
        <v>57</v>
      </c>
      <c r="D4427" t="s">
        <v>185</v>
      </c>
      <c r="E4427" t="s">
        <v>13</v>
      </c>
      <c r="F4427">
        <v>0.85478049516677856</v>
      </c>
    </row>
    <row r="4428" spans="2:6">
      <c r="B4428">
        <v>2020</v>
      </c>
      <c r="C4428" t="s">
        <v>57</v>
      </c>
      <c r="D4428" t="s">
        <v>185</v>
      </c>
      <c r="E4428" t="s">
        <v>14</v>
      </c>
      <c r="F4428">
        <v>0.78994071483612061</v>
      </c>
    </row>
    <row r="4429" spans="2:6">
      <c r="B4429">
        <v>2020</v>
      </c>
      <c r="C4429" t="s">
        <v>57</v>
      </c>
      <c r="D4429" t="s">
        <v>185</v>
      </c>
      <c r="E4429" t="s">
        <v>15</v>
      </c>
      <c r="F4429">
        <v>0.41602796316146851</v>
      </c>
    </row>
    <row r="4430" spans="2:6">
      <c r="B4430">
        <v>2005</v>
      </c>
      <c r="C4430" t="s">
        <v>58</v>
      </c>
      <c r="D4430" t="s">
        <v>184</v>
      </c>
      <c r="E4430" t="s">
        <v>7</v>
      </c>
      <c r="F4430">
        <v>5.1677541732788086</v>
      </c>
    </row>
    <row r="4431" spans="2:6">
      <c r="B4431">
        <v>2005</v>
      </c>
      <c r="C4431" t="s">
        <v>58</v>
      </c>
      <c r="D4431" t="s">
        <v>184</v>
      </c>
      <c r="E4431" t="s">
        <v>8</v>
      </c>
      <c r="F4431">
        <v>9.0356340408325195</v>
      </c>
    </row>
    <row r="4432" spans="2:6">
      <c r="B4432">
        <v>2005</v>
      </c>
      <c r="C4432" t="s">
        <v>58</v>
      </c>
      <c r="D4432" t="s">
        <v>184</v>
      </c>
      <c r="E4432" t="s">
        <v>9</v>
      </c>
      <c r="F4432">
        <v>0.84784245491027832</v>
      </c>
    </row>
    <row r="4433" spans="2:6">
      <c r="B4433">
        <v>2005</v>
      </c>
      <c r="C4433" t="s">
        <v>58</v>
      </c>
      <c r="D4433" t="s">
        <v>184</v>
      </c>
      <c r="E4433" t="s">
        <v>10</v>
      </c>
      <c r="F4433">
        <v>59.700000762939453</v>
      </c>
    </row>
    <row r="4434" spans="2:6">
      <c r="B4434">
        <v>2005</v>
      </c>
      <c r="C4434" t="s">
        <v>58</v>
      </c>
      <c r="D4434" t="s">
        <v>184</v>
      </c>
      <c r="E4434" t="s">
        <v>11</v>
      </c>
      <c r="F4434">
        <v>0.81736201047897339</v>
      </c>
    </row>
    <row r="4435" spans="2:6">
      <c r="B4435">
        <v>2005</v>
      </c>
      <c r="C4435" t="s">
        <v>58</v>
      </c>
      <c r="D4435" t="s">
        <v>184</v>
      </c>
      <c r="E4435" t="s">
        <v>14</v>
      </c>
      <c r="F4435">
        <v>0.73486274480819702</v>
      </c>
    </row>
    <row r="4436" spans="2:6">
      <c r="B4436">
        <v>2005</v>
      </c>
      <c r="C4436" t="s">
        <v>58</v>
      </c>
      <c r="D4436" t="s">
        <v>184</v>
      </c>
      <c r="E4436" t="s">
        <v>15</v>
      </c>
      <c r="F4436">
        <v>0.34555518627166748</v>
      </c>
    </row>
    <row r="4437" spans="2:6">
      <c r="B4437">
        <v>2007</v>
      </c>
      <c r="C4437" t="s">
        <v>58</v>
      </c>
      <c r="D4437" t="s">
        <v>184</v>
      </c>
      <c r="E4437" t="s">
        <v>7</v>
      </c>
      <c r="F4437">
        <v>5.5405106544494629</v>
      </c>
    </row>
    <row r="4438" spans="2:6">
      <c r="B4438">
        <v>2007</v>
      </c>
      <c r="C4438" t="s">
        <v>58</v>
      </c>
      <c r="D4438" t="s">
        <v>184</v>
      </c>
      <c r="E4438" t="s">
        <v>8</v>
      </c>
      <c r="F4438">
        <v>9.135075569152832</v>
      </c>
    </row>
    <row r="4439" spans="2:6">
      <c r="B4439">
        <v>2007</v>
      </c>
      <c r="C4439" t="s">
        <v>58</v>
      </c>
      <c r="D4439" t="s">
        <v>184</v>
      </c>
      <c r="E4439" t="s">
        <v>9</v>
      </c>
      <c r="F4439">
        <v>0.68586325645446777</v>
      </c>
    </row>
    <row r="4440" spans="2:6">
      <c r="B4440">
        <v>2007</v>
      </c>
      <c r="C4440" t="s">
        <v>58</v>
      </c>
      <c r="D4440" t="s">
        <v>184</v>
      </c>
      <c r="E4440" t="s">
        <v>10</v>
      </c>
      <c r="F4440">
        <v>59.819999694824219</v>
      </c>
    </row>
    <row r="4441" spans="2:6">
      <c r="B4441">
        <v>2007</v>
      </c>
      <c r="C4441" t="s">
        <v>58</v>
      </c>
      <c r="D4441" t="s">
        <v>184</v>
      </c>
      <c r="E4441" t="s">
        <v>11</v>
      </c>
      <c r="F4441">
        <v>0.6090768575668335</v>
      </c>
    </row>
    <row r="4442" spans="2:6">
      <c r="B4442">
        <v>2007</v>
      </c>
      <c r="C4442" t="s">
        <v>58</v>
      </c>
      <c r="D4442" t="s">
        <v>184</v>
      </c>
      <c r="E4442" t="s">
        <v>12</v>
      </c>
      <c r="F4442">
        <v>-0.12051956355571747</v>
      </c>
    </row>
    <row r="4443" spans="2:6">
      <c r="B4443">
        <v>2007</v>
      </c>
      <c r="C4443" t="s">
        <v>58</v>
      </c>
      <c r="D4443" t="s">
        <v>184</v>
      </c>
      <c r="E4443" t="s">
        <v>14</v>
      </c>
      <c r="F4443">
        <v>0.66526424884796143</v>
      </c>
    </row>
    <row r="4444" spans="2:6">
      <c r="B4444">
        <v>2007</v>
      </c>
      <c r="C4444" t="s">
        <v>58</v>
      </c>
      <c r="D4444" t="s">
        <v>184</v>
      </c>
      <c r="E4444" t="s">
        <v>15</v>
      </c>
      <c r="F4444">
        <v>0.35534760355949402</v>
      </c>
    </row>
    <row r="4445" spans="2:6">
      <c r="B4445">
        <v>2008</v>
      </c>
      <c r="C4445" t="s">
        <v>58</v>
      </c>
      <c r="D4445" t="s">
        <v>184</v>
      </c>
      <c r="E4445" t="s">
        <v>7</v>
      </c>
      <c r="F4445">
        <v>4.6317410469055176</v>
      </c>
    </row>
    <row r="4446" spans="2:6">
      <c r="B4446">
        <v>2008</v>
      </c>
      <c r="C4446" t="s">
        <v>58</v>
      </c>
      <c r="D4446" t="s">
        <v>184</v>
      </c>
      <c r="E4446" t="s">
        <v>8</v>
      </c>
      <c r="F4446">
        <v>9.1864070892333984</v>
      </c>
    </row>
    <row r="4447" spans="2:6">
      <c r="B4447">
        <v>2008</v>
      </c>
      <c r="C4447" t="s">
        <v>58</v>
      </c>
      <c r="D4447" t="s">
        <v>184</v>
      </c>
      <c r="E4447" t="s">
        <v>9</v>
      </c>
      <c r="F4447">
        <v>0.73836380243301392</v>
      </c>
    </row>
    <row r="4448" spans="2:6">
      <c r="B4448">
        <v>2008</v>
      </c>
      <c r="C4448" t="s">
        <v>58</v>
      </c>
      <c r="D4448" t="s">
        <v>184</v>
      </c>
      <c r="E4448" t="s">
        <v>10</v>
      </c>
      <c r="F4448">
        <v>59.880001068115234</v>
      </c>
    </row>
    <row r="4449" spans="2:6">
      <c r="B4449">
        <v>2008</v>
      </c>
      <c r="C4449" t="s">
        <v>58</v>
      </c>
      <c r="D4449" t="s">
        <v>184</v>
      </c>
      <c r="E4449" t="s">
        <v>12</v>
      </c>
      <c r="F4449">
        <v>-8.7062500417232513E-2</v>
      </c>
    </row>
    <row r="4450" spans="2:6">
      <c r="B4450">
        <v>2008</v>
      </c>
      <c r="C4450" t="s">
        <v>58</v>
      </c>
      <c r="D4450" t="s">
        <v>184</v>
      </c>
      <c r="E4450" t="s">
        <v>13</v>
      </c>
      <c r="F4450">
        <v>0.91364169120788574</v>
      </c>
    </row>
    <row r="4451" spans="2:6">
      <c r="B4451">
        <v>2008</v>
      </c>
      <c r="C4451" t="s">
        <v>58</v>
      </c>
      <c r="D4451" t="s">
        <v>184</v>
      </c>
      <c r="E4451" t="s">
        <v>14</v>
      </c>
      <c r="F4451">
        <v>0.68272972106933594</v>
      </c>
    </row>
    <row r="4452" spans="2:6">
      <c r="B4452">
        <v>2008</v>
      </c>
      <c r="C4452" t="s">
        <v>58</v>
      </c>
      <c r="D4452" t="s">
        <v>184</v>
      </c>
      <c r="E4452" t="s">
        <v>15</v>
      </c>
      <c r="F4452">
        <v>0.30101779103279114</v>
      </c>
    </row>
    <row r="4453" spans="2:6">
      <c r="B4453">
        <v>2009</v>
      </c>
      <c r="C4453" t="s">
        <v>58</v>
      </c>
      <c r="D4453" t="s">
        <v>184</v>
      </c>
      <c r="E4453" t="s">
        <v>7</v>
      </c>
      <c r="F4453">
        <v>5.066164493560791</v>
      </c>
    </row>
    <row r="4454" spans="2:6">
      <c r="B4454">
        <v>2009</v>
      </c>
      <c r="C4454" t="s">
        <v>58</v>
      </c>
      <c r="D4454" t="s">
        <v>184</v>
      </c>
      <c r="E4454" t="s">
        <v>8</v>
      </c>
      <c r="F4454">
        <v>9.2134389877319336</v>
      </c>
    </row>
    <row r="4455" spans="2:6">
      <c r="B4455">
        <v>2009</v>
      </c>
      <c r="C4455" t="s">
        <v>58</v>
      </c>
      <c r="D4455" t="s">
        <v>184</v>
      </c>
      <c r="E4455" t="s">
        <v>9</v>
      </c>
      <c r="F4455">
        <v>0.74417996406555176</v>
      </c>
    </row>
    <row r="4456" spans="2:6">
      <c r="B4456">
        <v>2009</v>
      </c>
      <c r="C4456" t="s">
        <v>58</v>
      </c>
      <c r="D4456" t="s">
        <v>184</v>
      </c>
      <c r="E4456" t="s">
        <v>10</v>
      </c>
      <c r="F4456">
        <v>59.939998626708984</v>
      </c>
    </row>
    <row r="4457" spans="2:6">
      <c r="B4457">
        <v>2009</v>
      </c>
      <c r="C4457" t="s">
        <v>58</v>
      </c>
      <c r="D4457" t="s">
        <v>184</v>
      </c>
      <c r="E4457" t="s">
        <v>11</v>
      </c>
      <c r="F4457">
        <v>0.61108255386352539</v>
      </c>
    </row>
    <row r="4458" spans="2:6">
      <c r="B4458">
        <v>2009</v>
      </c>
      <c r="C4458" t="s">
        <v>58</v>
      </c>
      <c r="D4458" t="s">
        <v>184</v>
      </c>
      <c r="E4458" t="s">
        <v>12</v>
      </c>
      <c r="F4458">
        <v>-9.9577225744724274E-2</v>
      </c>
    </row>
    <row r="4459" spans="2:6">
      <c r="B4459">
        <v>2009</v>
      </c>
      <c r="C4459" t="s">
        <v>58</v>
      </c>
      <c r="D4459" t="s">
        <v>184</v>
      </c>
      <c r="E4459" t="s">
        <v>13</v>
      </c>
      <c r="F4459">
        <v>0.80086565017700195</v>
      </c>
    </row>
    <row r="4460" spans="2:6">
      <c r="B4460">
        <v>2009</v>
      </c>
      <c r="C4460" t="s">
        <v>58</v>
      </c>
      <c r="D4460" t="s">
        <v>184</v>
      </c>
      <c r="E4460" t="s">
        <v>14</v>
      </c>
      <c r="F4460">
        <v>0.64215546846389771</v>
      </c>
    </row>
    <row r="4461" spans="2:6">
      <c r="B4461">
        <v>2009</v>
      </c>
      <c r="C4461" t="s">
        <v>58</v>
      </c>
      <c r="D4461" t="s">
        <v>184</v>
      </c>
      <c r="E4461" t="s">
        <v>15</v>
      </c>
      <c r="F4461">
        <v>0.33948206901550293</v>
      </c>
    </row>
    <row r="4462" spans="2:6">
      <c r="B4462">
        <v>2010</v>
      </c>
      <c r="C4462" t="s">
        <v>58</v>
      </c>
      <c r="D4462" t="s">
        <v>184</v>
      </c>
      <c r="E4462" t="s">
        <v>7</v>
      </c>
      <c r="F4462">
        <v>4.6689162254333496</v>
      </c>
    </row>
    <row r="4463" spans="2:6">
      <c r="B4463">
        <v>2010</v>
      </c>
      <c r="C4463" t="s">
        <v>58</v>
      </c>
      <c r="D4463" t="s">
        <v>184</v>
      </c>
      <c r="E4463" t="s">
        <v>8</v>
      </c>
      <c r="F4463">
        <v>9.2437820434570313</v>
      </c>
    </row>
    <row r="4464" spans="2:6">
      <c r="B4464">
        <v>2010</v>
      </c>
      <c r="C4464" t="s">
        <v>58</v>
      </c>
      <c r="D4464" t="s">
        <v>184</v>
      </c>
      <c r="E4464" t="s">
        <v>9</v>
      </c>
      <c r="F4464">
        <v>0.76867526769638062</v>
      </c>
    </row>
    <row r="4465" spans="2:6">
      <c r="B4465">
        <v>2010</v>
      </c>
      <c r="C4465" t="s">
        <v>58</v>
      </c>
      <c r="D4465" t="s">
        <v>184</v>
      </c>
      <c r="E4465" t="s">
        <v>10</v>
      </c>
      <c r="F4465">
        <v>60</v>
      </c>
    </row>
    <row r="4466" spans="2:6">
      <c r="B4466">
        <v>2010</v>
      </c>
      <c r="C4466" t="s">
        <v>58</v>
      </c>
      <c r="D4466" t="s">
        <v>184</v>
      </c>
      <c r="E4466" t="s">
        <v>11</v>
      </c>
      <c r="F4466">
        <v>0.48627904057502747</v>
      </c>
    </row>
    <row r="4467" spans="2:6">
      <c r="B4467">
        <v>2010</v>
      </c>
      <c r="C4467" t="s">
        <v>58</v>
      </c>
      <c r="D4467" t="s">
        <v>184</v>
      </c>
      <c r="E4467" t="s">
        <v>12</v>
      </c>
      <c r="F4467">
        <v>-7.5683437287807465E-2</v>
      </c>
    </row>
    <row r="4468" spans="2:6">
      <c r="B4468">
        <v>2010</v>
      </c>
      <c r="C4468" t="s">
        <v>58</v>
      </c>
      <c r="D4468" t="s">
        <v>184</v>
      </c>
      <c r="E4468" t="s">
        <v>13</v>
      </c>
      <c r="F4468">
        <v>0.82633519172668457</v>
      </c>
    </row>
    <row r="4469" spans="2:6">
      <c r="B4469">
        <v>2010</v>
      </c>
      <c r="C4469" t="s">
        <v>58</v>
      </c>
      <c r="D4469" t="s">
        <v>184</v>
      </c>
      <c r="E4469" t="s">
        <v>14</v>
      </c>
      <c r="F4469">
        <v>0.56675910949707031</v>
      </c>
    </row>
    <row r="4470" spans="2:6">
      <c r="B4470">
        <v>2010</v>
      </c>
      <c r="C4470" t="s">
        <v>58</v>
      </c>
      <c r="D4470" t="s">
        <v>184</v>
      </c>
      <c r="E4470" t="s">
        <v>15</v>
      </c>
      <c r="F4470">
        <v>0.27634561061859131</v>
      </c>
    </row>
    <row r="4471" spans="2:6">
      <c r="B4471">
        <v>2011</v>
      </c>
      <c r="C4471" t="s">
        <v>58</v>
      </c>
      <c r="D4471" t="s">
        <v>184</v>
      </c>
      <c r="E4471" t="s">
        <v>7</v>
      </c>
      <c r="F4471">
        <v>4.1741585731506348</v>
      </c>
    </row>
    <row r="4472" spans="2:6">
      <c r="B4472">
        <v>2011</v>
      </c>
      <c r="C4472" t="s">
        <v>58</v>
      </c>
      <c r="D4472" t="s">
        <v>184</v>
      </c>
      <c r="E4472" t="s">
        <v>8</v>
      </c>
      <c r="F4472">
        <v>9.2401361465454102</v>
      </c>
    </row>
    <row r="4473" spans="2:6">
      <c r="B4473">
        <v>2011</v>
      </c>
      <c r="C4473" t="s">
        <v>58</v>
      </c>
      <c r="D4473" t="s">
        <v>184</v>
      </c>
      <c r="E4473" t="s">
        <v>9</v>
      </c>
      <c r="F4473">
        <v>0.7533944845199585</v>
      </c>
    </row>
    <row r="4474" spans="2:6">
      <c r="B4474">
        <v>2011</v>
      </c>
      <c r="C4474" t="s">
        <v>58</v>
      </c>
      <c r="D4474" t="s">
        <v>184</v>
      </c>
      <c r="E4474" t="s">
        <v>10</v>
      </c>
      <c r="F4474">
        <v>60.159999847412109</v>
      </c>
    </row>
    <row r="4475" spans="2:6">
      <c r="B4475">
        <v>2011</v>
      </c>
      <c r="C4475" t="s">
        <v>58</v>
      </c>
      <c r="D4475" t="s">
        <v>184</v>
      </c>
      <c r="E4475" t="s">
        <v>11</v>
      </c>
      <c r="F4475">
        <v>0.58953779935836792</v>
      </c>
    </row>
    <row r="4476" spans="2:6">
      <c r="B4476">
        <v>2011</v>
      </c>
      <c r="C4476" t="s">
        <v>58</v>
      </c>
      <c r="D4476" t="s">
        <v>184</v>
      </c>
      <c r="E4476" t="s">
        <v>12</v>
      </c>
      <c r="F4476">
        <v>-0.15141753852367401</v>
      </c>
    </row>
    <row r="4477" spans="2:6">
      <c r="B4477">
        <v>2011</v>
      </c>
      <c r="C4477" t="s">
        <v>58</v>
      </c>
      <c r="D4477" t="s">
        <v>184</v>
      </c>
      <c r="E4477" t="s">
        <v>13</v>
      </c>
      <c r="F4477">
        <v>0.85859626531600952</v>
      </c>
    </row>
    <row r="4478" spans="2:6">
      <c r="B4478">
        <v>2011</v>
      </c>
      <c r="C4478" t="s">
        <v>58</v>
      </c>
      <c r="D4478" t="s">
        <v>184</v>
      </c>
      <c r="E4478" t="s">
        <v>14</v>
      </c>
      <c r="F4478">
        <v>0.52863401174545288</v>
      </c>
    </row>
    <row r="4479" spans="2:6">
      <c r="B4479">
        <v>2011</v>
      </c>
      <c r="C4479" t="s">
        <v>58</v>
      </c>
      <c r="D4479" t="s">
        <v>184</v>
      </c>
      <c r="E4479" t="s">
        <v>15</v>
      </c>
      <c r="F4479">
        <v>0.35341697931289673</v>
      </c>
    </row>
    <row r="4480" spans="2:6">
      <c r="B4480">
        <v>2012</v>
      </c>
      <c r="C4480" t="s">
        <v>58</v>
      </c>
      <c r="D4480" t="s">
        <v>184</v>
      </c>
      <c r="E4480" t="s">
        <v>7</v>
      </c>
      <c r="F4480">
        <v>4.2041568756103516</v>
      </c>
    </row>
    <row r="4481" spans="2:6">
      <c r="B4481">
        <v>2012</v>
      </c>
      <c r="C4481" t="s">
        <v>58</v>
      </c>
      <c r="D4481" t="s">
        <v>184</v>
      </c>
      <c r="E4481" t="s">
        <v>8</v>
      </c>
      <c r="F4481">
        <v>9.2400064468383789</v>
      </c>
    </row>
    <row r="4482" spans="2:6">
      <c r="B4482">
        <v>2012</v>
      </c>
      <c r="C4482" t="s">
        <v>58</v>
      </c>
      <c r="D4482" t="s">
        <v>184</v>
      </c>
      <c r="E4482" t="s">
        <v>9</v>
      </c>
      <c r="F4482">
        <v>0.73664510250091553</v>
      </c>
    </row>
    <row r="4483" spans="2:6">
      <c r="B4483">
        <v>2012</v>
      </c>
      <c r="C4483" t="s">
        <v>58</v>
      </c>
      <c r="D4483" t="s">
        <v>184</v>
      </c>
      <c r="E4483" t="s">
        <v>10</v>
      </c>
      <c r="F4483">
        <v>60.319999694824219</v>
      </c>
    </row>
    <row r="4484" spans="2:6">
      <c r="B4484">
        <v>2012</v>
      </c>
      <c r="C4484" t="s">
        <v>58</v>
      </c>
      <c r="D4484" t="s">
        <v>184</v>
      </c>
      <c r="E4484" t="s">
        <v>11</v>
      </c>
      <c r="F4484">
        <v>0.45154336094856262</v>
      </c>
    </row>
    <row r="4485" spans="2:6">
      <c r="B4485">
        <v>2012</v>
      </c>
      <c r="C4485" t="s">
        <v>58</v>
      </c>
      <c r="D4485" t="s">
        <v>184</v>
      </c>
      <c r="E4485" t="s">
        <v>12</v>
      </c>
      <c r="F4485">
        <v>-0.13782085478305817</v>
      </c>
    </row>
    <row r="4486" spans="2:6">
      <c r="B4486">
        <v>2012</v>
      </c>
      <c r="C4486" t="s">
        <v>58</v>
      </c>
      <c r="D4486" t="s">
        <v>184</v>
      </c>
      <c r="E4486" t="s">
        <v>13</v>
      </c>
      <c r="F4486">
        <v>0.88038307428359985</v>
      </c>
    </row>
    <row r="4487" spans="2:6">
      <c r="B4487">
        <v>2012</v>
      </c>
      <c r="C4487" t="s">
        <v>58</v>
      </c>
      <c r="D4487" t="s">
        <v>184</v>
      </c>
      <c r="E4487" t="s">
        <v>14</v>
      </c>
      <c r="F4487">
        <v>0.52722138166427612</v>
      </c>
    </row>
    <row r="4488" spans="2:6">
      <c r="B4488">
        <v>2012</v>
      </c>
      <c r="C4488" t="s">
        <v>58</v>
      </c>
      <c r="D4488" t="s">
        <v>184</v>
      </c>
      <c r="E4488" t="s">
        <v>15</v>
      </c>
      <c r="F4488">
        <v>0.39842301607131958</v>
      </c>
    </row>
    <row r="4489" spans="2:6">
      <c r="B4489">
        <v>2013</v>
      </c>
      <c r="C4489" t="s">
        <v>58</v>
      </c>
      <c r="D4489" t="s">
        <v>184</v>
      </c>
      <c r="E4489" t="s">
        <v>7</v>
      </c>
      <c r="F4489">
        <v>3.5585203170776367</v>
      </c>
    </row>
    <row r="4490" spans="2:6">
      <c r="B4490">
        <v>2013</v>
      </c>
      <c r="C4490" t="s">
        <v>58</v>
      </c>
      <c r="D4490" t="s">
        <v>184</v>
      </c>
      <c r="E4490" t="s">
        <v>8</v>
      </c>
      <c r="F4490">
        <v>9.2389469146728516</v>
      </c>
    </row>
    <row r="4491" spans="2:6">
      <c r="B4491">
        <v>2013</v>
      </c>
      <c r="C4491" t="s">
        <v>58</v>
      </c>
      <c r="D4491" t="s">
        <v>184</v>
      </c>
      <c r="E4491" t="s">
        <v>9</v>
      </c>
      <c r="F4491">
        <v>0.67518812417984009</v>
      </c>
    </row>
    <row r="4492" spans="2:6">
      <c r="B4492">
        <v>2013</v>
      </c>
      <c r="C4492" t="s">
        <v>58</v>
      </c>
      <c r="D4492" t="s">
        <v>184</v>
      </c>
      <c r="E4492" t="s">
        <v>10</v>
      </c>
      <c r="F4492">
        <v>60.479999542236328</v>
      </c>
    </row>
    <row r="4493" spans="2:6">
      <c r="B4493">
        <v>2013</v>
      </c>
      <c r="C4493" t="s">
        <v>58</v>
      </c>
      <c r="D4493" t="s">
        <v>184</v>
      </c>
      <c r="E4493" t="s">
        <v>11</v>
      </c>
      <c r="F4493">
        <v>0.47377455234527588</v>
      </c>
    </row>
    <row r="4494" spans="2:6">
      <c r="B4494">
        <v>2013</v>
      </c>
      <c r="C4494" t="s">
        <v>58</v>
      </c>
      <c r="D4494" t="s">
        <v>184</v>
      </c>
      <c r="E4494" t="s">
        <v>12</v>
      </c>
      <c r="F4494">
        <v>-0.14124403893947601</v>
      </c>
    </row>
    <row r="4495" spans="2:6">
      <c r="B4495">
        <v>2013</v>
      </c>
      <c r="C4495" t="s">
        <v>58</v>
      </c>
      <c r="D4495" t="s">
        <v>184</v>
      </c>
      <c r="E4495" t="s">
        <v>13</v>
      </c>
      <c r="F4495">
        <v>0.91322845220565796</v>
      </c>
    </row>
    <row r="4496" spans="2:6">
      <c r="B4496">
        <v>2013</v>
      </c>
      <c r="C4496" t="s">
        <v>58</v>
      </c>
      <c r="D4496" t="s">
        <v>184</v>
      </c>
      <c r="E4496" t="s">
        <v>14</v>
      </c>
      <c r="F4496">
        <v>0.55068331956863403</v>
      </c>
    </row>
    <row r="4497" spans="2:6">
      <c r="B4497">
        <v>2013</v>
      </c>
      <c r="C4497" t="s">
        <v>58</v>
      </c>
      <c r="D4497" t="s">
        <v>184</v>
      </c>
      <c r="E4497" t="s">
        <v>15</v>
      </c>
      <c r="F4497">
        <v>0.48337900638580322</v>
      </c>
    </row>
    <row r="4498" spans="2:6">
      <c r="B4498">
        <v>2014</v>
      </c>
      <c r="C4498" t="s">
        <v>58</v>
      </c>
      <c r="D4498" t="s">
        <v>184</v>
      </c>
      <c r="E4498" t="s">
        <v>7</v>
      </c>
      <c r="F4498">
        <v>4.8850727081298828</v>
      </c>
    </row>
    <row r="4499" spans="2:6">
      <c r="B4499">
        <v>2014</v>
      </c>
      <c r="C4499" t="s">
        <v>58</v>
      </c>
      <c r="D4499" t="s">
        <v>184</v>
      </c>
      <c r="E4499" t="s">
        <v>8</v>
      </c>
      <c r="F4499">
        <v>9.2450962066650391</v>
      </c>
    </row>
    <row r="4500" spans="2:6">
      <c r="B4500">
        <v>2014</v>
      </c>
      <c r="C4500" t="s">
        <v>58</v>
      </c>
      <c r="D4500" t="s">
        <v>184</v>
      </c>
      <c r="E4500" t="s">
        <v>9</v>
      </c>
      <c r="F4500">
        <v>0.61855071783065796</v>
      </c>
    </row>
    <row r="4501" spans="2:6">
      <c r="B4501">
        <v>2014</v>
      </c>
      <c r="C4501" t="s">
        <v>58</v>
      </c>
      <c r="D4501" t="s">
        <v>184</v>
      </c>
      <c r="E4501" t="s">
        <v>10</v>
      </c>
      <c r="F4501">
        <v>60.639999389648438</v>
      </c>
    </row>
    <row r="4502" spans="2:6">
      <c r="B4502">
        <v>2014</v>
      </c>
      <c r="C4502" t="s">
        <v>58</v>
      </c>
      <c r="D4502" t="s">
        <v>184</v>
      </c>
      <c r="E4502" t="s">
        <v>11</v>
      </c>
      <c r="F4502">
        <v>0.57793796062469482</v>
      </c>
    </row>
    <row r="4503" spans="2:6">
      <c r="B4503">
        <v>2014</v>
      </c>
      <c r="C4503" t="s">
        <v>58</v>
      </c>
      <c r="D4503" t="s">
        <v>184</v>
      </c>
      <c r="E4503" t="s">
        <v>12</v>
      </c>
      <c r="F4503">
        <v>-0.12638534605503082</v>
      </c>
    </row>
    <row r="4504" spans="2:6">
      <c r="B4504">
        <v>2014</v>
      </c>
      <c r="C4504" t="s">
        <v>58</v>
      </c>
      <c r="D4504" t="s">
        <v>184</v>
      </c>
      <c r="E4504" t="s">
        <v>13</v>
      </c>
      <c r="F4504">
        <v>0.74914258718490601</v>
      </c>
    </row>
    <row r="4505" spans="2:6">
      <c r="B4505">
        <v>2014</v>
      </c>
      <c r="C4505" t="s">
        <v>58</v>
      </c>
      <c r="D4505" t="s">
        <v>184</v>
      </c>
      <c r="E4505" t="s">
        <v>14</v>
      </c>
      <c r="F4505">
        <v>0.54278427362442017</v>
      </c>
    </row>
    <row r="4506" spans="2:6">
      <c r="B4506">
        <v>2014</v>
      </c>
      <c r="C4506" t="s">
        <v>58</v>
      </c>
      <c r="D4506" t="s">
        <v>184</v>
      </c>
      <c r="E4506" t="s">
        <v>15</v>
      </c>
      <c r="F4506">
        <v>0.32735016942024231</v>
      </c>
    </row>
    <row r="4507" spans="2:6">
      <c r="B4507">
        <v>2015</v>
      </c>
      <c r="C4507" t="s">
        <v>58</v>
      </c>
      <c r="D4507" t="s">
        <v>184</v>
      </c>
      <c r="E4507" t="s">
        <v>7</v>
      </c>
      <c r="F4507">
        <v>4.7625384330749512</v>
      </c>
    </row>
    <row r="4508" spans="2:6">
      <c r="B4508">
        <v>2015</v>
      </c>
      <c r="C4508" t="s">
        <v>58</v>
      </c>
      <c r="D4508" t="s">
        <v>184</v>
      </c>
      <c r="E4508" t="s">
        <v>8</v>
      </c>
      <c r="F4508">
        <v>9.2658176422119141</v>
      </c>
    </row>
    <row r="4509" spans="2:6">
      <c r="B4509">
        <v>2015</v>
      </c>
      <c r="C4509" t="s">
        <v>58</v>
      </c>
      <c r="D4509" t="s">
        <v>184</v>
      </c>
      <c r="E4509" t="s">
        <v>9</v>
      </c>
      <c r="F4509">
        <v>0.72974425554275513</v>
      </c>
    </row>
    <row r="4510" spans="2:6">
      <c r="B4510">
        <v>2015</v>
      </c>
      <c r="C4510" t="s">
        <v>58</v>
      </c>
      <c r="D4510" t="s">
        <v>184</v>
      </c>
      <c r="E4510" t="s">
        <v>10</v>
      </c>
      <c r="F4510">
        <v>60.799999237060547</v>
      </c>
    </row>
    <row r="4511" spans="2:6">
      <c r="B4511">
        <v>2015</v>
      </c>
      <c r="C4511" t="s">
        <v>58</v>
      </c>
      <c r="D4511" t="s">
        <v>184</v>
      </c>
      <c r="E4511" t="s">
        <v>11</v>
      </c>
      <c r="F4511">
        <v>0.65926146507263184</v>
      </c>
    </row>
    <row r="4512" spans="2:6">
      <c r="B4512">
        <v>2015</v>
      </c>
      <c r="C4512" t="s">
        <v>58</v>
      </c>
      <c r="D4512" t="s">
        <v>184</v>
      </c>
      <c r="E4512" t="s">
        <v>12</v>
      </c>
      <c r="F4512">
        <v>-8.8559582829475403E-2</v>
      </c>
    </row>
    <row r="4513" spans="2:6">
      <c r="B4513">
        <v>2015</v>
      </c>
      <c r="C4513" t="s">
        <v>58</v>
      </c>
      <c r="D4513" t="s">
        <v>184</v>
      </c>
      <c r="E4513" t="s">
        <v>13</v>
      </c>
      <c r="F4513">
        <v>0.68449807167053223</v>
      </c>
    </row>
    <row r="4514" spans="2:6">
      <c r="B4514">
        <v>2015</v>
      </c>
      <c r="C4514" t="s">
        <v>58</v>
      </c>
      <c r="D4514" t="s">
        <v>184</v>
      </c>
      <c r="E4514" t="s">
        <v>14</v>
      </c>
      <c r="F4514">
        <v>0.60959434509277344</v>
      </c>
    </row>
    <row r="4515" spans="2:6">
      <c r="B4515">
        <v>2015</v>
      </c>
      <c r="C4515" t="s">
        <v>58</v>
      </c>
      <c r="D4515" t="s">
        <v>184</v>
      </c>
      <c r="E4515" t="s">
        <v>15</v>
      </c>
      <c r="F4515">
        <v>0.34433150291442871</v>
      </c>
    </row>
    <row r="4516" spans="2:6">
      <c r="B4516">
        <v>2016</v>
      </c>
      <c r="C4516" t="s">
        <v>58</v>
      </c>
      <c r="D4516" t="s">
        <v>184</v>
      </c>
      <c r="E4516" t="s">
        <v>7</v>
      </c>
      <c r="F4516">
        <v>4.5567407608032227</v>
      </c>
    </row>
    <row r="4517" spans="2:6">
      <c r="B4517">
        <v>2016</v>
      </c>
      <c r="C4517" t="s">
        <v>58</v>
      </c>
      <c r="D4517" t="s">
        <v>184</v>
      </c>
      <c r="E4517" t="s">
        <v>8</v>
      </c>
      <c r="F4517">
        <v>9.2869129180908203</v>
      </c>
    </row>
    <row r="4518" spans="2:6">
      <c r="B4518">
        <v>2016</v>
      </c>
      <c r="C4518" t="s">
        <v>58</v>
      </c>
      <c r="D4518" t="s">
        <v>184</v>
      </c>
      <c r="E4518" t="s">
        <v>9</v>
      </c>
      <c r="F4518">
        <v>0.80921858549118042</v>
      </c>
    </row>
    <row r="4519" spans="2:6">
      <c r="B4519">
        <v>2016</v>
      </c>
      <c r="C4519" t="s">
        <v>58</v>
      </c>
      <c r="D4519" t="s">
        <v>184</v>
      </c>
      <c r="E4519" t="s">
        <v>10</v>
      </c>
      <c r="F4519">
        <v>61.099998474121094</v>
      </c>
    </row>
    <row r="4520" spans="2:6">
      <c r="B4520">
        <v>2016</v>
      </c>
      <c r="C4520" t="s">
        <v>58</v>
      </c>
      <c r="D4520" t="s">
        <v>184</v>
      </c>
      <c r="E4520" t="s">
        <v>11</v>
      </c>
      <c r="F4520">
        <v>0.65584522485733032</v>
      </c>
    </row>
    <row r="4521" spans="2:6">
      <c r="B4521">
        <v>2016</v>
      </c>
      <c r="C4521" t="s">
        <v>58</v>
      </c>
      <c r="D4521" t="s">
        <v>184</v>
      </c>
      <c r="E4521" t="s">
        <v>12</v>
      </c>
      <c r="F4521">
        <v>-0.14144141972064972</v>
      </c>
    </row>
    <row r="4522" spans="2:6">
      <c r="B4522">
        <v>2016</v>
      </c>
      <c r="C4522" t="s">
        <v>58</v>
      </c>
      <c r="D4522" t="s">
        <v>184</v>
      </c>
      <c r="E4522" t="s">
        <v>13</v>
      </c>
      <c r="F4522">
        <v>0.8175274133682251</v>
      </c>
    </row>
    <row r="4523" spans="2:6">
      <c r="B4523">
        <v>2016</v>
      </c>
      <c r="C4523" t="s">
        <v>58</v>
      </c>
      <c r="D4523" t="s">
        <v>184</v>
      </c>
      <c r="E4523" t="s">
        <v>14</v>
      </c>
      <c r="F4523">
        <v>0.61136966943740845</v>
      </c>
    </row>
    <row r="4524" spans="2:6">
      <c r="B4524">
        <v>2016</v>
      </c>
      <c r="C4524" t="s">
        <v>58</v>
      </c>
      <c r="D4524" t="s">
        <v>184</v>
      </c>
      <c r="E4524" t="s">
        <v>15</v>
      </c>
      <c r="F4524">
        <v>0.37049821019172668</v>
      </c>
    </row>
    <row r="4525" spans="2:6">
      <c r="B4525">
        <v>2017</v>
      </c>
      <c r="C4525" t="s">
        <v>58</v>
      </c>
      <c r="D4525" t="s">
        <v>184</v>
      </c>
      <c r="E4525" t="s">
        <v>7</v>
      </c>
      <c r="F4525">
        <v>3.9293441772460938</v>
      </c>
    </row>
    <row r="4526" spans="2:6">
      <c r="B4526">
        <v>2017</v>
      </c>
      <c r="C4526" t="s">
        <v>58</v>
      </c>
      <c r="D4526" t="s">
        <v>184</v>
      </c>
      <c r="E4526" t="s">
        <v>8</v>
      </c>
      <c r="F4526">
        <v>9.3069667816162109</v>
      </c>
    </row>
    <row r="4527" spans="2:6">
      <c r="B4527">
        <v>2017</v>
      </c>
      <c r="C4527" t="s">
        <v>58</v>
      </c>
      <c r="D4527" t="s">
        <v>184</v>
      </c>
      <c r="E4527" t="s">
        <v>9</v>
      </c>
      <c r="F4527">
        <v>0.63822638988494873</v>
      </c>
    </row>
    <row r="4528" spans="2:6">
      <c r="B4528">
        <v>2017</v>
      </c>
      <c r="C4528" t="s">
        <v>58</v>
      </c>
      <c r="D4528" t="s">
        <v>184</v>
      </c>
      <c r="E4528" t="s">
        <v>10</v>
      </c>
      <c r="F4528">
        <v>61.400001525878906</v>
      </c>
    </row>
    <row r="4529" spans="2:6">
      <c r="B4529">
        <v>2017</v>
      </c>
      <c r="C4529" t="s">
        <v>58</v>
      </c>
      <c r="D4529" t="s">
        <v>184</v>
      </c>
      <c r="E4529" t="s">
        <v>11</v>
      </c>
      <c r="F4529">
        <v>0.59250479936599731</v>
      </c>
    </row>
    <row r="4530" spans="2:6">
      <c r="B4530">
        <v>2017</v>
      </c>
      <c r="C4530" t="s">
        <v>58</v>
      </c>
      <c r="D4530" t="s">
        <v>184</v>
      </c>
      <c r="E4530" t="s">
        <v>12</v>
      </c>
      <c r="F4530">
        <v>-0.152354896068573</v>
      </c>
    </row>
    <row r="4531" spans="2:6">
      <c r="B4531">
        <v>2017</v>
      </c>
      <c r="C4531" t="s">
        <v>58</v>
      </c>
      <c r="D4531" t="s">
        <v>184</v>
      </c>
      <c r="E4531" t="s">
        <v>14</v>
      </c>
      <c r="F4531">
        <v>0.53932255506515503</v>
      </c>
    </row>
    <row r="4532" spans="2:6">
      <c r="B4532">
        <v>2017</v>
      </c>
      <c r="C4532" t="s">
        <v>58</v>
      </c>
      <c r="D4532" t="s">
        <v>184</v>
      </c>
      <c r="E4532" t="s">
        <v>15</v>
      </c>
      <c r="F4532">
        <v>0.41449379920959473</v>
      </c>
    </row>
    <row r="4533" spans="2:6">
      <c r="B4533">
        <v>2018</v>
      </c>
      <c r="C4533" t="s">
        <v>58</v>
      </c>
      <c r="D4533" t="s">
        <v>184</v>
      </c>
      <c r="E4533" t="s">
        <v>7</v>
      </c>
      <c r="F4533">
        <v>4.0054507255554199</v>
      </c>
    </row>
    <row r="4534" spans="2:6">
      <c r="B4534">
        <v>2018</v>
      </c>
      <c r="C4534" t="s">
        <v>58</v>
      </c>
      <c r="D4534" t="s">
        <v>184</v>
      </c>
      <c r="E4534" t="s">
        <v>8</v>
      </c>
      <c r="F4534">
        <v>9.3384113311767578</v>
      </c>
    </row>
    <row r="4535" spans="2:6">
      <c r="B4535">
        <v>2018</v>
      </c>
      <c r="C4535" t="s">
        <v>58</v>
      </c>
      <c r="D4535" t="s">
        <v>184</v>
      </c>
      <c r="E4535" t="s">
        <v>9</v>
      </c>
      <c r="F4535">
        <v>0.75882405042648315</v>
      </c>
    </row>
    <row r="4536" spans="2:6">
      <c r="B4536">
        <v>2018</v>
      </c>
      <c r="C4536" t="s">
        <v>58</v>
      </c>
      <c r="D4536" t="s">
        <v>184</v>
      </c>
      <c r="E4536" t="s">
        <v>10</v>
      </c>
      <c r="F4536">
        <v>61.700000762939453</v>
      </c>
    </row>
    <row r="4537" spans="2:6">
      <c r="B4537">
        <v>2018</v>
      </c>
      <c r="C4537" t="s">
        <v>58</v>
      </c>
      <c r="D4537" t="s">
        <v>184</v>
      </c>
      <c r="E4537" t="s">
        <v>11</v>
      </c>
      <c r="F4537">
        <v>0.68165445327758789</v>
      </c>
    </row>
    <row r="4538" spans="2:6">
      <c r="B4538">
        <v>2018</v>
      </c>
      <c r="C4538" t="s">
        <v>58</v>
      </c>
      <c r="D4538" t="s">
        <v>184</v>
      </c>
      <c r="E4538" t="s">
        <v>12</v>
      </c>
      <c r="F4538">
        <v>-0.2154100090265274</v>
      </c>
    </row>
    <row r="4539" spans="2:6">
      <c r="B4539">
        <v>2018</v>
      </c>
      <c r="C4539" t="s">
        <v>58</v>
      </c>
      <c r="D4539" t="s">
        <v>184</v>
      </c>
      <c r="E4539" t="s">
        <v>14</v>
      </c>
      <c r="F4539">
        <v>0.49226075410842896</v>
      </c>
    </row>
    <row r="4540" spans="2:6">
      <c r="B4540">
        <v>2018</v>
      </c>
      <c r="C4540" t="s">
        <v>58</v>
      </c>
      <c r="D4540" t="s">
        <v>184</v>
      </c>
      <c r="E4540" t="s">
        <v>15</v>
      </c>
      <c r="F4540">
        <v>0.28518378734588623</v>
      </c>
    </row>
    <row r="4541" spans="2:6">
      <c r="B4541">
        <v>2019</v>
      </c>
      <c r="C4541" t="s">
        <v>58</v>
      </c>
      <c r="D4541" t="s">
        <v>184</v>
      </c>
      <c r="E4541" t="s">
        <v>7</v>
      </c>
      <c r="F4541">
        <v>4.3278317451477051</v>
      </c>
    </row>
    <row r="4542" spans="2:6">
      <c r="B4542">
        <v>2019</v>
      </c>
      <c r="C4542" t="s">
        <v>58</v>
      </c>
      <c r="D4542" t="s">
        <v>184</v>
      </c>
      <c r="E4542" t="s">
        <v>8</v>
      </c>
      <c r="F4542">
        <v>9.3727359771728516</v>
      </c>
    </row>
    <row r="4543" spans="2:6">
      <c r="B4543">
        <v>2019</v>
      </c>
      <c r="C4543" t="s">
        <v>58</v>
      </c>
      <c r="D4543" t="s">
        <v>184</v>
      </c>
      <c r="E4543" t="s">
        <v>9</v>
      </c>
      <c r="F4543">
        <v>0.7721286416053772</v>
      </c>
    </row>
    <row r="4544" spans="2:6">
      <c r="B4544">
        <v>2019</v>
      </c>
      <c r="C4544" t="s">
        <v>58</v>
      </c>
      <c r="D4544" t="s">
        <v>184</v>
      </c>
      <c r="E4544" t="s">
        <v>10</v>
      </c>
      <c r="F4544">
        <v>62</v>
      </c>
    </row>
    <row r="4545" spans="2:6">
      <c r="B4545">
        <v>2019</v>
      </c>
      <c r="C4545" t="s">
        <v>58</v>
      </c>
      <c r="D4545" t="s">
        <v>184</v>
      </c>
      <c r="E4545" t="s">
        <v>11</v>
      </c>
      <c r="F4545">
        <v>0.77395105361938477</v>
      </c>
    </row>
    <row r="4546" spans="2:6">
      <c r="B4546">
        <v>2019</v>
      </c>
      <c r="C4546" t="s">
        <v>58</v>
      </c>
      <c r="D4546" t="s">
        <v>184</v>
      </c>
      <c r="E4546" t="s">
        <v>12</v>
      </c>
      <c r="F4546">
        <v>-0.19870957732200623</v>
      </c>
    </row>
    <row r="4547" spans="2:6">
      <c r="B4547">
        <v>2019</v>
      </c>
      <c r="C4547" t="s">
        <v>58</v>
      </c>
      <c r="D4547" t="s">
        <v>184</v>
      </c>
      <c r="E4547" t="s">
        <v>14</v>
      </c>
      <c r="F4547">
        <v>0.51683127880096436</v>
      </c>
    </row>
    <row r="4548" spans="2:6">
      <c r="B4548">
        <v>2019</v>
      </c>
      <c r="C4548" t="s">
        <v>58</v>
      </c>
      <c r="D4548" t="s">
        <v>184</v>
      </c>
      <c r="E4548" t="s">
        <v>15</v>
      </c>
      <c r="F4548">
        <v>0.31276339292526245</v>
      </c>
    </row>
    <row r="4549" spans="2:6">
      <c r="B4549">
        <v>2020</v>
      </c>
      <c r="C4549" t="s">
        <v>58</v>
      </c>
      <c r="D4549" t="s">
        <v>184</v>
      </c>
      <c r="E4549" t="s">
        <v>7</v>
      </c>
      <c r="F4549">
        <v>4.4723968505859375</v>
      </c>
    </row>
    <row r="4550" spans="2:6">
      <c r="B4550">
        <v>2020</v>
      </c>
      <c r="C4550" t="s">
        <v>58</v>
      </c>
      <c r="D4550" t="s">
        <v>184</v>
      </c>
      <c r="E4550" t="s">
        <v>8</v>
      </c>
      <c r="F4550">
        <v>9.3827266693115234</v>
      </c>
    </row>
    <row r="4551" spans="2:6">
      <c r="B4551">
        <v>2020</v>
      </c>
      <c r="C4551" t="s">
        <v>58</v>
      </c>
      <c r="D4551" t="s">
        <v>184</v>
      </c>
      <c r="E4551" t="s">
        <v>9</v>
      </c>
      <c r="F4551">
        <v>0.67272549867630005</v>
      </c>
    </row>
    <row r="4552" spans="2:6">
      <c r="B4552">
        <v>2020</v>
      </c>
      <c r="C4552" t="s">
        <v>58</v>
      </c>
      <c r="D4552" t="s">
        <v>184</v>
      </c>
      <c r="E4552" t="s">
        <v>10</v>
      </c>
      <c r="F4552">
        <v>62.299999237060547</v>
      </c>
    </row>
    <row r="4553" spans="2:6">
      <c r="B4553">
        <v>2020</v>
      </c>
      <c r="C4553" t="s">
        <v>58</v>
      </c>
      <c r="D4553" t="s">
        <v>184</v>
      </c>
      <c r="E4553" t="s">
        <v>11</v>
      </c>
      <c r="F4553">
        <v>0.76955032348632813</v>
      </c>
    </row>
    <row r="4554" spans="2:6">
      <c r="B4554">
        <v>2020</v>
      </c>
      <c r="C4554" t="s">
        <v>58</v>
      </c>
      <c r="D4554" t="s">
        <v>184</v>
      </c>
      <c r="E4554" t="s">
        <v>12</v>
      </c>
      <c r="F4554">
        <v>-0.1123419776558876</v>
      </c>
    </row>
    <row r="4555" spans="2:6">
      <c r="B4555">
        <v>2020</v>
      </c>
      <c r="C4555" t="s">
        <v>58</v>
      </c>
      <c r="D4555" t="s">
        <v>184</v>
      </c>
      <c r="E4555" t="s">
        <v>14</v>
      </c>
      <c r="F4555">
        <v>0.59890866279602051</v>
      </c>
    </row>
    <row r="4556" spans="2:6">
      <c r="B4556">
        <v>2020</v>
      </c>
      <c r="C4556" t="s">
        <v>58</v>
      </c>
      <c r="D4556" t="s">
        <v>184</v>
      </c>
      <c r="E4556" t="s">
        <v>15</v>
      </c>
      <c r="F4556">
        <v>0.44203358888626099</v>
      </c>
    </row>
    <row r="4557" spans="2:6">
      <c r="B4557">
        <v>2006</v>
      </c>
      <c r="C4557" t="s">
        <v>59</v>
      </c>
      <c r="D4557" t="s">
        <v>185</v>
      </c>
      <c r="E4557" t="s">
        <v>7</v>
      </c>
      <c r="F4557">
        <v>5.7009296417236328</v>
      </c>
    </row>
    <row r="4558" spans="2:6">
      <c r="B4558">
        <v>2006</v>
      </c>
      <c r="C4558" t="s">
        <v>59</v>
      </c>
      <c r="D4558" t="s">
        <v>185</v>
      </c>
      <c r="E4558" t="s">
        <v>8</v>
      </c>
      <c r="F4558">
        <v>8.8730258941650391</v>
      </c>
    </row>
    <row r="4559" spans="2:6">
      <c r="B4559">
        <v>2006</v>
      </c>
      <c r="C4559" t="s">
        <v>59</v>
      </c>
      <c r="D4559" t="s">
        <v>185</v>
      </c>
      <c r="E4559" t="s">
        <v>9</v>
      </c>
      <c r="F4559">
        <v>0.87840914726257324</v>
      </c>
    </row>
    <row r="4560" spans="2:6">
      <c r="B4560">
        <v>2006</v>
      </c>
      <c r="C4560" t="s">
        <v>59</v>
      </c>
      <c r="D4560" t="s">
        <v>185</v>
      </c>
      <c r="E4560" t="s">
        <v>10</v>
      </c>
      <c r="F4560">
        <v>62.919998168945313</v>
      </c>
    </row>
    <row r="4561" spans="2:6">
      <c r="B4561">
        <v>2006</v>
      </c>
      <c r="C4561" t="s">
        <v>59</v>
      </c>
      <c r="D4561" t="s">
        <v>185</v>
      </c>
      <c r="E4561" t="s">
        <v>11</v>
      </c>
      <c r="F4561">
        <v>0.68298953771591187</v>
      </c>
    </row>
    <row r="4562" spans="2:6">
      <c r="B4562">
        <v>2006</v>
      </c>
      <c r="C4562" t="s">
        <v>59</v>
      </c>
      <c r="D4562" t="s">
        <v>185</v>
      </c>
      <c r="E4562" t="s">
        <v>12</v>
      </c>
      <c r="F4562">
        <v>-5.5643778294324875E-2</v>
      </c>
    </row>
    <row r="4563" spans="2:6">
      <c r="B4563">
        <v>2006</v>
      </c>
      <c r="C4563" t="s">
        <v>59</v>
      </c>
      <c r="D4563" t="s">
        <v>185</v>
      </c>
      <c r="E4563" t="s">
        <v>13</v>
      </c>
      <c r="F4563">
        <v>0.80659568309783936</v>
      </c>
    </row>
    <row r="4564" spans="2:6">
      <c r="B4564">
        <v>2006</v>
      </c>
      <c r="C4564" t="s">
        <v>59</v>
      </c>
      <c r="D4564" t="s">
        <v>185</v>
      </c>
      <c r="E4564" t="s">
        <v>14</v>
      </c>
      <c r="F4564">
        <v>0.8639950156211853</v>
      </c>
    </row>
    <row r="4565" spans="2:6">
      <c r="B4565">
        <v>2006</v>
      </c>
      <c r="C4565" t="s">
        <v>59</v>
      </c>
      <c r="D4565" t="s">
        <v>185</v>
      </c>
      <c r="E4565" t="s">
        <v>15</v>
      </c>
      <c r="F4565">
        <v>0.23269131779670715</v>
      </c>
    </row>
    <row r="4566" spans="2:6">
      <c r="B4566">
        <v>2007</v>
      </c>
      <c r="C4566" t="s">
        <v>59</v>
      </c>
      <c r="D4566" t="s">
        <v>185</v>
      </c>
      <c r="E4566" t="s">
        <v>7</v>
      </c>
      <c r="F4566">
        <v>5.2955350875854492</v>
      </c>
    </row>
    <row r="4567" spans="2:6">
      <c r="B4567">
        <v>2007</v>
      </c>
      <c r="C4567" t="s">
        <v>59</v>
      </c>
      <c r="D4567" t="s">
        <v>185</v>
      </c>
      <c r="E4567" t="s">
        <v>8</v>
      </c>
      <c r="F4567">
        <v>8.8871259689331055</v>
      </c>
    </row>
    <row r="4568" spans="2:6">
      <c r="B4568">
        <v>2007</v>
      </c>
      <c r="C4568" t="s">
        <v>59</v>
      </c>
      <c r="D4568" t="s">
        <v>185</v>
      </c>
      <c r="E4568" t="s">
        <v>9</v>
      </c>
      <c r="F4568">
        <v>0.71682703495025635</v>
      </c>
    </row>
    <row r="4569" spans="2:6">
      <c r="B4569">
        <v>2007</v>
      </c>
      <c r="C4569" t="s">
        <v>59</v>
      </c>
      <c r="D4569" t="s">
        <v>185</v>
      </c>
      <c r="E4569" t="s">
        <v>10</v>
      </c>
      <c r="F4569">
        <v>63.240001678466797</v>
      </c>
    </row>
    <row r="4570" spans="2:6">
      <c r="B4570">
        <v>2007</v>
      </c>
      <c r="C4570" t="s">
        <v>59</v>
      </c>
      <c r="D4570" t="s">
        <v>185</v>
      </c>
      <c r="E4570" t="s">
        <v>11</v>
      </c>
      <c r="F4570">
        <v>0.63893681764602661</v>
      </c>
    </row>
    <row r="4571" spans="2:6">
      <c r="B4571">
        <v>2007</v>
      </c>
      <c r="C4571" t="s">
        <v>59</v>
      </c>
      <c r="D4571" t="s">
        <v>185</v>
      </c>
      <c r="E4571" t="s">
        <v>12</v>
      </c>
      <c r="F4571">
        <v>-1.4800990931689739E-2</v>
      </c>
    </row>
    <row r="4572" spans="2:6">
      <c r="B4572">
        <v>2007</v>
      </c>
      <c r="C4572" t="s">
        <v>59</v>
      </c>
      <c r="D4572" t="s">
        <v>185</v>
      </c>
      <c r="E4572" t="s">
        <v>13</v>
      </c>
      <c r="F4572">
        <v>0.78509873151779175</v>
      </c>
    </row>
    <row r="4573" spans="2:6">
      <c r="B4573">
        <v>2007</v>
      </c>
      <c r="C4573" t="s">
        <v>59</v>
      </c>
      <c r="D4573" t="s">
        <v>185</v>
      </c>
      <c r="E4573" t="s">
        <v>14</v>
      </c>
      <c r="F4573">
        <v>0.86884117126464844</v>
      </c>
    </row>
    <row r="4574" spans="2:6">
      <c r="B4574">
        <v>2007</v>
      </c>
      <c r="C4574" t="s">
        <v>59</v>
      </c>
      <c r="D4574" t="s">
        <v>185</v>
      </c>
      <c r="E4574" t="s">
        <v>15</v>
      </c>
      <c r="F4574">
        <v>0.22019892930984497</v>
      </c>
    </row>
    <row r="4575" spans="2:6">
      <c r="B4575">
        <v>2008</v>
      </c>
      <c r="C4575" t="s">
        <v>59</v>
      </c>
      <c r="D4575" t="s">
        <v>185</v>
      </c>
      <c r="E4575" t="s">
        <v>7</v>
      </c>
      <c r="F4575">
        <v>5.1914939880371094</v>
      </c>
    </row>
    <row r="4576" spans="2:6">
      <c r="B4576">
        <v>2008</v>
      </c>
      <c r="C4576" t="s">
        <v>59</v>
      </c>
      <c r="D4576" t="s">
        <v>185</v>
      </c>
      <c r="E4576" t="s">
        <v>8</v>
      </c>
      <c r="F4576">
        <v>8.9082670211791992</v>
      </c>
    </row>
    <row r="4577" spans="2:6">
      <c r="B4577">
        <v>2008</v>
      </c>
      <c r="C4577" t="s">
        <v>59</v>
      </c>
      <c r="D4577" t="s">
        <v>185</v>
      </c>
      <c r="E4577" t="s">
        <v>9</v>
      </c>
      <c r="F4577">
        <v>0.74741131067276001</v>
      </c>
    </row>
    <row r="4578" spans="2:6">
      <c r="B4578">
        <v>2008</v>
      </c>
      <c r="C4578" t="s">
        <v>59</v>
      </c>
      <c r="D4578" t="s">
        <v>185</v>
      </c>
      <c r="E4578" t="s">
        <v>10</v>
      </c>
      <c r="F4578">
        <v>63.560001373291016</v>
      </c>
    </row>
    <row r="4579" spans="2:6">
      <c r="B4579">
        <v>2008</v>
      </c>
      <c r="C4579" t="s">
        <v>59</v>
      </c>
      <c r="D4579" t="s">
        <v>185</v>
      </c>
      <c r="E4579" t="s">
        <v>11</v>
      </c>
      <c r="F4579">
        <v>0.63564825057983398</v>
      </c>
    </row>
    <row r="4580" spans="2:6">
      <c r="B4580">
        <v>2008</v>
      </c>
      <c r="C4580" t="s">
        <v>59</v>
      </c>
      <c r="D4580" t="s">
        <v>185</v>
      </c>
      <c r="E4580" t="s">
        <v>12</v>
      </c>
      <c r="F4580">
        <v>-7.8051082789897919E-2</v>
      </c>
    </row>
    <row r="4581" spans="2:6">
      <c r="B4581">
        <v>2008</v>
      </c>
      <c r="C4581" t="s">
        <v>59</v>
      </c>
      <c r="D4581" t="s">
        <v>185</v>
      </c>
      <c r="E4581" t="s">
        <v>13</v>
      </c>
      <c r="F4581">
        <v>0.73472744226455688</v>
      </c>
    </row>
    <row r="4582" spans="2:6">
      <c r="B4582">
        <v>2008</v>
      </c>
      <c r="C4582" t="s">
        <v>59</v>
      </c>
      <c r="D4582" t="s">
        <v>185</v>
      </c>
      <c r="E4582" t="s">
        <v>14</v>
      </c>
      <c r="F4582">
        <v>0.84206748008728027</v>
      </c>
    </row>
    <row r="4583" spans="2:6">
      <c r="B4583">
        <v>2008</v>
      </c>
      <c r="C4583" t="s">
        <v>59</v>
      </c>
      <c r="D4583" t="s">
        <v>185</v>
      </c>
      <c r="E4583" t="s">
        <v>15</v>
      </c>
      <c r="F4583">
        <v>0.23212411999702454</v>
      </c>
    </row>
    <row r="4584" spans="2:6">
      <c r="B4584">
        <v>2009</v>
      </c>
      <c r="C4584" t="s">
        <v>59</v>
      </c>
      <c r="D4584" t="s">
        <v>185</v>
      </c>
      <c r="E4584" t="s">
        <v>7</v>
      </c>
      <c r="F4584">
        <v>6.8390870094299316</v>
      </c>
    </row>
    <row r="4585" spans="2:6">
      <c r="B4585">
        <v>2009</v>
      </c>
      <c r="C4585" t="s">
        <v>59</v>
      </c>
      <c r="D4585" t="s">
        <v>185</v>
      </c>
      <c r="E4585" t="s">
        <v>8</v>
      </c>
      <c r="F4585">
        <v>8.8829669952392578</v>
      </c>
    </row>
    <row r="4586" spans="2:6">
      <c r="B4586">
        <v>2009</v>
      </c>
      <c r="C4586" t="s">
        <v>59</v>
      </c>
      <c r="D4586" t="s">
        <v>185</v>
      </c>
      <c r="E4586" t="s">
        <v>9</v>
      </c>
      <c r="F4586">
        <v>0.73411279916763306</v>
      </c>
    </row>
    <row r="4587" spans="2:6">
      <c r="B4587">
        <v>2009</v>
      </c>
      <c r="C4587" t="s">
        <v>59</v>
      </c>
      <c r="D4587" t="s">
        <v>185</v>
      </c>
      <c r="E4587" t="s">
        <v>10</v>
      </c>
      <c r="F4587">
        <v>63.880001068115234</v>
      </c>
    </row>
    <row r="4588" spans="2:6">
      <c r="B4588">
        <v>2009</v>
      </c>
      <c r="C4588" t="s">
        <v>59</v>
      </c>
      <c r="D4588" t="s">
        <v>185</v>
      </c>
      <c r="E4588" t="s">
        <v>11</v>
      </c>
      <c r="F4588">
        <v>0.67093241214752197</v>
      </c>
    </row>
    <row r="4589" spans="2:6">
      <c r="B4589">
        <v>2009</v>
      </c>
      <c r="C4589" t="s">
        <v>59</v>
      </c>
      <c r="D4589" t="s">
        <v>185</v>
      </c>
      <c r="E4589" t="s">
        <v>12</v>
      </c>
      <c r="F4589">
        <v>-0.10344968736171722</v>
      </c>
    </row>
    <row r="4590" spans="2:6">
      <c r="B4590">
        <v>2009</v>
      </c>
      <c r="C4590" t="s">
        <v>59</v>
      </c>
      <c r="D4590" t="s">
        <v>185</v>
      </c>
      <c r="E4590" t="s">
        <v>13</v>
      </c>
      <c r="F4590">
        <v>0.64752763509750366</v>
      </c>
    </row>
    <row r="4591" spans="2:6">
      <c r="B4591">
        <v>2009</v>
      </c>
      <c r="C4591" t="s">
        <v>59</v>
      </c>
      <c r="D4591" t="s">
        <v>185</v>
      </c>
      <c r="E4591" t="s">
        <v>14</v>
      </c>
      <c r="F4591">
        <v>0.85037750005722046</v>
      </c>
    </row>
    <row r="4592" spans="2:6">
      <c r="B4592">
        <v>2009</v>
      </c>
      <c r="C4592" t="s">
        <v>59</v>
      </c>
      <c r="D4592" t="s">
        <v>185</v>
      </c>
      <c r="E4592" t="s">
        <v>15</v>
      </c>
      <c r="F4592">
        <v>0.24323095381259918</v>
      </c>
    </row>
    <row r="4593" spans="2:6">
      <c r="B4593">
        <v>2010</v>
      </c>
      <c r="C4593" t="s">
        <v>59</v>
      </c>
      <c r="D4593" t="s">
        <v>185</v>
      </c>
      <c r="E4593" t="s">
        <v>7</v>
      </c>
      <c r="F4593">
        <v>6.7399110794067383</v>
      </c>
    </row>
    <row r="4594" spans="2:6">
      <c r="B4594">
        <v>2010</v>
      </c>
      <c r="C4594" t="s">
        <v>59</v>
      </c>
      <c r="D4594" t="s">
        <v>185</v>
      </c>
      <c r="E4594" t="s">
        <v>8</v>
      </c>
      <c r="F4594">
        <v>8.8995475769042969</v>
      </c>
    </row>
    <row r="4595" spans="2:6">
      <c r="B4595">
        <v>2010</v>
      </c>
      <c r="C4595" t="s">
        <v>59</v>
      </c>
      <c r="D4595" t="s">
        <v>185</v>
      </c>
      <c r="E4595" t="s">
        <v>9</v>
      </c>
      <c r="F4595">
        <v>0.75665390491485596</v>
      </c>
    </row>
    <row r="4596" spans="2:6">
      <c r="B4596">
        <v>2010</v>
      </c>
      <c r="C4596" t="s">
        <v>59</v>
      </c>
      <c r="D4596" t="s">
        <v>185</v>
      </c>
      <c r="E4596" t="s">
        <v>10</v>
      </c>
      <c r="F4596">
        <v>64.199996948242188</v>
      </c>
    </row>
    <row r="4597" spans="2:6">
      <c r="B4597">
        <v>2010</v>
      </c>
      <c r="C4597" t="s">
        <v>59</v>
      </c>
      <c r="D4597" t="s">
        <v>185</v>
      </c>
      <c r="E4597" t="s">
        <v>11</v>
      </c>
      <c r="F4597">
        <v>0.66933786869049072</v>
      </c>
    </row>
    <row r="4598" spans="2:6">
      <c r="B4598">
        <v>2010</v>
      </c>
      <c r="C4598" t="s">
        <v>59</v>
      </c>
      <c r="D4598" t="s">
        <v>185</v>
      </c>
      <c r="E4598" t="s">
        <v>12</v>
      </c>
      <c r="F4598">
        <v>-6.3869014382362366E-2</v>
      </c>
    </row>
    <row r="4599" spans="2:6">
      <c r="B4599">
        <v>2010</v>
      </c>
      <c r="C4599" t="s">
        <v>59</v>
      </c>
      <c r="D4599" t="s">
        <v>185</v>
      </c>
      <c r="E4599" t="s">
        <v>13</v>
      </c>
      <c r="F4599">
        <v>0.69418007135391235</v>
      </c>
    </row>
    <row r="4600" spans="2:6">
      <c r="B4600">
        <v>2010</v>
      </c>
      <c r="C4600" t="s">
        <v>59</v>
      </c>
      <c r="D4600" t="s">
        <v>185</v>
      </c>
      <c r="E4600" t="s">
        <v>14</v>
      </c>
      <c r="F4600">
        <v>0.81381112337112427</v>
      </c>
    </row>
    <row r="4601" spans="2:6">
      <c r="B4601">
        <v>2010</v>
      </c>
      <c r="C4601" t="s">
        <v>59</v>
      </c>
      <c r="D4601" t="s">
        <v>185</v>
      </c>
      <c r="E4601" t="s">
        <v>15</v>
      </c>
      <c r="F4601">
        <v>0.30218598246574402</v>
      </c>
    </row>
    <row r="4602" spans="2:6">
      <c r="B4602">
        <v>2011</v>
      </c>
      <c r="C4602" t="s">
        <v>59</v>
      </c>
      <c r="D4602" t="s">
        <v>185</v>
      </c>
      <c r="E4602" t="s">
        <v>7</v>
      </c>
      <c r="F4602">
        <v>4.7412948608398438</v>
      </c>
    </row>
    <row r="4603" spans="2:6">
      <c r="B4603">
        <v>2011</v>
      </c>
      <c r="C4603" t="s">
        <v>59</v>
      </c>
      <c r="D4603" t="s">
        <v>185</v>
      </c>
      <c r="E4603" t="s">
        <v>8</v>
      </c>
      <c r="F4603">
        <v>8.9327001571655273</v>
      </c>
    </row>
    <row r="4604" spans="2:6">
      <c r="B4604">
        <v>2011</v>
      </c>
      <c r="C4604" t="s">
        <v>59</v>
      </c>
      <c r="D4604" t="s">
        <v>185</v>
      </c>
      <c r="E4604" t="s">
        <v>9</v>
      </c>
      <c r="F4604">
        <v>0.73127788305282593</v>
      </c>
    </row>
    <row r="4605" spans="2:6">
      <c r="B4605">
        <v>2011</v>
      </c>
      <c r="C4605" t="s">
        <v>59</v>
      </c>
      <c r="D4605" t="s">
        <v>185</v>
      </c>
      <c r="E4605" t="s">
        <v>10</v>
      </c>
      <c r="F4605">
        <v>64.400001525878906</v>
      </c>
    </row>
    <row r="4606" spans="2:6">
      <c r="B4606">
        <v>2011</v>
      </c>
      <c r="C4606" t="s">
        <v>59</v>
      </c>
      <c r="D4606" t="s">
        <v>185</v>
      </c>
      <c r="E4606" t="s">
        <v>11</v>
      </c>
      <c r="F4606">
        <v>0.7472463846206665</v>
      </c>
    </row>
    <row r="4607" spans="2:6">
      <c r="B4607">
        <v>2011</v>
      </c>
      <c r="C4607" t="s">
        <v>59</v>
      </c>
      <c r="D4607" t="s">
        <v>185</v>
      </c>
      <c r="E4607" t="s">
        <v>12</v>
      </c>
      <c r="F4607">
        <v>-0.12635751068592072</v>
      </c>
    </row>
    <row r="4608" spans="2:6">
      <c r="B4608">
        <v>2011</v>
      </c>
      <c r="C4608" t="s">
        <v>59</v>
      </c>
      <c r="D4608" t="s">
        <v>185</v>
      </c>
      <c r="E4608" t="s">
        <v>13</v>
      </c>
      <c r="F4608">
        <v>0.70655280351638794</v>
      </c>
    </row>
    <row r="4609" spans="2:6">
      <c r="B4609">
        <v>2011</v>
      </c>
      <c r="C4609" t="s">
        <v>59</v>
      </c>
      <c r="D4609" t="s">
        <v>185</v>
      </c>
      <c r="E4609" t="s">
        <v>14</v>
      </c>
      <c r="F4609">
        <v>0.8753235936164856</v>
      </c>
    </row>
    <row r="4610" spans="2:6">
      <c r="B4610">
        <v>2011</v>
      </c>
      <c r="C4610" t="s">
        <v>59</v>
      </c>
      <c r="D4610" t="s">
        <v>185</v>
      </c>
      <c r="E4610" t="s">
        <v>15</v>
      </c>
      <c r="F4610">
        <v>0.33632153272628784</v>
      </c>
    </row>
    <row r="4611" spans="2:6">
      <c r="B4611">
        <v>2012</v>
      </c>
      <c r="C4611" t="s">
        <v>59</v>
      </c>
      <c r="D4611" t="s">
        <v>185</v>
      </c>
      <c r="E4611" t="s">
        <v>7</v>
      </c>
      <c r="F4611">
        <v>5.9343714714050293</v>
      </c>
    </row>
    <row r="4612" spans="2:6">
      <c r="B4612">
        <v>2012</v>
      </c>
      <c r="C4612" t="s">
        <v>59</v>
      </c>
      <c r="D4612" t="s">
        <v>185</v>
      </c>
      <c r="E4612" t="s">
        <v>8</v>
      </c>
      <c r="F4612">
        <v>8.9560708999633789</v>
      </c>
    </row>
    <row r="4613" spans="2:6">
      <c r="B4613">
        <v>2012</v>
      </c>
      <c r="C4613" t="s">
        <v>59</v>
      </c>
      <c r="D4613" t="s">
        <v>185</v>
      </c>
      <c r="E4613" t="s">
        <v>9</v>
      </c>
      <c r="F4613">
        <v>0.80601471662521362</v>
      </c>
    </row>
    <row r="4614" spans="2:6">
      <c r="B4614">
        <v>2012</v>
      </c>
      <c r="C4614" t="s">
        <v>59</v>
      </c>
      <c r="D4614" t="s">
        <v>185</v>
      </c>
      <c r="E4614" t="s">
        <v>10</v>
      </c>
      <c r="F4614">
        <v>64.599998474121094</v>
      </c>
    </row>
    <row r="4615" spans="2:6">
      <c r="B4615">
        <v>2012</v>
      </c>
      <c r="C4615" t="s">
        <v>59</v>
      </c>
      <c r="D4615" t="s">
        <v>185</v>
      </c>
      <c r="E4615" t="s">
        <v>11</v>
      </c>
      <c r="F4615">
        <v>0.68274480104446411</v>
      </c>
    </row>
    <row r="4616" spans="2:6">
      <c r="B4616">
        <v>2012</v>
      </c>
      <c r="C4616" t="s">
        <v>59</v>
      </c>
      <c r="D4616" t="s">
        <v>185</v>
      </c>
      <c r="E4616" t="s">
        <v>12</v>
      </c>
      <c r="F4616">
        <v>-0.15483613312244415</v>
      </c>
    </row>
    <row r="4617" spans="2:6">
      <c r="B4617">
        <v>2012</v>
      </c>
      <c r="C4617" t="s">
        <v>59</v>
      </c>
      <c r="D4617" t="s">
        <v>185</v>
      </c>
      <c r="E4617" t="s">
        <v>13</v>
      </c>
      <c r="F4617">
        <v>0.78629481792449951</v>
      </c>
    </row>
    <row r="4618" spans="2:6">
      <c r="B4618">
        <v>2012</v>
      </c>
      <c r="C4618" t="s">
        <v>59</v>
      </c>
      <c r="D4618" t="s">
        <v>185</v>
      </c>
      <c r="E4618" t="s">
        <v>14</v>
      </c>
      <c r="F4618">
        <v>0.83063215017318726</v>
      </c>
    </row>
    <row r="4619" spans="2:6">
      <c r="B4619">
        <v>2012</v>
      </c>
      <c r="C4619" t="s">
        <v>59</v>
      </c>
      <c r="D4619" t="s">
        <v>185</v>
      </c>
      <c r="E4619" t="s">
        <v>15</v>
      </c>
      <c r="F4619">
        <v>0.3652208149433136</v>
      </c>
    </row>
    <row r="4620" spans="2:6">
      <c r="B4620">
        <v>2013</v>
      </c>
      <c r="C4620" t="s">
        <v>59</v>
      </c>
      <c r="D4620" t="s">
        <v>185</v>
      </c>
      <c r="E4620" t="s">
        <v>7</v>
      </c>
      <c r="F4620">
        <v>6.3250632286071777</v>
      </c>
    </row>
    <row r="4621" spans="2:6">
      <c r="B4621">
        <v>2013</v>
      </c>
      <c r="C4621" t="s">
        <v>59</v>
      </c>
      <c r="D4621" t="s">
        <v>185</v>
      </c>
      <c r="E4621" t="s">
        <v>8</v>
      </c>
      <c r="F4621">
        <v>8.9736604690551758</v>
      </c>
    </row>
    <row r="4622" spans="2:6">
      <c r="B4622">
        <v>2013</v>
      </c>
      <c r="C4622" t="s">
        <v>59</v>
      </c>
      <c r="D4622" t="s">
        <v>185</v>
      </c>
      <c r="E4622" t="s">
        <v>9</v>
      </c>
      <c r="F4622">
        <v>0.82685887813568115</v>
      </c>
    </row>
    <row r="4623" spans="2:6">
      <c r="B4623">
        <v>2013</v>
      </c>
      <c r="C4623" t="s">
        <v>59</v>
      </c>
      <c r="D4623" t="s">
        <v>185</v>
      </c>
      <c r="E4623" t="s">
        <v>10</v>
      </c>
      <c r="F4623">
        <v>64.800003051757813</v>
      </c>
    </row>
    <row r="4624" spans="2:6">
      <c r="B4624">
        <v>2013</v>
      </c>
      <c r="C4624" t="s">
        <v>59</v>
      </c>
      <c r="D4624" t="s">
        <v>185</v>
      </c>
      <c r="E4624" t="s">
        <v>11</v>
      </c>
      <c r="F4624">
        <v>0.71557044982910156</v>
      </c>
    </row>
    <row r="4625" spans="2:6">
      <c r="B4625">
        <v>2013</v>
      </c>
      <c r="C4625" t="s">
        <v>59</v>
      </c>
      <c r="D4625" t="s">
        <v>185</v>
      </c>
      <c r="E4625" t="s">
        <v>12</v>
      </c>
      <c r="F4625">
        <v>-0.14961901307106018</v>
      </c>
    </row>
    <row r="4626" spans="2:6">
      <c r="B4626">
        <v>2013</v>
      </c>
      <c r="C4626" t="s">
        <v>59</v>
      </c>
      <c r="D4626" t="s">
        <v>185</v>
      </c>
      <c r="E4626" t="s">
        <v>13</v>
      </c>
      <c r="F4626">
        <v>0.77175086736679077</v>
      </c>
    </row>
    <row r="4627" spans="2:6">
      <c r="B4627">
        <v>2013</v>
      </c>
      <c r="C4627" t="s">
        <v>59</v>
      </c>
      <c r="D4627" t="s">
        <v>185</v>
      </c>
      <c r="E4627" t="s">
        <v>14</v>
      </c>
      <c r="F4627">
        <v>0.82825678586959839</v>
      </c>
    </row>
    <row r="4628" spans="2:6">
      <c r="B4628">
        <v>2013</v>
      </c>
      <c r="C4628" t="s">
        <v>59</v>
      </c>
      <c r="D4628" t="s">
        <v>185</v>
      </c>
      <c r="E4628" t="s">
        <v>15</v>
      </c>
      <c r="F4628">
        <v>0.31747639179229736</v>
      </c>
    </row>
    <row r="4629" spans="2:6">
      <c r="B4629">
        <v>2014</v>
      </c>
      <c r="C4629" t="s">
        <v>59</v>
      </c>
      <c r="D4629" t="s">
        <v>185</v>
      </c>
      <c r="E4629" t="s">
        <v>7</v>
      </c>
      <c r="F4629">
        <v>5.8565235137939453</v>
      </c>
    </row>
    <row r="4630" spans="2:6">
      <c r="B4630">
        <v>2014</v>
      </c>
      <c r="C4630" t="s">
        <v>59</v>
      </c>
      <c r="D4630" t="s">
        <v>185</v>
      </c>
      <c r="E4630" t="s">
        <v>8</v>
      </c>
      <c r="F4630">
        <v>8.9860019683837891</v>
      </c>
    </row>
    <row r="4631" spans="2:6">
      <c r="B4631">
        <v>2014</v>
      </c>
      <c r="C4631" t="s">
        <v>59</v>
      </c>
      <c r="D4631" t="s">
        <v>185</v>
      </c>
      <c r="E4631" t="s">
        <v>9</v>
      </c>
      <c r="F4631">
        <v>0.79761213064193726</v>
      </c>
    </row>
    <row r="4632" spans="2:6">
      <c r="B4632">
        <v>2014</v>
      </c>
      <c r="C4632" t="s">
        <v>59</v>
      </c>
      <c r="D4632" t="s">
        <v>185</v>
      </c>
      <c r="E4632" t="s">
        <v>10</v>
      </c>
      <c r="F4632">
        <v>65</v>
      </c>
    </row>
    <row r="4633" spans="2:6">
      <c r="B4633">
        <v>2014</v>
      </c>
      <c r="C4633" t="s">
        <v>59</v>
      </c>
      <c r="D4633" t="s">
        <v>185</v>
      </c>
      <c r="E4633" t="s">
        <v>11</v>
      </c>
      <c r="F4633">
        <v>0.7780146598815918</v>
      </c>
    </row>
    <row r="4634" spans="2:6">
      <c r="B4634">
        <v>2014</v>
      </c>
      <c r="C4634" t="s">
        <v>59</v>
      </c>
      <c r="D4634" t="s">
        <v>185</v>
      </c>
      <c r="E4634" t="s">
        <v>12</v>
      </c>
      <c r="F4634">
        <v>-0.19410265982151031</v>
      </c>
    </row>
    <row r="4635" spans="2:6">
      <c r="B4635">
        <v>2014</v>
      </c>
      <c r="C4635" t="s">
        <v>59</v>
      </c>
      <c r="D4635" t="s">
        <v>185</v>
      </c>
      <c r="E4635" t="s">
        <v>13</v>
      </c>
      <c r="F4635">
        <v>0.78145980834960938</v>
      </c>
    </row>
    <row r="4636" spans="2:6">
      <c r="B4636">
        <v>2014</v>
      </c>
      <c r="C4636" t="s">
        <v>59</v>
      </c>
      <c r="D4636" t="s">
        <v>185</v>
      </c>
      <c r="E4636" t="s">
        <v>14</v>
      </c>
      <c r="F4636">
        <v>0.83720505237579346</v>
      </c>
    </row>
    <row r="4637" spans="2:6">
      <c r="B4637">
        <v>2014</v>
      </c>
      <c r="C4637" t="s">
        <v>59</v>
      </c>
      <c r="D4637" t="s">
        <v>185</v>
      </c>
      <c r="E4637" t="s">
        <v>15</v>
      </c>
      <c r="F4637">
        <v>0.32985085248947144</v>
      </c>
    </row>
    <row r="4638" spans="2:6">
      <c r="B4638">
        <v>2015</v>
      </c>
      <c r="C4638" t="s">
        <v>59</v>
      </c>
      <c r="D4638" t="s">
        <v>185</v>
      </c>
      <c r="E4638" t="s">
        <v>7</v>
      </c>
      <c r="F4638">
        <v>6.018496036529541</v>
      </c>
    </row>
    <row r="4639" spans="2:6">
      <c r="B4639">
        <v>2015</v>
      </c>
      <c r="C4639" t="s">
        <v>59</v>
      </c>
      <c r="D4639" t="s">
        <v>185</v>
      </c>
      <c r="E4639" t="s">
        <v>8</v>
      </c>
      <c r="F4639">
        <v>9.0049161911010742</v>
      </c>
    </row>
    <row r="4640" spans="2:6">
      <c r="B4640">
        <v>2015</v>
      </c>
      <c r="C4640" t="s">
        <v>59</v>
      </c>
      <c r="D4640" t="s">
        <v>185</v>
      </c>
      <c r="E4640" t="s">
        <v>9</v>
      </c>
      <c r="F4640">
        <v>0.79075539112091064</v>
      </c>
    </row>
    <row r="4641" spans="2:6">
      <c r="B4641">
        <v>2015</v>
      </c>
      <c r="C4641" t="s">
        <v>59</v>
      </c>
      <c r="D4641" t="s">
        <v>185</v>
      </c>
      <c r="E4641" t="s">
        <v>10</v>
      </c>
      <c r="F4641">
        <v>65.199996948242188</v>
      </c>
    </row>
    <row r="4642" spans="2:6">
      <c r="B4642">
        <v>2015</v>
      </c>
      <c r="C4642" t="s">
        <v>59</v>
      </c>
      <c r="D4642" t="s">
        <v>185</v>
      </c>
      <c r="E4642" t="s">
        <v>11</v>
      </c>
      <c r="F4642">
        <v>0.73335593938827515</v>
      </c>
    </row>
    <row r="4643" spans="2:6">
      <c r="B4643">
        <v>2015</v>
      </c>
      <c r="C4643" t="s">
        <v>59</v>
      </c>
      <c r="D4643" t="s">
        <v>185</v>
      </c>
      <c r="E4643" t="s">
        <v>12</v>
      </c>
      <c r="F4643">
        <v>-0.15617093443870544</v>
      </c>
    </row>
    <row r="4644" spans="2:6">
      <c r="B4644">
        <v>2015</v>
      </c>
      <c r="C4644" t="s">
        <v>59</v>
      </c>
      <c r="D4644" t="s">
        <v>185</v>
      </c>
      <c r="E4644" t="s">
        <v>13</v>
      </c>
      <c r="F4644">
        <v>0.80454427003860474</v>
      </c>
    </row>
    <row r="4645" spans="2:6">
      <c r="B4645">
        <v>2015</v>
      </c>
      <c r="C4645" t="s">
        <v>59</v>
      </c>
      <c r="D4645" t="s">
        <v>185</v>
      </c>
      <c r="E4645" t="s">
        <v>14</v>
      </c>
      <c r="F4645">
        <v>0.82573378086090088</v>
      </c>
    </row>
    <row r="4646" spans="2:6">
      <c r="B4646">
        <v>2015</v>
      </c>
      <c r="C4646" t="s">
        <v>59</v>
      </c>
      <c r="D4646" t="s">
        <v>185</v>
      </c>
      <c r="E4646" t="s">
        <v>15</v>
      </c>
      <c r="F4646">
        <v>0.33264684677124023</v>
      </c>
    </row>
    <row r="4647" spans="2:6">
      <c r="B4647">
        <v>2016</v>
      </c>
      <c r="C4647" t="s">
        <v>59</v>
      </c>
      <c r="D4647" t="s">
        <v>185</v>
      </c>
      <c r="E4647" t="s">
        <v>7</v>
      </c>
      <c r="F4647">
        <v>6.1398248672485352</v>
      </c>
    </row>
    <row r="4648" spans="2:6">
      <c r="B4648">
        <v>2016</v>
      </c>
      <c r="C4648" t="s">
        <v>59</v>
      </c>
      <c r="D4648" t="s">
        <v>185</v>
      </c>
      <c r="E4648" t="s">
        <v>8</v>
      </c>
      <c r="F4648">
        <v>9.0251703262329102</v>
      </c>
    </row>
    <row r="4649" spans="2:6">
      <c r="B4649">
        <v>2016</v>
      </c>
      <c r="C4649" t="s">
        <v>59</v>
      </c>
      <c r="D4649" t="s">
        <v>185</v>
      </c>
      <c r="E4649" t="s">
        <v>9</v>
      </c>
      <c r="F4649">
        <v>0.79365998506546021</v>
      </c>
    </row>
    <row r="4650" spans="2:6">
      <c r="B4650">
        <v>2016</v>
      </c>
      <c r="C4650" t="s">
        <v>59</v>
      </c>
      <c r="D4650" t="s">
        <v>185</v>
      </c>
      <c r="E4650" t="s">
        <v>10</v>
      </c>
      <c r="F4650">
        <v>65.5</v>
      </c>
    </row>
    <row r="4651" spans="2:6">
      <c r="B4651">
        <v>2016</v>
      </c>
      <c r="C4651" t="s">
        <v>59</v>
      </c>
      <c r="D4651" t="s">
        <v>185</v>
      </c>
      <c r="E4651" t="s">
        <v>11</v>
      </c>
      <c r="F4651">
        <v>0.79984700679779053</v>
      </c>
    </row>
    <row r="4652" spans="2:6">
      <c r="B4652">
        <v>2016</v>
      </c>
      <c r="C4652" t="s">
        <v>59</v>
      </c>
      <c r="D4652" t="s">
        <v>185</v>
      </c>
      <c r="E4652" t="s">
        <v>12</v>
      </c>
      <c r="F4652">
        <v>-0.18488235771656036</v>
      </c>
    </row>
    <row r="4653" spans="2:6">
      <c r="B4653">
        <v>2016</v>
      </c>
      <c r="C4653" t="s">
        <v>59</v>
      </c>
      <c r="D4653" t="s">
        <v>185</v>
      </c>
      <c r="E4653" t="s">
        <v>13</v>
      </c>
      <c r="F4653">
        <v>0.79731202125549316</v>
      </c>
    </row>
    <row r="4654" spans="2:6">
      <c r="B4654">
        <v>2016</v>
      </c>
      <c r="C4654" t="s">
        <v>59</v>
      </c>
      <c r="D4654" t="s">
        <v>185</v>
      </c>
      <c r="E4654" t="s">
        <v>14</v>
      </c>
      <c r="F4654">
        <v>0.76125568151473999</v>
      </c>
    </row>
    <row r="4655" spans="2:6">
      <c r="B4655">
        <v>2016</v>
      </c>
      <c r="C4655" t="s">
        <v>59</v>
      </c>
      <c r="D4655" t="s">
        <v>185</v>
      </c>
      <c r="E4655" t="s">
        <v>15</v>
      </c>
      <c r="F4655">
        <v>0.34573647379875183</v>
      </c>
    </row>
    <row r="4656" spans="2:6">
      <c r="B4656">
        <v>2017</v>
      </c>
      <c r="C4656" t="s">
        <v>59</v>
      </c>
      <c r="D4656" t="s">
        <v>185</v>
      </c>
      <c r="E4656" t="s">
        <v>7</v>
      </c>
      <c r="F4656">
        <v>6.3393182754516602</v>
      </c>
    </row>
    <row r="4657" spans="2:6">
      <c r="B4657">
        <v>2017</v>
      </c>
      <c r="C4657" t="s">
        <v>59</v>
      </c>
      <c r="D4657" t="s">
        <v>185</v>
      </c>
      <c r="E4657" t="s">
        <v>8</v>
      </c>
      <c r="F4657">
        <v>9.0424022674560547</v>
      </c>
    </row>
    <row r="4658" spans="2:6">
      <c r="B4658">
        <v>2017</v>
      </c>
      <c r="C4658" t="s">
        <v>59</v>
      </c>
      <c r="D4658" t="s">
        <v>185</v>
      </c>
      <c r="E4658" t="s">
        <v>9</v>
      </c>
      <c r="F4658">
        <v>0.8289526104927063</v>
      </c>
    </row>
    <row r="4659" spans="2:6">
      <c r="B4659">
        <v>2017</v>
      </c>
      <c r="C4659" t="s">
        <v>59</v>
      </c>
      <c r="D4659" t="s">
        <v>185</v>
      </c>
      <c r="E4659" t="s">
        <v>10</v>
      </c>
      <c r="F4659">
        <v>65.800003051757813</v>
      </c>
    </row>
    <row r="4660" spans="2:6">
      <c r="B4660">
        <v>2017</v>
      </c>
      <c r="C4660" t="s">
        <v>59</v>
      </c>
      <c r="D4660" t="s">
        <v>185</v>
      </c>
      <c r="E4660" t="s">
        <v>11</v>
      </c>
      <c r="F4660">
        <v>0.75782734155654907</v>
      </c>
    </row>
    <row r="4661" spans="2:6">
      <c r="B4661">
        <v>2017</v>
      </c>
      <c r="C4661" t="s">
        <v>59</v>
      </c>
      <c r="D4661" t="s">
        <v>185</v>
      </c>
      <c r="E4661" t="s">
        <v>12</v>
      </c>
      <c r="F4661">
        <v>-0.1718839704990387</v>
      </c>
    </row>
    <row r="4662" spans="2:6">
      <c r="B4662">
        <v>2017</v>
      </c>
      <c r="C4662" t="s">
        <v>59</v>
      </c>
      <c r="D4662" t="s">
        <v>185</v>
      </c>
      <c r="E4662" t="s">
        <v>13</v>
      </c>
      <c r="F4662">
        <v>0.77774858474731445</v>
      </c>
    </row>
    <row r="4663" spans="2:6">
      <c r="B4663">
        <v>2017</v>
      </c>
      <c r="C4663" t="s">
        <v>59</v>
      </c>
      <c r="D4663" t="s">
        <v>185</v>
      </c>
      <c r="E4663" t="s">
        <v>14</v>
      </c>
      <c r="F4663">
        <v>0.84885060787200928</v>
      </c>
    </row>
    <row r="4664" spans="2:6">
      <c r="B4664">
        <v>2017</v>
      </c>
      <c r="C4664" t="s">
        <v>59</v>
      </c>
      <c r="D4664" t="s">
        <v>185</v>
      </c>
      <c r="E4664" t="s">
        <v>15</v>
      </c>
      <c r="F4664">
        <v>0.2684483528137207</v>
      </c>
    </row>
    <row r="4665" spans="2:6">
      <c r="B4665">
        <v>2018</v>
      </c>
      <c r="C4665" t="s">
        <v>59</v>
      </c>
      <c r="D4665" t="s">
        <v>185</v>
      </c>
      <c r="E4665" t="s">
        <v>7</v>
      </c>
      <c r="F4665">
        <v>6.2411994934082031</v>
      </c>
    </row>
    <row r="4666" spans="2:6">
      <c r="B4666">
        <v>2018</v>
      </c>
      <c r="C4666" t="s">
        <v>59</v>
      </c>
      <c r="D4666" t="s">
        <v>185</v>
      </c>
      <c r="E4666" t="s">
        <v>8</v>
      </c>
      <c r="F4666">
        <v>9.0613269805908203</v>
      </c>
    </row>
    <row r="4667" spans="2:6">
      <c r="B4667">
        <v>2018</v>
      </c>
      <c r="C4667" t="s">
        <v>59</v>
      </c>
      <c r="D4667" t="s">
        <v>185</v>
      </c>
      <c r="E4667" t="s">
        <v>9</v>
      </c>
      <c r="F4667">
        <v>0.82029974460601807</v>
      </c>
    </row>
    <row r="4668" spans="2:6">
      <c r="B4668">
        <v>2018</v>
      </c>
      <c r="C4668" t="s">
        <v>59</v>
      </c>
      <c r="D4668" t="s">
        <v>185</v>
      </c>
      <c r="E4668" t="s">
        <v>10</v>
      </c>
      <c r="F4668">
        <v>66.099998474121094</v>
      </c>
    </row>
    <row r="4669" spans="2:6">
      <c r="B4669">
        <v>2018</v>
      </c>
      <c r="C4669" t="s">
        <v>59</v>
      </c>
      <c r="D4669" t="s">
        <v>185</v>
      </c>
      <c r="E4669" t="s">
        <v>11</v>
      </c>
      <c r="F4669">
        <v>0.86333459615707397</v>
      </c>
    </row>
    <row r="4670" spans="2:6">
      <c r="B4670">
        <v>2018</v>
      </c>
      <c r="C4670" t="s">
        <v>59</v>
      </c>
      <c r="D4670" t="s">
        <v>185</v>
      </c>
      <c r="E4670" t="s">
        <v>12</v>
      </c>
      <c r="F4670">
        <v>-9.5271535217761993E-2</v>
      </c>
    </row>
    <row r="4671" spans="2:6">
      <c r="B4671">
        <v>2018</v>
      </c>
      <c r="C4671" t="s">
        <v>59</v>
      </c>
      <c r="D4671" t="s">
        <v>185</v>
      </c>
      <c r="E4671" t="s">
        <v>13</v>
      </c>
      <c r="F4671">
        <v>0.80069953203201294</v>
      </c>
    </row>
    <row r="4672" spans="2:6">
      <c r="B4672">
        <v>2018</v>
      </c>
      <c r="C4672" t="s">
        <v>59</v>
      </c>
      <c r="D4672" t="s">
        <v>185</v>
      </c>
      <c r="E4672" t="s">
        <v>14</v>
      </c>
      <c r="F4672">
        <v>0.86020743846893311</v>
      </c>
    </row>
    <row r="4673" spans="2:6">
      <c r="B4673">
        <v>2018</v>
      </c>
      <c r="C4673" t="s">
        <v>59</v>
      </c>
      <c r="D4673" t="s">
        <v>185</v>
      </c>
      <c r="E4673" t="s">
        <v>15</v>
      </c>
      <c r="F4673">
        <v>0.26958557963371277</v>
      </c>
    </row>
    <row r="4674" spans="2:6">
      <c r="B4674">
        <v>2019</v>
      </c>
      <c r="C4674" t="s">
        <v>59</v>
      </c>
      <c r="D4674" t="s">
        <v>185</v>
      </c>
      <c r="E4674" t="s">
        <v>7</v>
      </c>
      <c r="F4674">
        <v>6.4548206329345703</v>
      </c>
    </row>
    <row r="4675" spans="2:6">
      <c r="B4675">
        <v>2019</v>
      </c>
      <c r="C4675" t="s">
        <v>59</v>
      </c>
      <c r="D4675" t="s">
        <v>185</v>
      </c>
      <c r="E4675" t="s">
        <v>8</v>
      </c>
      <c r="F4675">
        <v>9.0797748565673828</v>
      </c>
    </row>
    <row r="4676" spans="2:6">
      <c r="B4676">
        <v>2019</v>
      </c>
      <c r="C4676" t="s">
        <v>59</v>
      </c>
      <c r="D4676" t="s">
        <v>185</v>
      </c>
      <c r="E4676" t="s">
        <v>9</v>
      </c>
      <c r="F4676">
        <v>0.76439052820205688</v>
      </c>
    </row>
    <row r="4677" spans="2:6">
      <c r="B4677">
        <v>2019</v>
      </c>
      <c r="C4677" t="s">
        <v>59</v>
      </c>
      <c r="D4677" t="s">
        <v>185</v>
      </c>
      <c r="E4677" t="s">
        <v>10</v>
      </c>
      <c r="F4677">
        <v>66.400001525878906</v>
      </c>
    </row>
    <row r="4678" spans="2:6">
      <c r="B4678">
        <v>2019</v>
      </c>
      <c r="C4678" t="s">
        <v>59</v>
      </c>
      <c r="D4678" t="s">
        <v>185</v>
      </c>
      <c r="E4678" t="s">
        <v>11</v>
      </c>
      <c r="F4678">
        <v>0.87739068269729614</v>
      </c>
    </row>
    <row r="4679" spans="2:6">
      <c r="B4679">
        <v>2019</v>
      </c>
      <c r="C4679" t="s">
        <v>59</v>
      </c>
      <c r="D4679" t="s">
        <v>185</v>
      </c>
      <c r="E4679" t="s">
        <v>12</v>
      </c>
      <c r="F4679">
        <v>-0.10884762555360794</v>
      </c>
    </row>
    <row r="4680" spans="2:6">
      <c r="B4680">
        <v>2019</v>
      </c>
      <c r="C4680" t="s">
        <v>59</v>
      </c>
      <c r="D4680" t="s">
        <v>185</v>
      </c>
      <c r="E4680" t="s">
        <v>13</v>
      </c>
      <c r="F4680">
        <v>0.68157649040222168</v>
      </c>
    </row>
    <row r="4681" spans="2:6">
      <c r="B4681">
        <v>2019</v>
      </c>
      <c r="C4681" t="s">
        <v>59</v>
      </c>
      <c r="D4681" t="s">
        <v>185</v>
      </c>
      <c r="E4681" t="s">
        <v>14</v>
      </c>
      <c r="F4681">
        <v>0.87057256698608398</v>
      </c>
    </row>
    <row r="4682" spans="2:6">
      <c r="B4682">
        <v>2019</v>
      </c>
      <c r="C4682" t="s">
        <v>59</v>
      </c>
      <c r="D4682" t="s">
        <v>185</v>
      </c>
      <c r="E4682" t="s">
        <v>15</v>
      </c>
      <c r="F4682">
        <v>0.27147504687309265</v>
      </c>
    </row>
    <row r="4683" spans="2:6">
      <c r="B4683">
        <v>2020</v>
      </c>
      <c r="C4683" t="s">
        <v>59</v>
      </c>
      <c r="D4683" t="s">
        <v>185</v>
      </c>
      <c r="E4683" t="s">
        <v>7</v>
      </c>
      <c r="F4683">
        <v>5.4619269371032715</v>
      </c>
    </row>
    <row r="4684" spans="2:6">
      <c r="B4684">
        <v>2020</v>
      </c>
      <c r="C4684" t="s">
        <v>59</v>
      </c>
      <c r="D4684" t="s">
        <v>185</v>
      </c>
      <c r="E4684" t="s">
        <v>8</v>
      </c>
      <c r="F4684">
        <v>9.0188455581665039</v>
      </c>
    </row>
    <row r="4685" spans="2:6">
      <c r="B4685">
        <v>2020</v>
      </c>
      <c r="C4685" t="s">
        <v>59</v>
      </c>
      <c r="D4685" t="s">
        <v>185</v>
      </c>
      <c r="E4685" t="s">
        <v>9</v>
      </c>
      <c r="F4685">
        <v>0.69562435150146484</v>
      </c>
    </row>
    <row r="4686" spans="2:6">
      <c r="B4686">
        <v>2020</v>
      </c>
      <c r="C4686" t="s">
        <v>59</v>
      </c>
      <c r="D4686" t="s">
        <v>185</v>
      </c>
      <c r="E4686" t="s">
        <v>10</v>
      </c>
      <c r="F4686">
        <v>66.699996948242188</v>
      </c>
    </row>
    <row r="4687" spans="2:6">
      <c r="B4687">
        <v>2020</v>
      </c>
      <c r="C4687" t="s">
        <v>59</v>
      </c>
      <c r="D4687" t="s">
        <v>185</v>
      </c>
      <c r="E4687" t="s">
        <v>11</v>
      </c>
      <c r="F4687">
        <v>0.92394483089447021</v>
      </c>
    </row>
    <row r="4688" spans="2:6">
      <c r="B4688">
        <v>2020</v>
      </c>
      <c r="C4688" t="s">
        <v>59</v>
      </c>
      <c r="D4688" t="s">
        <v>185</v>
      </c>
      <c r="E4688" t="s">
        <v>12</v>
      </c>
      <c r="F4688">
        <v>-0.12647449970245361</v>
      </c>
    </row>
    <row r="4689" spans="2:6">
      <c r="B4689">
        <v>2020</v>
      </c>
      <c r="C4689" t="s">
        <v>59</v>
      </c>
      <c r="D4689" t="s">
        <v>185</v>
      </c>
      <c r="E4689" t="s">
        <v>13</v>
      </c>
      <c r="F4689">
        <v>0.58303636312484741</v>
      </c>
    </row>
    <row r="4690" spans="2:6">
      <c r="B4690">
        <v>2020</v>
      </c>
      <c r="C4690" t="s">
        <v>59</v>
      </c>
      <c r="D4690" t="s">
        <v>185</v>
      </c>
      <c r="E4690" t="s">
        <v>14</v>
      </c>
      <c r="F4690">
        <v>0.83890420198440552</v>
      </c>
    </row>
    <row r="4691" spans="2:6">
      <c r="B4691">
        <v>2020</v>
      </c>
      <c r="C4691" t="s">
        <v>59</v>
      </c>
      <c r="D4691" t="s">
        <v>185</v>
      </c>
      <c r="E4691" t="s">
        <v>15</v>
      </c>
      <c r="F4691">
        <v>0.32943978905677795</v>
      </c>
    </row>
    <row r="4692" spans="2:6">
      <c r="B4692">
        <v>2006</v>
      </c>
      <c r="C4692" t="s">
        <v>60</v>
      </c>
      <c r="D4692" t="s">
        <v>183</v>
      </c>
      <c r="E4692" t="s">
        <v>7</v>
      </c>
      <c r="F4692">
        <v>5.3710546493530273</v>
      </c>
    </row>
    <row r="4693" spans="2:6">
      <c r="B4693">
        <v>2006</v>
      </c>
      <c r="C4693" t="s">
        <v>60</v>
      </c>
      <c r="D4693" t="s">
        <v>183</v>
      </c>
      <c r="E4693" t="s">
        <v>8</v>
      </c>
      <c r="F4693">
        <v>10.269772529602051</v>
      </c>
    </row>
    <row r="4694" spans="2:6">
      <c r="B4694">
        <v>2006</v>
      </c>
      <c r="C4694" t="s">
        <v>60</v>
      </c>
      <c r="D4694" t="s">
        <v>183</v>
      </c>
      <c r="E4694" t="s">
        <v>9</v>
      </c>
      <c r="F4694">
        <v>0.91006433963775635</v>
      </c>
    </row>
    <row r="4695" spans="2:6">
      <c r="B4695">
        <v>2006</v>
      </c>
      <c r="C4695" t="s">
        <v>60</v>
      </c>
      <c r="D4695" t="s">
        <v>183</v>
      </c>
      <c r="E4695" t="s">
        <v>10</v>
      </c>
      <c r="F4695">
        <v>64.860000610351563</v>
      </c>
    </row>
    <row r="4696" spans="2:6">
      <c r="B4696">
        <v>2006</v>
      </c>
      <c r="C4696" t="s">
        <v>60</v>
      </c>
      <c r="D4696" t="s">
        <v>183</v>
      </c>
      <c r="E4696" t="s">
        <v>11</v>
      </c>
      <c r="F4696">
        <v>0.74857634305953979</v>
      </c>
    </row>
    <row r="4697" spans="2:6">
      <c r="B4697">
        <v>2006</v>
      </c>
      <c r="C4697" t="s">
        <v>60</v>
      </c>
      <c r="D4697" t="s">
        <v>183</v>
      </c>
      <c r="E4697" t="s">
        <v>12</v>
      </c>
      <c r="F4697">
        <v>-0.26385441422462463</v>
      </c>
    </row>
    <row r="4698" spans="2:6">
      <c r="B4698">
        <v>2006</v>
      </c>
      <c r="C4698" t="s">
        <v>60</v>
      </c>
      <c r="D4698" t="s">
        <v>183</v>
      </c>
      <c r="E4698" t="s">
        <v>13</v>
      </c>
      <c r="F4698">
        <v>0.7967226505279541</v>
      </c>
    </row>
    <row r="4699" spans="2:6">
      <c r="B4699">
        <v>2006</v>
      </c>
      <c r="C4699" t="s">
        <v>60</v>
      </c>
      <c r="D4699" t="s">
        <v>183</v>
      </c>
      <c r="E4699" t="s">
        <v>14</v>
      </c>
      <c r="F4699">
        <v>0.65453130006790161</v>
      </c>
    </row>
    <row r="4700" spans="2:6">
      <c r="B4700">
        <v>2006</v>
      </c>
      <c r="C4700" t="s">
        <v>60</v>
      </c>
      <c r="D4700" t="s">
        <v>183</v>
      </c>
      <c r="E4700" t="s">
        <v>15</v>
      </c>
      <c r="F4700">
        <v>0.21522502601146698</v>
      </c>
    </row>
    <row r="4701" spans="2:6">
      <c r="B4701">
        <v>2007</v>
      </c>
      <c r="C4701" t="s">
        <v>60</v>
      </c>
      <c r="D4701" t="s">
        <v>183</v>
      </c>
      <c r="E4701" t="s">
        <v>7</v>
      </c>
      <c r="F4701">
        <v>5.3320441246032715</v>
      </c>
    </row>
    <row r="4702" spans="2:6">
      <c r="B4702">
        <v>2007</v>
      </c>
      <c r="C4702" t="s">
        <v>60</v>
      </c>
      <c r="D4702" t="s">
        <v>183</v>
      </c>
      <c r="E4702" t="s">
        <v>8</v>
      </c>
      <c r="F4702">
        <v>10.347339630126953</v>
      </c>
    </row>
    <row r="4703" spans="2:6">
      <c r="B4703">
        <v>2007</v>
      </c>
      <c r="C4703" t="s">
        <v>60</v>
      </c>
      <c r="D4703" t="s">
        <v>183</v>
      </c>
      <c r="E4703" t="s">
        <v>9</v>
      </c>
      <c r="F4703">
        <v>0.89563155174255371</v>
      </c>
    </row>
    <row r="4704" spans="2:6">
      <c r="B4704">
        <v>2007</v>
      </c>
      <c r="C4704" t="s">
        <v>60</v>
      </c>
      <c r="D4704" t="s">
        <v>183</v>
      </c>
      <c r="E4704" t="s">
        <v>10</v>
      </c>
      <c r="F4704">
        <v>65.319999694824219</v>
      </c>
    </row>
    <row r="4705" spans="2:6">
      <c r="B4705">
        <v>2007</v>
      </c>
      <c r="C4705" t="s">
        <v>60</v>
      </c>
      <c r="D4705" t="s">
        <v>183</v>
      </c>
      <c r="E4705" t="s">
        <v>11</v>
      </c>
      <c r="F4705">
        <v>0.71212089061737061</v>
      </c>
    </row>
    <row r="4706" spans="2:6">
      <c r="B4706">
        <v>2007</v>
      </c>
      <c r="C4706" t="s">
        <v>60</v>
      </c>
      <c r="D4706" t="s">
        <v>183</v>
      </c>
      <c r="E4706" t="s">
        <v>12</v>
      </c>
      <c r="F4706">
        <v>-0.24583615362644196</v>
      </c>
    </row>
    <row r="4707" spans="2:6">
      <c r="B4707">
        <v>2007</v>
      </c>
      <c r="C4707" t="s">
        <v>60</v>
      </c>
      <c r="D4707" t="s">
        <v>183</v>
      </c>
      <c r="E4707" t="s">
        <v>13</v>
      </c>
      <c r="F4707">
        <v>0.74269717931747437</v>
      </c>
    </row>
    <row r="4708" spans="2:6">
      <c r="B4708">
        <v>2007</v>
      </c>
      <c r="C4708" t="s">
        <v>60</v>
      </c>
      <c r="D4708" t="s">
        <v>183</v>
      </c>
      <c r="E4708" t="s">
        <v>14</v>
      </c>
      <c r="F4708">
        <v>0.66556984186172485</v>
      </c>
    </row>
    <row r="4709" spans="2:6">
      <c r="B4709">
        <v>2007</v>
      </c>
      <c r="C4709" t="s">
        <v>60</v>
      </c>
      <c r="D4709" t="s">
        <v>183</v>
      </c>
      <c r="E4709" t="s">
        <v>15</v>
      </c>
      <c r="F4709">
        <v>0.1762310117483139</v>
      </c>
    </row>
    <row r="4710" spans="2:6">
      <c r="B4710">
        <v>2008</v>
      </c>
      <c r="C4710" t="s">
        <v>60</v>
      </c>
      <c r="D4710" t="s">
        <v>183</v>
      </c>
      <c r="E4710" t="s">
        <v>7</v>
      </c>
      <c r="F4710">
        <v>5.4519376754760742</v>
      </c>
    </row>
    <row r="4711" spans="2:6">
      <c r="B4711">
        <v>2008</v>
      </c>
      <c r="C4711" t="s">
        <v>60</v>
      </c>
      <c r="D4711" t="s">
        <v>183</v>
      </c>
      <c r="E4711" t="s">
        <v>8</v>
      </c>
      <c r="F4711">
        <v>10.29779052734375</v>
      </c>
    </row>
    <row r="4712" spans="2:6">
      <c r="B4712">
        <v>2008</v>
      </c>
      <c r="C4712" t="s">
        <v>60</v>
      </c>
      <c r="D4712" t="s">
        <v>183</v>
      </c>
      <c r="E4712" t="s">
        <v>9</v>
      </c>
      <c r="F4712">
        <v>0.90372627973556519</v>
      </c>
    </row>
    <row r="4713" spans="2:6">
      <c r="B4713">
        <v>2008</v>
      </c>
      <c r="C4713" t="s">
        <v>60</v>
      </c>
      <c r="D4713" t="s">
        <v>183</v>
      </c>
      <c r="E4713" t="s">
        <v>10</v>
      </c>
      <c r="F4713">
        <v>65.779998779296875</v>
      </c>
    </row>
    <row r="4714" spans="2:6">
      <c r="B4714">
        <v>2008</v>
      </c>
      <c r="C4714" t="s">
        <v>60</v>
      </c>
      <c r="D4714" t="s">
        <v>183</v>
      </c>
      <c r="E4714" t="s">
        <v>11</v>
      </c>
      <c r="F4714">
        <v>0.64232510328292847</v>
      </c>
    </row>
    <row r="4715" spans="2:6">
      <c r="B4715">
        <v>2008</v>
      </c>
      <c r="C4715" t="s">
        <v>60</v>
      </c>
      <c r="D4715" t="s">
        <v>183</v>
      </c>
      <c r="E4715" t="s">
        <v>12</v>
      </c>
      <c r="F4715">
        <v>-0.21743598580360413</v>
      </c>
    </row>
    <row r="4716" spans="2:6">
      <c r="B4716">
        <v>2008</v>
      </c>
      <c r="C4716" t="s">
        <v>60</v>
      </c>
      <c r="D4716" t="s">
        <v>183</v>
      </c>
      <c r="E4716" t="s">
        <v>13</v>
      </c>
      <c r="F4716">
        <v>0.66276967525482178</v>
      </c>
    </row>
    <row r="4717" spans="2:6">
      <c r="B4717">
        <v>2008</v>
      </c>
      <c r="C4717" t="s">
        <v>60</v>
      </c>
      <c r="D4717" t="s">
        <v>183</v>
      </c>
      <c r="E4717" t="s">
        <v>14</v>
      </c>
      <c r="F4717">
        <v>0.59725445508956909</v>
      </c>
    </row>
    <row r="4718" spans="2:6">
      <c r="B4718">
        <v>2008</v>
      </c>
      <c r="C4718" t="s">
        <v>60</v>
      </c>
      <c r="D4718" t="s">
        <v>183</v>
      </c>
      <c r="E4718" t="s">
        <v>15</v>
      </c>
      <c r="F4718">
        <v>0.21781308948993683</v>
      </c>
    </row>
    <row r="4719" spans="2:6">
      <c r="B4719">
        <v>2009</v>
      </c>
      <c r="C4719" t="s">
        <v>60</v>
      </c>
      <c r="D4719" t="s">
        <v>183</v>
      </c>
      <c r="E4719" t="s">
        <v>7</v>
      </c>
      <c r="F4719">
        <v>5.1377387046813965</v>
      </c>
    </row>
    <row r="4720" spans="2:6">
      <c r="B4720">
        <v>2009</v>
      </c>
      <c r="C4720" t="s">
        <v>60</v>
      </c>
      <c r="D4720" t="s">
        <v>183</v>
      </c>
      <c r="E4720" t="s">
        <v>8</v>
      </c>
      <c r="F4720">
        <v>10.143837928771973</v>
      </c>
    </row>
    <row r="4721" spans="2:6">
      <c r="B4721">
        <v>2009</v>
      </c>
      <c r="C4721" t="s">
        <v>60</v>
      </c>
      <c r="D4721" t="s">
        <v>183</v>
      </c>
      <c r="E4721" t="s">
        <v>9</v>
      </c>
      <c r="F4721">
        <v>0.87377476692199707</v>
      </c>
    </row>
    <row r="4722" spans="2:6">
      <c r="B4722">
        <v>2009</v>
      </c>
      <c r="C4722" t="s">
        <v>60</v>
      </c>
      <c r="D4722" t="s">
        <v>183</v>
      </c>
      <c r="E4722" t="s">
        <v>10</v>
      </c>
      <c r="F4722">
        <v>66.239997863769531</v>
      </c>
    </row>
    <row r="4723" spans="2:6">
      <c r="B4723">
        <v>2009</v>
      </c>
      <c r="C4723" t="s">
        <v>60</v>
      </c>
      <c r="D4723" t="s">
        <v>183</v>
      </c>
      <c r="E4723" t="s">
        <v>11</v>
      </c>
      <c r="F4723">
        <v>0.61070930957794189</v>
      </c>
    </row>
    <row r="4724" spans="2:6">
      <c r="B4724">
        <v>2009</v>
      </c>
      <c r="C4724" t="s">
        <v>60</v>
      </c>
      <c r="D4724" t="s">
        <v>183</v>
      </c>
      <c r="E4724" t="s">
        <v>12</v>
      </c>
      <c r="F4724">
        <v>-0.229775071144104</v>
      </c>
    </row>
    <row r="4725" spans="2:6">
      <c r="B4725">
        <v>2009</v>
      </c>
      <c r="C4725" t="s">
        <v>60</v>
      </c>
      <c r="D4725" t="s">
        <v>183</v>
      </c>
      <c r="E4725" t="s">
        <v>13</v>
      </c>
      <c r="F4725">
        <v>0.79315167665481567</v>
      </c>
    </row>
    <row r="4726" spans="2:6">
      <c r="B4726">
        <v>2009</v>
      </c>
      <c r="C4726" t="s">
        <v>60</v>
      </c>
      <c r="D4726" t="s">
        <v>183</v>
      </c>
      <c r="E4726" t="s">
        <v>14</v>
      </c>
      <c r="F4726">
        <v>0.59761327505111694</v>
      </c>
    </row>
    <row r="4727" spans="2:6">
      <c r="B4727">
        <v>2009</v>
      </c>
      <c r="C4727" t="s">
        <v>60</v>
      </c>
      <c r="D4727" t="s">
        <v>183</v>
      </c>
      <c r="E4727" t="s">
        <v>15</v>
      </c>
      <c r="F4727">
        <v>0.24307483434677124</v>
      </c>
    </row>
    <row r="4728" spans="2:6">
      <c r="B4728">
        <v>2011</v>
      </c>
      <c r="C4728" t="s">
        <v>60</v>
      </c>
      <c r="D4728" t="s">
        <v>183</v>
      </c>
      <c r="E4728" t="s">
        <v>7</v>
      </c>
      <c r="F4728">
        <v>5.4868197441101074</v>
      </c>
    </row>
    <row r="4729" spans="2:6">
      <c r="B4729">
        <v>2011</v>
      </c>
      <c r="C4729" t="s">
        <v>60</v>
      </c>
      <c r="D4729" t="s">
        <v>183</v>
      </c>
      <c r="E4729" t="s">
        <v>8</v>
      </c>
      <c r="F4729">
        <v>10.247500419616699</v>
      </c>
    </row>
    <row r="4730" spans="2:6">
      <c r="B4730">
        <v>2011</v>
      </c>
      <c r="C4730" t="s">
        <v>60</v>
      </c>
      <c r="D4730" t="s">
        <v>183</v>
      </c>
      <c r="E4730" t="s">
        <v>9</v>
      </c>
      <c r="F4730">
        <v>0.90871262550354004</v>
      </c>
    </row>
    <row r="4731" spans="2:6">
      <c r="B4731">
        <v>2011</v>
      </c>
      <c r="C4731" t="s">
        <v>60</v>
      </c>
      <c r="D4731" t="s">
        <v>183</v>
      </c>
      <c r="E4731" t="s">
        <v>10</v>
      </c>
      <c r="F4731">
        <v>66.959999084472656</v>
      </c>
    </row>
    <row r="4732" spans="2:6">
      <c r="B4732">
        <v>2011</v>
      </c>
      <c r="C4732" t="s">
        <v>60</v>
      </c>
      <c r="D4732" t="s">
        <v>183</v>
      </c>
      <c r="E4732" t="s">
        <v>11</v>
      </c>
      <c r="F4732">
        <v>0.7352253794670105</v>
      </c>
    </row>
    <row r="4733" spans="2:6">
      <c r="B4733">
        <v>2011</v>
      </c>
      <c r="C4733" t="s">
        <v>60</v>
      </c>
      <c r="D4733" t="s">
        <v>183</v>
      </c>
      <c r="E4733" t="s">
        <v>12</v>
      </c>
      <c r="F4733">
        <v>-0.16813813149929047</v>
      </c>
    </row>
    <row r="4734" spans="2:6">
      <c r="B4734">
        <v>2011</v>
      </c>
      <c r="C4734" t="s">
        <v>60</v>
      </c>
      <c r="D4734" t="s">
        <v>183</v>
      </c>
      <c r="E4734" t="s">
        <v>13</v>
      </c>
      <c r="F4734">
        <v>0.68678390979766846</v>
      </c>
    </row>
    <row r="4735" spans="2:6">
      <c r="B4735">
        <v>2011</v>
      </c>
      <c r="C4735" t="s">
        <v>60</v>
      </c>
      <c r="D4735" t="s">
        <v>183</v>
      </c>
      <c r="E4735" t="s">
        <v>14</v>
      </c>
      <c r="F4735">
        <v>0.6513860821723938</v>
      </c>
    </row>
    <row r="4736" spans="2:6">
      <c r="B4736">
        <v>2011</v>
      </c>
      <c r="C4736" t="s">
        <v>60</v>
      </c>
      <c r="D4736" t="s">
        <v>183</v>
      </c>
      <c r="E4736" t="s">
        <v>15</v>
      </c>
      <c r="F4736">
        <v>0.20515842735767365</v>
      </c>
    </row>
    <row r="4737" spans="2:6">
      <c r="B4737">
        <v>2012</v>
      </c>
      <c r="C4737" t="s">
        <v>60</v>
      </c>
      <c r="D4737" t="s">
        <v>183</v>
      </c>
      <c r="E4737" t="s">
        <v>7</v>
      </c>
      <c r="F4737">
        <v>5.3639278411865234</v>
      </c>
    </row>
    <row r="4738" spans="2:6">
      <c r="B4738">
        <v>2012</v>
      </c>
      <c r="C4738" t="s">
        <v>60</v>
      </c>
      <c r="D4738" t="s">
        <v>183</v>
      </c>
      <c r="E4738" t="s">
        <v>8</v>
      </c>
      <c r="F4738">
        <v>10.281850814819336</v>
      </c>
    </row>
    <row r="4739" spans="2:6">
      <c r="B4739">
        <v>2012</v>
      </c>
      <c r="C4739" t="s">
        <v>60</v>
      </c>
      <c r="D4739" t="s">
        <v>183</v>
      </c>
      <c r="E4739" t="s">
        <v>9</v>
      </c>
      <c r="F4739">
        <v>0.88945454359054565</v>
      </c>
    </row>
    <row r="4740" spans="2:6">
      <c r="B4740">
        <v>2012</v>
      </c>
      <c r="C4740" t="s">
        <v>60</v>
      </c>
      <c r="D4740" t="s">
        <v>183</v>
      </c>
      <c r="E4740" t="s">
        <v>10</v>
      </c>
      <c r="F4740">
        <v>67.220001220703125</v>
      </c>
    </row>
    <row r="4741" spans="2:6">
      <c r="B4741">
        <v>2012</v>
      </c>
      <c r="C4741" t="s">
        <v>60</v>
      </c>
      <c r="D4741" t="s">
        <v>183</v>
      </c>
      <c r="E4741" t="s">
        <v>11</v>
      </c>
      <c r="F4741">
        <v>0.69682574272155762</v>
      </c>
    </row>
    <row r="4742" spans="2:6">
      <c r="B4742">
        <v>2012</v>
      </c>
      <c r="C4742" t="s">
        <v>60</v>
      </c>
      <c r="D4742" t="s">
        <v>183</v>
      </c>
      <c r="E4742" t="s">
        <v>12</v>
      </c>
      <c r="F4742">
        <v>-0.19181105494499207</v>
      </c>
    </row>
    <row r="4743" spans="2:6">
      <c r="B4743">
        <v>2012</v>
      </c>
      <c r="C4743" t="s">
        <v>60</v>
      </c>
      <c r="D4743" t="s">
        <v>183</v>
      </c>
      <c r="E4743" t="s">
        <v>13</v>
      </c>
      <c r="F4743">
        <v>0.79285269975662231</v>
      </c>
    </row>
    <row r="4744" spans="2:6">
      <c r="B4744">
        <v>2012</v>
      </c>
      <c r="C4744" t="s">
        <v>60</v>
      </c>
      <c r="D4744" t="s">
        <v>183</v>
      </c>
      <c r="E4744" t="s">
        <v>14</v>
      </c>
      <c r="F4744">
        <v>0.64736032485961914</v>
      </c>
    </row>
    <row r="4745" spans="2:6">
      <c r="B4745">
        <v>2012</v>
      </c>
      <c r="C4745" t="s">
        <v>60</v>
      </c>
      <c r="D4745" t="s">
        <v>183</v>
      </c>
      <c r="E4745" t="s">
        <v>15</v>
      </c>
      <c r="F4745">
        <v>0.19896674156188965</v>
      </c>
    </row>
    <row r="4746" spans="2:6">
      <c r="B4746">
        <v>2013</v>
      </c>
      <c r="C4746" t="s">
        <v>60</v>
      </c>
      <c r="D4746" t="s">
        <v>183</v>
      </c>
      <c r="E4746" t="s">
        <v>7</v>
      </c>
      <c r="F4746">
        <v>5.3674459457397461</v>
      </c>
    </row>
    <row r="4747" spans="2:6">
      <c r="B4747">
        <v>2013</v>
      </c>
      <c r="C4747" t="s">
        <v>60</v>
      </c>
      <c r="D4747" t="s">
        <v>183</v>
      </c>
      <c r="E4747" t="s">
        <v>8</v>
      </c>
      <c r="F4747">
        <v>10.298781394958496</v>
      </c>
    </row>
    <row r="4748" spans="2:6">
      <c r="B4748">
        <v>2013</v>
      </c>
      <c r="C4748" t="s">
        <v>60</v>
      </c>
      <c r="D4748" t="s">
        <v>183</v>
      </c>
      <c r="E4748" t="s">
        <v>9</v>
      </c>
      <c r="F4748">
        <v>0.90072178840637207</v>
      </c>
    </row>
    <row r="4749" spans="2:6">
      <c r="B4749">
        <v>2013</v>
      </c>
      <c r="C4749" t="s">
        <v>60</v>
      </c>
      <c r="D4749" t="s">
        <v>183</v>
      </c>
      <c r="E4749" t="s">
        <v>10</v>
      </c>
      <c r="F4749">
        <v>67.480003356933594</v>
      </c>
    </row>
    <row r="4750" spans="2:6">
      <c r="B4750">
        <v>2013</v>
      </c>
      <c r="C4750" t="s">
        <v>60</v>
      </c>
      <c r="D4750" t="s">
        <v>183</v>
      </c>
      <c r="E4750" t="s">
        <v>11</v>
      </c>
      <c r="F4750">
        <v>0.7535586953163147</v>
      </c>
    </row>
    <row r="4751" spans="2:6">
      <c r="B4751">
        <v>2013</v>
      </c>
      <c r="C4751" t="s">
        <v>60</v>
      </c>
      <c r="D4751" t="s">
        <v>183</v>
      </c>
      <c r="E4751" t="s">
        <v>12</v>
      </c>
      <c r="F4751">
        <v>-0.20079107582569122</v>
      </c>
    </row>
    <row r="4752" spans="2:6">
      <c r="B4752">
        <v>2013</v>
      </c>
      <c r="C4752" t="s">
        <v>60</v>
      </c>
      <c r="D4752" t="s">
        <v>183</v>
      </c>
      <c r="E4752" t="s">
        <v>13</v>
      </c>
      <c r="F4752">
        <v>0.7263563871383667</v>
      </c>
    </row>
    <row r="4753" spans="2:6">
      <c r="B4753">
        <v>2013</v>
      </c>
      <c r="C4753" t="s">
        <v>60</v>
      </c>
      <c r="D4753" t="s">
        <v>183</v>
      </c>
      <c r="E4753" t="s">
        <v>14</v>
      </c>
      <c r="F4753">
        <v>0.70225554704666138</v>
      </c>
    </row>
    <row r="4754" spans="2:6">
      <c r="B4754">
        <v>2013</v>
      </c>
      <c r="C4754" t="s">
        <v>60</v>
      </c>
      <c r="D4754" t="s">
        <v>183</v>
      </c>
      <c r="E4754" t="s">
        <v>15</v>
      </c>
      <c r="F4754">
        <v>0.19901816546916962</v>
      </c>
    </row>
    <row r="4755" spans="2:6">
      <c r="B4755">
        <v>2014</v>
      </c>
      <c r="C4755" t="s">
        <v>60</v>
      </c>
      <c r="D4755" t="s">
        <v>183</v>
      </c>
      <c r="E4755" t="s">
        <v>7</v>
      </c>
      <c r="F4755">
        <v>5.5559825897216797</v>
      </c>
    </row>
    <row r="4756" spans="2:6">
      <c r="B4756">
        <v>2014</v>
      </c>
      <c r="C4756" t="s">
        <v>60</v>
      </c>
      <c r="D4756" t="s">
        <v>183</v>
      </c>
      <c r="E4756" t="s">
        <v>8</v>
      </c>
      <c r="F4756">
        <v>10.330840110778809</v>
      </c>
    </row>
    <row r="4757" spans="2:6">
      <c r="B4757">
        <v>2014</v>
      </c>
      <c r="C4757" t="s">
        <v>60</v>
      </c>
      <c r="D4757" t="s">
        <v>183</v>
      </c>
      <c r="E4757" t="s">
        <v>9</v>
      </c>
      <c r="F4757">
        <v>0.91710174083709717</v>
      </c>
    </row>
    <row r="4758" spans="2:6">
      <c r="B4758">
        <v>2014</v>
      </c>
      <c r="C4758" t="s">
        <v>60</v>
      </c>
      <c r="D4758" t="s">
        <v>183</v>
      </c>
      <c r="E4758" t="s">
        <v>10</v>
      </c>
      <c r="F4758">
        <v>67.739997863769531</v>
      </c>
    </row>
    <row r="4759" spans="2:6">
      <c r="B4759">
        <v>2014</v>
      </c>
      <c r="C4759" t="s">
        <v>60</v>
      </c>
      <c r="D4759" t="s">
        <v>183</v>
      </c>
      <c r="E4759" t="s">
        <v>11</v>
      </c>
      <c r="F4759">
        <v>0.77332711219787598</v>
      </c>
    </row>
    <row r="4760" spans="2:6">
      <c r="B4760">
        <v>2014</v>
      </c>
      <c r="C4760" t="s">
        <v>60</v>
      </c>
      <c r="D4760" t="s">
        <v>183</v>
      </c>
      <c r="E4760" t="s">
        <v>12</v>
      </c>
      <c r="F4760">
        <v>-0.15296736359596252</v>
      </c>
    </row>
    <row r="4761" spans="2:6">
      <c r="B4761">
        <v>2014</v>
      </c>
      <c r="C4761" t="s">
        <v>60</v>
      </c>
      <c r="D4761" t="s">
        <v>183</v>
      </c>
      <c r="E4761" t="s">
        <v>13</v>
      </c>
      <c r="F4761">
        <v>0.65244746208190918</v>
      </c>
    </row>
    <row r="4762" spans="2:6">
      <c r="B4762">
        <v>2014</v>
      </c>
      <c r="C4762" t="s">
        <v>60</v>
      </c>
      <c r="D4762" t="s">
        <v>183</v>
      </c>
      <c r="E4762" t="s">
        <v>14</v>
      </c>
      <c r="F4762">
        <v>0.68043065071105957</v>
      </c>
    </row>
    <row r="4763" spans="2:6">
      <c r="B4763">
        <v>2014</v>
      </c>
      <c r="C4763" t="s">
        <v>60</v>
      </c>
      <c r="D4763" t="s">
        <v>183</v>
      </c>
      <c r="E4763" t="s">
        <v>15</v>
      </c>
      <c r="F4763">
        <v>0.20343911647796631</v>
      </c>
    </row>
    <row r="4764" spans="2:6">
      <c r="B4764">
        <v>2015</v>
      </c>
      <c r="C4764" t="s">
        <v>60</v>
      </c>
      <c r="D4764" t="s">
        <v>183</v>
      </c>
      <c r="E4764" t="s">
        <v>7</v>
      </c>
      <c r="F4764">
        <v>5.628908634185791</v>
      </c>
    </row>
    <row r="4765" spans="2:6">
      <c r="B4765">
        <v>2015</v>
      </c>
      <c r="C4765" t="s">
        <v>60</v>
      </c>
      <c r="D4765" t="s">
        <v>183</v>
      </c>
      <c r="E4765" t="s">
        <v>8</v>
      </c>
      <c r="F4765">
        <v>10.348464965820313</v>
      </c>
    </row>
    <row r="4766" spans="2:6">
      <c r="B4766">
        <v>2015</v>
      </c>
      <c r="C4766" t="s">
        <v>60</v>
      </c>
      <c r="D4766" t="s">
        <v>183</v>
      </c>
      <c r="E4766" t="s">
        <v>9</v>
      </c>
      <c r="F4766">
        <v>0.91792964935302734</v>
      </c>
    </row>
    <row r="4767" spans="2:6">
      <c r="B4767">
        <v>2015</v>
      </c>
      <c r="C4767" t="s">
        <v>60</v>
      </c>
      <c r="D4767" t="s">
        <v>183</v>
      </c>
      <c r="E4767" t="s">
        <v>10</v>
      </c>
      <c r="F4767">
        <v>68</v>
      </c>
    </row>
    <row r="4768" spans="2:6">
      <c r="B4768">
        <v>2015</v>
      </c>
      <c r="C4768" t="s">
        <v>60</v>
      </c>
      <c r="D4768" t="s">
        <v>183</v>
      </c>
      <c r="E4768" t="s">
        <v>11</v>
      </c>
      <c r="F4768">
        <v>0.81469237804412842</v>
      </c>
    </row>
    <row r="4769" spans="2:6">
      <c r="B4769">
        <v>2015</v>
      </c>
      <c r="C4769" t="s">
        <v>60</v>
      </c>
      <c r="D4769" t="s">
        <v>183</v>
      </c>
      <c r="E4769" t="s">
        <v>12</v>
      </c>
      <c r="F4769">
        <v>-0.16368080675601959</v>
      </c>
    </row>
    <row r="4770" spans="2:6">
      <c r="B4770">
        <v>2015</v>
      </c>
      <c r="C4770" t="s">
        <v>60</v>
      </c>
      <c r="D4770" t="s">
        <v>183</v>
      </c>
      <c r="E4770" t="s">
        <v>13</v>
      </c>
      <c r="F4770">
        <v>0.56873446702957153</v>
      </c>
    </row>
    <row r="4771" spans="2:6">
      <c r="B4771">
        <v>2015</v>
      </c>
      <c r="C4771" t="s">
        <v>60</v>
      </c>
      <c r="D4771" t="s">
        <v>183</v>
      </c>
      <c r="E4771" t="s">
        <v>14</v>
      </c>
      <c r="F4771">
        <v>0.72333770990371704</v>
      </c>
    </row>
    <row r="4772" spans="2:6">
      <c r="B4772">
        <v>2015</v>
      </c>
      <c r="C4772" t="s">
        <v>60</v>
      </c>
      <c r="D4772" t="s">
        <v>183</v>
      </c>
      <c r="E4772" t="s">
        <v>15</v>
      </c>
      <c r="F4772">
        <v>0.18269477784633636</v>
      </c>
    </row>
    <row r="4773" spans="2:6">
      <c r="B4773">
        <v>2016</v>
      </c>
      <c r="C4773" t="s">
        <v>60</v>
      </c>
      <c r="D4773" t="s">
        <v>183</v>
      </c>
      <c r="E4773" t="s">
        <v>7</v>
      </c>
      <c r="F4773">
        <v>5.6496753692626953</v>
      </c>
    </row>
    <row r="4774" spans="2:6">
      <c r="B4774">
        <v>2016</v>
      </c>
      <c r="C4774" t="s">
        <v>60</v>
      </c>
      <c r="D4774" t="s">
        <v>183</v>
      </c>
      <c r="E4774" t="s">
        <v>8</v>
      </c>
      <c r="F4774">
        <v>10.374149322509766</v>
      </c>
    </row>
    <row r="4775" spans="2:6">
      <c r="B4775">
        <v>2016</v>
      </c>
      <c r="C4775" t="s">
        <v>60</v>
      </c>
      <c r="D4775" t="s">
        <v>183</v>
      </c>
      <c r="E4775" t="s">
        <v>9</v>
      </c>
      <c r="F4775">
        <v>0.93771511316299438</v>
      </c>
    </row>
    <row r="4776" spans="2:6">
      <c r="B4776">
        <v>2016</v>
      </c>
      <c r="C4776" t="s">
        <v>60</v>
      </c>
      <c r="D4776" t="s">
        <v>183</v>
      </c>
      <c r="E4776" t="s">
        <v>10</v>
      </c>
      <c r="F4776">
        <v>68.199996948242188</v>
      </c>
    </row>
    <row r="4777" spans="2:6">
      <c r="B4777">
        <v>2016</v>
      </c>
      <c r="C4777" t="s">
        <v>60</v>
      </c>
      <c r="D4777" t="s">
        <v>183</v>
      </c>
      <c r="E4777" t="s">
        <v>11</v>
      </c>
      <c r="F4777">
        <v>0.84277069568634033</v>
      </c>
    </row>
    <row r="4778" spans="2:6">
      <c r="B4778">
        <v>2016</v>
      </c>
      <c r="C4778" t="s">
        <v>60</v>
      </c>
      <c r="D4778" t="s">
        <v>183</v>
      </c>
      <c r="E4778" t="s">
        <v>12</v>
      </c>
      <c r="F4778">
        <v>-0.14904904365539551</v>
      </c>
    </row>
    <row r="4779" spans="2:6">
      <c r="B4779">
        <v>2016</v>
      </c>
      <c r="C4779" t="s">
        <v>60</v>
      </c>
      <c r="D4779" t="s">
        <v>183</v>
      </c>
      <c r="E4779" t="s">
        <v>13</v>
      </c>
      <c r="F4779">
        <v>0.63908529281616211</v>
      </c>
    </row>
    <row r="4780" spans="2:6">
      <c r="B4780">
        <v>2016</v>
      </c>
      <c r="C4780" t="s">
        <v>60</v>
      </c>
      <c r="D4780" t="s">
        <v>183</v>
      </c>
      <c r="E4780" t="s">
        <v>14</v>
      </c>
      <c r="F4780">
        <v>0.72625488042831421</v>
      </c>
    </row>
    <row r="4781" spans="2:6">
      <c r="B4781">
        <v>2016</v>
      </c>
      <c r="C4781" t="s">
        <v>60</v>
      </c>
      <c r="D4781" t="s">
        <v>183</v>
      </c>
      <c r="E4781" t="s">
        <v>15</v>
      </c>
      <c r="F4781">
        <v>0.17686925828456879</v>
      </c>
    </row>
    <row r="4782" spans="2:6">
      <c r="B4782">
        <v>2017</v>
      </c>
      <c r="C4782" t="s">
        <v>60</v>
      </c>
      <c r="D4782" t="s">
        <v>183</v>
      </c>
      <c r="E4782" t="s">
        <v>7</v>
      </c>
      <c r="F4782">
        <v>5.9383959770202637</v>
      </c>
    </row>
    <row r="4783" spans="2:6">
      <c r="B4783">
        <v>2017</v>
      </c>
      <c r="C4783" t="s">
        <v>60</v>
      </c>
      <c r="D4783" t="s">
        <v>183</v>
      </c>
      <c r="E4783" t="s">
        <v>8</v>
      </c>
      <c r="F4783">
        <v>10.428834915161133</v>
      </c>
    </row>
    <row r="4784" spans="2:6">
      <c r="B4784">
        <v>2017</v>
      </c>
      <c r="C4784" t="s">
        <v>60</v>
      </c>
      <c r="D4784" t="s">
        <v>183</v>
      </c>
      <c r="E4784" t="s">
        <v>9</v>
      </c>
      <c r="F4784">
        <v>0.93568634986877441</v>
      </c>
    </row>
    <row r="4785" spans="2:6">
      <c r="B4785">
        <v>2017</v>
      </c>
      <c r="C4785" t="s">
        <v>60</v>
      </c>
      <c r="D4785" t="s">
        <v>183</v>
      </c>
      <c r="E4785" t="s">
        <v>10</v>
      </c>
      <c r="F4785">
        <v>68.400001525878906</v>
      </c>
    </row>
    <row r="4786" spans="2:6">
      <c r="B4786">
        <v>2017</v>
      </c>
      <c r="C4786" t="s">
        <v>60</v>
      </c>
      <c r="D4786" t="s">
        <v>183</v>
      </c>
      <c r="E4786" t="s">
        <v>11</v>
      </c>
      <c r="F4786">
        <v>0.86174923181533813</v>
      </c>
    </row>
    <row r="4787" spans="2:6">
      <c r="B4787">
        <v>2017</v>
      </c>
      <c r="C4787" t="s">
        <v>60</v>
      </c>
      <c r="D4787" t="s">
        <v>183</v>
      </c>
      <c r="E4787" t="s">
        <v>12</v>
      </c>
      <c r="F4787">
        <v>-0.10062547773122787</v>
      </c>
    </row>
    <row r="4788" spans="2:6">
      <c r="B4788">
        <v>2017</v>
      </c>
      <c r="C4788" t="s">
        <v>60</v>
      </c>
      <c r="D4788" t="s">
        <v>183</v>
      </c>
      <c r="E4788" t="s">
        <v>13</v>
      </c>
      <c r="F4788">
        <v>0.66840225458145142</v>
      </c>
    </row>
    <row r="4789" spans="2:6">
      <c r="B4789">
        <v>2017</v>
      </c>
      <c r="C4789" t="s">
        <v>60</v>
      </c>
      <c r="D4789" t="s">
        <v>183</v>
      </c>
      <c r="E4789" t="s">
        <v>14</v>
      </c>
      <c r="F4789">
        <v>0.80521798133850098</v>
      </c>
    </row>
    <row r="4790" spans="2:6">
      <c r="B4790">
        <v>2017</v>
      </c>
      <c r="C4790" t="s">
        <v>60</v>
      </c>
      <c r="D4790" t="s">
        <v>183</v>
      </c>
      <c r="E4790" t="s">
        <v>15</v>
      </c>
      <c r="F4790">
        <v>0.16016410291194916</v>
      </c>
    </row>
    <row r="4791" spans="2:6">
      <c r="B4791">
        <v>2018</v>
      </c>
      <c r="C4791" t="s">
        <v>60</v>
      </c>
      <c r="D4791" t="s">
        <v>183</v>
      </c>
      <c r="E4791" t="s">
        <v>7</v>
      </c>
      <c r="F4791">
        <v>6.0913023948669434</v>
      </c>
    </row>
    <row r="4792" spans="2:6">
      <c r="B4792">
        <v>2018</v>
      </c>
      <c r="C4792" t="s">
        <v>60</v>
      </c>
      <c r="D4792" t="s">
        <v>183</v>
      </c>
      <c r="E4792" t="s">
        <v>8</v>
      </c>
      <c r="F4792">
        <v>10.471867561340332</v>
      </c>
    </row>
    <row r="4793" spans="2:6">
      <c r="B4793">
        <v>2018</v>
      </c>
      <c r="C4793" t="s">
        <v>60</v>
      </c>
      <c r="D4793" t="s">
        <v>183</v>
      </c>
      <c r="E4793" t="s">
        <v>9</v>
      </c>
      <c r="F4793">
        <v>0.93269377946853638</v>
      </c>
    </row>
    <row r="4794" spans="2:6">
      <c r="B4794">
        <v>2018</v>
      </c>
      <c r="C4794" t="s">
        <v>60</v>
      </c>
      <c r="D4794" t="s">
        <v>183</v>
      </c>
      <c r="E4794" t="s">
        <v>10</v>
      </c>
      <c r="F4794">
        <v>68.599998474121094</v>
      </c>
    </row>
    <row r="4795" spans="2:6">
      <c r="B4795">
        <v>2018</v>
      </c>
      <c r="C4795" t="s">
        <v>60</v>
      </c>
      <c r="D4795" t="s">
        <v>183</v>
      </c>
      <c r="E4795" t="s">
        <v>11</v>
      </c>
      <c r="F4795">
        <v>0.88561838865280151</v>
      </c>
    </row>
    <row r="4796" spans="2:6">
      <c r="B4796">
        <v>2018</v>
      </c>
      <c r="C4796" t="s">
        <v>60</v>
      </c>
      <c r="D4796" t="s">
        <v>183</v>
      </c>
      <c r="E4796" t="s">
        <v>12</v>
      </c>
      <c r="F4796">
        <v>-0.14133656024932861</v>
      </c>
    </row>
    <row r="4797" spans="2:6">
      <c r="B4797">
        <v>2018</v>
      </c>
      <c r="C4797" t="s">
        <v>60</v>
      </c>
      <c r="D4797" t="s">
        <v>183</v>
      </c>
      <c r="E4797" t="s">
        <v>13</v>
      </c>
      <c r="F4797">
        <v>0.62067794799804688</v>
      </c>
    </row>
    <row r="4798" spans="2:6">
      <c r="B4798">
        <v>2018</v>
      </c>
      <c r="C4798" t="s">
        <v>60</v>
      </c>
      <c r="D4798" t="s">
        <v>183</v>
      </c>
      <c r="E4798" t="s">
        <v>14</v>
      </c>
      <c r="F4798">
        <v>0.79473024606704712</v>
      </c>
    </row>
    <row r="4799" spans="2:6">
      <c r="B4799">
        <v>2018</v>
      </c>
      <c r="C4799" t="s">
        <v>60</v>
      </c>
      <c r="D4799" t="s">
        <v>183</v>
      </c>
      <c r="E4799" t="s">
        <v>15</v>
      </c>
      <c r="F4799">
        <v>0.16318210959434509</v>
      </c>
    </row>
    <row r="4800" spans="2:6">
      <c r="B4800">
        <v>2019</v>
      </c>
      <c r="C4800" t="s">
        <v>60</v>
      </c>
      <c r="D4800" t="s">
        <v>183</v>
      </c>
      <c r="E4800" t="s">
        <v>7</v>
      </c>
      <c r="F4800">
        <v>6.0346412658691406</v>
      </c>
    </row>
    <row r="4801" spans="2:6">
      <c r="B4801">
        <v>2019</v>
      </c>
      <c r="C4801" t="s">
        <v>60</v>
      </c>
      <c r="D4801" t="s">
        <v>183</v>
      </c>
      <c r="E4801" t="s">
        <v>8</v>
      </c>
      <c r="F4801">
        <v>10.510815620422363</v>
      </c>
    </row>
    <row r="4802" spans="2:6">
      <c r="B4802">
        <v>2019</v>
      </c>
      <c r="C4802" t="s">
        <v>60</v>
      </c>
      <c r="D4802" t="s">
        <v>183</v>
      </c>
      <c r="E4802" t="s">
        <v>9</v>
      </c>
      <c r="F4802">
        <v>0.93406432867050171</v>
      </c>
    </row>
    <row r="4803" spans="2:6">
      <c r="B4803">
        <v>2019</v>
      </c>
      <c r="C4803" t="s">
        <v>60</v>
      </c>
      <c r="D4803" t="s">
        <v>183</v>
      </c>
      <c r="E4803" t="s">
        <v>10</v>
      </c>
      <c r="F4803">
        <v>68.800003051757813</v>
      </c>
    </row>
    <row r="4804" spans="2:6">
      <c r="B4804">
        <v>2019</v>
      </c>
      <c r="C4804" t="s">
        <v>60</v>
      </c>
      <c r="D4804" t="s">
        <v>183</v>
      </c>
      <c r="E4804" t="s">
        <v>11</v>
      </c>
      <c r="F4804">
        <v>0.88650435209274292</v>
      </c>
    </row>
    <row r="4805" spans="2:6">
      <c r="B4805">
        <v>2019</v>
      </c>
      <c r="C4805" t="s">
        <v>60</v>
      </c>
      <c r="D4805" t="s">
        <v>183</v>
      </c>
      <c r="E4805" t="s">
        <v>12</v>
      </c>
      <c r="F4805">
        <v>-9.5724411308765411E-2</v>
      </c>
    </row>
    <row r="4806" spans="2:6">
      <c r="B4806">
        <v>2019</v>
      </c>
      <c r="C4806" t="s">
        <v>60</v>
      </c>
      <c r="D4806" t="s">
        <v>183</v>
      </c>
      <c r="E4806" t="s">
        <v>13</v>
      </c>
      <c r="F4806">
        <v>0.57575416564941406</v>
      </c>
    </row>
    <row r="4807" spans="2:6">
      <c r="B4807">
        <v>2019</v>
      </c>
      <c r="C4807" t="s">
        <v>60</v>
      </c>
      <c r="D4807" t="s">
        <v>183</v>
      </c>
      <c r="E4807" t="s">
        <v>14</v>
      </c>
      <c r="F4807">
        <v>0.80427980422973633</v>
      </c>
    </row>
    <row r="4808" spans="2:6">
      <c r="B4808">
        <v>2019</v>
      </c>
      <c r="C4808" t="s">
        <v>60</v>
      </c>
      <c r="D4808" t="s">
        <v>183</v>
      </c>
      <c r="E4808" t="s">
        <v>15</v>
      </c>
      <c r="F4808">
        <v>0.15627901256084442</v>
      </c>
    </row>
    <row r="4809" spans="2:6">
      <c r="B4809">
        <v>2020</v>
      </c>
      <c r="C4809" t="s">
        <v>60</v>
      </c>
      <c r="D4809" t="s">
        <v>183</v>
      </c>
      <c r="E4809" t="s">
        <v>7</v>
      </c>
      <c r="F4809">
        <v>6.4525637626647949</v>
      </c>
    </row>
    <row r="4810" spans="2:6">
      <c r="B4810">
        <v>2020</v>
      </c>
      <c r="C4810" t="s">
        <v>60</v>
      </c>
      <c r="D4810" t="s">
        <v>183</v>
      </c>
      <c r="E4810" t="s">
        <v>8</v>
      </c>
      <c r="F4810">
        <v>10.458588600158691</v>
      </c>
    </row>
    <row r="4811" spans="2:6">
      <c r="B4811">
        <v>2020</v>
      </c>
      <c r="C4811" t="s">
        <v>60</v>
      </c>
      <c r="D4811" t="s">
        <v>183</v>
      </c>
      <c r="E4811" t="s">
        <v>9</v>
      </c>
      <c r="F4811">
        <v>0.95777046680450439</v>
      </c>
    </row>
    <row r="4812" spans="2:6">
      <c r="B4812">
        <v>2020</v>
      </c>
      <c r="C4812" t="s">
        <v>60</v>
      </c>
      <c r="D4812" t="s">
        <v>183</v>
      </c>
      <c r="E4812" t="s">
        <v>10</v>
      </c>
      <c r="F4812">
        <v>69</v>
      </c>
    </row>
    <row r="4813" spans="2:6">
      <c r="B4813">
        <v>2020</v>
      </c>
      <c r="C4813" t="s">
        <v>60</v>
      </c>
      <c r="D4813" t="s">
        <v>183</v>
      </c>
      <c r="E4813" t="s">
        <v>11</v>
      </c>
      <c r="F4813">
        <v>0.95420056581497192</v>
      </c>
    </row>
    <row r="4814" spans="2:6">
      <c r="B4814">
        <v>2020</v>
      </c>
      <c r="C4814" t="s">
        <v>60</v>
      </c>
      <c r="D4814" t="s">
        <v>183</v>
      </c>
      <c r="E4814" t="s">
        <v>12</v>
      </c>
      <c r="F4814">
        <v>-8.2279153168201447E-2</v>
      </c>
    </row>
    <row r="4815" spans="2:6">
      <c r="B4815">
        <v>2020</v>
      </c>
      <c r="C4815" t="s">
        <v>60</v>
      </c>
      <c r="D4815" t="s">
        <v>183</v>
      </c>
      <c r="E4815" t="s">
        <v>13</v>
      </c>
      <c r="F4815">
        <v>0.39783477783203125</v>
      </c>
    </row>
    <row r="4816" spans="2:6">
      <c r="B4816">
        <v>2020</v>
      </c>
      <c r="C4816" t="s">
        <v>60</v>
      </c>
      <c r="D4816" t="s">
        <v>183</v>
      </c>
      <c r="E4816" t="s">
        <v>14</v>
      </c>
      <c r="F4816">
        <v>0.80692380666732788</v>
      </c>
    </row>
    <row r="4817" spans="2:6">
      <c r="B4817">
        <v>2020</v>
      </c>
      <c r="C4817" t="s">
        <v>60</v>
      </c>
      <c r="D4817" t="s">
        <v>183</v>
      </c>
      <c r="E4817" t="s">
        <v>15</v>
      </c>
      <c r="F4817">
        <v>0.18767949938774109</v>
      </c>
    </row>
    <row r="4818" spans="2:6">
      <c r="B4818">
        <v>2012</v>
      </c>
      <c r="C4818" t="s">
        <v>61</v>
      </c>
      <c r="D4818" t="s">
        <v>184</v>
      </c>
      <c r="E4818" t="s">
        <v>7</v>
      </c>
      <c r="F4818">
        <v>4.5611686706542969</v>
      </c>
    </row>
    <row r="4819" spans="2:6">
      <c r="B4819">
        <v>2012</v>
      </c>
      <c r="C4819" t="s">
        <v>61</v>
      </c>
      <c r="D4819" t="s">
        <v>184</v>
      </c>
      <c r="E4819" t="s">
        <v>8</v>
      </c>
      <c r="F4819">
        <v>7.2705750465393066</v>
      </c>
    </row>
    <row r="4820" spans="2:6">
      <c r="B4820">
        <v>2012</v>
      </c>
      <c r="C4820" t="s">
        <v>61</v>
      </c>
      <c r="D4820" t="s">
        <v>184</v>
      </c>
      <c r="E4820" t="s">
        <v>9</v>
      </c>
      <c r="F4820">
        <v>0.65879428386688232</v>
      </c>
    </row>
    <row r="4821" spans="2:6">
      <c r="B4821">
        <v>2012</v>
      </c>
      <c r="C4821" t="s">
        <v>61</v>
      </c>
      <c r="D4821" t="s">
        <v>184</v>
      </c>
      <c r="E4821" t="s">
        <v>10</v>
      </c>
      <c r="F4821">
        <v>55.200000762939453</v>
      </c>
    </row>
    <row r="4822" spans="2:6">
      <c r="B4822">
        <v>2012</v>
      </c>
      <c r="C4822" t="s">
        <v>61</v>
      </c>
      <c r="D4822" t="s">
        <v>184</v>
      </c>
      <c r="E4822" t="s">
        <v>11</v>
      </c>
      <c r="F4822">
        <v>0.77630823850631714</v>
      </c>
    </row>
    <row r="4823" spans="2:6">
      <c r="B4823">
        <v>2012</v>
      </c>
      <c r="C4823" t="s">
        <v>61</v>
      </c>
      <c r="D4823" t="s">
        <v>184</v>
      </c>
      <c r="E4823" t="s">
        <v>12</v>
      </c>
      <c r="F4823">
        <v>-4.3737489730119705E-2</v>
      </c>
    </row>
    <row r="4824" spans="2:6">
      <c r="B4824">
        <v>2012</v>
      </c>
      <c r="C4824" t="s">
        <v>61</v>
      </c>
      <c r="D4824" t="s">
        <v>184</v>
      </c>
      <c r="E4824" t="s">
        <v>14</v>
      </c>
      <c r="F4824">
        <v>0.66834145784378052</v>
      </c>
    </row>
    <row r="4825" spans="2:6">
      <c r="B4825">
        <v>2012</v>
      </c>
      <c r="C4825" t="s">
        <v>61</v>
      </c>
      <c r="D4825" t="s">
        <v>184</v>
      </c>
      <c r="E4825" t="s">
        <v>15</v>
      </c>
      <c r="F4825">
        <v>0.13716612756252289</v>
      </c>
    </row>
    <row r="4826" spans="2:6">
      <c r="B4826">
        <v>2013</v>
      </c>
      <c r="C4826" t="s">
        <v>61</v>
      </c>
      <c r="D4826" t="s">
        <v>184</v>
      </c>
      <c r="E4826" t="s">
        <v>7</v>
      </c>
      <c r="F4826">
        <v>4.4448270797729492</v>
      </c>
    </row>
    <row r="4827" spans="2:6">
      <c r="B4827">
        <v>2013</v>
      </c>
      <c r="C4827" t="s">
        <v>61</v>
      </c>
      <c r="D4827" t="s">
        <v>184</v>
      </c>
      <c r="E4827" t="s">
        <v>8</v>
      </c>
      <c r="F4827">
        <v>7.3428945541381836</v>
      </c>
    </row>
    <row r="4828" spans="2:6">
      <c r="B4828">
        <v>2013</v>
      </c>
      <c r="C4828" t="s">
        <v>61</v>
      </c>
      <c r="D4828" t="s">
        <v>184</v>
      </c>
      <c r="E4828" t="s">
        <v>9</v>
      </c>
      <c r="F4828">
        <v>0.6024816632270813</v>
      </c>
    </row>
    <row r="4829" spans="2:6">
      <c r="B4829">
        <v>2013</v>
      </c>
      <c r="C4829" t="s">
        <v>61</v>
      </c>
      <c r="D4829" t="s">
        <v>184</v>
      </c>
      <c r="E4829" t="s">
        <v>10</v>
      </c>
      <c r="F4829">
        <v>55.799999237060547</v>
      </c>
    </row>
    <row r="4830" spans="2:6">
      <c r="B4830">
        <v>2013</v>
      </c>
      <c r="C4830" t="s">
        <v>61</v>
      </c>
      <c r="D4830" t="s">
        <v>184</v>
      </c>
      <c r="E4830" t="s">
        <v>11</v>
      </c>
      <c r="F4830">
        <v>0.70679622888565063</v>
      </c>
    </row>
    <row r="4831" spans="2:6">
      <c r="B4831">
        <v>2013</v>
      </c>
      <c r="C4831" t="s">
        <v>61</v>
      </c>
      <c r="D4831" t="s">
        <v>184</v>
      </c>
      <c r="E4831" t="s">
        <v>12</v>
      </c>
      <c r="F4831">
        <v>-7.7370805665850639E-3</v>
      </c>
    </row>
    <row r="4832" spans="2:6">
      <c r="B4832">
        <v>2013</v>
      </c>
      <c r="C4832" t="s">
        <v>61</v>
      </c>
      <c r="D4832" t="s">
        <v>184</v>
      </c>
      <c r="E4832" t="s">
        <v>13</v>
      </c>
      <c r="F4832">
        <v>0.75047826766967773</v>
      </c>
    </row>
    <row r="4833" spans="2:6">
      <c r="B4833">
        <v>2013</v>
      </c>
      <c r="C4833" t="s">
        <v>61</v>
      </c>
      <c r="D4833" t="s">
        <v>184</v>
      </c>
      <c r="E4833" t="s">
        <v>14</v>
      </c>
      <c r="F4833">
        <v>0.64284628629684448</v>
      </c>
    </row>
    <row r="4834" spans="2:6">
      <c r="B4834">
        <v>2013</v>
      </c>
      <c r="C4834" t="s">
        <v>61</v>
      </c>
      <c r="D4834" t="s">
        <v>184</v>
      </c>
      <c r="E4834" t="s">
        <v>15</v>
      </c>
      <c r="F4834">
        <v>0.21335087716579437</v>
      </c>
    </row>
    <row r="4835" spans="2:6">
      <c r="B4835">
        <v>2014</v>
      </c>
      <c r="C4835" t="s">
        <v>61</v>
      </c>
      <c r="D4835" t="s">
        <v>184</v>
      </c>
      <c r="E4835" t="s">
        <v>7</v>
      </c>
      <c r="F4835">
        <v>4.5066466331481934</v>
      </c>
    </row>
    <row r="4836" spans="2:6">
      <c r="B4836">
        <v>2014</v>
      </c>
      <c r="C4836" t="s">
        <v>61</v>
      </c>
      <c r="D4836" t="s">
        <v>184</v>
      </c>
      <c r="E4836" t="s">
        <v>8</v>
      </c>
      <c r="F4836">
        <v>7.4125432968139648</v>
      </c>
    </row>
    <row r="4837" spans="2:6">
      <c r="B4837">
        <v>2014</v>
      </c>
      <c r="C4837" t="s">
        <v>61</v>
      </c>
      <c r="D4837" t="s">
        <v>184</v>
      </c>
      <c r="E4837" t="s">
        <v>9</v>
      </c>
      <c r="F4837">
        <v>0.64045214653015137</v>
      </c>
    </row>
    <row r="4838" spans="2:6">
      <c r="B4838">
        <v>2014</v>
      </c>
      <c r="C4838" t="s">
        <v>61</v>
      </c>
      <c r="D4838" t="s">
        <v>184</v>
      </c>
      <c r="E4838" t="s">
        <v>10</v>
      </c>
      <c r="F4838">
        <v>56.400001525878906</v>
      </c>
    </row>
    <row r="4839" spans="2:6">
      <c r="B4839">
        <v>2014</v>
      </c>
      <c r="C4839" t="s">
        <v>61</v>
      </c>
      <c r="D4839" t="s">
        <v>184</v>
      </c>
      <c r="E4839" t="s">
        <v>11</v>
      </c>
      <c r="F4839">
        <v>0.69355893135070801</v>
      </c>
    </row>
    <row r="4840" spans="2:6">
      <c r="B4840">
        <v>2014</v>
      </c>
      <c r="C4840" t="s">
        <v>61</v>
      </c>
      <c r="D4840" t="s">
        <v>184</v>
      </c>
      <c r="E4840" t="s">
        <v>12</v>
      </c>
      <c r="F4840">
        <v>8.0251611769199371E-2</v>
      </c>
    </row>
    <row r="4841" spans="2:6">
      <c r="B4841">
        <v>2014</v>
      </c>
      <c r="C4841" t="s">
        <v>61</v>
      </c>
      <c r="D4841" t="s">
        <v>184</v>
      </c>
      <c r="E4841" t="s">
        <v>13</v>
      </c>
      <c r="F4841">
        <v>0.70180028676986694</v>
      </c>
    </row>
    <row r="4842" spans="2:6">
      <c r="B4842">
        <v>2014</v>
      </c>
      <c r="C4842" t="s">
        <v>61</v>
      </c>
      <c r="D4842" t="s">
        <v>184</v>
      </c>
      <c r="E4842" t="s">
        <v>14</v>
      </c>
      <c r="F4842">
        <v>0.73783653974533081</v>
      </c>
    </row>
    <row r="4843" spans="2:6">
      <c r="B4843">
        <v>2014</v>
      </c>
      <c r="C4843" t="s">
        <v>61</v>
      </c>
      <c r="D4843" t="s">
        <v>184</v>
      </c>
      <c r="E4843" t="s">
        <v>15</v>
      </c>
      <c r="F4843">
        <v>0.30285829305648804</v>
      </c>
    </row>
    <row r="4844" spans="2:6">
      <c r="B4844">
        <v>2015</v>
      </c>
      <c r="C4844" t="s">
        <v>61</v>
      </c>
      <c r="D4844" t="s">
        <v>184</v>
      </c>
      <c r="E4844" t="s">
        <v>7</v>
      </c>
      <c r="F4844">
        <v>4.5731549263000488</v>
      </c>
    </row>
    <row r="4845" spans="2:6">
      <c r="B4845">
        <v>2015</v>
      </c>
      <c r="C4845" t="s">
        <v>61</v>
      </c>
      <c r="D4845" t="s">
        <v>184</v>
      </c>
      <c r="E4845" t="s">
        <v>8</v>
      </c>
      <c r="F4845">
        <v>7.483853816986084</v>
      </c>
    </row>
    <row r="4846" spans="2:6">
      <c r="B4846">
        <v>2015</v>
      </c>
      <c r="C4846" t="s">
        <v>61</v>
      </c>
      <c r="D4846" t="s">
        <v>184</v>
      </c>
      <c r="E4846" t="s">
        <v>9</v>
      </c>
      <c r="F4846">
        <v>0.62559682130813599</v>
      </c>
    </row>
    <row r="4847" spans="2:6">
      <c r="B4847">
        <v>2015</v>
      </c>
      <c r="C4847" t="s">
        <v>61</v>
      </c>
      <c r="D4847" t="s">
        <v>184</v>
      </c>
      <c r="E4847" t="s">
        <v>10</v>
      </c>
      <c r="F4847">
        <v>57</v>
      </c>
    </row>
    <row r="4848" spans="2:6">
      <c r="B4848">
        <v>2015</v>
      </c>
      <c r="C4848" t="s">
        <v>61</v>
      </c>
      <c r="D4848" t="s">
        <v>184</v>
      </c>
      <c r="E4848" t="s">
        <v>11</v>
      </c>
      <c r="F4848">
        <v>0.8026425838470459</v>
      </c>
    </row>
    <row r="4849" spans="2:6">
      <c r="B4849">
        <v>2015</v>
      </c>
      <c r="C4849" t="s">
        <v>61</v>
      </c>
      <c r="D4849" t="s">
        <v>184</v>
      </c>
      <c r="E4849" t="s">
        <v>12</v>
      </c>
      <c r="F4849">
        <v>0.11272198706865311</v>
      </c>
    </row>
    <row r="4850" spans="2:6">
      <c r="B4850">
        <v>2015</v>
      </c>
      <c r="C4850" t="s">
        <v>61</v>
      </c>
      <c r="D4850" t="s">
        <v>184</v>
      </c>
      <c r="E4850" t="s">
        <v>13</v>
      </c>
      <c r="F4850">
        <v>0.56702733039855957</v>
      </c>
    </row>
    <row r="4851" spans="2:6">
      <c r="B4851">
        <v>2015</v>
      </c>
      <c r="C4851" t="s">
        <v>61</v>
      </c>
      <c r="D4851" t="s">
        <v>184</v>
      </c>
      <c r="E4851" t="s">
        <v>14</v>
      </c>
      <c r="F4851">
        <v>0.71388816833496094</v>
      </c>
    </row>
    <row r="4852" spans="2:6">
      <c r="B4852">
        <v>2015</v>
      </c>
      <c r="C4852" t="s">
        <v>61</v>
      </c>
      <c r="D4852" t="s">
        <v>184</v>
      </c>
      <c r="E4852" t="s">
        <v>15</v>
      </c>
      <c r="F4852">
        <v>0.23662903904914856</v>
      </c>
    </row>
    <row r="4853" spans="2:6">
      <c r="B4853">
        <v>2016</v>
      </c>
      <c r="C4853" t="s">
        <v>61</v>
      </c>
      <c r="D4853" t="s">
        <v>184</v>
      </c>
      <c r="E4853" t="s">
        <v>7</v>
      </c>
      <c r="F4853">
        <v>4.2978487014770508</v>
      </c>
    </row>
    <row r="4854" spans="2:6">
      <c r="B4854">
        <v>2016</v>
      </c>
      <c r="C4854" t="s">
        <v>61</v>
      </c>
      <c r="D4854" t="s">
        <v>184</v>
      </c>
      <c r="E4854" t="s">
        <v>8</v>
      </c>
      <c r="F4854">
        <v>7.5469193458557129</v>
      </c>
    </row>
    <row r="4855" spans="2:6">
      <c r="B4855">
        <v>2016</v>
      </c>
      <c r="C4855" t="s">
        <v>61</v>
      </c>
      <c r="D4855" t="s">
        <v>184</v>
      </c>
      <c r="E4855" t="s">
        <v>9</v>
      </c>
      <c r="F4855">
        <v>0.71871870756149292</v>
      </c>
    </row>
    <row r="4856" spans="2:6">
      <c r="B4856">
        <v>2016</v>
      </c>
      <c r="C4856" t="s">
        <v>61</v>
      </c>
      <c r="D4856" t="s">
        <v>184</v>
      </c>
      <c r="E4856" t="s">
        <v>10</v>
      </c>
      <c r="F4856">
        <v>57.5</v>
      </c>
    </row>
    <row r="4857" spans="2:6">
      <c r="B4857">
        <v>2016</v>
      </c>
      <c r="C4857" t="s">
        <v>61</v>
      </c>
      <c r="D4857" t="s">
        <v>184</v>
      </c>
      <c r="E4857" t="s">
        <v>11</v>
      </c>
      <c r="F4857">
        <v>0.74430769681930542</v>
      </c>
    </row>
    <row r="4858" spans="2:6">
      <c r="B4858">
        <v>2016</v>
      </c>
      <c r="C4858" t="s">
        <v>61</v>
      </c>
      <c r="D4858" t="s">
        <v>184</v>
      </c>
      <c r="E4858" t="s">
        <v>12</v>
      </c>
      <c r="F4858">
        <v>3.8446962833404541E-2</v>
      </c>
    </row>
    <row r="4859" spans="2:6">
      <c r="B4859">
        <v>2016</v>
      </c>
      <c r="C4859" t="s">
        <v>61</v>
      </c>
      <c r="D4859" t="s">
        <v>184</v>
      </c>
      <c r="E4859" t="s">
        <v>13</v>
      </c>
      <c r="F4859">
        <v>0.702880859375</v>
      </c>
    </row>
    <row r="4860" spans="2:6">
      <c r="B4860">
        <v>2016</v>
      </c>
      <c r="C4860" t="s">
        <v>61</v>
      </c>
      <c r="D4860" t="s">
        <v>184</v>
      </c>
      <c r="E4860" t="s">
        <v>14</v>
      </c>
      <c r="F4860">
        <v>0.72707086801528931</v>
      </c>
    </row>
    <row r="4861" spans="2:6">
      <c r="B4861">
        <v>2016</v>
      </c>
      <c r="C4861" t="s">
        <v>61</v>
      </c>
      <c r="D4861" t="s">
        <v>184</v>
      </c>
      <c r="E4861" t="s">
        <v>15</v>
      </c>
      <c r="F4861">
        <v>0.25394052267074585</v>
      </c>
    </row>
    <row r="4862" spans="2:6">
      <c r="B4862">
        <v>2017</v>
      </c>
      <c r="C4862" t="s">
        <v>61</v>
      </c>
      <c r="D4862" t="s">
        <v>184</v>
      </c>
      <c r="E4862" t="s">
        <v>7</v>
      </c>
      <c r="F4862">
        <v>4.1803154945373535</v>
      </c>
    </row>
    <row r="4863" spans="2:6">
      <c r="B4863">
        <v>2017</v>
      </c>
      <c r="C4863" t="s">
        <v>61</v>
      </c>
      <c r="D4863" t="s">
        <v>184</v>
      </c>
      <c r="E4863" t="s">
        <v>8</v>
      </c>
      <c r="F4863">
        <v>7.6116251945495605</v>
      </c>
    </row>
    <row r="4864" spans="2:6">
      <c r="B4864">
        <v>2017</v>
      </c>
      <c r="C4864" t="s">
        <v>61</v>
      </c>
      <c r="D4864" t="s">
        <v>184</v>
      </c>
      <c r="E4864" t="s">
        <v>9</v>
      </c>
      <c r="F4864">
        <v>0.73353976011276245</v>
      </c>
    </row>
    <row r="4865" spans="2:6">
      <c r="B4865">
        <v>2017</v>
      </c>
      <c r="C4865" t="s">
        <v>61</v>
      </c>
      <c r="D4865" t="s">
        <v>184</v>
      </c>
      <c r="E4865" t="s">
        <v>10</v>
      </c>
      <c r="F4865">
        <v>58</v>
      </c>
    </row>
    <row r="4866" spans="2:6">
      <c r="B4866">
        <v>2017</v>
      </c>
      <c r="C4866" t="s">
        <v>61</v>
      </c>
      <c r="D4866" t="s">
        <v>184</v>
      </c>
      <c r="E4866" t="s">
        <v>11</v>
      </c>
      <c r="F4866">
        <v>0.71710121631622314</v>
      </c>
    </row>
    <row r="4867" spans="2:6">
      <c r="B4867">
        <v>2017</v>
      </c>
      <c r="C4867" t="s">
        <v>61</v>
      </c>
      <c r="D4867" t="s">
        <v>184</v>
      </c>
      <c r="E4867" t="s">
        <v>12</v>
      </c>
      <c r="F4867">
        <v>1.4132806099951267E-3</v>
      </c>
    </row>
    <row r="4868" spans="2:6">
      <c r="B4868">
        <v>2017</v>
      </c>
      <c r="C4868" t="s">
        <v>61</v>
      </c>
      <c r="D4868" t="s">
        <v>184</v>
      </c>
      <c r="E4868" t="s">
        <v>13</v>
      </c>
      <c r="F4868">
        <v>0.75689893960952759</v>
      </c>
    </row>
    <row r="4869" spans="2:6">
      <c r="B4869">
        <v>2017</v>
      </c>
      <c r="C4869" t="s">
        <v>61</v>
      </c>
      <c r="D4869" t="s">
        <v>184</v>
      </c>
      <c r="E4869" t="s">
        <v>14</v>
      </c>
      <c r="F4869">
        <v>0.60851478576660156</v>
      </c>
    </row>
    <row r="4870" spans="2:6">
      <c r="B4870">
        <v>2017</v>
      </c>
      <c r="C4870" t="s">
        <v>61</v>
      </c>
      <c r="D4870" t="s">
        <v>184</v>
      </c>
      <c r="E4870" t="s">
        <v>15</v>
      </c>
      <c r="F4870">
        <v>0.30443617701530457</v>
      </c>
    </row>
    <row r="4871" spans="2:6">
      <c r="B4871">
        <v>2018</v>
      </c>
      <c r="C4871" t="s">
        <v>61</v>
      </c>
      <c r="D4871" t="s">
        <v>184</v>
      </c>
      <c r="E4871" t="s">
        <v>7</v>
      </c>
      <c r="F4871">
        <v>4.3792624473571777</v>
      </c>
    </row>
    <row r="4872" spans="2:6">
      <c r="B4872">
        <v>2018</v>
      </c>
      <c r="C4872" t="s">
        <v>61</v>
      </c>
      <c r="D4872" t="s">
        <v>184</v>
      </c>
      <c r="E4872" t="s">
        <v>8</v>
      </c>
      <c r="F4872">
        <v>7.6513638496398926</v>
      </c>
    </row>
    <row r="4873" spans="2:6">
      <c r="B4873">
        <v>2018</v>
      </c>
      <c r="C4873" t="s">
        <v>61</v>
      </c>
      <c r="D4873" t="s">
        <v>184</v>
      </c>
      <c r="E4873" t="s">
        <v>9</v>
      </c>
      <c r="F4873">
        <v>0.74015450477600098</v>
      </c>
    </row>
    <row r="4874" spans="2:6">
      <c r="B4874">
        <v>2018</v>
      </c>
      <c r="C4874" t="s">
        <v>61</v>
      </c>
      <c r="D4874" t="s">
        <v>184</v>
      </c>
      <c r="E4874" t="s">
        <v>10</v>
      </c>
      <c r="F4874">
        <v>58.5</v>
      </c>
    </row>
    <row r="4875" spans="2:6">
      <c r="B4875">
        <v>2018</v>
      </c>
      <c r="C4875" t="s">
        <v>61</v>
      </c>
      <c r="D4875" t="s">
        <v>184</v>
      </c>
      <c r="E4875" t="s">
        <v>11</v>
      </c>
      <c r="F4875">
        <v>0.74034309387207031</v>
      </c>
    </row>
    <row r="4876" spans="2:6">
      <c r="B4876">
        <v>2018</v>
      </c>
      <c r="C4876" t="s">
        <v>61</v>
      </c>
      <c r="D4876" t="s">
        <v>184</v>
      </c>
      <c r="E4876" t="s">
        <v>12</v>
      </c>
      <c r="F4876">
        <v>3.9445929229259491E-2</v>
      </c>
    </row>
    <row r="4877" spans="2:6">
      <c r="B4877">
        <v>2018</v>
      </c>
      <c r="C4877" t="s">
        <v>61</v>
      </c>
      <c r="D4877" t="s">
        <v>184</v>
      </c>
      <c r="E4877" t="s">
        <v>13</v>
      </c>
      <c r="F4877">
        <v>0.79946625232696533</v>
      </c>
    </row>
    <row r="4878" spans="2:6">
      <c r="B4878">
        <v>2018</v>
      </c>
      <c r="C4878" t="s">
        <v>61</v>
      </c>
      <c r="D4878" t="s">
        <v>184</v>
      </c>
      <c r="E4878" t="s">
        <v>14</v>
      </c>
      <c r="F4878">
        <v>0.65952086448669434</v>
      </c>
    </row>
    <row r="4879" spans="2:6">
      <c r="B4879">
        <v>2018</v>
      </c>
      <c r="C4879" t="s">
        <v>61</v>
      </c>
      <c r="D4879" t="s">
        <v>184</v>
      </c>
      <c r="E4879" t="s">
        <v>15</v>
      </c>
      <c r="F4879">
        <v>0.27175396680831909</v>
      </c>
    </row>
    <row r="4880" spans="2:6">
      <c r="B4880">
        <v>2019</v>
      </c>
      <c r="C4880" t="s">
        <v>61</v>
      </c>
      <c r="D4880" t="s">
        <v>184</v>
      </c>
      <c r="E4880" t="s">
        <v>7</v>
      </c>
      <c r="F4880">
        <v>4.0995550155639648</v>
      </c>
    </row>
    <row r="4881" spans="2:6">
      <c r="B4881">
        <v>2019</v>
      </c>
      <c r="C4881" t="s">
        <v>61</v>
      </c>
      <c r="D4881" t="s">
        <v>184</v>
      </c>
      <c r="E4881" t="s">
        <v>8</v>
      </c>
      <c r="F4881">
        <v>7.7051310539245605</v>
      </c>
    </row>
    <row r="4882" spans="2:6">
      <c r="B4882">
        <v>2019</v>
      </c>
      <c r="C4882" t="s">
        <v>61</v>
      </c>
      <c r="D4882" t="s">
        <v>184</v>
      </c>
      <c r="E4882" t="s">
        <v>9</v>
      </c>
      <c r="F4882">
        <v>0.7480577826499939</v>
      </c>
    </row>
    <row r="4883" spans="2:6">
      <c r="B4883">
        <v>2019</v>
      </c>
      <c r="C4883" t="s">
        <v>61</v>
      </c>
      <c r="D4883" t="s">
        <v>184</v>
      </c>
      <c r="E4883" t="s">
        <v>10</v>
      </c>
      <c r="F4883">
        <v>59</v>
      </c>
    </row>
    <row r="4884" spans="2:6">
      <c r="B4884">
        <v>2019</v>
      </c>
      <c r="C4884" t="s">
        <v>61</v>
      </c>
      <c r="D4884" t="s">
        <v>184</v>
      </c>
      <c r="E4884" t="s">
        <v>11</v>
      </c>
      <c r="F4884">
        <v>0.75351554155349731</v>
      </c>
    </row>
    <row r="4885" spans="2:6">
      <c r="B4885">
        <v>2019</v>
      </c>
      <c r="C4885" t="s">
        <v>61</v>
      </c>
      <c r="D4885" t="s">
        <v>184</v>
      </c>
      <c r="E4885" t="s">
        <v>12</v>
      </c>
      <c r="F4885">
        <v>5.2575621753931046E-2</v>
      </c>
    </row>
    <row r="4886" spans="2:6">
      <c r="B4886">
        <v>2019</v>
      </c>
      <c r="C4886" t="s">
        <v>61</v>
      </c>
      <c r="D4886" t="s">
        <v>184</v>
      </c>
      <c r="E4886" t="s">
        <v>13</v>
      </c>
      <c r="F4886">
        <v>0.73184531927108765</v>
      </c>
    </row>
    <row r="4887" spans="2:6">
      <c r="B4887">
        <v>2019</v>
      </c>
      <c r="C4887" t="s">
        <v>61</v>
      </c>
      <c r="D4887" t="s">
        <v>184</v>
      </c>
      <c r="E4887" t="s">
        <v>14</v>
      </c>
      <c r="F4887">
        <v>0.63118231296539307</v>
      </c>
    </row>
    <row r="4888" spans="2:6">
      <c r="B4888">
        <v>2019</v>
      </c>
      <c r="C4888" t="s">
        <v>61</v>
      </c>
      <c r="D4888" t="s">
        <v>184</v>
      </c>
      <c r="E4888" t="s">
        <v>15</v>
      </c>
      <c r="F4888">
        <v>0.28273859620094299</v>
      </c>
    </row>
    <row r="4889" spans="2:6">
      <c r="B4889">
        <v>2020</v>
      </c>
      <c r="C4889" t="s">
        <v>61</v>
      </c>
      <c r="D4889" t="s">
        <v>184</v>
      </c>
      <c r="E4889" t="s">
        <v>7</v>
      </c>
      <c r="F4889">
        <v>4.5492196083068848</v>
      </c>
    </row>
    <row r="4890" spans="2:6">
      <c r="B4890">
        <v>2020</v>
      </c>
      <c r="C4890" t="s">
        <v>61</v>
      </c>
      <c r="D4890" t="s">
        <v>184</v>
      </c>
      <c r="E4890" t="s">
        <v>8</v>
      </c>
      <c r="F4890">
        <v>7.7109827995300293</v>
      </c>
    </row>
    <row r="4891" spans="2:6">
      <c r="B4891">
        <v>2020</v>
      </c>
      <c r="C4891" t="s">
        <v>61</v>
      </c>
      <c r="D4891" t="s">
        <v>184</v>
      </c>
      <c r="E4891" t="s">
        <v>9</v>
      </c>
      <c r="F4891">
        <v>0.82313758134841919</v>
      </c>
    </row>
    <row r="4892" spans="2:6">
      <c r="B4892">
        <v>2020</v>
      </c>
      <c r="C4892" t="s">
        <v>61</v>
      </c>
      <c r="D4892" t="s">
        <v>184</v>
      </c>
      <c r="E4892" t="s">
        <v>10</v>
      </c>
      <c r="F4892">
        <v>59.5</v>
      </c>
    </row>
    <row r="4893" spans="2:6">
      <c r="B4893">
        <v>2020</v>
      </c>
      <c r="C4893" t="s">
        <v>61</v>
      </c>
      <c r="D4893" t="s">
        <v>184</v>
      </c>
      <c r="E4893" t="s">
        <v>11</v>
      </c>
      <c r="F4893">
        <v>0.76869428157806396</v>
      </c>
    </row>
    <row r="4894" spans="2:6">
      <c r="B4894">
        <v>2020</v>
      </c>
      <c r="C4894" t="s">
        <v>61</v>
      </c>
      <c r="D4894" t="s">
        <v>184</v>
      </c>
      <c r="E4894" t="s">
        <v>12</v>
      </c>
      <c r="F4894">
        <v>0.18849685788154602</v>
      </c>
    </row>
    <row r="4895" spans="2:6">
      <c r="B4895">
        <v>2020</v>
      </c>
      <c r="C4895" t="s">
        <v>61</v>
      </c>
      <c r="D4895" t="s">
        <v>184</v>
      </c>
      <c r="E4895" t="s">
        <v>13</v>
      </c>
      <c r="F4895">
        <v>0.78382241725921631</v>
      </c>
    </row>
    <row r="4896" spans="2:6">
      <c r="B4896">
        <v>2020</v>
      </c>
      <c r="C4896" t="s">
        <v>61</v>
      </c>
      <c r="D4896" t="s">
        <v>184</v>
      </c>
      <c r="E4896" t="s">
        <v>14</v>
      </c>
      <c r="F4896">
        <v>0.66938865184783936</v>
      </c>
    </row>
    <row r="4897" spans="2:6">
      <c r="B4897">
        <v>2020</v>
      </c>
      <c r="C4897" t="s">
        <v>61</v>
      </c>
      <c r="D4897" t="s">
        <v>184</v>
      </c>
      <c r="E4897" t="s">
        <v>15</v>
      </c>
      <c r="F4897">
        <v>0.25151434540748596</v>
      </c>
    </row>
    <row r="4898" spans="2:6">
      <c r="B4898">
        <v>2006</v>
      </c>
      <c r="C4898" t="s">
        <v>62</v>
      </c>
      <c r="D4898" t="s">
        <v>183</v>
      </c>
      <c r="E4898" t="s">
        <v>7</v>
      </c>
      <c r="F4898">
        <v>7.6724491119384766</v>
      </c>
    </row>
    <row r="4899" spans="2:6">
      <c r="B4899">
        <v>2006</v>
      </c>
      <c r="C4899" t="s">
        <v>62</v>
      </c>
      <c r="D4899" t="s">
        <v>183</v>
      </c>
      <c r="E4899" t="s">
        <v>8</v>
      </c>
      <c r="F4899">
        <v>10.745329856872559</v>
      </c>
    </row>
    <row r="4900" spans="2:6">
      <c r="B4900">
        <v>2006</v>
      </c>
      <c r="C4900" t="s">
        <v>62</v>
      </c>
      <c r="D4900" t="s">
        <v>183</v>
      </c>
      <c r="E4900" t="s">
        <v>9</v>
      </c>
      <c r="F4900">
        <v>0.96456283330917358</v>
      </c>
    </row>
    <row r="4901" spans="2:6">
      <c r="B4901">
        <v>2006</v>
      </c>
      <c r="C4901" t="s">
        <v>62</v>
      </c>
      <c r="D4901" t="s">
        <v>183</v>
      </c>
      <c r="E4901" t="s">
        <v>10</v>
      </c>
      <c r="F4901">
        <v>69.760002136230469</v>
      </c>
    </row>
    <row r="4902" spans="2:6">
      <c r="B4902">
        <v>2006</v>
      </c>
      <c r="C4902" t="s">
        <v>62</v>
      </c>
      <c r="D4902" t="s">
        <v>183</v>
      </c>
      <c r="E4902" t="s">
        <v>11</v>
      </c>
      <c r="F4902">
        <v>0.96858048439025879</v>
      </c>
    </row>
    <row r="4903" spans="2:6">
      <c r="B4903">
        <v>2006</v>
      </c>
      <c r="C4903" t="s">
        <v>62</v>
      </c>
      <c r="D4903" t="s">
        <v>183</v>
      </c>
      <c r="E4903" t="s">
        <v>12</v>
      </c>
      <c r="F4903">
        <v>-4.5386482961475849E-3</v>
      </c>
    </row>
    <row r="4904" spans="2:6">
      <c r="B4904">
        <v>2006</v>
      </c>
      <c r="C4904" t="s">
        <v>62</v>
      </c>
      <c r="D4904" t="s">
        <v>183</v>
      </c>
      <c r="E4904" t="s">
        <v>13</v>
      </c>
      <c r="F4904">
        <v>0.13243018090724945</v>
      </c>
    </row>
    <row r="4905" spans="2:6">
      <c r="B4905">
        <v>2006</v>
      </c>
      <c r="C4905" t="s">
        <v>62</v>
      </c>
      <c r="D4905" t="s">
        <v>183</v>
      </c>
      <c r="E4905" t="s">
        <v>14</v>
      </c>
      <c r="F4905">
        <v>0.721504807472229</v>
      </c>
    </row>
    <row r="4906" spans="2:6">
      <c r="B4906">
        <v>2006</v>
      </c>
      <c r="C4906" t="s">
        <v>62</v>
      </c>
      <c r="D4906" t="s">
        <v>183</v>
      </c>
      <c r="E4906" t="s">
        <v>15</v>
      </c>
      <c r="F4906">
        <v>0.17213393747806549</v>
      </c>
    </row>
    <row r="4907" spans="2:6">
      <c r="B4907">
        <v>2008</v>
      </c>
      <c r="C4907" t="s">
        <v>62</v>
      </c>
      <c r="D4907" t="s">
        <v>183</v>
      </c>
      <c r="E4907" t="s">
        <v>7</v>
      </c>
      <c r="F4907">
        <v>7.6706266403198242</v>
      </c>
    </row>
    <row r="4908" spans="2:6">
      <c r="B4908">
        <v>2008</v>
      </c>
      <c r="C4908" t="s">
        <v>62</v>
      </c>
      <c r="D4908" t="s">
        <v>183</v>
      </c>
      <c r="E4908" t="s">
        <v>8</v>
      </c>
      <c r="F4908">
        <v>10.795864105224609</v>
      </c>
    </row>
    <row r="4909" spans="2:6">
      <c r="B4909">
        <v>2008</v>
      </c>
      <c r="C4909" t="s">
        <v>62</v>
      </c>
      <c r="D4909" t="s">
        <v>183</v>
      </c>
      <c r="E4909" t="s">
        <v>9</v>
      </c>
      <c r="F4909">
        <v>0.95133990049362183</v>
      </c>
    </row>
    <row r="4910" spans="2:6">
      <c r="B4910">
        <v>2008</v>
      </c>
      <c r="C4910" t="s">
        <v>62</v>
      </c>
      <c r="D4910" t="s">
        <v>183</v>
      </c>
      <c r="E4910" t="s">
        <v>10</v>
      </c>
      <c r="F4910">
        <v>70.080001831054688</v>
      </c>
    </row>
    <row r="4911" spans="2:6">
      <c r="B4911">
        <v>2008</v>
      </c>
      <c r="C4911" t="s">
        <v>62</v>
      </c>
      <c r="D4911" t="s">
        <v>183</v>
      </c>
      <c r="E4911" t="s">
        <v>11</v>
      </c>
      <c r="F4911">
        <v>0.93417894840240479</v>
      </c>
    </row>
    <row r="4912" spans="2:6">
      <c r="B4912">
        <v>2008</v>
      </c>
      <c r="C4912" t="s">
        <v>62</v>
      </c>
      <c r="D4912" t="s">
        <v>183</v>
      </c>
      <c r="E4912" t="s">
        <v>12</v>
      </c>
      <c r="F4912">
        <v>2.7669347822666168E-2</v>
      </c>
    </row>
    <row r="4913" spans="2:6">
      <c r="B4913">
        <v>2008</v>
      </c>
      <c r="C4913" t="s">
        <v>62</v>
      </c>
      <c r="D4913" t="s">
        <v>183</v>
      </c>
      <c r="E4913" t="s">
        <v>13</v>
      </c>
      <c r="F4913">
        <v>0.21656753122806549</v>
      </c>
    </row>
    <row r="4914" spans="2:6">
      <c r="B4914">
        <v>2008</v>
      </c>
      <c r="C4914" t="s">
        <v>62</v>
      </c>
      <c r="D4914" t="s">
        <v>183</v>
      </c>
      <c r="E4914" t="s">
        <v>14</v>
      </c>
      <c r="F4914">
        <v>0.77277767658233643</v>
      </c>
    </row>
    <row r="4915" spans="2:6">
      <c r="B4915">
        <v>2008</v>
      </c>
      <c r="C4915" t="s">
        <v>62</v>
      </c>
      <c r="D4915" t="s">
        <v>183</v>
      </c>
      <c r="E4915" t="s">
        <v>15</v>
      </c>
      <c r="F4915">
        <v>0.1435387134552002</v>
      </c>
    </row>
    <row r="4916" spans="2:6">
      <c r="B4916">
        <v>2010</v>
      </c>
      <c r="C4916" t="s">
        <v>62</v>
      </c>
      <c r="D4916" t="s">
        <v>183</v>
      </c>
      <c r="E4916" t="s">
        <v>7</v>
      </c>
      <c r="F4916">
        <v>7.3932642936706543</v>
      </c>
    </row>
    <row r="4917" spans="2:6">
      <c r="B4917">
        <v>2010</v>
      </c>
      <c r="C4917" t="s">
        <v>62</v>
      </c>
      <c r="D4917" t="s">
        <v>183</v>
      </c>
      <c r="E4917" t="s">
        <v>8</v>
      </c>
      <c r="F4917">
        <v>10.733675956726074</v>
      </c>
    </row>
    <row r="4918" spans="2:6">
      <c r="B4918">
        <v>2010</v>
      </c>
      <c r="C4918" t="s">
        <v>62</v>
      </c>
      <c r="D4918" t="s">
        <v>183</v>
      </c>
      <c r="E4918" t="s">
        <v>9</v>
      </c>
      <c r="F4918">
        <v>0.93548136949539185</v>
      </c>
    </row>
    <row r="4919" spans="2:6">
      <c r="B4919">
        <v>2010</v>
      </c>
      <c r="C4919" t="s">
        <v>62</v>
      </c>
      <c r="D4919" t="s">
        <v>183</v>
      </c>
      <c r="E4919" t="s">
        <v>10</v>
      </c>
      <c r="F4919">
        <v>70.400001525878906</v>
      </c>
    </row>
    <row r="4920" spans="2:6">
      <c r="B4920">
        <v>2010</v>
      </c>
      <c r="C4920" t="s">
        <v>62</v>
      </c>
      <c r="D4920" t="s">
        <v>183</v>
      </c>
      <c r="E4920" t="s">
        <v>11</v>
      </c>
      <c r="F4920">
        <v>0.91600912809371948</v>
      </c>
    </row>
    <row r="4921" spans="2:6">
      <c r="B4921">
        <v>2010</v>
      </c>
      <c r="C4921" t="s">
        <v>62</v>
      </c>
      <c r="D4921" t="s">
        <v>183</v>
      </c>
      <c r="E4921" t="s">
        <v>12</v>
      </c>
      <c r="F4921">
        <v>9.1150350868701935E-2</v>
      </c>
    </row>
    <row r="4922" spans="2:6">
      <c r="B4922">
        <v>2010</v>
      </c>
      <c r="C4922" t="s">
        <v>62</v>
      </c>
      <c r="D4922" t="s">
        <v>183</v>
      </c>
      <c r="E4922" t="s">
        <v>13</v>
      </c>
      <c r="F4922">
        <v>0.41251569986343384</v>
      </c>
    </row>
    <row r="4923" spans="2:6">
      <c r="B4923">
        <v>2010</v>
      </c>
      <c r="C4923" t="s">
        <v>62</v>
      </c>
      <c r="D4923" t="s">
        <v>183</v>
      </c>
      <c r="E4923" t="s">
        <v>14</v>
      </c>
      <c r="F4923">
        <v>0.83210861682891846</v>
      </c>
    </row>
    <row r="4924" spans="2:6">
      <c r="B4924">
        <v>2010</v>
      </c>
      <c r="C4924" t="s">
        <v>62</v>
      </c>
      <c r="D4924" t="s">
        <v>183</v>
      </c>
      <c r="E4924" t="s">
        <v>15</v>
      </c>
      <c r="F4924">
        <v>0.2020946592092514</v>
      </c>
    </row>
    <row r="4925" spans="2:6">
      <c r="B4925">
        <v>2011</v>
      </c>
      <c r="C4925" t="s">
        <v>62</v>
      </c>
      <c r="D4925" t="s">
        <v>183</v>
      </c>
      <c r="E4925" t="s">
        <v>7</v>
      </c>
      <c r="F4925">
        <v>7.3542251586914063</v>
      </c>
    </row>
    <row r="4926" spans="2:6">
      <c r="B4926">
        <v>2011</v>
      </c>
      <c r="C4926" t="s">
        <v>62</v>
      </c>
      <c r="D4926" t="s">
        <v>183</v>
      </c>
      <c r="E4926" t="s">
        <v>8</v>
      </c>
      <c r="F4926">
        <v>10.754196166992188</v>
      </c>
    </row>
    <row r="4927" spans="2:6">
      <c r="B4927">
        <v>2011</v>
      </c>
      <c r="C4927" t="s">
        <v>62</v>
      </c>
      <c r="D4927" t="s">
        <v>183</v>
      </c>
      <c r="E4927" t="s">
        <v>9</v>
      </c>
      <c r="F4927">
        <v>0.93785685300827026</v>
      </c>
    </row>
    <row r="4928" spans="2:6">
      <c r="B4928">
        <v>2011</v>
      </c>
      <c r="C4928" t="s">
        <v>62</v>
      </c>
      <c r="D4928" t="s">
        <v>183</v>
      </c>
      <c r="E4928" t="s">
        <v>10</v>
      </c>
      <c r="F4928">
        <v>70.639999389648438</v>
      </c>
    </row>
    <row r="4929" spans="2:6">
      <c r="B4929">
        <v>2011</v>
      </c>
      <c r="C4929" t="s">
        <v>62</v>
      </c>
      <c r="D4929" t="s">
        <v>183</v>
      </c>
      <c r="E4929" t="s">
        <v>11</v>
      </c>
      <c r="F4929">
        <v>0.93644839525222778</v>
      </c>
    </row>
    <row r="4930" spans="2:6">
      <c r="B4930">
        <v>2011</v>
      </c>
      <c r="C4930" t="s">
        <v>62</v>
      </c>
      <c r="D4930" t="s">
        <v>183</v>
      </c>
      <c r="E4930" t="s">
        <v>12</v>
      </c>
      <c r="F4930">
        <v>0.10148841887712479</v>
      </c>
    </row>
    <row r="4931" spans="2:6">
      <c r="B4931">
        <v>2011</v>
      </c>
      <c r="C4931" t="s">
        <v>62</v>
      </c>
      <c r="D4931" t="s">
        <v>183</v>
      </c>
      <c r="E4931" t="s">
        <v>13</v>
      </c>
      <c r="F4931">
        <v>0.31959319114685059</v>
      </c>
    </row>
    <row r="4932" spans="2:6">
      <c r="B4932">
        <v>2011</v>
      </c>
      <c r="C4932" t="s">
        <v>62</v>
      </c>
      <c r="D4932" t="s">
        <v>183</v>
      </c>
      <c r="E4932" t="s">
        <v>14</v>
      </c>
      <c r="F4932">
        <v>0.77294415235519409</v>
      </c>
    </row>
    <row r="4933" spans="2:6">
      <c r="B4933">
        <v>2011</v>
      </c>
      <c r="C4933" t="s">
        <v>62</v>
      </c>
      <c r="D4933" t="s">
        <v>183</v>
      </c>
      <c r="E4933" t="s">
        <v>15</v>
      </c>
      <c r="F4933">
        <v>0.20523864030838013</v>
      </c>
    </row>
    <row r="4934" spans="2:6">
      <c r="B4934">
        <v>2012</v>
      </c>
      <c r="C4934" t="s">
        <v>62</v>
      </c>
      <c r="D4934" t="s">
        <v>183</v>
      </c>
      <c r="E4934" t="s">
        <v>7</v>
      </c>
      <c r="F4934">
        <v>7.4202094078063965</v>
      </c>
    </row>
    <row r="4935" spans="2:6">
      <c r="B4935">
        <v>2012</v>
      </c>
      <c r="C4935" t="s">
        <v>62</v>
      </c>
      <c r="D4935" t="s">
        <v>183</v>
      </c>
      <c r="E4935" t="s">
        <v>8</v>
      </c>
      <c r="F4935">
        <v>10.735365867614746</v>
      </c>
    </row>
    <row r="4936" spans="2:6">
      <c r="B4936">
        <v>2012</v>
      </c>
      <c r="C4936" t="s">
        <v>62</v>
      </c>
      <c r="D4936" t="s">
        <v>183</v>
      </c>
      <c r="E4936" t="s">
        <v>9</v>
      </c>
      <c r="F4936">
        <v>0.92773938179016113</v>
      </c>
    </row>
    <row r="4937" spans="2:6">
      <c r="B4937">
        <v>2012</v>
      </c>
      <c r="C4937" t="s">
        <v>62</v>
      </c>
      <c r="D4937" t="s">
        <v>183</v>
      </c>
      <c r="E4937" t="s">
        <v>10</v>
      </c>
      <c r="F4937">
        <v>70.879997253417969</v>
      </c>
    </row>
    <row r="4938" spans="2:6">
      <c r="B4938">
        <v>2012</v>
      </c>
      <c r="C4938" t="s">
        <v>62</v>
      </c>
      <c r="D4938" t="s">
        <v>183</v>
      </c>
      <c r="E4938" t="s">
        <v>11</v>
      </c>
      <c r="F4938">
        <v>0.92096811532974243</v>
      </c>
    </row>
    <row r="4939" spans="2:6">
      <c r="B4939">
        <v>2012</v>
      </c>
      <c r="C4939" t="s">
        <v>62</v>
      </c>
      <c r="D4939" t="s">
        <v>183</v>
      </c>
      <c r="E4939" t="s">
        <v>12</v>
      </c>
      <c r="F4939">
        <v>-1.0561320232227445E-3</v>
      </c>
    </row>
    <row r="4940" spans="2:6">
      <c r="B4940">
        <v>2012</v>
      </c>
      <c r="C4940" t="s">
        <v>62</v>
      </c>
      <c r="D4940" t="s">
        <v>183</v>
      </c>
      <c r="E4940" t="s">
        <v>13</v>
      </c>
      <c r="F4940">
        <v>0.36073395609855652</v>
      </c>
    </row>
    <row r="4941" spans="2:6">
      <c r="B4941">
        <v>2012</v>
      </c>
      <c r="C4941" t="s">
        <v>62</v>
      </c>
      <c r="D4941" t="s">
        <v>183</v>
      </c>
      <c r="E4941" t="s">
        <v>14</v>
      </c>
      <c r="F4941">
        <v>0.79628509283065796</v>
      </c>
    </row>
    <row r="4942" spans="2:6">
      <c r="B4942">
        <v>2012</v>
      </c>
      <c r="C4942" t="s">
        <v>62</v>
      </c>
      <c r="D4942" t="s">
        <v>183</v>
      </c>
      <c r="E4942" t="s">
        <v>15</v>
      </c>
      <c r="F4942">
        <v>0.20165443420410156</v>
      </c>
    </row>
    <row r="4943" spans="2:6">
      <c r="B4943">
        <v>2013</v>
      </c>
      <c r="C4943" t="s">
        <v>62</v>
      </c>
      <c r="D4943" t="s">
        <v>183</v>
      </c>
      <c r="E4943" t="s">
        <v>7</v>
      </c>
      <c r="F4943">
        <v>7.4446358680725098</v>
      </c>
    </row>
    <row r="4944" spans="2:6">
      <c r="B4944">
        <v>2013</v>
      </c>
      <c r="C4944" t="s">
        <v>62</v>
      </c>
      <c r="D4944" t="s">
        <v>183</v>
      </c>
      <c r="E4944" t="s">
        <v>8</v>
      </c>
      <c r="F4944">
        <v>10.721697807312012</v>
      </c>
    </row>
    <row r="4945" spans="2:6">
      <c r="B4945">
        <v>2013</v>
      </c>
      <c r="C4945" t="s">
        <v>62</v>
      </c>
      <c r="D4945" t="s">
        <v>183</v>
      </c>
      <c r="E4945" t="s">
        <v>9</v>
      </c>
      <c r="F4945">
        <v>0.94086909294128418</v>
      </c>
    </row>
    <row r="4946" spans="2:6">
      <c r="B4946">
        <v>2013</v>
      </c>
      <c r="C4946" t="s">
        <v>62</v>
      </c>
      <c r="D4946" t="s">
        <v>183</v>
      </c>
      <c r="E4946" t="s">
        <v>10</v>
      </c>
      <c r="F4946">
        <v>71.120002746582031</v>
      </c>
    </row>
    <row r="4947" spans="2:6">
      <c r="B4947">
        <v>2013</v>
      </c>
      <c r="C4947" t="s">
        <v>62</v>
      </c>
      <c r="D4947" t="s">
        <v>183</v>
      </c>
      <c r="E4947" t="s">
        <v>11</v>
      </c>
      <c r="F4947">
        <v>0.9186253547668457</v>
      </c>
    </row>
    <row r="4948" spans="2:6">
      <c r="B4948">
        <v>2013</v>
      </c>
      <c r="C4948" t="s">
        <v>62</v>
      </c>
      <c r="D4948" t="s">
        <v>183</v>
      </c>
      <c r="E4948" t="s">
        <v>12</v>
      </c>
      <c r="F4948">
        <v>3.9570089429616928E-2</v>
      </c>
    </row>
    <row r="4949" spans="2:6">
      <c r="B4949">
        <v>2013</v>
      </c>
      <c r="C4949" t="s">
        <v>62</v>
      </c>
      <c r="D4949" t="s">
        <v>183</v>
      </c>
      <c r="E4949" t="s">
        <v>13</v>
      </c>
      <c r="F4949">
        <v>0.30577045679092407</v>
      </c>
    </row>
    <row r="4950" spans="2:6">
      <c r="B4950">
        <v>2013</v>
      </c>
      <c r="C4950" t="s">
        <v>62</v>
      </c>
      <c r="D4950" t="s">
        <v>183</v>
      </c>
      <c r="E4950" t="s">
        <v>14</v>
      </c>
      <c r="F4950">
        <v>0.76895737648010254</v>
      </c>
    </row>
    <row r="4951" spans="2:6">
      <c r="B4951">
        <v>2013</v>
      </c>
      <c r="C4951" t="s">
        <v>62</v>
      </c>
      <c r="D4951" t="s">
        <v>183</v>
      </c>
      <c r="E4951" t="s">
        <v>15</v>
      </c>
      <c r="F4951">
        <v>0.19467255473136902</v>
      </c>
    </row>
    <row r="4952" spans="2:6">
      <c r="B4952">
        <v>2014</v>
      </c>
      <c r="C4952" t="s">
        <v>62</v>
      </c>
      <c r="D4952" t="s">
        <v>183</v>
      </c>
      <c r="E4952" t="s">
        <v>7</v>
      </c>
      <c r="F4952">
        <v>7.3845710754394531</v>
      </c>
    </row>
    <row r="4953" spans="2:6">
      <c r="B4953">
        <v>2014</v>
      </c>
      <c r="C4953" t="s">
        <v>62</v>
      </c>
      <c r="D4953" t="s">
        <v>183</v>
      </c>
      <c r="E4953" t="s">
        <v>8</v>
      </c>
      <c r="F4953">
        <v>10.713906288146973</v>
      </c>
    </row>
    <row r="4954" spans="2:6">
      <c r="B4954">
        <v>2014</v>
      </c>
      <c r="C4954" t="s">
        <v>62</v>
      </c>
      <c r="D4954" t="s">
        <v>183</v>
      </c>
      <c r="E4954" t="s">
        <v>9</v>
      </c>
      <c r="F4954">
        <v>0.95201653242111206</v>
      </c>
    </row>
    <row r="4955" spans="2:6">
      <c r="B4955">
        <v>2014</v>
      </c>
      <c r="C4955" t="s">
        <v>62</v>
      </c>
      <c r="D4955" t="s">
        <v>183</v>
      </c>
      <c r="E4955" t="s">
        <v>10</v>
      </c>
      <c r="F4955">
        <v>71.360000610351563</v>
      </c>
    </row>
    <row r="4956" spans="2:6">
      <c r="B4956">
        <v>2014</v>
      </c>
      <c r="C4956" t="s">
        <v>62</v>
      </c>
      <c r="D4956" t="s">
        <v>183</v>
      </c>
      <c r="E4956" t="s">
        <v>11</v>
      </c>
      <c r="F4956">
        <v>0.9330439567565918</v>
      </c>
    </row>
    <row r="4957" spans="2:6">
      <c r="B4957">
        <v>2014</v>
      </c>
      <c r="C4957" t="s">
        <v>62</v>
      </c>
      <c r="D4957" t="s">
        <v>183</v>
      </c>
      <c r="E4957" t="s">
        <v>12</v>
      </c>
      <c r="F4957">
        <v>-7.8371580457314849E-4</v>
      </c>
    </row>
    <row r="4958" spans="2:6">
      <c r="B4958">
        <v>2014</v>
      </c>
      <c r="C4958" t="s">
        <v>62</v>
      </c>
      <c r="D4958" t="s">
        <v>183</v>
      </c>
      <c r="E4958" t="s">
        <v>13</v>
      </c>
      <c r="F4958">
        <v>0.26547989249229431</v>
      </c>
    </row>
    <row r="4959" spans="2:6">
      <c r="B4959">
        <v>2014</v>
      </c>
      <c r="C4959" t="s">
        <v>62</v>
      </c>
      <c r="D4959" t="s">
        <v>183</v>
      </c>
      <c r="E4959" t="s">
        <v>14</v>
      </c>
      <c r="F4959">
        <v>0.78410959243774414</v>
      </c>
    </row>
    <row r="4960" spans="2:6">
      <c r="B4960">
        <v>2014</v>
      </c>
      <c r="C4960" t="s">
        <v>62</v>
      </c>
      <c r="D4960" t="s">
        <v>183</v>
      </c>
      <c r="E4960" t="s">
        <v>15</v>
      </c>
      <c r="F4960">
        <v>0.19881388545036316</v>
      </c>
    </row>
    <row r="4961" spans="2:6">
      <c r="B4961">
        <v>2015</v>
      </c>
      <c r="C4961" t="s">
        <v>62</v>
      </c>
      <c r="D4961" t="s">
        <v>183</v>
      </c>
      <c r="E4961" t="s">
        <v>7</v>
      </c>
      <c r="F4961">
        <v>7.4479255676269531</v>
      </c>
    </row>
    <row r="4962" spans="2:6">
      <c r="B4962">
        <v>2015</v>
      </c>
      <c r="C4962" t="s">
        <v>62</v>
      </c>
      <c r="D4962" t="s">
        <v>183</v>
      </c>
      <c r="E4962" t="s">
        <v>8</v>
      </c>
      <c r="F4962">
        <v>10.716032981872559</v>
      </c>
    </row>
    <row r="4963" spans="2:6">
      <c r="B4963">
        <v>2015</v>
      </c>
      <c r="C4963" t="s">
        <v>62</v>
      </c>
      <c r="D4963" t="s">
        <v>183</v>
      </c>
      <c r="E4963" t="s">
        <v>9</v>
      </c>
      <c r="F4963">
        <v>0.94780057668685913</v>
      </c>
    </row>
    <row r="4964" spans="2:6">
      <c r="B4964">
        <v>2015</v>
      </c>
      <c r="C4964" t="s">
        <v>62</v>
      </c>
      <c r="D4964" t="s">
        <v>183</v>
      </c>
      <c r="E4964" t="s">
        <v>10</v>
      </c>
      <c r="F4964">
        <v>71.599998474121094</v>
      </c>
    </row>
    <row r="4965" spans="2:6">
      <c r="B4965">
        <v>2015</v>
      </c>
      <c r="C4965" t="s">
        <v>62</v>
      </c>
      <c r="D4965" t="s">
        <v>183</v>
      </c>
      <c r="E4965" t="s">
        <v>11</v>
      </c>
      <c r="F4965">
        <v>0.92986190319061279</v>
      </c>
    </row>
    <row r="4966" spans="2:6">
      <c r="B4966">
        <v>2015</v>
      </c>
      <c r="C4966" t="s">
        <v>62</v>
      </c>
      <c r="D4966" t="s">
        <v>183</v>
      </c>
      <c r="E4966" t="s">
        <v>12</v>
      </c>
      <c r="F4966">
        <v>0.1112648993730545</v>
      </c>
    </row>
    <row r="4967" spans="2:6">
      <c r="B4967">
        <v>2015</v>
      </c>
      <c r="C4967" t="s">
        <v>62</v>
      </c>
      <c r="D4967" t="s">
        <v>183</v>
      </c>
      <c r="E4967" t="s">
        <v>13</v>
      </c>
      <c r="F4967">
        <v>0.22336965799331665</v>
      </c>
    </row>
    <row r="4968" spans="2:6">
      <c r="B4968">
        <v>2015</v>
      </c>
      <c r="C4968" t="s">
        <v>62</v>
      </c>
      <c r="D4968" t="s">
        <v>183</v>
      </c>
      <c r="E4968" t="s">
        <v>14</v>
      </c>
      <c r="F4968">
        <v>0.75131618976593018</v>
      </c>
    </row>
    <row r="4969" spans="2:6">
      <c r="B4969">
        <v>2015</v>
      </c>
      <c r="C4969" t="s">
        <v>62</v>
      </c>
      <c r="D4969" t="s">
        <v>183</v>
      </c>
      <c r="E4969" t="s">
        <v>15</v>
      </c>
      <c r="F4969">
        <v>0.19105759263038635</v>
      </c>
    </row>
    <row r="4970" spans="2:6">
      <c r="B4970">
        <v>2016</v>
      </c>
      <c r="C4970" t="s">
        <v>62</v>
      </c>
      <c r="D4970" t="s">
        <v>183</v>
      </c>
      <c r="E4970" t="s">
        <v>7</v>
      </c>
      <c r="F4970">
        <v>7.6598434448242188</v>
      </c>
    </row>
    <row r="4971" spans="2:6">
      <c r="B4971">
        <v>2016</v>
      </c>
      <c r="C4971" t="s">
        <v>62</v>
      </c>
      <c r="D4971" t="s">
        <v>183</v>
      </c>
      <c r="E4971" t="s">
        <v>8</v>
      </c>
      <c r="F4971">
        <v>10.739903450012207</v>
      </c>
    </row>
    <row r="4972" spans="2:6">
      <c r="B4972">
        <v>2016</v>
      </c>
      <c r="C4972" t="s">
        <v>62</v>
      </c>
      <c r="D4972" t="s">
        <v>183</v>
      </c>
      <c r="E4972" t="s">
        <v>9</v>
      </c>
      <c r="F4972">
        <v>0.95394045114517212</v>
      </c>
    </row>
    <row r="4973" spans="2:6">
      <c r="B4973">
        <v>2016</v>
      </c>
      <c r="C4973" t="s">
        <v>62</v>
      </c>
      <c r="D4973" t="s">
        <v>183</v>
      </c>
      <c r="E4973" t="s">
        <v>10</v>
      </c>
      <c r="F4973">
        <v>71.699996948242188</v>
      </c>
    </row>
    <row r="4974" spans="2:6">
      <c r="B4974">
        <v>2016</v>
      </c>
      <c r="C4974" t="s">
        <v>62</v>
      </c>
      <c r="D4974" t="s">
        <v>183</v>
      </c>
      <c r="E4974" t="s">
        <v>11</v>
      </c>
      <c r="F4974">
        <v>0.94837218523025513</v>
      </c>
    </row>
    <row r="4975" spans="2:6">
      <c r="B4975">
        <v>2016</v>
      </c>
      <c r="C4975" t="s">
        <v>62</v>
      </c>
      <c r="D4975" t="s">
        <v>183</v>
      </c>
      <c r="E4975" t="s">
        <v>12</v>
      </c>
      <c r="F4975">
        <v>-2.6773840188980103E-2</v>
      </c>
    </row>
    <row r="4976" spans="2:6">
      <c r="B4976">
        <v>2016</v>
      </c>
      <c r="C4976" t="s">
        <v>62</v>
      </c>
      <c r="D4976" t="s">
        <v>183</v>
      </c>
      <c r="E4976" t="s">
        <v>13</v>
      </c>
      <c r="F4976">
        <v>0.24965956807136536</v>
      </c>
    </row>
    <row r="4977" spans="2:6">
      <c r="B4977">
        <v>2016</v>
      </c>
      <c r="C4977" t="s">
        <v>62</v>
      </c>
      <c r="D4977" t="s">
        <v>183</v>
      </c>
      <c r="E4977" t="s">
        <v>14</v>
      </c>
      <c r="F4977">
        <v>0.79732507467269897</v>
      </c>
    </row>
    <row r="4978" spans="2:6">
      <c r="B4978">
        <v>2016</v>
      </c>
      <c r="C4978" t="s">
        <v>62</v>
      </c>
      <c r="D4978" t="s">
        <v>183</v>
      </c>
      <c r="E4978" t="s">
        <v>15</v>
      </c>
      <c r="F4978">
        <v>0.18199844658374786</v>
      </c>
    </row>
    <row r="4979" spans="2:6">
      <c r="B4979">
        <v>2017</v>
      </c>
      <c r="C4979" t="s">
        <v>62</v>
      </c>
      <c r="D4979" t="s">
        <v>183</v>
      </c>
      <c r="E4979" t="s">
        <v>7</v>
      </c>
      <c r="F4979">
        <v>7.7882518768310547</v>
      </c>
    </row>
    <row r="4980" spans="2:6">
      <c r="B4980">
        <v>2017</v>
      </c>
      <c r="C4980" t="s">
        <v>62</v>
      </c>
      <c r="D4980" t="s">
        <v>183</v>
      </c>
      <c r="E4980" t="s">
        <v>8</v>
      </c>
      <c r="F4980">
        <v>10.768089294433594</v>
      </c>
    </row>
    <row r="4981" spans="2:6">
      <c r="B4981">
        <v>2017</v>
      </c>
      <c r="C4981" t="s">
        <v>62</v>
      </c>
      <c r="D4981" t="s">
        <v>183</v>
      </c>
      <c r="E4981" t="s">
        <v>9</v>
      </c>
      <c r="F4981">
        <v>0.96382641792297363</v>
      </c>
    </row>
    <row r="4982" spans="2:6">
      <c r="B4982">
        <v>2017</v>
      </c>
      <c r="C4982" t="s">
        <v>62</v>
      </c>
      <c r="D4982" t="s">
        <v>183</v>
      </c>
      <c r="E4982" t="s">
        <v>10</v>
      </c>
      <c r="F4982">
        <v>71.800003051757813</v>
      </c>
    </row>
    <row r="4983" spans="2:6">
      <c r="B4983">
        <v>2017</v>
      </c>
      <c r="C4983" t="s">
        <v>62</v>
      </c>
      <c r="D4983" t="s">
        <v>183</v>
      </c>
      <c r="E4983" t="s">
        <v>11</v>
      </c>
      <c r="F4983">
        <v>0.96219897270202637</v>
      </c>
    </row>
    <row r="4984" spans="2:6">
      <c r="B4984">
        <v>2017</v>
      </c>
      <c r="C4984" t="s">
        <v>62</v>
      </c>
      <c r="D4984" t="s">
        <v>183</v>
      </c>
      <c r="E4984" t="s">
        <v>12</v>
      </c>
      <c r="F4984">
        <v>-2.1344001870602369E-3</v>
      </c>
    </row>
    <row r="4985" spans="2:6">
      <c r="B4985">
        <v>2017</v>
      </c>
      <c r="C4985" t="s">
        <v>62</v>
      </c>
      <c r="D4985" t="s">
        <v>183</v>
      </c>
      <c r="E4985" t="s">
        <v>13</v>
      </c>
      <c r="F4985">
        <v>0.19241277873516083</v>
      </c>
    </row>
    <row r="4986" spans="2:6">
      <c r="B4986">
        <v>2017</v>
      </c>
      <c r="C4986" t="s">
        <v>62</v>
      </c>
      <c r="D4986" t="s">
        <v>183</v>
      </c>
      <c r="E4986" t="s">
        <v>14</v>
      </c>
      <c r="F4986">
        <v>0.78713709115982056</v>
      </c>
    </row>
    <row r="4987" spans="2:6">
      <c r="B4987">
        <v>2017</v>
      </c>
      <c r="C4987" t="s">
        <v>62</v>
      </c>
      <c r="D4987" t="s">
        <v>183</v>
      </c>
      <c r="E4987" t="s">
        <v>15</v>
      </c>
      <c r="F4987">
        <v>0.17606578767299652</v>
      </c>
    </row>
    <row r="4988" spans="2:6">
      <c r="B4988">
        <v>2018</v>
      </c>
      <c r="C4988" t="s">
        <v>62</v>
      </c>
      <c r="D4988" t="s">
        <v>183</v>
      </c>
      <c r="E4988" t="s">
        <v>7</v>
      </c>
      <c r="F4988">
        <v>7.8581070899963379</v>
      </c>
    </row>
    <row r="4989" spans="2:6">
      <c r="B4989">
        <v>2018</v>
      </c>
      <c r="C4989" t="s">
        <v>62</v>
      </c>
      <c r="D4989" t="s">
        <v>183</v>
      </c>
      <c r="E4989" t="s">
        <v>8</v>
      </c>
      <c r="F4989">
        <v>10.782932281494141</v>
      </c>
    </row>
    <row r="4990" spans="2:6">
      <c r="B4990">
        <v>2018</v>
      </c>
      <c r="C4990" t="s">
        <v>62</v>
      </c>
      <c r="D4990" t="s">
        <v>183</v>
      </c>
      <c r="E4990" t="s">
        <v>9</v>
      </c>
      <c r="F4990">
        <v>0.9621550440788269</v>
      </c>
    </row>
    <row r="4991" spans="2:6">
      <c r="B4991">
        <v>2018</v>
      </c>
      <c r="C4991" t="s">
        <v>62</v>
      </c>
      <c r="D4991" t="s">
        <v>183</v>
      </c>
      <c r="E4991" t="s">
        <v>10</v>
      </c>
      <c r="F4991">
        <v>71.900001525878906</v>
      </c>
    </row>
    <row r="4992" spans="2:6">
      <c r="B4992">
        <v>2018</v>
      </c>
      <c r="C4992" t="s">
        <v>62</v>
      </c>
      <c r="D4992" t="s">
        <v>183</v>
      </c>
      <c r="E4992" t="s">
        <v>11</v>
      </c>
      <c r="F4992">
        <v>0.93780738115310669</v>
      </c>
    </row>
    <row r="4993" spans="2:6">
      <c r="B4993">
        <v>2018</v>
      </c>
      <c r="C4993" t="s">
        <v>62</v>
      </c>
      <c r="D4993" t="s">
        <v>183</v>
      </c>
      <c r="E4993" t="s">
        <v>12</v>
      </c>
      <c r="F4993">
        <v>-0.12737974524497986</v>
      </c>
    </row>
    <row r="4994" spans="2:6">
      <c r="B4994">
        <v>2018</v>
      </c>
      <c r="C4994" t="s">
        <v>62</v>
      </c>
      <c r="D4994" t="s">
        <v>183</v>
      </c>
      <c r="E4994" t="s">
        <v>13</v>
      </c>
      <c r="F4994">
        <v>0.19860483705997467</v>
      </c>
    </row>
    <row r="4995" spans="2:6">
      <c r="B4995">
        <v>2018</v>
      </c>
      <c r="C4995" t="s">
        <v>62</v>
      </c>
      <c r="D4995" t="s">
        <v>183</v>
      </c>
      <c r="E4995" t="s">
        <v>14</v>
      </c>
      <c r="F4995">
        <v>0.78154641389846802</v>
      </c>
    </row>
    <row r="4996" spans="2:6">
      <c r="B4996">
        <v>2018</v>
      </c>
      <c r="C4996" t="s">
        <v>62</v>
      </c>
      <c r="D4996" t="s">
        <v>183</v>
      </c>
      <c r="E4996" t="s">
        <v>15</v>
      </c>
      <c r="F4996">
        <v>0.18178065121173859</v>
      </c>
    </row>
    <row r="4997" spans="2:6">
      <c r="B4997">
        <v>2019</v>
      </c>
      <c r="C4997" t="s">
        <v>62</v>
      </c>
      <c r="D4997" t="s">
        <v>183</v>
      </c>
      <c r="E4997" t="s">
        <v>7</v>
      </c>
      <c r="F4997">
        <v>7.7803478240966797</v>
      </c>
    </row>
    <row r="4998" spans="2:6">
      <c r="B4998">
        <v>2019</v>
      </c>
      <c r="C4998" t="s">
        <v>62</v>
      </c>
      <c r="D4998" t="s">
        <v>183</v>
      </c>
      <c r="E4998" t="s">
        <v>8</v>
      </c>
      <c r="F4998">
        <v>10.791812896728516</v>
      </c>
    </row>
    <row r="4999" spans="2:6">
      <c r="B4999">
        <v>2019</v>
      </c>
      <c r="C4999" t="s">
        <v>62</v>
      </c>
      <c r="D4999" t="s">
        <v>183</v>
      </c>
      <c r="E4999" t="s">
        <v>9</v>
      </c>
      <c r="F4999">
        <v>0.93741554021835327</v>
      </c>
    </row>
    <row r="5000" spans="2:6">
      <c r="B5000">
        <v>2019</v>
      </c>
      <c r="C5000" t="s">
        <v>62</v>
      </c>
      <c r="D5000" t="s">
        <v>183</v>
      </c>
      <c r="E5000" t="s">
        <v>10</v>
      </c>
      <c r="F5000">
        <v>72</v>
      </c>
    </row>
    <row r="5001" spans="2:6">
      <c r="B5001">
        <v>2019</v>
      </c>
      <c r="C5001" t="s">
        <v>62</v>
      </c>
      <c r="D5001" t="s">
        <v>183</v>
      </c>
      <c r="E5001" t="s">
        <v>11</v>
      </c>
      <c r="F5001">
        <v>0.94761669635772705</v>
      </c>
    </row>
    <row r="5002" spans="2:6">
      <c r="B5002">
        <v>2019</v>
      </c>
      <c r="C5002" t="s">
        <v>62</v>
      </c>
      <c r="D5002" t="s">
        <v>183</v>
      </c>
      <c r="E5002" t="s">
        <v>12</v>
      </c>
      <c r="F5002">
        <v>-5.152498185634613E-2</v>
      </c>
    </row>
    <row r="5003" spans="2:6">
      <c r="B5003">
        <v>2019</v>
      </c>
      <c r="C5003" t="s">
        <v>62</v>
      </c>
      <c r="D5003" t="s">
        <v>183</v>
      </c>
      <c r="E5003" t="s">
        <v>13</v>
      </c>
      <c r="F5003">
        <v>0.19533842802047729</v>
      </c>
    </row>
    <row r="5004" spans="2:6">
      <c r="B5004">
        <v>2019</v>
      </c>
      <c r="C5004" t="s">
        <v>62</v>
      </c>
      <c r="D5004" t="s">
        <v>183</v>
      </c>
      <c r="E5004" t="s">
        <v>14</v>
      </c>
      <c r="F5004">
        <v>0.75521034002304077</v>
      </c>
    </row>
    <row r="5005" spans="2:6">
      <c r="B5005">
        <v>2019</v>
      </c>
      <c r="C5005" t="s">
        <v>62</v>
      </c>
      <c r="D5005" t="s">
        <v>183</v>
      </c>
      <c r="E5005" t="s">
        <v>15</v>
      </c>
      <c r="F5005">
        <v>0.18073287606239319</v>
      </c>
    </row>
    <row r="5006" spans="2:6">
      <c r="B5006">
        <v>2020</v>
      </c>
      <c r="C5006" t="s">
        <v>62</v>
      </c>
      <c r="D5006" t="s">
        <v>183</v>
      </c>
      <c r="E5006" t="s">
        <v>7</v>
      </c>
      <c r="F5006">
        <v>7.8893499374389648</v>
      </c>
    </row>
    <row r="5007" spans="2:6">
      <c r="B5007">
        <v>2020</v>
      </c>
      <c r="C5007" t="s">
        <v>62</v>
      </c>
      <c r="D5007" t="s">
        <v>183</v>
      </c>
      <c r="E5007" t="s">
        <v>8</v>
      </c>
      <c r="F5007">
        <v>10.750446319580078</v>
      </c>
    </row>
    <row r="5008" spans="2:6">
      <c r="B5008">
        <v>2020</v>
      </c>
      <c r="C5008" t="s">
        <v>62</v>
      </c>
      <c r="D5008" t="s">
        <v>183</v>
      </c>
      <c r="E5008" t="s">
        <v>9</v>
      </c>
      <c r="F5008">
        <v>0.9616207480430603</v>
      </c>
    </row>
    <row r="5009" spans="2:6">
      <c r="B5009">
        <v>2020</v>
      </c>
      <c r="C5009" t="s">
        <v>62</v>
      </c>
      <c r="D5009" t="s">
        <v>183</v>
      </c>
      <c r="E5009" t="s">
        <v>10</v>
      </c>
      <c r="F5009">
        <v>72.099998474121094</v>
      </c>
    </row>
    <row r="5010" spans="2:6">
      <c r="B5010">
        <v>2020</v>
      </c>
      <c r="C5010" t="s">
        <v>62</v>
      </c>
      <c r="D5010" t="s">
        <v>183</v>
      </c>
      <c r="E5010" t="s">
        <v>11</v>
      </c>
      <c r="F5010">
        <v>0.96242368221282959</v>
      </c>
    </row>
    <row r="5011" spans="2:6">
      <c r="B5011">
        <v>2020</v>
      </c>
      <c r="C5011" t="s">
        <v>62</v>
      </c>
      <c r="D5011" t="s">
        <v>183</v>
      </c>
      <c r="E5011" t="s">
        <v>12</v>
      </c>
      <c r="F5011">
        <v>-0.11553198844194412</v>
      </c>
    </row>
    <row r="5012" spans="2:6">
      <c r="B5012">
        <v>2020</v>
      </c>
      <c r="C5012" t="s">
        <v>62</v>
      </c>
      <c r="D5012" t="s">
        <v>183</v>
      </c>
      <c r="E5012" t="s">
        <v>13</v>
      </c>
      <c r="F5012">
        <v>0.16363589465618134</v>
      </c>
    </row>
    <row r="5013" spans="2:6">
      <c r="B5013">
        <v>2020</v>
      </c>
      <c r="C5013" t="s">
        <v>62</v>
      </c>
      <c r="D5013" t="s">
        <v>183</v>
      </c>
      <c r="E5013" t="s">
        <v>14</v>
      </c>
      <c r="F5013">
        <v>0.74429219961166382</v>
      </c>
    </row>
    <row r="5014" spans="2:6">
      <c r="B5014">
        <v>2020</v>
      </c>
      <c r="C5014" t="s">
        <v>62</v>
      </c>
      <c r="D5014" t="s">
        <v>183</v>
      </c>
      <c r="E5014" t="s">
        <v>15</v>
      </c>
      <c r="F5014">
        <v>0.19289757311344147</v>
      </c>
    </row>
    <row r="5015" spans="2:6">
      <c r="B5015">
        <v>2005</v>
      </c>
      <c r="C5015" t="s">
        <v>63</v>
      </c>
      <c r="D5015" t="s">
        <v>183</v>
      </c>
      <c r="E5015" t="s">
        <v>7</v>
      </c>
      <c r="F5015">
        <v>7.0933928489685059</v>
      </c>
    </row>
    <row r="5016" spans="2:6">
      <c r="B5016">
        <v>2005</v>
      </c>
      <c r="C5016" t="s">
        <v>63</v>
      </c>
      <c r="D5016" t="s">
        <v>183</v>
      </c>
      <c r="E5016" t="s">
        <v>8</v>
      </c>
      <c r="F5016">
        <v>10.641690254211426</v>
      </c>
    </row>
    <row r="5017" spans="2:6">
      <c r="B5017">
        <v>2005</v>
      </c>
      <c r="C5017" t="s">
        <v>63</v>
      </c>
      <c r="D5017" t="s">
        <v>183</v>
      </c>
      <c r="E5017" t="s">
        <v>9</v>
      </c>
      <c r="F5017">
        <v>0.94033825397491455</v>
      </c>
    </row>
    <row r="5018" spans="2:6">
      <c r="B5018">
        <v>2005</v>
      </c>
      <c r="C5018" t="s">
        <v>63</v>
      </c>
      <c r="D5018" t="s">
        <v>183</v>
      </c>
      <c r="E5018" t="s">
        <v>10</v>
      </c>
      <c r="F5018">
        <v>71.300003051757813</v>
      </c>
    </row>
    <row r="5019" spans="2:6">
      <c r="B5019">
        <v>2005</v>
      </c>
      <c r="C5019" t="s">
        <v>63</v>
      </c>
      <c r="D5019" t="s">
        <v>183</v>
      </c>
      <c r="E5019" t="s">
        <v>11</v>
      </c>
      <c r="F5019">
        <v>0.89481925964355469</v>
      </c>
    </row>
    <row r="5020" spans="2:6">
      <c r="B5020">
        <v>2005</v>
      </c>
      <c r="C5020" t="s">
        <v>63</v>
      </c>
      <c r="D5020" t="s">
        <v>183</v>
      </c>
      <c r="E5020" t="s">
        <v>13</v>
      </c>
      <c r="F5020">
        <v>0.68785083293914795</v>
      </c>
    </row>
    <row r="5021" spans="2:6">
      <c r="B5021">
        <v>2005</v>
      </c>
      <c r="C5021" t="s">
        <v>63</v>
      </c>
      <c r="D5021" t="s">
        <v>183</v>
      </c>
      <c r="E5021" t="s">
        <v>14</v>
      </c>
      <c r="F5021">
        <v>0.76898825168609619</v>
      </c>
    </row>
    <row r="5022" spans="2:6">
      <c r="B5022">
        <v>2005</v>
      </c>
      <c r="C5022" t="s">
        <v>63</v>
      </c>
      <c r="D5022" t="s">
        <v>183</v>
      </c>
      <c r="E5022" t="s">
        <v>15</v>
      </c>
      <c r="F5022">
        <v>0.22509419918060303</v>
      </c>
    </row>
    <row r="5023" spans="2:6">
      <c r="B5023">
        <v>2006</v>
      </c>
      <c r="C5023" t="s">
        <v>63</v>
      </c>
      <c r="D5023" t="s">
        <v>183</v>
      </c>
      <c r="E5023" t="s">
        <v>7</v>
      </c>
      <c r="F5023">
        <v>6.582700252532959</v>
      </c>
    </row>
    <row r="5024" spans="2:6">
      <c r="B5024">
        <v>2006</v>
      </c>
      <c r="C5024" t="s">
        <v>63</v>
      </c>
      <c r="D5024" t="s">
        <v>183</v>
      </c>
      <c r="E5024" t="s">
        <v>8</v>
      </c>
      <c r="F5024">
        <v>10.658916473388672</v>
      </c>
    </row>
    <row r="5025" spans="2:6">
      <c r="B5025">
        <v>2006</v>
      </c>
      <c r="C5025" t="s">
        <v>63</v>
      </c>
      <c r="D5025" t="s">
        <v>183</v>
      </c>
      <c r="E5025" t="s">
        <v>9</v>
      </c>
      <c r="F5025">
        <v>0.94392907619476318</v>
      </c>
    </row>
    <row r="5026" spans="2:6">
      <c r="B5026">
        <v>2006</v>
      </c>
      <c r="C5026" t="s">
        <v>63</v>
      </c>
      <c r="D5026" t="s">
        <v>183</v>
      </c>
      <c r="E5026" t="s">
        <v>10</v>
      </c>
      <c r="F5026">
        <v>71.480003356933594</v>
      </c>
    </row>
    <row r="5027" spans="2:6">
      <c r="B5027">
        <v>2006</v>
      </c>
      <c r="C5027" t="s">
        <v>63</v>
      </c>
      <c r="D5027" t="s">
        <v>183</v>
      </c>
      <c r="E5027" t="s">
        <v>11</v>
      </c>
      <c r="F5027">
        <v>0.78912073373794556</v>
      </c>
    </row>
    <row r="5028" spans="2:6">
      <c r="B5028">
        <v>2006</v>
      </c>
      <c r="C5028" t="s">
        <v>63</v>
      </c>
      <c r="D5028" t="s">
        <v>183</v>
      </c>
      <c r="E5028" t="s">
        <v>12</v>
      </c>
      <c r="F5028">
        <v>0.1260448545217514</v>
      </c>
    </row>
    <row r="5029" spans="2:6">
      <c r="B5029">
        <v>2006</v>
      </c>
      <c r="C5029" t="s">
        <v>63</v>
      </c>
      <c r="D5029" t="s">
        <v>183</v>
      </c>
      <c r="E5029" t="s">
        <v>13</v>
      </c>
      <c r="F5029">
        <v>0.69927012920379639</v>
      </c>
    </row>
    <row r="5030" spans="2:6">
      <c r="B5030">
        <v>2006</v>
      </c>
      <c r="C5030" t="s">
        <v>63</v>
      </c>
      <c r="D5030" t="s">
        <v>183</v>
      </c>
      <c r="E5030" t="s">
        <v>14</v>
      </c>
      <c r="F5030">
        <v>0.77740222215652466</v>
      </c>
    </row>
    <row r="5031" spans="2:6">
      <c r="B5031">
        <v>2006</v>
      </c>
      <c r="C5031" t="s">
        <v>63</v>
      </c>
      <c r="D5031" t="s">
        <v>183</v>
      </c>
      <c r="E5031" t="s">
        <v>15</v>
      </c>
      <c r="F5031">
        <v>0.28868243098258972</v>
      </c>
    </row>
    <row r="5032" spans="2:6">
      <c r="B5032">
        <v>2008</v>
      </c>
      <c r="C5032" t="s">
        <v>63</v>
      </c>
      <c r="D5032" t="s">
        <v>183</v>
      </c>
      <c r="E5032" t="s">
        <v>7</v>
      </c>
      <c r="F5032">
        <v>7.0080647468566895</v>
      </c>
    </row>
    <row r="5033" spans="2:6">
      <c r="B5033">
        <v>2008</v>
      </c>
      <c r="C5033" t="s">
        <v>63</v>
      </c>
      <c r="D5033" t="s">
        <v>183</v>
      </c>
      <c r="E5033" t="s">
        <v>8</v>
      </c>
      <c r="F5033">
        <v>10.67364501953125</v>
      </c>
    </row>
    <row r="5034" spans="2:6">
      <c r="B5034">
        <v>2008</v>
      </c>
      <c r="C5034" t="s">
        <v>63</v>
      </c>
      <c r="D5034" t="s">
        <v>183</v>
      </c>
      <c r="E5034" t="s">
        <v>9</v>
      </c>
      <c r="F5034">
        <v>0.93535059690475464</v>
      </c>
    </row>
    <row r="5035" spans="2:6">
      <c r="B5035">
        <v>2008</v>
      </c>
      <c r="C5035" t="s">
        <v>63</v>
      </c>
      <c r="D5035" t="s">
        <v>183</v>
      </c>
      <c r="E5035" t="s">
        <v>10</v>
      </c>
      <c r="F5035">
        <v>71.839996337890625</v>
      </c>
    </row>
    <row r="5036" spans="2:6">
      <c r="B5036">
        <v>2008</v>
      </c>
      <c r="C5036" t="s">
        <v>63</v>
      </c>
      <c r="D5036" t="s">
        <v>183</v>
      </c>
      <c r="E5036" t="s">
        <v>11</v>
      </c>
      <c r="F5036">
        <v>0.83332711458206177</v>
      </c>
    </row>
    <row r="5037" spans="2:6">
      <c r="B5037">
        <v>2008</v>
      </c>
      <c r="C5037" t="s">
        <v>63</v>
      </c>
      <c r="D5037" t="s">
        <v>183</v>
      </c>
      <c r="E5037" t="s">
        <v>12</v>
      </c>
      <c r="F5037">
        <v>-3.1021237373352051E-2</v>
      </c>
    </row>
    <row r="5038" spans="2:6">
      <c r="B5038">
        <v>2008</v>
      </c>
      <c r="C5038" t="s">
        <v>63</v>
      </c>
      <c r="D5038" t="s">
        <v>183</v>
      </c>
      <c r="E5038" t="s">
        <v>13</v>
      </c>
      <c r="F5038">
        <v>0.66887581348419189</v>
      </c>
    </row>
    <row r="5039" spans="2:6">
      <c r="B5039">
        <v>2008</v>
      </c>
      <c r="C5039" t="s">
        <v>63</v>
      </c>
      <c r="D5039" t="s">
        <v>183</v>
      </c>
      <c r="E5039" t="s">
        <v>14</v>
      </c>
      <c r="F5039">
        <v>0.74567151069641113</v>
      </c>
    </row>
    <row r="5040" spans="2:6">
      <c r="B5040">
        <v>2008</v>
      </c>
      <c r="C5040" t="s">
        <v>63</v>
      </c>
      <c r="D5040" t="s">
        <v>183</v>
      </c>
      <c r="E5040" t="s">
        <v>15</v>
      </c>
      <c r="F5040">
        <v>0.2806192934513092</v>
      </c>
    </row>
    <row r="5041" spans="2:6">
      <c r="B5041">
        <v>2009</v>
      </c>
      <c r="C5041" t="s">
        <v>63</v>
      </c>
      <c r="D5041" t="s">
        <v>183</v>
      </c>
      <c r="E5041" t="s">
        <v>7</v>
      </c>
      <c r="F5041">
        <v>6.2834982872009277</v>
      </c>
    </row>
    <row r="5042" spans="2:6">
      <c r="B5042">
        <v>2009</v>
      </c>
      <c r="C5042" t="s">
        <v>63</v>
      </c>
      <c r="D5042" t="s">
        <v>183</v>
      </c>
      <c r="E5042" t="s">
        <v>8</v>
      </c>
      <c r="F5042">
        <v>10.639346122741699</v>
      </c>
    </row>
    <row r="5043" spans="2:6">
      <c r="B5043">
        <v>2009</v>
      </c>
      <c r="C5043" t="s">
        <v>63</v>
      </c>
      <c r="D5043" t="s">
        <v>183</v>
      </c>
      <c r="E5043" t="s">
        <v>9</v>
      </c>
      <c r="F5043">
        <v>0.91815853118896484</v>
      </c>
    </row>
    <row r="5044" spans="2:6">
      <c r="B5044">
        <v>2009</v>
      </c>
      <c r="C5044" t="s">
        <v>63</v>
      </c>
      <c r="D5044" t="s">
        <v>183</v>
      </c>
      <c r="E5044" t="s">
        <v>10</v>
      </c>
      <c r="F5044">
        <v>72.019996643066406</v>
      </c>
    </row>
    <row r="5045" spans="2:6">
      <c r="B5045">
        <v>2009</v>
      </c>
      <c r="C5045" t="s">
        <v>63</v>
      </c>
      <c r="D5045" t="s">
        <v>183</v>
      </c>
      <c r="E5045" t="s">
        <v>11</v>
      </c>
      <c r="F5045">
        <v>0.79821318387985229</v>
      </c>
    </row>
    <row r="5046" spans="2:6">
      <c r="B5046">
        <v>2009</v>
      </c>
      <c r="C5046" t="s">
        <v>63</v>
      </c>
      <c r="D5046" t="s">
        <v>183</v>
      </c>
      <c r="E5046" t="s">
        <v>12</v>
      </c>
      <c r="F5046">
        <v>-8.1895627081394196E-2</v>
      </c>
    </row>
    <row r="5047" spans="2:6">
      <c r="B5047">
        <v>2009</v>
      </c>
      <c r="C5047" t="s">
        <v>63</v>
      </c>
      <c r="D5047" t="s">
        <v>183</v>
      </c>
      <c r="E5047" t="s">
        <v>13</v>
      </c>
      <c r="F5047">
        <v>0.65416818857192993</v>
      </c>
    </row>
    <row r="5048" spans="2:6">
      <c r="B5048">
        <v>2009</v>
      </c>
      <c r="C5048" t="s">
        <v>63</v>
      </c>
      <c r="D5048" t="s">
        <v>183</v>
      </c>
      <c r="E5048" t="s">
        <v>14</v>
      </c>
      <c r="F5048">
        <v>0.76293927431106567</v>
      </c>
    </row>
    <row r="5049" spans="2:6">
      <c r="B5049">
        <v>2009</v>
      </c>
      <c r="C5049" t="s">
        <v>63</v>
      </c>
      <c r="D5049" t="s">
        <v>183</v>
      </c>
      <c r="E5049" t="s">
        <v>15</v>
      </c>
      <c r="F5049">
        <v>0.30336660146713257</v>
      </c>
    </row>
    <row r="5050" spans="2:6">
      <c r="B5050">
        <v>2010</v>
      </c>
      <c r="C5050" t="s">
        <v>63</v>
      </c>
      <c r="D5050" t="s">
        <v>183</v>
      </c>
      <c r="E5050" t="s">
        <v>7</v>
      </c>
      <c r="F5050">
        <v>6.7979011535644531</v>
      </c>
    </row>
    <row r="5051" spans="2:6">
      <c r="B5051">
        <v>2010</v>
      </c>
      <c r="C5051" t="s">
        <v>63</v>
      </c>
      <c r="D5051" t="s">
        <v>183</v>
      </c>
      <c r="E5051" t="s">
        <v>8</v>
      </c>
      <c r="F5051">
        <v>10.653713226318359</v>
      </c>
    </row>
    <row r="5052" spans="2:6">
      <c r="B5052">
        <v>2010</v>
      </c>
      <c r="C5052" t="s">
        <v>63</v>
      </c>
      <c r="D5052" t="s">
        <v>183</v>
      </c>
      <c r="E5052" t="s">
        <v>9</v>
      </c>
      <c r="F5052">
        <v>0.94295477867126465</v>
      </c>
    </row>
    <row r="5053" spans="2:6">
      <c r="B5053">
        <v>2010</v>
      </c>
      <c r="C5053" t="s">
        <v>63</v>
      </c>
      <c r="D5053" t="s">
        <v>183</v>
      </c>
      <c r="E5053" t="s">
        <v>10</v>
      </c>
      <c r="F5053">
        <v>72.199996948242188</v>
      </c>
    </row>
    <row r="5054" spans="2:6">
      <c r="B5054">
        <v>2010</v>
      </c>
      <c r="C5054" t="s">
        <v>63</v>
      </c>
      <c r="D5054" t="s">
        <v>183</v>
      </c>
      <c r="E5054" t="s">
        <v>11</v>
      </c>
      <c r="F5054">
        <v>0.84970217943191528</v>
      </c>
    </row>
    <row r="5055" spans="2:6">
      <c r="B5055">
        <v>2010</v>
      </c>
      <c r="C5055" t="s">
        <v>63</v>
      </c>
      <c r="D5055" t="s">
        <v>183</v>
      </c>
      <c r="E5055" t="s">
        <v>12</v>
      </c>
      <c r="F5055">
        <v>-0.10351292043924332</v>
      </c>
    </row>
    <row r="5056" spans="2:6">
      <c r="B5056">
        <v>2010</v>
      </c>
      <c r="C5056" t="s">
        <v>63</v>
      </c>
      <c r="D5056" t="s">
        <v>183</v>
      </c>
      <c r="E5056" t="s">
        <v>13</v>
      </c>
      <c r="F5056">
        <v>0.62295424938201904</v>
      </c>
    </row>
    <row r="5057" spans="2:6">
      <c r="B5057">
        <v>2010</v>
      </c>
      <c r="C5057" t="s">
        <v>63</v>
      </c>
      <c r="D5057" t="s">
        <v>183</v>
      </c>
      <c r="E5057" t="s">
        <v>14</v>
      </c>
      <c r="F5057">
        <v>0.78972411155700684</v>
      </c>
    </row>
    <row r="5058" spans="2:6">
      <c r="B5058">
        <v>2010</v>
      </c>
      <c r="C5058" t="s">
        <v>63</v>
      </c>
      <c r="D5058" t="s">
        <v>183</v>
      </c>
      <c r="E5058" t="s">
        <v>15</v>
      </c>
      <c r="F5058">
        <v>0.26056811213493347</v>
      </c>
    </row>
    <row r="5059" spans="2:6">
      <c r="B5059">
        <v>2011</v>
      </c>
      <c r="C5059" t="s">
        <v>63</v>
      </c>
      <c r="D5059" t="s">
        <v>183</v>
      </c>
      <c r="E5059" t="s">
        <v>7</v>
      </c>
      <c r="F5059">
        <v>6.9591851234436035</v>
      </c>
    </row>
    <row r="5060" spans="2:6">
      <c r="B5060">
        <v>2011</v>
      </c>
      <c r="C5060" t="s">
        <v>63</v>
      </c>
      <c r="D5060" t="s">
        <v>183</v>
      </c>
      <c r="E5060" t="s">
        <v>8</v>
      </c>
      <c r="F5060">
        <v>10.670566558837891</v>
      </c>
    </row>
    <row r="5061" spans="2:6">
      <c r="B5061">
        <v>2011</v>
      </c>
      <c r="C5061" t="s">
        <v>63</v>
      </c>
      <c r="D5061" t="s">
        <v>183</v>
      </c>
      <c r="E5061" t="s">
        <v>9</v>
      </c>
      <c r="F5061">
        <v>0.92128556966781616</v>
      </c>
    </row>
    <row r="5062" spans="2:6">
      <c r="B5062">
        <v>2011</v>
      </c>
      <c r="C5062" t="s">
        <v>63</v>
      </c>
      <c r="D5062" t="s">
        <v>183</v>
      </c>
      <c r="E5062" t="s">
        <v>10</v>
      </c>
      <c r="F5062">
        <v>72.400001525878906</v>
      </c>
    </row>
    <row r="5063" spans="2:6">
      <c r="B5063">
        <v>2011</v>
      </c>
      <c r="C5063" t="s">
        <v>63</v>
      </c>
      <c r="D5063" t="s">
        <v>183</v>
      </c>
      <c r="E5063" t="s">
        <v>11</v>
      </c>
      <c r="F5063">
        <v>0.90336662530899048</v>
      </c>
    </row>
    <row r="5064" spans="2:6">
      <c r="B5064">
        <v>2011</v>
      </c>
      <c r="C5064" t="s">
        <v>63</v>
      </c>
      <c r="D5064" t="s">
        <v>183</v>
      </c>
      <c r="E5064" t="s">
        <v>12</v>
      </c>
      <c r="F5064">
        <v>-0.10244525223970413</v>
      </c>
    </row>
    <row r="5065" spans="2:6">
      <c r="B5065">
        <v>2011</v>
      </c>
      <c r="C5065" t="s">
        <v>63</v>
      </c>
      <c r="D5065" t="s">
        <v>183</v>
      </c>
      <c r="E5065" t="s">
        <v>13</v>
      </c>
      <c r="F5065">
        <v>0.62662452459335327</v>
      </c>
    </row>
    <row r="5066" spans="2:6">
      <c r="B5066">
        <v>2011</v>
      </c>
      <c r="C5066" t="s">
        <v>63</v>
      </c>
      <c r="D5066" t="s">
        <v>183</v>
      </c>
      <c r="E5066" t="s">
        <v>14</v>
      </c>
      <c r="F5066">
        <v>0.78080940246582031</v>
      </c>
    </row>
    <row r="5067" spans="2:6">
      <c r="B5067">
        <v>2011</v>
      </c>
      <c r="C5067" t="s">
        <v>63</v>
      </c>
      <c r="D5067" t="s">
        <v>183</v>
      </c>
      <c r="E5067" t="s">
        <v>15</v>
      </c>
      <c r="F5067">
        <v>0.28099477291107178</v>
      </c>
    </row>
    <row r="5068" spans="2:6">
      <c r="B5068">
        <v>2012</v>
      </c>
      <c r="C5068" t="s">
        <v>63</v>
      </c>
      <c r="D5068" t="s">
        <v>183</v>
      </c>
      <c r="E5068" t="s">
        <v>7</v>
      </c>
      <c r="F5068">
        <v>6.6493654251098633</v>
      </c>
    </row>
    <row r="5069" spans="2:6">
      <c r="B5069">
        <v>2012</v>
      </c>
      <c r="C5069" t="s">
        <v>63</v>
      </c>
      <c r="D5069" t="s">
        <v>183</v>
      </c>
      <c r="E5069" t="s">
        <v>8</v>
      </c>
      <c r="F5069">
        <v>10.668852806091309</v>
      </c>
    </row>
    <row r="5070" spans="2:6">
      <c r="B5070">
        <v>2012</v>
      </c>
      <c r="C5070" t="s">
        <v>63</v>
      </c>
      <c r="D5070" t="s">
        <v>183</v>
      </c>
      <c r="E5070" t="s">
        <v>9</v>
      </c>
      <c r="F5070">
        <v>0.93709743022918701</v>
      </c>
    </row>
    <row r="5071" spans="2:6">
      <c r="B5071">
        <v>2012</v>
      </c>
      <c r="C5071" t="s">
        <v>63</v>
      </c>
      <c r="D5071" t="s">
        <v>183</v>
      </c>
      <c r="E5071" t="s">
        <v>10</v>
      </c>
      <c r="F5071">
        <v>72.599998474121094</v>
      </c>
    </row>
    <row r="5072" spans="2:6">
      <c r="B5072">
        <v>2012</v>
      </c>
      <c r="C5072" t="s">
        <v>63</v>
      </c>
      <c r="D5072" t="s">
        <v>183</v>
      </c>
      <c r="E5072" t="s">
        <v>11</v>
      </c>
      <c r="F5072">
        <v>0.84132033586502075</v>
      </c>
    </row>
    <row r="5073" spans="2:6">
      <c r="B5073">
        <v>2012</v>
      </c>
      <c r="C5073" t="s">
        <v>63</v>
      </c>
      <c r="D5073" t="s">
        <v>183</v>
      </c>
      <c r="E5073" t="s">
        <v>12</v>
      </c>
      <c r="F5073">
        <v>-0.14906515181064606</v>
      </c>
    </row>
    <row r="5074" spans="2:6">
      <c r="B5074">
        <v>2012</v>
      </c>
      <c r="C5074" t="s">
        <v>63</v>
      </c>
      <c r="D5074" t="s">
        <v>183</v>
      </c>
      <c r="E5074" t="s">
        <v>13</v>
      </c>
      <c r="F5074">
        <v>0.60790526866912842</v>
      </c>
    </row>
    <row r="5075" spans="2:6">
      <c r="B5075">
        <v>2012</v>
      </c>
      <c r="C5075" t="s">
        <v>63</v>
      </c>
      <c r="D5075" t="s">
        <v>183</v>
      </c>
      <c r="E5075" t="s">
        <v>14</v>
      </c>
      <c r="F5075">
        <v>0.75411957502365112</v>
      </c>
    </row>
    <row r="5076" spans="2:6">
      <c r="B5076">
        <v>2012</v>
      </c>
      <c r="C5076" t="s">
        <v>63</v>
      </c>
      <c r="D5076" t="s">
        <v>183</v>
      </c>
      <c r="E5076" t="s">
        <v>15</v>
      </c>
      <c r="F5076">
        <v>0.25298801064491272</v>
      </c>
    </row>
    <row r="5077" spans="2:6">
      <c r="B5077">
        <v>2013</v>
      </c>
      <c r="C5077" t="s">
        <v>63</v>
      </c>
      <c r="D5077" t="s">
        <v>183</v>
      </c>
      <c r="E5077" t="s">
        <v>7</v>
      </c>
      <c r="F5077">
        <v>6.667121410369873</v>
      </c>
    </row>
    <row r="5078" spans="2:6">
      <c r="B5078">
        <v>2013</v>
      </c>
      <c r="C5078" t="s">
        <v>63</v>
      </c>
      <c r="D5078" t="s">
        <v>183</v>
      </c>
      <c r="E5078" t="s">
        <v>8</v>
      </c>
      <c r="F5078">
        <v>10.669451713562012</v>
      </c>
    </row>
    <row r="5079" spans="2:6">
      <c r="B5079">
        <v>2013</v>
      </c>
      <c r="C5079" t="s">
        <v>63</v>
      </c>
      <c r="D5079" t="s">
        <v>183</v>
      </c>
      <c r="E5079" t="s">
        <v>9</v>
      </c>
      <c r="F5079">
        <v>0.90769082307815552</v>
      </c>
    </row>
    <row r="5080" spans="2:6">
      <c r="B5080">
        <v>2013</v>
      </c>
      <c r="C5080" t="s">
        <v>63</v>
      </c>
      <c r="D5080" t="s">
        <v>183</v>
      </c>
      <c r="E5080" t="s">
        <v>10</v>
      </c>
      <c r="F5080">
        <v>72.800003051757813</v>
      </c>
    </row>
    <row r="5081" spans="2:6">
      <c r="B5081">
        <v>2013</v>
      </c>
      <c r="C5081" t="s">
        <v>63</v>
      </c>
      <c r="D5081" t="s">
        <v>183</v>
      </c>
      <c r="E5081" t="s">
        <v>11</v>
      </c>
      <c r="F5081">
        <v>0.8777957558631897</v>
      </c>
    </row>
    <row r="5082" spans="2:6">
      <c r="B5082">
        <v>2013</v>
      </c>
      <c r="C5082" t="s">
        <v>63</v>
      </c>
      <c r="D5082" t="s">
        <v>183</v>
      </c>
      <c r="E5082" t="s">
        <v>12</v>
      </c>
      <c r="F5082">
        <v>-0.12451435625553131</v>
      </c>
    </row>
    <row r="5083" spans="2:6">
      <c r="B5083">
        <v>2013</v>
      </c>
      <c r="C5083" t="s">
        <v>63</v>
      </c>
      <c r="D5083" t="s">
        <v>183</v>
      </c>
      <c r="E5083" t="s">
        <v>13</v>
      </c>
      <c r="F5083">
        <v>0.69906938076019287</v>
      </c>
    </row>
    <row r="5084" spans="2:6">
      <c r="B5084">
        <v>2013</v>
      </c>
      <c r="C5084" t="s">
        <v>63</v>
      </c>
      <c r="D5084" t="s">
        <v>183</v>
      </c>
      <c r="E5084" t="s">
        <v>14</v>
      </c>
      <c r="F5084">
        <v>0.80013608932495117</v>
      </c>
    </row>
    <row r="5085" spans="2:6">
      <c r="B5085">
        <v>2013</v>
      </c>
      <c r="C5085" t="s">
        <v>63</v>
      </c>
      <c r="D5085" t="s">
        <v>183</v>
      </c>
      <c r="E5085" t="s">
        <v>15</v>
      </c>
      <c r="F5085">
        <v>0.20496968924999237</v>
      </c>
    </row>
    <row r="5086" spans="2:6">
      <c r="B5086">
        <v>2014</v>
      </c>
      <c r="C5086" t="s">
        <v>63</v>
      </c>
      <c r="D5086" t="s">
        <v>183</v>
      </c>
      <c r="E5086" t="s">
        <v>7</v>
      </c>
      <c r="F5086">
        <v>6.4668679237365723</v>
      </c>
    </row>
    <row r="5087" spans="2:6">
      <c r="B5087">
        <v>2014</v>
      </c>
      <c r="C5087" t="s">
        <v>63</v>
      </c>
      <c r="D5087" t="s">
        <v>183</v>
      </c>
      <c r="E5087" t="s">
        <v>8</v>
      </c>
      <c r="F5087">
        <v>10.67423152923584</v>
      </c>
    </row>
    <row r="5088" spans="2:6">
      <c r="B5088">
        <v>2014</v>
      </c>
      <c r="C5088" t="s">
        <v>63</v>
      </c>
      <c r="D5088" t="s">
        <v>183</v>
      </c>
      <c r="E5088" t="s">
        <v>9</v>
      </c>
      <c r="F5088">
        <v>0.87750452756881714</v>
      </c>
    </row>
    <row r="5089" spans="2:6">
      <c r="B5089">
        <v>2014</v>
      </c>
      <c r="C5089" t="s">
        <v>63</v>
      </c>
      <c r="D5089" t="s">
        <v>183</v>
      </c>
      <c r="E5089" t="s">
        <v>10</v>
      </c>
      <c r="F5089">
        <v>73</v>
      </c>
    </row>
    <row r="5090" spans="2:6">
      <c r="B5090">
        <v>2014</v>
      </c>
      <c r="C5090" t="s">
        <v>63</v>
      </c>
      <c r="D5090" t="s">
        <v>183</v>
      </c>
      <c r="E5090" t="s">
        <v>11</v>
      </c>
      <c r="F5090">
        <v>0.80347418785095215</v>
      </c>
    </row>
    <row r="5091" spans="2:6">
      <c r="B5091">
        <v>2014</v>
      </c>
      <c r="C5091" t="s">
        <v>63</v>
      </c>
      <c r="D5091" t="s">
        <v>183</v>
      </c>
      <c r="E5091" t="s">
        <v>12</v>
      </c>
      <c r="F5091">
        <v>-0.11809655278921127</v>
      </c>
    </row>
    <row r="5092" spans="2:6">
      <c r="B5092">
        <v>2014</v>
      </c>
      <c r="C5092" t="s">
        <v>63</v>
      </c>
      <c r="D5092" t="s">
        <v>183</v>
      </c>
      <c r="E5092" t="s">
        <v>13</v>
      </c>
      <c r="F5092">
        <v>0.65563744306564331</v>
      </c>
    </row>
    <row r="5093" spans="2:6">
      <c r="B5093">
        <v>2014</v>
      </c>
      <c r="C5093" t="s">
        <v>63</v>
      </c>
      <c r="D5093" t="s">
        <v>183</v>
      </c>
      <c r="E5093" t="s">
        <v>14</v>
      </c>
      <c r="F5093">
        <v>0.81105446815490723</v>
      </c>
    </row>
    <row r="5094" spans="2:6">
      <c r="B5094">
        <v>2014</v>
      </c>
      <c r="C5094" t="s">
        <v>63</v>
      </c>
      <c r="D5094" t="s">
        <v>183</v>
      </c>
      <c r="E5094" t="s">
        <v>15</v>
      </c>
      <c r="F5094">
        <v>0.21589383482933044</v>
      </c>
    </row>
    <row r="5095" spans="2:6">
      <c r="B5095">
        <v>2015</v>
      </c>
      <c r="C5095" t="s">
        <v>63</v>
      </c>
      <c r="D5095" t="s">
        <v>183</v>
      </c>
      <c r="E5095" t="s">
        <v>7</v>
      </c>
      <c r="F5095">
        <v>6.3576250076293945</v>
      </c>
    </row>
    <row r="5096" spans="2:6">
      <c r="B5096">
        <v>2015</v>
      </c>
      <c r="C5096" t="s">
        <v>63</v>
      </c>
      <c r="D5096" t="s">
        <v>183</v>
      </c>
      <c r="E5096" t="s">
        <v>8</v>
      </c>
      <c r="F5096">
        <v>10.681742668151855</v>
      </c>
    </row>
    <row r="5097" spans="2:6">
      <c r="B5097">
        <v>2015</v>
      </c>
      <c r="C5097" t="s">
        <v>63</v>
      </c>
      <c r="D5097" t="s">
        <v>183</v>
      </c>
      <c r="E5097" t="s">
        <v>9</v>
      </c>
      <c r="F5097">
        <v>0.89571940898895264</v>
      </c>
    </row>
    <row r="5098" spans="2:6">
      <c r="B5098">
        <v>2015</v>
      </c>
      <c r="C5098" t="s">
        <v>63</v>
      </c>
      <c r="D5098" t="s">
        <v>183</v>
      </c>
      <c r="E5098" t="s">
        <v>10</v>
      </c>
      <c r="F5098">
        <v>73.199996948242188</v>
      </c>
    </row>
    <row r="5099" spans="2:6">
      <c r="B5099">
        <v>2015</v>
      </c>
      <c r="C5099" t="s">
        <v>63</v>
      </c>
      <c r="D5099" t="s">
        <v>183</v>
      </c>
      <c r="E5099" t="s">
        <v>11</v>
      </c>
      <c r="F5099">
        <v>0.8170362114906311</v>
      </c>
    </row>
    <row r="5100" spans="2:6">
      <c r="B5100">
        <v>2015</v>
      </c>
      <c r="C5100" t="s">
        <v>63</v>
      </c>
      <c r="D5100" t="s">
        <v>183</v>
      </c>
      <c r="E5100" t="s">
        <v>12</v>
      </c>
      <c r="F5100">
        <v>-0.139271080493927</v>
      </c>
    </row>
    <row r="5101" spans="2:6">
      <c r="B5101">
        <v>2015</v>
      </c>
      <c r="C5101" t="s">
        <v>63</v>
      </c>
      <c r="D5101" t="s">
        <v>183</v>
      </c>
      <c r="E5101" t="s">
        <v>13</v>
      </c>
      <c r="F5101">
        <v>0.64060205221176147</v>
      </c>
    </row>
    <row r="5102" spans="2:6">
      <c r="B5102">
        <v>2015</v>
      </c>
      <c r="C5102" t="s">
        <v>63</v>
      </c>
      <c r="D5102" t="s">
        <v>183</v>
      </c>
      <c r="E5102" t="s">
        <v>14</v>
      </c>
      <c r="F5102">
        <v>0.78596591949462891</v>
      </c>
    </row>
    <row r="5103" spans="2:6">
      <c r="B5103">
        <v>2015</v>
      </c>
      <c r="C5103" t="s">
        <v>63</v>
      </c>
      <c r="D5103" t="s">
        <v>183</v>
      </c>
      <c r="E5103" t="s">
        <v>15</v>
      </c>
      <c r="F5103">
        <v>0.21540027856826782</v>
      </c>
    </row>
    <row r="5104" spans="2:6">
      <c r="B5104">
        <v>2016</v>
      </c>
      <c r="C5104" t="s">
        <v>63</v>
      </c>
      <c r="D5104" t="s">
        <v>183</v>
      </c>
      <c r="E5104" t="s">
        <v>7</v>
      </c>
      <c r="F5104">
        <v>6.4752087593078613</v>
      </c>
    </row>
    <row r="5105" spans="2:6">
      <c r="B5105">
        <v>2016</v>
      </c>
      <c r="C5105" t="s">
        <v>63</v>
      </c>
      <c r="D5105" t="s">
        <v>183</v>
      </c>
      <c r="E5105" t="s">
        <v>8</v>
      </c>
      <c r="F5105">
        <v>10.689999580383301</v>
      </c>
    </row>
    <row r="5106" spans="2:6">
      <c r="B5106">
        <v>2016</v>
      </c>
      <c r="C5106" t="s">
        <v>63</v>
      </c>
      <c r="D5106" t="s">
        <v>183</v>
      </c>
      <c r="E5106" t="s">
        <v>9</v>
      </c>
      <c r="F5106">
        <v>0.88492292165756226</v>
      </c>
    </row>
    <row r="5107" spans="2:6">
      <c r="B5107">
        <v>2016</v>
      </c>
      <c r="C5107" t="s">
        <v>63</v>
      </c>
      <c r="D5107" t="s">
        <v>183</v>
      </c>
      <c r="E5107" t="s">
        <v>10</v>
      </c>
      <c r="F5107">
        <v>73.400001525878906</v>
      </c>
    </row>
    <row r="5108" spans="2:6">
      <c r="B5108">
        <v>2016</v>
      </c>
      <c r="C5108" t="s">
        <v>63</v>
      </c>
      <c r="D5108" t="s">
        <v>183</v>
      </c>
      <c r="E5108" t="s">
        <v>11</v>
      </c>
      <c r="F5108">
        <v>0.78678047657012939</v>
      </c>
    </row>
    <row r="5109" spans="2:6">
      <c r="B5109">
        <v>2016</v>
      </c>
      <c r="C5109" t="s">
        <v>63</v>
      </c>
      <c r="D5109" t="s">
        <v>183</v>
      </c>
      <c r="E5109" t="s">
        <v>12</v>
      </c>
      <c r="F5109">
        <v>-9.1287009418010712E-2</v>
      </c>
    </row>
    <row r="5110" spans="2:6">
      <c r="B5110">
        <v>2016</v>
      </c>
      <c r="C5110" t="s">
        <v>63</v>
      </c>
      <c r="D5110" t="s">
        <v>183</v>
      </c>
      <c r="E5110" t="s">
        <v>13</v>
      </c>
      <c r="F5110">
        <v>0.62269705533981323</v>
      </c>
    </row>
    <row r="5111" spans="2:6">
      <c r="B5111">
        <v>2016</v>
      </c>
      <c r="C5111" t="s">
        <v>63</v>
      </c>
      <c r="D5111" t="s">
        <v>183</v>
      </c>
      <c r="E5111" t="s">
        <v>14</v>
      </c>
      <c r="F5111">
        <v>0.77266132831573486</v>
      </c>
    </row>
    <row r="5112" spans="2:6">
      <c r="B5112">
        <v>2016</v>
      </c>
      <c r="C5112" t="s">
        <v>63</v>
      </c>
      <c r="D5112" t="s">
        <v>183</v>
      </c>
      <c r="E5112" t="s">
        <v>15</v>
      </c>
      <c r="F5112">
        <v>0.2700362503528595</v>
      </c>
    </row>
    <row r="5113" spans="2:6">
      <c r="B5113">
        <v>2017</v>
      </c>
      <c r="C5113" t="s">
        <v>63</v>
      </c>
      <c r="D5113" t="s">
        <v>183</v>
      </c>
      <c r="E5113" t="s">
        <v>7</v>
      </c>
      <c r="F5113">
        <v>6.6352224349975586</v>
      </c>
    </row>
    <row r="5114" spans="2:6">
      <c r="B5114">
        <v>2017</v>
      </c>
      <c r="C5114" t="s">
        <v>63</v>
      </c>
      <c r="D5114" t="s">
        <v>183</v>
      </c>
      <c r="E5114" t="s">
        <v>8</v>
      </c>
      <c r="F5114">
        <v>10.710555076599121</v>
      </c>
    </row>
    <row r="5115" spans="2:6">
      <c r="B5115">
        <v>2017</v>
      </c>
      <c r="C5115" t="s">
        <v>63</v>
      </c>
      <c r="D5115" t="s">
        <v>183</v>
      </c>
      <c r="E5115" t="s">
        <v>9</v>
      </c>
      <c r="F5115">
        <v>0.93149459362030029</v>
      </c>
    </row>
    <row r="5116" spans="2:6">
      <c r="B5116">
        <v>2017</v>
      </c>
      <c r="C5116" t="s">
        <v>63</v>
      </c>
      <c r="D5116" t="s">
        <v>183</v>
      </c>
      <c r="E5116" t="s">
        <v>10</v>
      </c>
      <c r="F5116">
        <v>73.599998474121094</v>
      </c>
    </row>
    <row r="5117" spans="2:6">
      <c r="B5117">
        <v>2017</v>
      </c>
      <c r="C5117" t="s">
        <v>63</v>
      </c>
      <c r="D5117" t="s">
        <v>183</v>
      </c>
      <c r="E5117" t="s">
        <v>11</v>
      </c>
      <c r="F5117">
        <v>0.83389014005661011</v>
      </c>
    </row>
    <row r="5118" spans="2:6">
      <c r="B5118">
        <v>2017</v>
      </c>
      <c r="C5118" t="s">
        <v>63</v>
      </c>
      <c r="D5118" t="s">
        <v>183</v>
      </c>
      <c r="E5118" t="s">
        <v>12</v>
      </c>
      <c r="F5118">
        <v>-0.12343344837427139</v>
      </c>
    </row>
    <row r="5119" spans="2:6">
      <c r="B5119">
        <v>2017</v>
      </c>
      <c r="C5119" t="s">
        <v>63</v>
      </c>
      <c r="D5119" t="s">
        <v>183</v>
      </c>
      <c r="E5119" t="s">
        <v>13</v>
      </c>
      <c r="F5119">
        <v>0.60148602724075317</v>
      </c>
    </row>
    <row r="5120" spans="2:6">
      <c r="B5120">
        <v>2017</v>
      </c>
      <c r="C5120" t="s">
        <v>63</v>
      </c>
      <c r="D5120" t="s">
        <v>183</v>
      </c>
      <c r="E5120" t="s">
        <v>14</v>
      </c>
      <c r="F5120">
        <v>0.76209777593612671</v>
      </c>
    </row>
    <row r="5121" spans="2:6">
      <c r="B5121">
        <v>2017</v>
      </c>
      <c r="C5121" t="s">
        <v>63</v>
      </c>
      <c r="D5121" t="s">
        <v>183</v>
      </c>
      <c r="E5121" t="s">
        <v>15</v>
      </c>
      <c r="F5121">
        <v>0.24198393523693085</v>
      </c>
    </row>
    <row r="5122" spans="2:6">
      <c r="B5122">
        <v>2018</v>
      </c>
      <c r="C5122" t="s">
        <v>63</v>
      </c>
      <c r="D5122" t="s">
        <v>183</v>
      </c>
      <c r="E5122" t="s">
        <v>7</v>
      </c>
      <c r="F5122">
        <v>6.6659035682678223</v>
      </c>
    </row>
    <row r="5123" spans="2:6">
      <c r="B5123">
        <v>2018</v>
      </c>
      <c r="C5123" t="s">
        <v>63</v>
      </c>
      <c r="D5123" t="s">
        <v>183</v>
      </c>
      <c r="E5123" t="s">
        <v>8</v>
      </c>
      <c r="F5123">
        <v>10.726807594299316</v>
      </c>
    </row>
    <row r="5124" spans="2:6">
      <c r="B5124">
        <v>2018</v>
      </c>
      <c r="C5124" t="s">
        <v>63</v>
      </c>
      <c r="D5124" t="s">
        <v>183</v>
      </c>
      <c r="E5124" t="s">
        <v>9</v>
      </c>
      <c r="F5124">
        <v>0.92146307229995728</v>
      </c>
    </row>
    <row r="5125" spans="2:6">
      <c r="B5125">
        <v>2018</v>
      </c>
      <c r="C5125" t="s">
        <v>63</v>
      </c>
      <c r="D5125" t="s">
        <v>183</v>
      </c>
      <c r="E5125" t="s">
        <v>10</v>
      </c>
      <c r="F5125">
        <v>73.800003051757813</v>
      </c>
    </row>
    <row r="5126" spans="2:6">
      <c r="B5126">
        <v>2018</v>
      </c>
      <c r="C5126" t="s">
        <v>63</v>
      </c>
      <c r="D5126" t="s">
        <v>183</v>
      </c>
      <c r="E5126" t="s">
        <v>11</v>
      </c>
      <c r="F5126">
        <v>0.81637722253799438</v>
      </c>
    </row>
    <row r="5127" spans="2:6">
      <c r="B5127">
        <v>2018</v>
      </c>
      <c r="C5127" t="s">
        <v>63</v>
      </c>
      <c r="D5127" t="s">
        <v>183</v>
      </c>
      <c r="E5127" t="s">
        <v>12</v>
      </c>
      <c r="F5127">
        <v>-0.13787530362606049</v>
      </c>
    </row>
    <row r="5128" spans="2:6">
      <c r="B5128">
        <v>2018</v>
      </c>
      <c r="C5128" t="s">
        <v>63</v>
      </c>
      <c r="D5128" t="s">
        <v>183</v>
      </c>
      <c r="E5128" t="s">
        <v>13</v>
      </c>
      <c r="F5128">
        <v>0.58177530765533447</v>
      </c>
    </row>
    <row r="5129" spans="2:6">
      <c r="B5129">
        <v>2018</v>
      </c>
      <c r="C5129" t="s">
        <v>63</v>
      </c>
      <c r="D5129" t="s">
        <v>183</v>
      </c>
      <c r="E5129" t="s">
        <v>14</v>
      </c>
      <c r="F5129">
        <v>0.76731342077255249</v>
      </c>
    </row>
    <row r="5130" spans="2:6">
      <c r="B5130">
        <v>2018</v>
      </c>
      <c r="C5130" t="s">
        <v>63</v>
      </c>
      <c r="D5130" t="s">
        <v>183</v>
      </c>
      <c r="E5130" t="s">
        <v>15</v>
      </c>
      <c r="F5130">
        <v>0.28245136141777039</v>
      </c>
    </row>
    <row r="5131" spans="2:6">
      <c r="B5131">
        <v>2019</v>
      </c>
      <c r="C5131" t="s">
        <v>63</v>
      </c>
      <c r="D5131" t="s">
        <v>183</v>
      </c>
      <c r="E5131" t="s">
        <v>7</v>
      </c>
      <c r="F5131">
        <v>6.6896443367004395</v>
      </c>
    </row>
    <row r="5132" spans="2:6">
      <c r="B5132">
        <v>2019</v>
      </c>
      <c r="C5132" t="s">
        <v>63</v>
      </c>
      <c r="D5132" t="s">
        <v>183</v>
      </c>
      <c r="E5132" t="s">
        <v>8</v>
      </c>
      <c r="F5132">
        <v>10.740378379821777</v>
      </c>
    </row>
    <row r="5133" spans="2:6">
      <c r="B5133">
        <v>2019</v>
      </c>
      <c r="C5133" t="s">
        <v>63</v>
      </c>
      <c r="D5133" t="s">
        <v>183</v>
      </c>
      <c r="E5133" t="s">
        <v>9</v>
      </c>
      <c r="F5133">
        <v>0.95834809541702271</v>
      </c>
    </row>
    <row r="5134" spans="2:6">
      <c r="B5134">
        <v>2019</v>
      </c>
      <c r="C5134" t="s">
        <v>63</v>
      </c>
      <c r="D5134" t="s">
        <v>183</v>
      </c>
      <c r="E5134" t="s">
        <v>10</v>
      </c>
      <c r="F5134">
        <v>74</v>
      </c>
    </row>
    <row r="5135" spans="2:6">
      <c r="B5135">
        <v>2019</v>
      </c>
      <c r="C5135" t="s">
        <v>63</v>
      </c>
      <c r="D5135" t="s">
        <v>183</v>
      </c>
      <c r="E5135" t="s">
        <v>11</v>
      </c>
      <c r="F5135">
        <v>0.82724082469940186</v>
      </c>
    </row>
    <row r="5136" spans="2:6">
      <c r="B5136">
        <v>2019</v>
      </c>
      <c r="C5136" t="s">
        <v>63</v>
      </c>
      <c r="D5136" t="s">
        <v>183</v>
      </c>
      <c r="E5136" t="s">
        <v>12</v>
      </c>
      <c r="F5136">
        <v>-0.13316617906093597</v>
      </c>
    </row>
    <row r="5137" spans="2:6">
      <c r="B5137">
        <v>2019</v>
      </c>
      <c r="C5137" t="s">
        <v>63</v>
      </c>
      <c r="D5137" t="s">
        <v>183</v>
      </c>
      <c r="E5137" t="s">
        <v>13</v>
      </c>
      <c r="F5137">
        <v>0.56827229261398315</v>
      </c>
    </row>
    <row r="5138" spans="2:6">
      <c r="B5138">
        <v>2019</v>
      </c>
      <c r="C5138" t="s">
        <v>63</v>
      </c>
      <c r="D5138" t="s">
        <v>183</v>
      </c>
      <c r="E5138" t="s">
        <v>14</v>
      </c>
      <c r="F5138">
        <v>0.73515492677688599</v>
      </c>
    </row>
    <row r="5139" spans="2:6">
      <c r="B5139">
        <v>2019</v>
      </c>
      <c r="C5139" t="s">
        <v>63</v>
      </c>
      <c r="D5139" t="s">
        <v>183</v>
      </c>
      <c r="E5139" t="s">
        <v>15</v>
      </c>
      <c r="F5139">
        <v>0.25041553378105164</v>
      </c>
    </row>
    <row r="5140" spans="2:6">
      <c r="B5140">
        <v>2020</v>
      </c>
      <c r="C5140" t="s">
        <v>63</v>
      </c>
      <c r="D5140" t="s">
        <v>183</v>
      </c>
      <c r="E5140" t="s">
        <v>7</v>
      </c>
      <c r="F5140">
        <v>6.7141118049621582</v>
      </c>
    </row>
    <row r="5141" spans="2:6">
      <c r="B5141">
        <v>2020</v>
      </c>
      <c r="C5141" t="s">
        <v>63</v>
      </c>
      <c r="D5141" t="s">
        <v>183</v>
      </c>
      <c r="E5141" t="s">
        <v>8</v>
      </c>
      <c r="F5141">
        <v>10.643280029296875</v>
      </c>
    </row>
    <row r="5142" spans="2:6">
      <c r="B5142">
        <v>2020</v>
      </c>
      <c r="C5142" t="s">
        <v>63</v>
      </c>
      <c r="D5142" t="s">
        <v>183</v>
      </c>
      <c r="E5142" t="s">
        <v>9</v>
      </c>
      <c r="F5142">
        <v>0.9473540186882019</v>
      </c>
    </row>
    <row r="5143" spans="2:6">
      <c r="B5143">
        <v>2020</v>
      </c>
      <c r="C5143" t="s">
        <v>63</v>
      </c>
      <c r="D5143" t="s">
        <v>183</v>
      </c>
      <c r="E5143" t="s">
        <v>10</v>
      </c>
      <c r="F5143">
        <v>74.199996948242188</v>
      </c>
    </row>
    <row r="5144" spans="2:6">
      <c r="B5144">
        <v>2020</v>
      </c>
      <c r="C5144" t="s">
        <v>63</v>
      </c>
      <c r="D5144" t="s">
        <v>183</v>
      </c>
      <c r="E5144" t="s">
        <v>11</v>
      </c>
      <c r="F5144">
        <v>0.82338631153106689</v>
      </c>
    </row>
    <row r="5145" spans="2:6">
      <c r="B5145">
        <v>2020</v>
      </c>
      <c r="C5145" t="s">
        <v>63</v>
      </c>
      <c r="D5145" t="s">
        <v>183</v>
      </c>
      <c r="E5145" t="s">
        <v>12</v>
      </c>
      <c r="F5145">
        <v>-0.16896052658557892</v>
      </c>
    </row>
    <row r="5146" spans="2:6">
      <c r="B5146">
        <v>2020</v>
      </c>
      <c r="C5146" t="s">
        <v>63</v>
      </c>
      <c r="D5146" t="s">
        <v>183</v>
      </c>
      <c r="E5146" t="s">
        <v>13</v>
      </c>
      <c r="F5146">
        <v>0.5646405816078186</v>
      </c>
    </row>
    <row r="5147" spans="2:6">
      <c r="B5147">
        <v>2020</v>
      </c>
      <c r="C5147" t="s">
        <v>63</v>
      </c>
      <c r="D5147" t="s">
        <v>183</v>
      </c>
      <c r="E5147" t="s">
        <v>14</v>
      </c>
      <c r="F5147">
        <v>0.73181390762329102</v>
      </c>
    </row>
    <row r="5148" spans="2:6">
      <c r="B5148">
        <v>2020</v>
      </c>
      <c r="C5148" t="s">
        <v>63</v>
      </c>
      <c r="D5148" t="s">
        <v>183</v>
      </c>
      <c r="E5148" t="s">
        <v>15</v>
      </c>
      <c r="F5148">
        <v>0.23095043003559113</v>
      </c>
    </row>
    <row r="5149" spans="2:6">
      <c r="B5149">
        <v>2011</v>
      </c>
      <c r="C5149" t="s">
        <v>64</v>
      </c>
      <c r="D5149" t="s">
        <v>184</v>
      </c>
      <c r="E5149" t="s">
        <v>7</v>
      </c>
      <c r="F5149">
        <v>4.2554006576538086</v>
      </c>
    </row>
    <row r="5150" spans="2:6">
      <c r="B5150">
        <v>2011</v>
      </c>
      <c r="C5150" t="s">
        <v>64</v>
      </c>
      <c r="D5150" t="s">
        <v>184</v>
      </c>
      <c r="E5150" t="s">
        <v>8</v>
      </c>
      <c r="F5150">
        <v>9.6079339981079102</v>
      </c>
    </row>
    <row r="5151" spans="2:6">
      <c r="B5151">
        <v>2011</v>
      </c>
      <c r="C5151" t="s">
        <v>64</v>
      </c>
      <c r="D5151" t="s">
        <v>184</v>
      </c>
      <c r="E5151" t="s">
        <v>9</v>
      </c>
      <c r="F5151">
        <v>0.65270155668258667</v>
      </c>
    </row>
    <row r="5152" spans="2:6">
      <c r="B5152">
        <v>2011</v>
      </c>
      <c r="C5152" t="s">
        <v>64</v>
      </c>
      <c r="D5152" t="s">
        <v>184</v>
      </c>
      <c r="E5152" t="s">
        <v>10</v>
      </c>
      <c r="F5152">
        <v>55.479999542236328</v>
      </c>
    </row>
    <row r="5153" spans="2:6">
      <c r="B5153">
        <v>2011</v>
      </c>
      <c r="C5153" t="s">
        <v>64</v>
      </c>
      <c r="D5153" t="s">
        <v>184</v>
      </c>
      <c r="E5153" t="s">
        <v>11</v>
      </c>
      <c r="F5153">
        <v>0.77187192440032959</v>
      </c>
    </row>
    <row r="5154" spans="2:6">
      <c r="B5154">
        <v>2011</v>
      </c>
      <c r="C5154" t="s">
        <v>64</v>
      </c>
      <c r="D5154" t="s">
        <v>184</v>
      </c>
      <c r="E5154" t="s">
        <v>12</v>
      </c>
      <c r="F5154">
        <v>-0.21138022840023041</v>
      </c>
    </row>
    <row r="5155" spans="2:6">
      <c r="B5155">
        <v>2011</v>
      </c>
      <c r="C5155" t="s">
        <v>64</v>
      </c>
      <c r="D5155" t="s">
        <v>184</v>
      </c>
      <c r="E5155" t="s">
        <v>13</v>
      </c>
      <c r="F5155">
        <v>0.85083091259002686</v>
      </c>
    </row>
    <row r="5156" spans="2:6">
      <c r="B5156">
        <v>2011</v>
      </c>
      <c r="C5156" t="s">
        <v>64</v>
      </c>
      <c r="D5156" t="s">
        <v>184</v>
      </c>
      <c r="E5156" t="s">
        <v>14</v>
      </c>
      <c r="F5156">
        <v>0.59138083457946777</v>
      </c>
    </row>
    <row r="5157" spans="2:6">
      <c r="B5157">
        <v>2011</v>
      </c>
      <c r="C5157" t="s">
        <v>64</v>
      </c>
      <c r="D5157" t="s">
        <v>184</v>
      </c>
      <c r="E5157" t="s">
        <v>15</v>
      </c>
      <c r="F5157">
        <v>0.26395511627197266</v>
      </c>
    </row>
    <row r="5158" spans="2:6">
      <c r="B5158">
        <v>2012</v>
      </c>
      <c r="C5158" t="s">
        <v>64</v>
      </c>
      <c r="D5158" t="s">
        <v>184</v>
      </c>
      <c r="E5158" t="s">
        <v>7</v>
      </c>
      <c r="F5158">
        <v>3.9720592498779297</v>
      </c>
    </row>
    <row r="5159" spans="2:6">
      <c r="B5159">
        <v>2012</v>
      </c>
      <c r="C5159" t="s">
        <v>64</v>
      </c>
      <c r="D5159" t="s">
        <v>184</v>
      </c>
      <c r="E5159" t="s">
        <v>8</v>
      </c>
      <c r="F5159">
        <v>9.6212272644042969</v>
      </c>
    </row>
    <row r="5160" spans="2:6">
      <c r="B5160">
        <v>2012</v>
      </c>
      <c r="C5160" t="s">
        <v>64</v>
      </c>
      <c r="D5160" t="s">
        <v>184</v>
      </c>
      <c r="E5160" t="s">
        <v>9</v>
      </c>
      <c r="F5160">
        <v>0.73609614372253418</v>
      </c>
    </row>
    <row r="5161" spans="2:6">
      <c r="B5161">
        <v>2012</v>
      </c>
      <c r="C5161" t="s">
        <v>64</v>
      </c>
      <c r="D5161" t="s">
        <v>184</v>
      </c>
      <c r="E5161" t="s">
        <v>10</v>
      </c>
      <c r="F5161">
        <v>56.159999847412109</v>
      </c>
    </row>
    <row r="5162" spans="2:6">
      <c r="B5162">
        <v>2012</v>
      </c>
      <c r="C5162" t="s">
        <v>64</v>
      </c>
      <c r="D5162" t="s">
        <v>184</v>
      </c>
      <c r="E5162" t="s">
        <v>11</v>
      </c>
      <c r="F5162">
        <v>0.56596583127975464</v>
      </c>
    </row>
    <row r="5163" spans="2:6">
      <c r="B5163">
        <v>2012</v>
      </c>
      <c r="C5163" t="s">
        <v>64</v>
      </c>
      <c r="D5163" t="s">
        <v>184</v>
      </c>
      <c r="E5163" t="s">
        <v>12</v>
      </c>
      <c r="F5163">
        <v>-0.19504423439502716</v>
      </c>
    </row>
    <row r="5164" spans="2:6">
      <c r="B5164">
        <v>2012</v>
      </c>
      <c r="C5164" t="s">
        <v>64</v>
      </c>
      <c r="D5164" t="s">
        <v>184</v>
      </c>
      <c r="E5164" t="s">
        <v>13</v>
      </c>
      <c r="F5164">
        <v>0.81011968851089478</v>
      </c>
    </row>
    <row r="5165" spans="2:6">
      <c r="B5165">
        <v>2012</v>
      </c>
      <c r="C5165" t="s">
        <v>64</v>
      </c>
      <c r="D5165" t="s">
        <v>184</v>
      </c>
      <c r="E5165" t="s">
        <v>14</v>
      </c>
      <c r="F5165">
        <v>0.46999850869178772</v>
      </c>
    </row>
    <row r="5166" spans="2:6">
      <c r="B5166">
        <v>2012</v>
      </c>
      <c r="C5166" t="s">
        <v>64</v>
      </c>
      <c r="D5166" t="s">
        <v>184</v>
      </c>
      <c r="E5166" t="s">
        <v>15</v>
      </c>
      <c r="F5166">
        <v>0.26574307680130005</v>
      </c>
    </row>
    <row r="5167" spans="2:6">
      <c r="B5167">
        <v>2013</v>
      </c>
      <c r="C5167" t="s">
        <v>64</v>
      </c>
      <c r="D5167" t="s">
        <v>184</v>
      </c>
      <c r="E5167" t="s">
        <v>7</v>
      </c>
      <c r="F5167">
        <v>3.8002870082855225</v>
      </c>
    </row>
    <row r="5168" spans="2:6">
      <c r="B5168">
        <v>2013</v>
      </c>
      <c r="C5168" t="s">
        <v>64</v>
      </c>
      <c r="D5168" t="s">
        <v>184</v>
      </c>
      <c r="E5168" t="s">
        <v>8</v>
      </c>
      <c r="F5168">
        <v>9.6382894515991211</v>
      </c>
    </row>
    <row r="5169" spans="2:6">
      <c r="B5169">
        <v>2013</v>
      </c>
      <c r="C5169" t="s">
        <v>64</v>
      </c>
      <c r="D5169" t="s">
        <v>184</v>
      </c>
      <c r="E5169" t="s">
        <v>9</v>
      </c>
      <c r="F5169">
        <v>0.73348754644393921</v>
      </c>
    </row>
    <row r="5170" spans="2:6">
      <c r="B5170">
        <v>2013</v>
      </c>
      <c r="C5170" t="s">
        <v>64</v>
      </c>
      <c r="D5170" t="s">
        <v>184</v>
      </c>
      <c r="E5170" t="s">
        <v>10</v>
      </c>
      <c r="F5170">
        <v>56.840000152587891</v>
      </c>
    </row>
    <row r="5171" spans="2:6">
      <c r="B5171">
        <v>2013</v>
      </c>
      <c r="C5171" t="s">
        <v>64</v>
      </c>
      <c r="D5171" t="s">
        <v>184</v>
      </c>
      <c r="E5171" t="s">
        <v>11</v>
      </c>
      <c r="F5171">
        <v>0.68249011039733887</v>
      </c>
    </row>
    <row r="5172" spans="2:6">
      <c r="B5172">
        <v>2013</v>
      </c>
      <c r="C5172" t="s">
        <v>64</v>
      </c>
      <c r="D5172" t="s">
        <v>184</v>
      </c>
      <c r="E5172" t="s">
        <v>12</v>
      </c>
      <c r="F5172">
        <v>-0.14553873240947723</v>
      </c>
    </row>
    <row r="5173" spans="2:6">
      <c r="B5173">
        <v>2013</v>
      </c>
      <c r="C5173" t="s">
        <v>64</v>
      </c>
      <c r="D5173" t="s">
        <v>184</v>
      </c>
      <c r="E5173" t="s">
        <v>13</v>
      </c>
      <c r="F5173">
        <v>0.78043889999389648</v>
      </c>
    </row>
    <row r="5174" spans="2:6">
      <c r="B5174">
        <v>2013</v>
      </c>
      <c r="C5174" t="s">
        <v>64</v>
      </c>
      <c r="D5174" t="s">
        <v>184</v>
      </c>
      <c r="E5174" t="s">
        <v>14</v>
      </c>
      <c r="F5174">
        <v>0.50957095623016357</v>
      </c>
    </row>
    <row r="5175" spans="2:6">
      <c r="B5175">
        <v>2013</v>
      </c>
      <c r="C5175" t="s">
        <v>64</v>
      </c>
      <c r="D5175" t="s">
        <v>184</v>
      </c>
      <c r="E5175" t="s">
        <v>15</v>
      </c>
      <c r="F5175">
        <v>0.28709700703620911</v>
      </c>
    </row>
    <row r="5176" spans="2:6">
      <c r="B5176">
        <v>2014</v>
      </c>
      <c r="C5176" t="s">
        <v>64</v>
      </c>
      <c r="D5176" t="s">
        <v>184</v>
      </c>
      <c r="E5176" t="s">
        <v>7</v>
      </c>
      <c r="F5176">
        <v>3.9180731773376465</v>
      </c>
    </row>
    <row r="5177" spans="2:6">
      <c r="B5177">
        <v>2014</v>
      </c>
      <c r="C5177" t="s">
        <v>64</v>
      </c>
      <c r="D5177" t="s">
        <v>184</v>
      </c>
      <c r="E5177" t="s">
        <v>8</v>
      </c>
      <c r="F5177">
        <v>9.6444692611694336</v>
      </c>
    </row>
    <row r="5178" spans="2:6">
      <c r="B5178">
        <v>2014</v>
      </c>
      <c r="C5178" t="s">
        <v>64</v>
      </c>
      <c r="D5178" t="s">
        <v>184</v>
      </c>
      <c r="E5178" t="s">
        <v>9</v>
      </c>
      <c r="F5178">
        <v>0.82859712839126587</v>
      </c>
    </row>
    <row r="5179" spans="2:6">
      <c r="B5179">
        <v>2014</v>
      </c>
      <c r="C5179" t="s">
        <v>64</v>
      </c>
      <c r="D5179" t="s">
        <v>184</v>
      </c>
      <c r="E5179" t="s">
        <v>10</v>
      </c>
      <c r="F5179">
        <v>57.520000457763672</v>
      </c>
    </row>
    <row r="5180" spans="2:6">
      <c r="B5180">
        <v>2014</v>
      </c>
      <c r="C5180" t="s">
        <v>64</v>
      </c>
      <c r="D5180" t="s">
        <v>184</v>
      </c>
      <c r="E5180" t="s">
        <v>11</v>
      </c>
      <c r="F5180">
        <v>0.60661381483078003</v>
      </c>
    </row>
    <row r="5181" spans="2:6">
      <c r="B5181">
        <v>2014</v>
      </c>
      <c r="C5181" t="s">
        <v>64</v>
      </c>
      <c r="D5181" t="s">
        <v>184</v>
      </c>
      <c r="E5181" t="s">
        <v>12</v>
      </c>
      <c r="F5181">
        <v>-0.19795151054859161</v>
      </c>
    </row>
    <row r="5182" spans="2:6">
      <c r="B5182">
        <v>2014</v>
      </c>
      <c r="C5182" t="s">
        <v>64</v>
      </c>
      <c r="D5182" t="s">
        <v>184</v>
      </c>
      <c r="E5182" t="s">
        <v>13</v>
      </c>
      <c r="F5182">
        <v>0.78165847063064575</v>
      </c>
    </row>
    <row r="5183" spans="2:6">
      <c r="B5183">
        <v>2014</v>
      </c>
      <c r="C5183" t="s">
        <v>64</v>
      </c>
      <c r="D5183" t="s">
        <v>184</v>
      </c>
      <c r="E5183" t="s">
        <v>14</v>
      </c>
      <c r="F5183">
        <v>0.53916072845458984</v>
      </c>
    </row>
    <row r="5184" spans="2:6">
      <c r="B5184">
        <v>2014</v>
      </c>
      <c r="C5184" t="s">
        <v>64</v>
      </c>
      <c r="D5184" t="s">
        <v>184</v>
      </c>
      <c r="E5184" t="s">
        <v>15</v>
      </c>
      <c r="F5184">
        <v>0.29304242134094238</v>
      </c>
    </row>
    <row r="5185" spans="2:6">
      <c r="B5185">
        <v>2015</v>
      </c>
      <c r="C5185" t="s">
        <v>64</v>
      </c>
      <c r="D5185" t="s">
        <v>184</v>
      </c>
      <c r="E5185" t="s">
        <v>7</v>
      </c>
      <c r="F5185">
        <v>4.6610126495361328</v>
      </c>
    </row>
    <row r="5186" spans="2:6">
      <c r="B5186">
        <v>2015</v>
      </c>
      <c r="C5186" t="s">
        <v>64</v>
      </c>
      <c r="D5186" t="s">
        <v>184</v>
      </c>
      <c r="E5186" t="s">
        <v>8</v>
      </c>
      <c r="F5186">
        <v>9.6491737365722656</v>
      </c>
    </row>
    <row r="5187" spans="2:6">
      <c r="B5187">
        <v>2015</v>
      </c>
      <c r="C5187" t="s">
        <v>64</v>
      </c>
      <c r="D5187" t="s">
        <v>184</v>
      </c>
      <c r="E5187" t="s">
        <v>9</v>
      </c>
      <c r="F5187">
        <v>0.75586199760437012</v>
      </c>
    </row>
    <row r="5188" spans="2:6">
      <c r="B5188">
        <v>2015</v>
      </c>
      <c r="C5188" t="s">
        <v>64</v>
      </c>
      <c r="D5188" t="s">
        <v>184</v>
      </c>
      <c r="E5188" t="s">
        <v>10</v>
      </c>
      <c r="F5188">
        <v>58.200000762939453</v>
      </c>
    </row>
    <row r="5189" spans="2:6">
      <c r="B5189">
        <v>2015</v>
      </c>
      <c r="C5189" t="s">
        <v>64</v>
      </c>
      <c r="D5189" t="s">
        <v>184</v>
      </c>
      <c r="E5189" t="s">
        <v>11</v>
      </c>
      <c r="F5189">
        <v>0.67130070924758911</v>
      </c>
    </row>
    <row r="5190" spans="2:6">
      <c r="B5190">
        <v>2015</v>
      </c>
      <c r="C5190" t="s">
        <v>64</v>
      </c>
      <c r="D5190" t="s">
        <v>184</v>
      </c>
      <c r="E5190" t="s">
        <v>12</v>
      </c>
      <c r="F5190">
        <v>-0.1935608983039856</v>
      </c>
    </row>
    <row r="5191" spans="2:6">
      <c r="B5191">
        <v>2015</v>
      </c>
      <c r="C5191" t="s">
        <v>64</v>
      </c>
      <c r="D5191" t="s">
        <v>184</v>
      </c>
      <c r="E5191" t="s">
        <v>13</v>
      </c>
      <c r="F5191">
        <v>0.86677747964859009</v>
      </c>
    </row>
    <row r="5192" spans="2:6">
      <c r="B5192">
        <v>2015</v>
      </c>
      <c r="C5192" t="s">
        <v>64</v>
      </c>
      <c r="D5192" t="s">
        <v>184</v>
      </c>
      <c r="E5192" t="s">
        <v>14</v>
      </c>
      <c r="F5192">
        <v>0.62636202573776245</v>
      </c>
    </row>
    <row r="5193" spans="2:6">
      <c r="B5193">
        <v>2015</v>
      </c>
      <c r="C5193" t="s">
        <v>64</v>
      </c>
      <c r="D5193" t="s">
        <v>184</v>
      </c>
      <c r="E5193" t="s">
        <v>15</v>
      </c>
      <c r="F5193">
        <v>0.37165632843971252</v>
      </c>
    </row>
    <row r="5194" spans="2:6">
      <c r="B5194">
        <v>2016</v>
      </c>
      <c r="C5194" t="s">
        <v>64</v>
      </c>
      <c r="D5194" t="s">
        <v>184</v>
      </c>
      <c r="E5194" t="s">
        <v>7</v>
      </c>
      <c r="F5194">
        <v>4.8317642211914063</v>
      </c>
    </row>
    <row r="5195" spans="2:6">
      <c r="B5195">
        <v>2016</v>
      </c>
      <c r="C5195" t="s">
        <v>64</v>
      </c>
      <c r="D5195" t="s">
        <v>184</v>
      </c>
      <c r="E5195" t="s">
        <v>8</v>
      </c>
      <c r="F5195">
        <v>9.6394386291503906</v>
      </c>
    </row>
    <row r="5196" spans="2:6">
      <c r="B5196">
        <v>2016</v>
      </c>
      <c r="C5196" t="s">
        <v>64</v>
      </c>
      <c r="D5196" t="s">
        <v>184</v>
      </c>
      <c r="E5196" t="s">
        <v>9</v>
      </c>
      <c r="F5196">
        <v>0.78004896640777588</v>
      </c>
    </row>
    <row r="5197" spans="2:6">
      <c r="B5197">
        <v>2016</v>
      </c>
      <c r="C5197" t="s">
        <v>64</v>
      </c>
      <c r="D5197" t="s">
        <v>184</v>
      </c>
      <c r="E5197" t="s">
        <v>10</v>
      </c>
      <c r="F5197">
        <v>58.700000762939453</v>
      </c>
    </row>
    <row r="5198" spans="2:6">
      <c r="B5198">
        <v>2016</v>
      </c>
      <c r="C5198" t="s">
        <v>64</v>
      </c>
      <c r="D5198" t="s">
        <v>184</v>
      </c>
      <c r="E5198" t="s">
        <v>11</v>
      </c>
      <c r="F5198">
        <v>0.69894236326217651</v>
      </c>
    </row>
    <row r="5199" spans="2:6">
      <c r="B5199">
        <v>2016</v>
      </c>
      <c r="C5199" t="s">
        <v>64</v>
      </c>
      <c r="D5199" t="s">
        <v>184</v>
      </c>
      <c r="E5199" t="s">
        <v>12</v>
      </c>
      <c r="F5199">
        <v>-0.20403331518173218</v>
      </c>
    </row>
    <row r="5200" spans="2:6">
      <c r="B5200">
        <v>2016</v>
      </c>
      <c r="C5200" t="s">
        <v>64</v>
      </c>
      <c r="D5200" t="s">
        <v>184</v>
      </c>
      <c r="E5200" t="s">
        <v>13</v>
      </c>
      <c r="F5200">
        <v>0.81656354665756226</v>
      </c>
    </row>
    <row r="5201" spans="2:6">
      <c r="B5201">
        <v>2016</v>
      </c>
      <c r="C5201" t="s">
        <v>64</v>
      </c>
      <c r="D5201" t="s">
        <v>184</v>
      </c>
      <c r="E5201" t="s">
        <v>14</v>
      </c>
      <c r="F5201">
        <v>0.64011657238006592</v>
      </c>
    </row>
    <row r="5202" spans="2:6">
      <c r="B5202">
        <v>2016</v>
      </c>
      <c r="C5202" t="s">
        <v>64</v>
      </c>
      <c r="D5202" t="s">
        <v>184</v>
      </c>
      <c r="E5202" t="s">
        <v>15</v>
      </c>
      <c r="F5202">
        <v>0.43240466713905334</v>
      </c>
    </row>
    <row r="5203" spans="2:6">
      <c r="B5203">
        <v>2017</v>
      </c>
      <c r="C5203" t="s">
        <v>64</v>
      </c>
      <c r="D5203" t="s">
        <v>184</v>
      </c>
      <c r="E5203" t="s">
        <v>7</v>
      </c>
      <c r="F5203">
        <v>4.7823829650878906</v>
      </c>
    </row>
    <row r="5204" spans="2:6">
      <c r="B5204">
        <v>2017</v>
      </c>
      <c r="C5204" t="s">
        <v>64</v>
      </c>
      <c r="D5204" t="s">
        <v>184</v>
      </c>
      <c r="E5204" t="s">
        <v>8</v>
      </c>
      <c r="F5204">
        <v>9.6162567138671875</v>
      </c>
    </row>
    <row r="5205" spans="2:6">
      <c r="B5205">
        <v>2017</v>
      </c>
      <c r="C5205" t="s">
        <v>64</v>
      </c>
      <c r="D5205" t="s">
        <v>184</v>
      </c>
      <c r="E5205" t="s">
        <v>9</v>
      </c>
      <c r="F5205">
        <v>0.80694115161895752</v>
      </c>
    </row>
    <row r="5206" spans="2:6">
      <c r="B5206">
        <v>2017</v>
      </c>
      <c r="C5206" t="s">
        <v>64</v>
      </c>
      <c r="D5206" t="s">
        <v>184</v>
      </c>
      <c r="E5206" t="s">
        <v>10</v>
      </c>
      <c r="F5206">
        <v>59.200000762939453</v>
      </c>
    </row>
    <row r="5207" spans="2:6">
      <c r="B5207">
        <v>2017</v>
      </c>
      <c r="C5207" t="s">
        <v>64</v>
      </c>
      <c r="D5207" t="s">
        <v>184</v>
      </c>
      <c r="E5207" t="s">
        <v>11</v>
      </c>
      <c r="F5207">
        <v>0.65235954523086548</v>
      </c>
    </row>
    <row r="5208" spans="2:6">
      <c r="B5208">
        <v>2017</v>
      </c>
      <c r="C5208" t="s">
        <v>64</v>
      </c>
      <c r="D5208" t="s">
        <v>184</v>
      </c>
      <c r="E5208" t="s">
        <v>12</v>
      </c>
      <c r="F5208">
        <v>-0.22804147005081177</v>
      </c>
    </row>
    <row r="5209" spans="2:6">
      <c r="B5209">
        <v>2017</v>
      </c>
      <c r="C5209" t="s">
        <v>64</v>
      </c>
      <c r="D5209" t="s">
        <v>184</v>
      </c>
      <c r="E5209" t="s">
        <v>13</v>
      </c>
      <c r="F5209">
        <v>0.868305504322052</v>
      </c>
    </row>
    <row r="5210" spans="2:6">
      <c r="B5210">
        <v>2017</v>
      </c>
      <c r="C5210" t="s">
        <v>64</v>
      </c>
      <c r="D5210" t="s">
        <v>184</v>
      </c>
      <c r="E5210" t="s">
        <v>14</v>
      </c>
      <c r="F5210">
        <v>0.63404715061187744</v>
      </c>
    </row>
    <row r="5211" spans="2:6">
      <c r="B5211">
        <v>2017</v>
      </c>
      <c r="C5211" t="s">
        <v>64</v>
      </c>
      <c r="D5211" t="s">
        <v>184</v>
      </c>
      <c r="E5211" t="s">
        <v>15</v>
      </c>
      <c r="F5211">
        <v>0.44612428545951843</v>
      </c>
    </row>
    <row r="5212" spans="2:6">
      <c r="B5212">
        <v>2018</v>
      </c>
      <c r="C5212" t="s">
        <v>64</v>
      </c>
      <c r="D5212" t="s">
        <v>184</v>
      </c>
      <c r="E5212" t="s">
        <v>7</v>
      </c>
      <c r="F5212">
        <v>4.7830090522766113</v>
      </c>
    </row>
    <row r="5213" spans="2:6">
      <c r="B5213">
        <v>2018</v>
      </c>
      <c r="C5213" t="s">
        <v>64</v>
      </c>
      <c r="D5213" t="s">
        <v>184</v>
      </c>
      <c r="E5213" t="s">
        <v>8</v>
      </c>
      <c r="F5213">
        <v>9.5985498428344727</v>
      </c>
    </row>
    <row r="5214" spans="2:6">
      <c r="B5214">
        <v>2018</v>
      </c>
      <c r="C5214" t="s">
        <v>64</v>
      </c>
      <c r="D5214" t="s">
        <v>184</v>
      </c>
      <c r="E5214" t="s">
        <v>9</v>
      </c>
      <c r="F5214">
        <v>0.7848275899887085</v>
      </c>
    </row>
    <row r="5215" spans="2:6">
      <c r="B5215">
        <v>2018</v>
      </c>
      <c r="C5215" t="s">
        <v>64</v>
      </c>
      <c r="D5215" t="s">
        <v>184</v>
      </c>
      <c r="E5215" t="s">
        <v>10</v>
      </c>
      <c r="F5215">
        <v>59.700000762939453</v>
      </c>
    </row>
    <row r="5216" spans="2:6">
      <c r="B5216">
        <v>2018</v>
      </c>
      <c r="C5216" t="s">
        <v>64</v>
      </c>
      <c r="D5216" t="s">
        <v>184</v>
      </c>
      <c r="E5216" t="s">
        <v>11</v>
      </c>
      <c r="F5216">
        <v>0.71913540363311768</v>
      </c>
    </row>
    <row r="5217" spans="2:6">
      <c r="B5217">
        <v>2018</v>
      </c>
      <c r="C5217" t="s">
        <v>64</v>
      </c>
      <c r="D5217" t="s">
        <v>184</v>
      </c>
      <c r="E5217" t="s">
        <v>12</v>
      </c>
      <c r="F5217">
        <v>-0.19693617522716522</v>
      </c>
    </row>
    <row r="5218" spans="2:6">
      <c r="B5218">
        <v>2018</v>
      </c>
      <c r="C5218" t="s">
        <v>64</v>
      </c>
      <c r="D5218" t="s">
        <v>184</v>
      </c>
      <c r="E5218" t="s">
        <v>13</v>
      </c>
      <c r="F5218">
        <v>0.82286345958709717</v>
      </c>
    </row>
    <row r="5219" spans="2:6">
      <c r="B5219">
        <v>2018</v>
      </c>
      <c r="C5219" t="s">
        <v>64</v>
      </c>
      <c r="D5219" t="s">
        <v>184</v>
      </c>
      <c r="E5219" t="s">
        <v>14</v>
      </c>
      <c r="F5219">
        <v>0.64069163799285889</v>
      </c>
    </row>
    <row r="5220" spans="2:6">
      <c r="B5220">
        <v>2018</v>
      </c>
      <c r="C5220" t="s">
        <v>64</v>
      </c>
      <c r="D5220" t="s">
        <v>184</v>
      </c>
      <c r="E5220" t="s">
        <v>15</v>
      </c>
      <c r="F5220">
        <v>0.41766098141670227</v>
      </c>
    </row>
    <row r="5221" spans="2:6">
      <c r="B5221">
        <v>2019</v>
      </c>
      <c r="C5221" t="s">
        <v>64</v>
      </c>
      <c r="D5221" t="s">
        <v>184</v>
      </c>
      <c r="E5221" t="s">
        <v>7</v>
      </c>
      <c r="F5221">
        <v>4.914393424987793</v>
      </c>
    </row>
    <row r="5222" spans="2:6">
      <c r="B5222">
        <v>2019</v>
      </c>
      <c r="C5222" t="s">
        <v>64</v>
      </c>
      <c r="D5222" t="s">
        <v>184</v>
      </c>
      <c r="E5222" t="s">
        <v>8</v>
      </c>
      <c r="F5222">
        <v>9.6070871353149414</v>
      </c>
    </row>
    <row r="5223" spans="2:6">
      <c r="B5223">
        <v>2019</v>
      </c>
      <c r="C5223" t="s">
        <v>64</v>
      </c>
      <c r="D5223" t="s">
        <v>184</v>
      </c>
      <c r="E5223" t="s">
        <v>9</v>
      </c>
      <c r="F5223">
        <v>0.76305168867111206</v>
      </c>
    </row>
    <row r="5224" spans="2:6">
      <c r="B5224">
        <v>2019</v>
      </c>
      <c r="C5224" t="s">
        <v>64</v>
      </c>
      <c r="D5224" t="s">
        <v>184</v>
      </c>
      <c r="E5224" t="s">
        <v>10</v>
      </c>
      <c r="F5224">
        <v>60.200000762939453</v>
      </c>
    </row>
    <row r="5225" spans="2:6">
      <c r="B5225">
        <v>2019</v>
      </c>
      <c r="C5225" t="s">
        <v>64</v>
      </c>
      <c r="D5225" t="s">
        <v>184</v>
      </c>
      <c r="E5225" t="s">
        <v>11</v>
      </c>
      <c r="F5225">
        <v>0.73634988069534302</v>
      </c>
    </row>
    <row r="5226" spans="2:6">
      <c r="B5226">
        <v>2019</v>
      </c>
      <c r="C5226" t="s">
        <v>64</v>
      </c>
      <c r="D5226" t="s">
        <v>184</v>
      </c>
      <c r="E5226" t="s">
        <v>12</v>
      </c>
      <c r="F5226">
        <v>-0.20251981914043427</v>
      </c>
    </row>
    <row r="5227" spans="2:6">
      <c r="B5227">
        <v>2019</v>
      </c>
      <c r="C5227" t="s">
        <v>64</v>
      </c>
      <c r="D5227" t="s">
        <v>184</v>
      </c>
      <c r="E5227" t="s">
        <v>13</v>
      </c>
      <c r="F5227">
        <v>0.84625422954559326</v>
      </c>
    </row>
    <row r="5228" spans="2:6">
      <c r="B5228">
        <v>2019</v>
      </c>
      <c r="C5228" t="s">
        <v>64</v>
      </c>
      <c r="D5228" t="s">
        <v>184</v>
      </c>
      <c r="E5228" t="s">
        <v>14</v>
      </c>
      <c r="F5228">
        <v>0.69270241260528564</v>
      </c>
    </row>
    <row r="5229" spans="2:6">
      <c r="B5229">
        <v>2019</v>
      </c>
      <c r="C5229" t="s">
        <v>64</v>
      </c>
      <c r="D5229" t="s">
        <v>184</v>
      </c>
      <c r="E5229" t="s">
        <v>15</v>
      </c>
      <c r="F5229">
        <v>0.41296097636222839</v>
      </c>
    </row>
    <row r="5230" spans="2:6">
      <c r="B5230">
        <v>2017</v>
      </c>
      <c r="C5230" t="s">
        <v>65</v>
      </c>
      <c r="D5230" t="s">
        <v>184</v>
      </c>
      <c r="E5230" t="s">
        <v>7</v>
      </c>
      <c r="F5230">
        <v>4.1179389953613281</v>
      </c>
    </row>
    <row r="5231" spans="2:6">
      <c r="B5231">
        <v>2017</v>
      </c>
      <c r="C5231" t="s">
        <v>65</v>
      </c>
      <c r="D5231" t="s">
        <v>184</v>
      </c>
      <c r="E5231" t="s">
        <v>8</v>
      </c>
      <c r="F5231">
        <v>7.6365842819213867</v>
      </c>
    </row>
    <row r="5232" spans="2:6">
      <c r="B5232">
        <v>2017</v>
      </c>
      <c r="C5232" t="s">
        <v>65</v>
      </c>
      <c r="D5232" t="s">
        <v>184</v>
      </c>
      <c r="E5232" t="s">
        <v>9</v>
      </c>
      <c r="F5232">
        <v>0.69700151681900024</v>
      </c>
    </row>
    <row r="5233" spans="2:6">
      <c r="B5233">
        <v>2017</v>
      </c>
      <c r="C5233" t="s">
        <v>65</v>
      </c>
      <c r="D5233" t="s">
        <v>184</v>
      </c>
      <c r="E5233" t="s">
        <v>10</v>
      </c>
      <c r="F5233">
        <v>54.700000762939453</v>
      </c>
    </row>
    <row r="5234" spans="2:6">
      <c r="B5234">
        <v>2017</v>
      </c>
      <c r="C5234" t="s">
        <v>65</v>
      </c>
      <c r="D5234" t="s">
        <v>184</v>
      </c>
      <c r="E5234" t="s">
        <v>11</v>
      </c>
      <c r="F5234">
        <v>0.81232583522796631</v>
      </c>
    </row>
    <row r="5235" spans="2:6">
      <c r="B5235">
        <v>2017</v>
      </c>
      <c r="C5235" t="s">
        <v>65</v>
      </c>
      <c r="D5235" t="s">
        <v>184</v>
      </c>
      <c r="E5235" t="s">
        <v>12</v>
      </c>
      <c r="F5235">
        <v>0.11087806522846222</v>
      </c>
    </row>
    <row r="5236" spans="2:6">
      <c r="B5236">
        <v>2017</v>
      </c>
      <c r="C5236" t="s">
        <v>65</v>
      </c>
      <c r="D5236" t="s">
        <v>184</v>
      </c>
      <c r="E5236" t="s">
        <v>13</v>
      </c>
      <c r="F5236">
        <v>0.57161557674407959</v>
      </c>
    </row>
    <row r="5237" spans="2:6">
      <c r="B5237">
        <v>2017</v>
      </c>
      <c r="C5237" t="s">
        <v>65</v>
      </c>
      <c r="D5237" t="s">
        <v>184</v>
      </c>
      <c r="E5237" t="s">
        <v>14</v>
      </c>
      <c r="F5237">
        <v>0.83828717470169067</v>
      </c>
    </row>
    <row r="5238" spans="2:6">
      <c r="B5238">
        <v>2017</v>
      </c>
      <c r="C5238" t="s">
        <v>65</v>
      </c>
      <c r="D5238" t="s">
        <v>184</v>
      </c>
      <c r="E5238" t="s">
        <v>15</v>
      </c>
      <c r="F5238">
        <v>0.27724719047546387</v>
      </c>
    </row>
    <row r="5239" spans="2:6">
      <c r="B5239">
        <v>2018</v>
      </c>
      <c r="C5239" t="s">
        <v>65</v>
      </c>
      <c r="D5239" t="s">
        <v>184</v>
      </c>
      <c r="E5239" t="s">
        <v>7</v>
      </c>
      <c r="F5239">
        <v>4.9220991134643555</v>
      </c>
    </row>
    <row r="5240" spans="2:6">
      <c r="B5240">
        <v>2018</v>
      </c>
      <c r="C5240" t="s">
        <v>65</v>
      </c>
      <c r="D5240" t="s">
        <v>184</v>
      </c>
      <c r="E5240" t="s">
        <v>8</v>
      </c>
      <c r="F5240">
        <v>7.6705336570739746</v>
      </c>
    </row>
    <row r="5241" spans="2:6">
      <c r="B5241">
        <v>2018</v>
      </c>
      <c r="C5241" t="s">
        <v>65</v>
      </c>
      <c r="D5241" t="s">
        <v>184</v>
      </c>
      <c r="E5241" t="s">
        <v>9</v>
      </c>
      <c r="F5241">
        <v>0.68479996919631958</v>
      </c>
    </row>
    <row r="5242" spans="2:6">
      <c r="B5242">
        <v>2018</v>
      </c>
      <c r="C5242" t="s">
        <v>65</v>
      </c>
      <c r="D5242" t="s">
        <v>184</v>
      </c>
      <c r="E5242" t="s">
        <v>10</v>
      </c>
      <c r="F5242">
        <v>55</v>
      </c>
    </row>
    <row r="5243" spans="2:6">
      <c r="B5243">
        <v>2018</v>
      </c>
      <c r="C5243" t="s">
        <v>65</v>
      </c>
      <c r="D5243" t="s">
        <v>184</v>
      </c>
      <c r="E5243" t="s">
        <v>11</v>
      </c>
      <c r="F5243">
        <v>0.71872878074645996</v>
      </c>
    </row>
    <row r="5244" spans="2:6">
      <c r="B5244">
        <v>2018</v>
      </c>
      <c r="C5244" t="s">
        <v>65</v>
      </c>
      <c r="D5244" t="s">
        <v>184</v>
      </c>
      <c r="E5244" t="s">
        <v>12</v>
      </c>
      <c r="F5244">
        <v>0.44015988707542419</v>
      </c>
    </row>
    <row r="5245" spans="2:6">
      <c r="B5245">
        <v>2018</v>
      </c>
      <c r="C5245" t="s">
        <v>65</v>
      </c>
      <c r="D5245" t="s">
        <v>184</v>
      </c>
      <c r="E5245" t="s">
        <v>13</v>
      </c>
      <c r="F5245">
        <v>0.69106954336166382</v>
      </c>
    </row>
    <row r="5246" spans="2:6">
      <c r="B5246">
        <v>2018</v>
      </c>
      <c r="C5246" t="s">
        <v>65</v>
      </c>
      <c r="D5246" t="s">
        <v>184</v>
      </c>
      <c r="E5246" t="s">
        <v>14</v>
      </c>
      <c r="F5246">
        <v>0.80401217937469482</v>
      </c>
    </row>
    <row r="5247" spans="2:6">
      <c r="B5247">
        <v>2018</v>
      </c>
      <c r="C5247" t="s">
        <v>65</v>
      </c>
      <c r="D5247" t="s">
        <v>184</v>
      </c>
      <c r="E5247" t="s">
        <v>15</v>
      </c>
      <c r="F5247">
        <v>0.37920770049095154</v>
      </c>
    </row>
    <row r="5248" spans="2:6">
      <c r="B5248">
        <v>2019</v>
      </c>
      <c r="C5248" t="s">
        <v>65</v>
      </c>
      <c r="D5248" t="s">
        <v>184</v>
      </c>
      <c r="E5248" t="s">
        <v>7</v>
      </c>
      <c r="F5248">
        <v>5.1636271476745605</v>
      </c>
    </row>
    <row r="5249" spans="2:6">
      <c r="B5249">
        <v>2019</v>
      </c>
      <c r="C5249" t="s">
        <v>65</v>
      </c>
      <c r="D5249" t="s">
        <v>184</v>
      </c>
      <c r="E5249" t="s">
        <v>8</v>
      </c>
      <c r="F5249">
        <v>7.6993498802185059</v>
      </c>
    </row>
    <row r="5250" spans="2:6">
      <c r="B5250">
        <v>2019</v>
      </c>
      <c r="C5250" t="s">
        <v>65</v>
      </c>
      <c r="D5250" t="s">
        <v>184</v>
      </c>
      <c r="E5250" t="s">
        <v>9</v>
      </c>
      <c r="F5250">
        <v>0.69387012720108032</v>
      </c>
    </row>
    <row r="5251" spans="2:6">
      <c r="B5251">
        <v>2019</v>
      </c>
      <c r="C5251" t="s">
        <v>65</v>
      </c>
      <c r="D5251" t="s">
        <v>184</v>
      </c>
      <c r="E5251" t="s">
        <v>10</v>
      </c>
      <c r="F5251">
        <v>55.299999237060547</v>
      </c>
    </row>
    <row r="5252" spans="2:6">
      <c r="B5252">
        <v>2019</v>
      </c>
      <c r="C5252" t="s">
        <v>65</v>
      </c>
      <c r="D5252" t="s">
        <v>184</v>
      </c>
      <c r="E5252" t="s">
        <v>11</v>
      </c>
      <c r="F5252">
        <v>0.67659527063369751</v>
      </c>
    </row>
    <row r="5253" spans="2:6">
      <c r="B5253">
        <v>2019</v>
      </c>
      <c r="C5253" t="s">
        <v>65</v>
      </c>
      <c r="D5253" t="s">
        <v>184</v>
      </c>
      <c r="E5253" t="s">
        <v>12</v>
      </c>
      <c r="F5253">
        <v>0.4101804792881012</v>
      </c>
    </row>
    <row r="5254" spans="2:6">
      <c r="B5254">
        <v>2019</v>
      </c>
      <c r="C5254" t="s">
        <v>65</v>
      </c>
      <c r="D5254" t="s">
        <v>184</v>
      </c>
      <c r="E5254" t="s">
        <v>13</v>
      </c>
      <c r="F5254">
        <v>0.79810810089111328</v>
      </c>
    </row>
    <row r="5255" spans="2:6">
      <c r="B5255">
        <v>2019</v>
      </c>
      <c r="C5255" t="s">
        <v>65</v>
      </c>
      <c r="D5255" t="s">
        <v>184</v>
      </c>
      <c r="E5255" t="s">
        <v>14</v>
      </c>
      <c r="F5255">
        <v>0.77281618118286133</v>
      </c>
    </row>
    <row r="5256" spans="2:6">
      <c r="B5256">
        <v>2019</v>
      </c>
      <c r="C5256" t="s">
        <v>65</v>
      </c>
      <c r="D5256" t="s">
        <v>184</v>
      </c>
      <c r="E5256" t="s">
        <v>15</v>
      </c>
      <c r="F5256">
        <v>0.40072327852249146</v>
      </c>
    </row>
    <row r="5257" spans="2:6">
      <c r="B5257">
        <v>2006</v>
      </c>
      <c r="C5257" t="s">
        <v>66</v>
      </c>
      <c r="D5257" t="s">
        <v>183</v>
      </c>
      <c r="E5257" t="s">
        <v>7</v>
      </c>
      <c r="F5257">
        <v>3.6751084327697754</v>
      </c>
    </row>
    <row r="5258" spans="2:6">
      <c r="B5258">
        <v>2006</v>
      </c>
      <c r="C5258" t="s">
        <v>66</v>
      </c>
      <c r="D5258" t="s">
        <v>183</v>
      </c>
      <c r="E5258" t="s">
        <v>8</v>
      </c>
      <c r="F5258">
        <v>8.9934158325195313</v>
      </c>
    </row>
    <row r="5259" spans="2:6">
      <c r="B5259">
        <v>2006</v>
      </c>
      <c r="C5259" t="s">
        <v>66</v>
      </c>
      <c r="D5259" t="s">
        <v>183</v>
      </c>
      <c r="E5259" t="s">
        <v>9</v>
      </c>
      <c r="F5259">
        <v>0.64663594961166382</v>
      </c>
    </row>
    <row r="5260" spans="2:6">
      <c r="B5260">
        <v>2006</v>
      </c>
      <c r="C5260" t="s">
        <v>66</v>
      </c>
      <c r="D5260" t="s">
        <v>183</v>
      </c>
      <c r="E5260" t="s">
        <v>10</v>
      </c>
      <c r="F5260">
        <v>65.120002746582031</v>
      </c>
    </row>
    <row r="5261" spans="2:6">
      <c r="B5261">
        <v>2006</v>
      </c>
      <c r="C5261" t="s">
        <v>66</v>
      </c>
      <c r="D5261" t="s">
        <v>183</v>
      </c>
      <c r="E5261" t="s">
        <v>11</v>
      </c>
      <c r="F5261">
        <v>0.55259263515472412</v>
      </c>
    </row>
    <row r="5262" spans="2:6">
      <c r="B5262">
        <v>2006</v>
      </c>
      <c r="C5262" t="s">
        <v>66</v>
      </c>
      <c r="D5262" t="s">
        <v>183</v>
      </c>
      <c r="E5262" t="s">
        <v>12</v>
      </c>
      <c r="F5262">
        <v>-0.26706388592720032</v>
      </c>
    </row>
    <row r="5263" spans="2:6">
      <c r="B5263">
        <v>2006</v>
      </c>
      <c r="C5263" t="s">
        <v>66</v>
      </c>
      <c r="D5263" t="s">
        <v>183</v>
      </c>
      <c r="E5263" t="s">
        <v>13</v>
      </c>
      <c r="F5263">
        <v>0.75193363428115845</v>
      </c>
    </row>
    <row r="5264" spans="2:6">
      <c r="B5264">
        <v>2006</v>
      </c>
      <c r="C5264" t="s">
        <v>66</v>
      </c>
      <c r="D5264" t="s">
        <v>183</v>
      </c>
      <c r="E5264" t="s">
        <v>14</v>
      </c>
      <c r="F5264">
        <v>0.43311527371406555</v>
      </c>
    </row>
    <row r="5265" spans="2:6">
      <c r="B5265">
        <v>2006</v>
      </c>
      <c r="C5265" t="s">
        <v>66</v>
      </c>
      <c r="D5265" t="s">
        <v>183</v>
      </c>
      <c r="E5265" t="s">
        <v>15</v>
      </c>
      <c r="F5265">
        <v>0.26938360929489136</v>
      </c>
    </row>
    <row r="5266" spans="2:6">
      <c r="B5266">
        <v>2007</v>
      </c>
      <c r="C5266" t="s">
        <v>66</v>
      </c>
      <c r="D5266" t="s">
        <v>183</v>
      </c>
      <c r="E5266" t="s">
        <v>7</v>
      </c>
      <c r="F5266">
        <v>3.7071945667266846</v>
      </c>
    </row>
    <row r="5267" spans="2:6">
      <c r="B5267">
        <v>2007</v>
      </c>
      <c r="C5267" t="s">
        <v>66</v>
      </c>
      <c r="D5267" t="s">
        <v>183</v>
      </c>
      <c r="E5267" t="s">
        <v>8</v>
      </c>
      <c r="F5267">
        <v>9.1171169281005859</v>
      </c>
    </row>
    <row r="5268" spans="2:6">
      <c r="B5268">
        <v>2007</v>
      </c>
      <c r="C5268" t="s">
        <v>66</v>
      </c>
      <c r="D5268" t="s">
        <v>183</v>
      </c>
      <c r="E5268" t="s">
        <v>9</v>
      </c>
      <c r="F5268">
        <v>0.54836905002593994</v>
      </c>
    </row>
    <row r="5269" spans="2:6">
      <c r="B5269">
        <v>2007</v>
      </c>
      <c r="C5269" t="s">
        <v>66</v>
      </c>
      <c r="D5269" t="s">
        <v>183</v>
      </c>
      <c r="E5269" t="s">
        <v>10</v>
      </c>
      <c r="F5269">
        <v>65.040000915527344</v>
      </c>
    </row>
    <row r="5270" spans="2:6">
      <c r="B5270">
        <v>2007</v>
      </c>
      <c r="C5270" t="s">
        <v>66</v>
      </c>
      <c r="D5270" t="s">
        <v>183</v>
      </c>
      <c r="E5270" t="s">
        <v>11</v>
      </c>
      <c r="F5270">
        <v>0.46372252702713013</v>
      </c>
    </row>
    <row r="5271" spans="2:6">
      <c r="B5271">
        <v>2007</v>
      </c>
      <c r="C5271" t="s">
        <v>66</v>
      </c>
      <c r="D5271" t="s">
        <v>183</v>
      </c>
      <c r="E5271" t="s">
        <v>12</v>
      </c>
      <c r="F5271">
        <v>-0.26668700575828552</v>
      </c>
    </row>
    <row r="5272" spans="2:6">
      <c r="B5272">
        <v>2007</v>
      </c>
      <c r="C5272" t="s">
        <v>66</v>
      </c>
      <c r="D5272" t="s">
        <v>183</v>
      </c>
      <c r="E5272" t="s">
        <v>13</v>
      </c>
      <c r="F5272">
        <v>0.69734001159667969</v>
      </c>
    </row>
    <row r="5273" spans="2:6">
      <c r="B5273">
        <v>2007</v>
      </c>
      <c r="C5273" t="s">
        <v>66</v>
      </c>
      <c r="D5273" t="s">
        <v>183</v>
      </c>
      <c r="E5273" t="s">
        <v>14</v>
      </c>
      <c r="F5273">
        <v>0.42664796113967896</v>
      </c>
    </row>
    <row r="5274" spans="2:6">
      <c r="B5274">
        <v>2007</v>
      </c>
      <c r="C5274" t="s">
        <v>66</v>
      </c>
      <c r="D5274" t="s">
        <v>183</v>
      </c>
      <c r="E5274" t="s">
        <v>15</v>
      </c>
      <c r="F5274">
        <v>0.23584674298763275</v>
      </c>
    </row>
    <row r="5275" spans="2:6">
      <c r="B5275">
        <v>2008</v>
      </c>
      <c r="C5275" t="s">
        <v>66</v>
      </c>
      <c r="D5275" t="s">
        <v>183</v>
      </c>
      <c r="E5275" t="s">
        <v>7</v>
      </c>
      <c r="F5275">
        <v>4.156090259552002</v>
      </c>
    </row>
    <row r="5276" spans="2:6">
      <c r="B5276">
        <v>2008</v>
      </c>
      <c r="C5276" t="s">
        <v>66</v>
      </c>
      <c r="D5276" t="s">
        <v>183</v>
      </c>
      <c r="E5276" t="s">
        <v>8</v>
      </c>
      <c r="F5276">
        <v>9.1440525054931641</v>
      </c>
    </row>
    <row r="5277" spans="2:6">
      <c r="B5277">
        <v>2008</v>
      </c>
      <c r="C5277" t="s">
        <v>66</v>
      </c>
      <c r="D5277" t="s">
        <v>183</v>
      </c>
      <c r="E5277" t="s">
        <v>9</v>
      </c>
      <c r="F5277">
        <v>0.6075127124786377</v>
      </c>
    </row>
    <row r="5278" spans="2:6">
      <c r="B5278">
        <v>2008</v>
      </c>
      <c r="C5278" t="s">
        <v>66</v>
      </c>
      <c r="D5278" t="s">
        <v>183</v>
      </c>
      <c r="E5278" t="s">
        <v>10</v>
      </c>
      <c r="F5278">
        <v>64.959999084472656</v>
      </c>
    </row>
    <row r="5279" spans="2:6">
      <c r="B5279">
        <v>2008</v>
      </c>
      <c r="C5279" t="s">
        <v>66</v>
      </c>
      <c r="D5279" t="s">
        <v>183</v>
      </c>
      <c r="E5279" t="s">
        <v>11</v>
      </c>
      <c r="F5279">
        <v>0.61399739980697632</v>
      </c>
    </row>
    <row r="5280" spans="2:6">
      <c r="B5280">
        <v>2008</v>
      </c>
      <c r="C5280" t="s">
        <v>66</v>
      </c>
      <c r="D5280" t="s">
        <v>183</v>
      </c>
      <c r="E5280" t="s">
        <v>12</v>
      </c>
      <c r="F5280">
        <v>-0.22427414357662201</v>
      </c>
    </row>
    <row r="5281" spans="2:6">
      <c r="B5281">
        <v>2008</v>
      </c>
      <c r="C5281" t="s">
        <v>66</v>
      </c>
      <c r="D5281" t="s">
        <v>183</v>
      </c>
      <c r="E5281" t="s">
        <v>13</v>
      </c>
      <c r="F5281">
        <v>0.49799945950508118</v>
      </c>
    </row>
    <row r="5282" spans="2:6">
      <c r="B5282">
        <v>2008</v>
      </c>
      <c r="C5282" t="s">
        <v>66</v>
      </c>
      <c r="D5282" t="s">
        <v>183</v>
      </c>
      <c r="E5282" t="s">
        <v>14</v>
      </c>
      <c r="F5282">
        <v>0.44097954034805298</v>
      </c>
    </row>
    <row r="5283" spans="2:6">
      <c r="B5283">
        <v>2008</v>
      </c>
      <c r="C5283" t="s">
        <v>66</v>
      </c>
      <c r="D5283" t="s">
        <v>183</v>
      </c>
      <c r="E5283" t="s">
        <v>15</v>
      </c>
      <c r="F5283">
        <v>0.26150807738304138</v>
      </c>
    </row>
    <row r="5284" spans="2:6">
      <c r="B5284">
        <v>2009</v>
      </c>
      <c r="C5284" t="s">
        <v>66</v>
      </c>
      <c r="D5284" t="s">
        <v>183</v>
      </c>
      <c r="E5284" t="s">
        <v>7</v>
      </c>
      <c r="F5284">
        <v>3.8006391525268555</v>
      </c>
    </row>
    <row r="5285" spans="2:6">
      <c r="B5285">
        <v>2009</v>
      </c>
      <c r="C5285" t="s">
        <v>66</v>
      </c>
      <c r="D5285" t="s">
        <v>183</v>
      </c>
      <c r="E5285" t="s">
        <v>8</v>
      </c>
      <c r="F5285">
        <v>9.1157464981079102</v>
      </c>
    </row>
    <row r="5286" spans="2:6">
      <c r="B5286">
        <v>2009</v>
      </c>
      <c r="C5286" t="s">
        <v>66</v>
      </c>
      <c r="D5286" t="s">
        <v>183</v>
      </c>
      <c r="E5286" t="s">
        <v>9</v>
      </c>
      <c r="F5286">
        <v>0.54351305961608887</v>
      </c>
    </row>
    <row r="5287" spans="2:6">
      <c r="B5287">
        <v>2009</v>
      </c>
      <c r="C5287" t="s">
        <v>66</v>
      </c>
      <c r="D5287" t="s">
        <v>183</v>
      </c>
      <c r="E5287" t="s">
        <v>10</v>
      </c>
      <c r="F5287">
        <v>64.879997253417969</v>
      </c>
    </row>
    <row r="5288" spans="2:6">
      <c r="B5288">
        <v>2009</v>
      </c>
      <c r="C5288" t="s">
        <v>66</v>
      </c>
      <c r="D5288" t="s">
        <v>183</v>
      </c>
      <c r="E5288" t="s">
        <v>11</v>
      </c>
      <c r="F5288">
        <v>0.49531400203704834</v>
      </c>
    </row>
    <row r="5289" spans="2:6">
      <c r="B5289">
        <v>2009</v>
      </c>
      <c r="C5289" t="s">
        <v>66</v>
      </c>
      <c r="D5289" t="s">
        <v>183</v>
      </c>
      <c r="E5289" t="s">
        <v>12</v>
      </c>
      <c r="F5289">
        <v>-0.23255616426467896</v>
      </c>
    </row>
    <row r="5290" spans="2:6">
      <c r="B5290">
        <v>2009</v>
      </c>
      <c r="C5290" t="s">
        <v>66</v>
      </c>
      <c r="D5290" t="s">
        <v>183</v>
      </c>
      <c r="E5290" t="s">
        <v>13</v>
      </c>
      <c r="F5290">
        <v>0.53458529710769653</v>
      </c>
    </row>
    <row r="5291" spans="2:6">
      <c r="B5291">
        <v>2009</v>
      </c>
      <c r="C5291" t="s">
        <v>66</v>
      </c>
      <c r="D5291" t="s">
        <v>183</v>
      </c>
      <c r="E5291" t="s">
        <v>14</v>
      </c>
      <c r="F5291">
        <v>0.49196138978004456</v>
      </c>
    </row>
    <row r="5292" spans="2:6">
      <c r="B5292">
        <v>2009</v>
      </c>
      <c r="C5292" t="s">
        <v>66</v>
      </c>
      <c r="D5292" t="s">
        <v>183</v>
      </c>
      <c r="E5292" t="s">
        <v>15</v>
      </c>
      <c r="F5292">
        <v>0.24235014617443085</v>
      </c>
    </row>
    <row r="5293" spans="2:6">
      <c r="B5293">
        <v>2010</v>
      </c>
      <c r="C5293" t="s">
        <v>66</v>
      </c>
      <c r="D5293" t="s">
        <v>183</v>
      </c>
      <c r="E5293" t="s">
        <v>7</v>
      </c>
      <c r="F5293">
        <v>4.101837158203125</v>
      </c>
    </row>
    <row r="5294" spans="2:6">
      <c r="B5294">
        <v>2010</v>
      </c>
      <c r="C5294" t="s">
        <v>66</v>
      </c>
      <c r="D5294" t="s">
        <v>183</v>
      </c>
      <c r="E5294" t="s">
        <v>8</v>
      </c>
      <c r="F5294">
        <v>9.1836605072021484</v>
      </c>
    </row>
    <row r="5295" spans="2:6">
      <c r="B5295">
        <v>2010</v>
      </c>
      <c r="C5295" t="s">
        <v>66</v>
      </c>
      <c r="D5295" t="s">
        <v>183</v>
      </c>
      <c r="E5295" t="s">
        <v>9</v>
      </c>
      <c r="F5295">
        <v>0.54038894176483154</v>
      </c>
    </row>
    <row r="5296" spans="2:6">
      <c r="B5296">
        <v>2010</v>
      </c>
      <c r="C5296" t="s">
        <v>66</v>
      </c>
      <c r="D5296" t="s">
        <v>183</v>
      </c>
      <c r="E5296" t="s">
        <v>10</v>
      </c>
      <c r="F5296">
        <v>64.800003051757813</v>
      </c>
    </row>
    <row r="5297" spans="2:6">
      <c r="B5297">
        <v>2010</v>
      </c>
      <c r="C5297" t="s">
        <v>66</v>
      </c>
      <c r="D5297" t="s">
        <v>183</v>
      </c>
      <c r="E5297" t="s">
        <v>11</v>
      </c>
      <c r="F5297">
        <v>0.5578579306602478</v>
      </c>
    </row>
    <row r="5298" spans="2:6">
      <c r="B5298">
        <v>2010</v>
      </c>
      <c r="C5298" t="s">
        <v>66</v>
      </c>
      <c r="D5298" t="s">
        <v>183</v>
      </c>
      <c r="E5298" t="s">
        <v>12</v>
      </c>
      <c r="F5298">
        <v>-0.24761094152927399</v>
      </c>
    </row>
    <row r="5299" spans="2:6">
      <c r="B5299">
        <v>2010</v>
      </c>
      <c r="C5299" t="s">
        <v>66</v>
      </c>
      <c r="D5299" t="s">
        <v>183</v>
      </c>
      <c r="E5299" t="s">
        <v>13</v>
      </c>
      <c r="F5299">
        <v>0.45973631739616394</v>
      </c>
    </row>
    <row r="5300" spans="2:6">
      <c r="B5300">
        <v>2010</v>
      </c>
      <c r="C5300" t="s">
        <v>66</v>
      </c>
      <c r="D5300" t="s">
        <v>183</v>
      </c>
      <c r="E5300" t="s">
        <v>14</v>
      </c>
      <c r="F5300">
        <v>0.50179028511047363</v>
      </c>
    </row>
    <row r="5301" spans="2:6">
      <c r="B5301">
        <v>2010</v>
      </c>
      <c r="C5301" t="s">
        <v>66</v>
      </c>
      <c r="D5301" t="s">
        <v>183</v>
      </c>
      <c r="E5301" t="s">
        <v>15</v>
      </c>
      <c r="F5301">
        <v>0.24253630638122559</v>
      </c>
    </row>
    <row r="5302" spans="2:6">
      <c r="B5302">
        <v>2011</v>
      </c>
      <c r="C5302" t="s">
        <v>66</v>
      </c>
      <c r="D5302" t="s">
        <v>183</v>
      </c>
      <c r="E5302" t="s">
        <v>7</v>
      </c>
      <c r="F5302">
        <v>4.2030305862426758</v>
      </c>
    </row>
    <row r="5303" spans="2:6">
      <c r="B5303">
        <v>2011</v>
      </c>
      <c r="C5303" t="s">
        <v>66</v>
      </c>
      <c r="D5303" t="s">
        <v>183</v>
      </c>
      <c r="E5303" t="s">
        <v>8</v>
      </c>
      <c r="F5303">
        <v>9.2630720138549805</v>
      </c>
    </row>
    <row r="5304" spans="2:6">
      <c r="B5304">
        <v>2011</v>
      </c>
      <c r="C5304" t="s">
        <v>66</v>
      </c>
      <c r="D5304" t="s">
        <v>183</v>
      </c>
      <c r="E5304" t="s">
        <v>9</v>
      </c>
      <c r="F5304">
        <v>0.50293737649917603</v>
      </c>
    </row>
    <row r="5305" spans="2:6">
      <c r="B5305">
        <v>2011</v>
      </c>
      <c r="C5305" t="s">
        <v>66</v>
      </c>
      <c r="D5305" t="s">
        <v>183</v>
      </c>
      <c r="E5305" t="s">
        <v>10</v>
      </c>
      <c r="F5305">
        <v>64.860000610351563</v>
      </c>
    </row>
    <row r="5306" spans="2:6">
      <c r="B5306">
        <v>2011</v>
      </c>
      <c r="C5306" t="s">
        <v>66</v>
      </c>
      <c r="D5306" t="s">
        <v>183</v>
      </c>
      <c r="E5306" t="s">
        <v>11</v>
      </c>
      <c r="F5306">
        <v>0.63246452808380127</v>
      </c>
    </row>
    <row r="5307" spans="2:6">
      <c r="B5307">
        <v>2011</v>
      </c>
      <c r="C5307" t="s">
        <v>66</v>
      </c>
      <c r="D5307" t="s">
        <v>183</v>
      </c>
      <c r="E5307" t="s">
        <v>12</v>
      </c>
      <c r="F5307">
        <v>-0.25486013293266296</v>
      </c>
    </row>
    <row r="5308" spans="2:6">
      <c r="B5308">
        <v>2011</v>
      </c>
      <c r="C5308" t="s">
        <v>66</v>
      </c>
      <c r="D5308" t="s">
        <v>183</v>
      </c>
      <c r="E5308" t="s">
        <v>13</v>
      </c>
      <c r="F5308">
        <v>0.35334640741348267</v>
      </c>
    </row>
    <row r="5309" spans="2:6">
      <c r="B5309">
        <v>2011</v>
      </c>
      <c r="C5309" t="s">
        <v>66</v>
      </c>
      <c r="D5309" t="s">
        <v>183</v>
      </c>
      <c r="E5309" t="s">
        <v>14</v>
      </c>
      <c r="F5309">
        <v>0.51492065191268921</v>
      </c>
    </row>
    <row r="5310" spans="2:6">
      <c r="B5310">
        <v>2011</v>
      </c>
      <c r="C5310" t="s">
        <v>66</v>
      </c>
      <c r="D5310" t="s">
        <v>183</v>
      </c>
      <c r="E5310" t="s">
        <v>15</v>
      </c>
      <c r="F5310">
        <v>0.24677042663097382</v>
      </c>
    </row>
    <row r="5311" spans="2:6">
      <c r="B5311">
        <v>2012</v>
      </c>
      <c r="C5311" t="s">
        <v>66</v>
      </c>
      <c r="D5311" t="s">
        <v>183</v>
      </c>
      <c r="E5311" t="s">
        <v>7</v>
      </c>
      <c r="F5311">
        <v>4.2544455528259277</v>
      </c>
    </row>
    <row r="5312" spans="2:6">
      <c r="B5312">
        <v>2012</v>
      </c>
      <c r="C5312" t="s">
        <v>66</v>
      </c>
      <c r="D5312" t="s">
        <v>183</v>
      </c>
      <c r="E5312" t="s">
        <v>8</v>
      </c>
      <c r="F5312">
        <v>9.3321819305419922</v>
      </c>
    </row>
    <row r="5313" spans="2:6">
      <c r="B5313">
        <v>2012</v>
      </c>
      <c r="C5313" t="s">
        <v>66</v>
      </c>
      <c r="D5313" t="s">
        <v>183</v>
      </c>
      <c r="E5313" t="s">
        <v>9</v>
      </c>
      <c r="F5313">
        <v>0.53258645534515381</v>
      </c>
    </row>
    <row r="5314" spans="2:6">
      <c r="B5314">
        <v>2012</v>
      </c>
      <c r="C5314" t="s">
        <v>66</v>
      </c>
      <c r="D5314" t="s">
        <v>183</v>
      </c>
      <c r="E5314" t="s">
        <v>10</v>
      </c>
      <c r="F5314">
        <v>64.919998168945313</v>
      </c>
    </row>
    <row r="5315" spans="2:6">
      <c r="B5315">
        <v>2012</v>
      </c>
      <c r="C5315" t="s">
        <v>66</v>
      </c>
      <c r="D5315" t="s">
        <v>183</v>
      </c>
      <c r="E5315" t="s">
        <v>11</v>
      </c>
      <c r="F5315">
        <v>0.65872400999069214</v>
      </c>
    </row>
    <row r="5316" spans="2:6">
      <c r="B5316">
        <v>2012</v>
      </c>
      <c r="C5316" t="s">
        <v>66</v>
      </c>
      <c r="D5316" t="s">
        <v>183</v>
      </c>
      <c r="E5316" t="s">
        <v>12</v>
      </c>
      <c r="F5316">
        <v>-0.26896542310714722</v>
      </c>
    </row>
    <row r="5317" spans="2:6">
      <c r="B5317">
        <v>2012</v>
      </c>
      <c r="C5317" t="s">
        <v>66</v>
      </c>
      <c r="D5317" t="s">
        <v>183</v>
      </c>
      <c r="E5317" t="s">
        <v>13</v>
      </c>
      <c r="F5317">
        <v>0.32088759541511536</v>
      </c>
    </row>
    <row r="5318" spans="2:6">
      <c r="B5318">
        <v>2012</v>
      </c>
      <c r="C5318" t="s">
        <v>66</v>
      </c>
      <c r="D5318" t="s">
        <v>183</v>
      </c>
      <c r="E5318" t="s">
        <v>14</v>
      </c>
      <c r="F5318">
        <v>0.55915391445159912</v>
      </c>
    </row>
    <row r="5319" spans="2:6">
      <c r="B5319">
        <v>2012</v>
      </c>
      <c r="C5319" t="s">
        <v>66</v>
      </c>
      <c r="D5319" t="s">
        <v>183</v>
      </c>
      <c r="E5319" t="s">
        <v>15</v>
      </c>
      <c r="F5319">
        <v>0.25008785724639893</v>
      </c>
    </row>
    <row r="5320" spans="2:6">
      <c r="B5320">
        <v>2013</v>
      </c>
      <c r="C5320" t="s">
        <v>66</v>
      </c>
      <c r="D5320" t="s">
        <v>183</v>
      </c>
      <c r="E5320" t="s">
        <v>7</v>
      </c>
      <c r="F5320">
        <v>4.3489208221435547</v>
      </c>
    </row>
    <row r="5321" spans="2:6">
      <c r="B5321">
        <v>2013</v>
      </c>
      <c r="C5321" t="s">
        <v>66</v>
      </c>
      <c r="D5321" t="s">
        <v>183</v>
      </c>
      <c r="E5321" t="s">
        <v>8</v>
      </c>
      <c r="F5321">
        <v>9.3707647323608398</v>
      </c>
    </row>
    <row r="5322" spans="2:6">
      <c r="B5322">
        <v>2013</v>
      </c>
      <c r="C5322" t="s">
        <v>66</v>
      </c>
      <c r="D5322" t="s">
        <v>183</v>
      </c>
      <c r="E5322" t="s">
        <v>9</v>
      </c>
      <c r="F5322">
        <v>0.55916577577590942</v>
      </c>
    </row>
    <row r="5323" spans="2:6">
      <c r="B5323">
        <v>2013</v>
      </c>
      <c r="C5323" t="s">
        <v>66</v>
      </c>
      <c r="D5323" t="s">
        <v>183</v>
      </c>
      <c r="E5323" t="s">
        <v>10</v>
      </c>
      <c r="F5323">
        <v>64.980003356933594</v>
      </c>
    </row>
    <row r="5324" spans="2:6">
      <c r="B5324">
        <v>2013</v>
      </c>
      <c r="C5324" t="s">
        <v>66</v>
      </c>
      <c r="D5324" t="s">
        <v>183</v>
      </c>
      <c r="E5324" t="s">
        <v>11</v>
      </c>
      <c r="F5324">
        <v>0.72212761640548706</v>
      </c>
    </row>
    <row r="5325" spans="2:6">
      <c r="B5325">
        <v>2013</v>
      </c>
      <c r="C5325" t="s">
        <v>66</v>
      </c>
      <c r="D5325" t="s">
        <v>183</v>
      </c>
      <c r="E5325" t="s">
        <v>12</v>
      </c>
      <c r="F5325">
        <v>-0.25406491756439209</v>
      </c>
    </row>
    <row r="5326" spans="2:6">
      <c r="B5326">
        <v>2013</v>
      </c>
      <c r="C5326" t="s">
        <v>66</v>
      </c>
      <c r="D5326" t="s">
        <v>183</v>
      </c>
      <c r="E5326" t="s">
        <v>13</v>
      </c>
      <c r="F5326">
        <v>0.34871360659599304</v>
      </c>
    </row>
    <row r="5327" spans="2:6">
      <c r="B5327">
        <v>2013</v>
      </c>
      <c r="C5327" t="s">
        <v>66</v>
      </c>
      <c r="D5327" t="s">
        <v>183</v>
      </c>
      <c r="E5327" t="s">
        <v>14</v>
      </c>
      <c r="F5327">
        <v>0.59504127502441406</v>
      </c>
    </row>
    <row r="5328" spans="2:6">
      <c r="B5328">
        <v>2013</v>
      </c>
      <c r="C5328" t="s">
        <v>66</v>
      </c>
      <c r="D5328" t="s">
        <v>183</v>
      </c>
      <c r="E5328" t="s">
        <v>15</v>
      </c>
      <c r="F5328">
        <v>0.1999070793390274</v>
      </c>
    </row>
    <row r="5329" spans="2:6">
      <c r="B5329">
        <v>2014</v>
      </c>
      <c r="C5329" t="s">
        <v>66</v>
      </c>
      <c r="D5329" t="s">
        <v>183</v>
      </c>
      <c r="E5329" t="s">
        <v>7</v>
      </c>
      <c r="F5329">
        <v>4.2875080108642578</v>
      </c>
    </row>
    <row r="5330" spans="2:6">
      <c r="B5330">
        <v>2014</v>
      </c>
      <c r="C5330" t="s">
        <v>66</v>
      </c>
      <c r="D5330" t="s">
        <v>183</v>
      </c>
      <c r="E5330" t="s">
        <v>8</v>
      </c>
      <c r="F5330">
        <v>9.4136600494384766</v>
      </c>
    </row>
    <row r="5331" spans="2:6">
      <c r="B5331">
        <v>2014</v>
      </c>
      <c r="C5331" t="s">
        <v>66</v>
      </c>
      <c r="D5331" t="s">
        <v>183</v>
      </c>
      <c r="E5331" t="s">
        <v>9</v>
      </c>
      <c r="F5331">
        <v>0.55842000246047974</v>
      </c>
    </row>
    <row r="5332" spans="2:6">
      <c r="B5332">
        <v>2014</v>
      </c>
      <c r="C5332" t="s">
        <v>66</v>
      </c>
      <c r="D5332" t="s">
        <v>183</v>
      </c>
      <c r="E5332" t="s">
        <v>10</v>
      </c>
      <c r="F5332">
        <v>65.040000915527344</v>
      </c>
    </row>
    <row r="5333" spans="2:6">
      <c r="B5333">
        <v>2014</v>
      </c>
      <c r="C5333" t="s">
        <v>66</v>
      </c>
      <c r="D5333" t="s">
        <v>183</v>
      </c>
      <c r="E5333" t="s">
        <v>11</v>
      </c>
      <c r="F5333">
        <v>0.71978116035461426</v>
      </c>
    </row>
    <row r="5334" spans="2:6">
      <c r="B5334">
        <v>2014</v>
      </c>
      <c r="C5334" t="s">
        <v>66</v>
      </c>
      <c r="D5334" t="s">
        <v>183</v>
      </c>
      <c r="E5334" t="s">
        <v>12</v>
      </c>
      <c r="F5334">
        <v>-0.23295725882053375</v>
      </c>
    </row>
    <row r="5335" spans="2:6">
      <c r="B5335">
        <v>2014</v>
      </c>
      <c r="C5335" t="s">
        <v>66</v>
      </c>
      <c r="D5335" t="s">
        <v>183</v>
      </c>
      <c r="E5335" t="s">
        <v>13</v>
      </c>
      <c r="F5335">
        <v>0.4155256450176239</v>
      </c>
    </row>
    <row r="5336" spans="2:6">
      <c r="B5336">
        <v>2014</v>
      </c>
      <c r="C5336" t="s">
        <v>66</v>
      </c>
      <c r="D5336" t="s">
        <v>183</v>
      </c>
      <c r="E5336" t="s">
        <v>14</v>
      </c>
      <c r="F5336">
        <v>0.56988400220870972</v>
      </c>
    </row>
    <row r="5337" spans="2:6">
      <c r="B5337">
        <v>2014</v>
      </c>
      <c r="C5337" t="s">
        <v>66</v>
      </c>
      <c r="D5337" t="s">
        <v>183</v>
      </c>
      <c r="E5337" t="s">
        <v>15</v>
      </c>
      <c r="F5337">
        <v>0.20432750880718231</v>
      </c>
    </row>
    <row r="5338" spans="2:6">
      <c r="B5338">
        <v>2015</v>
      </c>
      <c r="C5338" t="s">
        <v>66</v>
      </c>
      <c r="D5338" t="s">
        <v>183</v>
      </c>
      <c r="E5338" t="s">
        <v>7</v>
      </c>
      <c r="F5338">
        <v>4.1219406127929688</v>
      </c>
    </row>
    <row r="5339" spans="2:6">
      <c r="B5339">
        <v>2015</v>
      </c>
      <c r="C5339" t="s">
        <v>66</v>
      </c>
      <c r="D5339" t="s">
        <v>183</v>
      </c>
      <c r="E5339" t="s">
        <v>8</v>
      </c>
      <c r="F5339">
        <v>9.4418601989746094</v>
      </c>
    </row>
    <row r="5340" spans="2:6">
      <c r="B5340">
        <v>2015</v>
      </c>
      <c r="C5340" t="s">
        <v>66</v>
      </c>
      <c r="D5340" t="s">
        <v>183</v>
      </c>
      <c r="E5340" t="s">
        <v>9</v>
      </c>
      <c r="F5340">
        <v>0.51737159490585327</v>
      </c>
    </row>
    <row r="5341" spans="2:6">
      <c r="B5341">
        <v>2015</v>
      </c>
      <c r="C5341" t="s">
        <v>66</v>
      </c>
      <c r="D5341" t="s">
        <v>183</v>
      </c>
      <c r="E5341" t="s">
        <v>10</v>
      </c>
      <c r="F5341">
        <v>65.099998474121094</v>
      </c>
    </row>
    <row r="5342" spans="2:6">
      <c r="B5342">
        <v>2015</v>
      </c>
      <c r="C5342" t="s">
        <v>66</v>
      </c>
      <c r="D5342" t="s">
        <v>183</v>
      </c>
      <c r="E5342" t="s">
        <v>11</v>
      </c>
      <c r="F5342">
        <v>0.63994497060775757</v>
      </c>
    </row>
    <row r="5343" spans="2:6">
      <c r="B5343">
        <v>2015</v>
      </c>
      <c r="C5343" t="s">
        <v>66</v>
      </c>
      <c r="D5343" t="s">
        <v>183</v>
      </c>
      <c r="E5343" t="s">
        <v>12</v>
      </c>
      <c r="F5343">
        <v>-0.20479491353034973</v>
      </c>
    </row>
    <row r="5344" spans="2:6">
      <c r="B5344">
        <v>2015</v>
      </c>
      <c r="C5344" t="s">
        <v>66</v>
      </c>
      <c r="D5344" t="s">
        <v>183</v>
      </c>
      <c r="E5344" t="s">
        <v>13</v>
      </c>
      <c r="F5344">
        <v>0.50241678953170776</v>
      </c>
    </row>
    <row r="5345" spans="2:6">
      <c r="B5345">
        <v>2015</v>
      </c>
      <c r="C5345" t="s">
        <v>66</v>
      </c>
      <c r="D5345" t="s">
        <v>183</v>
      </c>
      <c r="E5345" t="s">
        <v>14</v>
      </c>
      <c r="F5345">
        <v>0.54727977514266968</v>
      </c>
    </row>
    <row r="5346" spans="2:6">
      <c r="B5346">
        <v>2015</v>
      </c>
      <c r="C5346" t="s">
        <v>66</v>
      </c>
      <c r="D5346" t="s">
        <v>183</v>
      </c>
      <c r="E5346" t="s">
        <v>15</v>
      </c>
      <c r="F5346">
        <v>0.2331920862197876</v>
      </c>
    </row>
    <row r="5347" spans="2:6">
      <c r="B5347">
        <v>2016</v>
      </c>
      <c r="C5347" t="s">
        <v>66</v>
      </c>
      <c r="D5347" t="s">
        <v>183</v>
      </c>
      <c r="E5347" t="s">
        <v>7</v>
      </c>
      <c r="F5347">
        <v>4.4483861923217773</v>
      </c>
    </row>
    <row r="5348" spans="2:6">
      <c r="B5348">
        <v>2016</v>
      </c>
      <c r="C5348" t="s">
        <v>66</v>
      </c>
      <c r="D5348" t="s">
        <v>183</v>
      </c>
      <c r="E5348" t="s">
        <v>8</v>
      </c>
      <c r="F5348">
        <v>9.4699115753173828</v>
      </c>
    </row>
    <row r="5349" spans="2:6">
      <c r="B5349">
        <v>2016</v>
      </c>
      <c r="C5349" t="s">
        <v>66</v>
      </c>
      <c r="D5349" t="s">
        <v>183</v>
      </c>
      <c r="E5349" t="s">
        <v>9</v>
      </c>
      <c r="F5349">
        <v>0.53341227769851685</v>
      </c>
    </row>
    <row r="5350" spans="2:6">
      <c r="B5350">
        <v>2016</v>
      </c>
      <c r="C5350" t="s">
        <v>66</v>
      </c>
      <c r="D5350" t="s">
        <v>183</v>
      </c>
      <c r="E5350" t="s">
        <v>10</v>
      </c>
      <c r="F5350">
        <v>64.900001525878906</v>
      </c>
    </row>
    <row r="5351" spans="2:6">
      <c r="B5351">
        <v>2016</v>
      </c>
      <c r="C5351" t="s">
        <v>66</v>
      </c>
      <c r="D5351" t="s">
        <v>183</v>
      </c>
      <c r="E5351" t="s">
        <v>11</v>
      </c>
      <c r="F5351">
        <v>0.60646837949752808</v>
      </c>
    </row>
    <row r="5352" spans="2:6">
      <c r="B5352">
        <v>2016</v>
      </c>
      <c r="C5352" t="s">
        <v>66</v>
      </c>
      <c r="D5352" t="s">
        <v>183</v>
      </c>
      <c r="E5352" t="s">
        <v>12</v>
      </c>
      <c r="F5352">
        <v>-0.24917255342006683</v>
      </c>
    </row>
    <row r="5353" spans="2:6">
      <c r="B5353">
        <v>2016</v>
      </c>
      <c r="C5353" t="s">
        <v>66</v>
      </c>
      <c r="D5353" t="s">
        <v>183</v>
      </c>
      <c r="E5353" t="s">
        <v>13</v>
      </c>
      <c r="F5353">
        <v>0.56092405319213867</v>
      </c>
    </row>
    <row r="5354" spans="2:6">
      <c r="B5354">
        <v>2016</v>
      </c>
      <c r="C5354" t="s">
        <v>66</v>
      </c>
      <c r="D5354" t="s">
        <v>183</v>
      </c>
      <c r="E5354" t="s">
        <v>14</v>
      </c>
      <c r="F5354">
        <v>0.56389600038528442</v>
      </c>
    </row>
    <row r="5355" spans="2:6">
      <c r="B5355">
        <v>2016</v>
      </c>
      <c r="C5355" t="s">
        <v>66</v>
      </c>
      <c r="D5355" t="s">
        <v>183</v>
      </c>
      <c r="E5355" t="s">
        <v>15</v>
      </c>
      <c r="F5355">
        <v>0.22322447597980499</v>
      </c>
    </row>
    <row r="5356" spans="2:6">
      <c r="B5356">
        <v>2017</v>
      </c>
      <c r="C5356" t="s">
        <v>66</v>
      </c>
      <c r="D5356" t="s">
        <v>183</v>
      </c>
      <c r="E5356" t="s">
        <v>7</v>
      </c>
      <c r="F5356">
        <v>4.4507746696472168</v>
      </c>
    </row>
    <row r="5357" spans="2:6">
      <c r="B5357">
        <v>2017</v>
      </c>
      <c r="C5357" t="s">
        <v>66</v>
      </c>
      <c r="D5357" t="s">
        <v>183</v>
      </c>
      <c r="E5357" t="s">
        <v>8</v>
      </c>
      <c r="F5357">
        <v>9.5170679092407227</v>
      </c>
    </row>
    <row r="5358" spans="2:6">
      <c r="B5358">
        <v>2017</v>
      </c>
      <c r="C5358" t="s">
        <v>66</v>
      </c>
      <c r="D5358" t="s">
        <v>183</v>
      </c>
      <c r="E5358" t="s">
        <v>9</v>
      </c>
      <c r="F5358">
        <v>0.59049516916275024</v>
      </c>
    </row>
    <row r="5359" spans="2:6">
      <c r="B5359">
        <v>2017</v>
      </c>
      <c r="C5359" t="s">
        <v>66</v>
      </c>
      <c r="D5359" t="s">
        <v>183</v>
      </c>
      <c r="E5359" t="s">
        <v>10</v>
      </c>
      <c r="F5359">
        <v>64.699996948242188</v>
      </c>
    </row>
    <row r="5360" spans="2:6">
      <c r="B5360">
        <v>2017</v>
      </c>
      <c r="C5360" t="s">
        <v>66</v>
      </c>
      <c r="D5360" t="s">
        <v>183</v>
      </c>
      <c r="E5360" t="s">
        <v>11</v>
      </c>
      <c r="F5360">
        <v>0.82090878486633301</v>
      </c>
    </row>
    <row r="5361" spans="2:6">
      <c r="B5361">
        <v>2017</v>
      </c>
      <c r="C5361" t="s">
        <v>66</v>
      </c>
      <c r="D5361" t="s">
        <v>183</v>
      </c>
      <c r="E5361" t="s">
        <v>12</v>
      </c>
      <c r="F5361">
        <v>-0.24388711154460907</v>
      </c>
    </row>
    <row r="5362" spans="2:6">
      <c r="B5362">
        <v>2017</v>
      </c>
      <c r="C5362" t="s">
        <v>66</v>
      </c>
      <c r="D5362" t="s">
        <v>183</v>
      </c>
      <c r="E5362" t="s">
        <v>13</v>
      </c>
      <c r="F5362">
        <v>0.58963197469711304</v>
      </c>
    </row>
    <row r="5363" spans="2:6">
      <c r="B5363">
        <v>2017</v>
      </c>
      <c r="C5363" t="s">
        <v>66</v>
      </c>
      <c r="D5363" t="s">
        <v>183</v>
      </c>
      <c r="E5363" t="s">
        <v>14</v>
      </c>
      <c r="F5363">
        <v>0.58112770318984985</v>
      </c>
    </row>
    <row r="5364" spans="2:6">
      <c r="B5364">
        <v>2017</v>
      </c>
      <c r="C5364" t="s">
        <v>66</v>
      </c>
      <c r="D5364" t="s">
        <v>183</v>
      </c>
      <c r="E5364" t="s">
        <v>15</v>
      </c>
      <c r="F5364">
        <v>0.20963960886001587</v>
      </c>
    </row>
    <row r="5365" spans="2:6">
      <c r="B5365">
        <v>2018</v>
      </c>
      <c r="C5365" t="s">
        <v>66</v>
      </c>
      <c r="D5365" t="s">
        <v>183</v>
      </c>
      <c r="E5365" t="s">
        <v>7</v>
      </c>
      <c r="F5365">
        <v>4.6590971946716309</v>
      </c>
    </row>
    <row r="5366" spans="2:6">
      <c r="B5366">
        <v>2018</v>
      </c>
      <c r="C5366" t="s">
        <v>66</v>
      </c>
      <c r="D5366" t="s">
        <v>183</v>
      </c>
      <c r="E5366" t="s">
        <v>8</v>
      </c>
      <c r="F5366">
        <v>9.5650091171264648</v>
      </c>
    </row>
    <row r="5367" spans="2:6">
      <c r="B5367">
        <v>2018</v>
      </c>
      <c r="C5367" t="s">
        <v>66</v>
      </c>
      <c r="D5367" t="s">
        <v>183</v>
      </c>
      <c r="E5367" t="s">
        <v>9</v>
      </c>
      <c r="F5367">
        <v>0.61721855401992798</v>
      </c>
    </row>
    <row r="5368" spans="2:6">
      <c r="B5368">
        <v>2018</v>
      </c>
      <c r="C5368" t="s">
        <v>66</v>
      </c>
      <c r="D5368" t="s">
        <v>183</v>
      </c>
      <c r="E5368" t="s">
        <v>10</v>
      </c>
      <c r="F5368">
        <v>64.5</v>
      </c>
    </row>
    <row r="5369" spans="2:6">
      <c r="B5369">
        <v>2018</v>
      </c>
      <c r="C5369" t="s">
        <v>66</v>
      </c>
      <c r="D5369" t="s">
        <v>183</v>
      </c>
      <c r="E5369" t="s">
        <v>11</v>
      </c>
      <c r="F5369">
        <v>0.77514410018920898</v>
      </c>
    </row>
    <row r="5370" spans="2:6">
      <c r="B5370">
        <v>2018</v>
      </c>
      <c r="C5370" t="s">
        <v>66</v>
      </c>
      <c r="D5370" t="s">
        <v>183</v>
      </c>
      <c r="E5370" t="s">
        <v>12</v>
      </c>
      <c r="F5370">
        <v>-0.23273086547851563</v>
      </c>
    </row>
    <row r="5371" spans="2:6">
      <c r="B5371">
        <v>2018</v>
      </c>
      <c r="C5371" t="s">
        <v>66</v>
      </c>
      <c r="D5371" t="s">
        <v>183</v>
      </c>
      <c r="E5371" t="s">
        <v>13</v>
      </c>
      <c r="F5371">
        <v>0.75485378503799438</v>
      </c>
    </row>
    <row r="5372" spans="2:6">
      <c r="B5372">
        <v>2018</v>
      </c>
      <c r="C5372" t="s">
        <v>66</v>
      </c>
      <c r="D5372" t="s">
        <v>183</v>
      </c>
      <c r="E5372" t="s">
        <v>14</v>
      </c>
      <c r="F5372">
        <v>0.57295346260070801</v>
      </c>
    </row>
    <row r="5373" spans="2:6">
      <c r="B5373">
        <v>2018</v>
      </c>
      <c r="C5373" t="s">
        <v>66</v>
      </c>
      <c r="D5373" t="s">
        <v>183</v>
      </c>
      <c r="E5373" t="s">
        <v>15</v>
      </c>
      <c r="F5373">
        <v>0.24377891421318054</v>
      </c>
    </row>
    <row r="5374" spans="2:6">
      <c r="B5374">
        <v>2019</v>
      </c>
      <c r="C5374" t="s">
        <v>66</v>
      </c>
      <c r="D5374" t="s">
        <v>183</v>
      </c>
      <c r="E5374" t="s">
        <v>7</v>
      </c>
      <c r="F5374">
        <v>4.8918356895446777</v>
      </c>
    </row>
    <row r="5375" spans="2:6">
      <c r="B5375">
        <v>2019</v>
      </c>
      <c r="C5375" t="s">
        <v>66</v>
      </c>
      <c r="D5375" t="s">
        <v>183</v>
      </c>
      <c r="E5375" t="s">
        <v>8</v>
      </c>
      <c r="F5375">
        <v>9.6167573928833008</v>
      </c>
    </row>
    <row r="5376" spans="2:6">
      <c r="B5376">
        <v>2019</v>
      </c>
      <c r="C5376" t="s">
        <v>66</v>
      </c>
      <c r="D5376" t="s">
        <v>183</v>
      </c>
      <c r="E5376" t="s">
        <v>9</v>
      </c>
      <c r="F5376">
        <v>0.67497605085372925</v>
      </c>
    </row>
    <row r="5377" spans="2:6">
      <c r="B5377">
        <v>2019</v>
      </c>
      <c r="C5377" t="s">
        <v>66</v>
      </c>
      <c r="D5377" t="s">
        <v>183</v>
      </c>
      <c r="E5377" t="s">
        <v>10</v>
      </c>
      <c r="F5377">
        <v>64.300003051757813</v>
      </c>
    </row>
    <row r="5378" spans="2:6">
      <c r="B5378">
        <v>2019</v>
      </c>
      <c r="C5378" t="s">
        <v>66</v>
      </c>
      <c r="D5378" t="s">
        <v>183</v>
      </c>
      <c r="E5378" t="s">
        <v>11</v>
      </c>
      <c r="F5378">
        <v>0.81053411960601807</v>
      </c>
    </row>
    <row r="5379" spans="2:6">
      <c r="B5379">
        <v>2019</v>
      </c>
      <c r="C5379" t="s">
        <v>66</v>
      </c>
      <c r="D5379" t="s">
        <v>183</v>
      </c>
      <c r="E5379" t="s">
        <v>12</v>
      </c>
      <c r="F5379">
        <v>-0.25972241163253784</v>
      </c>
    </row>
    <row r="5380" spans="2:6">
      <c r="B5380">
        <v>2019</v>
      </c>
      <c r="C5380" t="s">
        <v>66</v>
      </c>
      <c r="D5380" t="s">
        <v>183</v>
      </c>
      <c r="E5380" t="s">
        <v>13</v>
      </c>
      <c r="F5380">
        <v>0.64722317457199097</v>
      </c>
    </row>
    <row r="5381" spans="2:6">
      <c r="B5381">
        <v>2019</v>
      </c>
      <c r="C5381" t="s">
        <v>66</v>
      </c>
      <c r="D5381" t="s">
        <v>183</v>
      </c>
      <c r="E5381" t="s">
        <v>14</v>
      </c>
      <c r="F5381">
        <v>0.60449105501174927</v>
      </c>
    </row>
    <row r="5382" spans="2:6">
      <c r="B5382">
        <v>2019</v>
      </c>
      <c r="C5382" t="s">
        <v>66</v>
      </c>
      <c r="D5382" t="s">
        <v>183</v>
      </c>
      <c r="E5382" t="s">
        <v>15</v>
      </c>
      <c r="F5382">
        <v>0.24371002614498138</v>
      </c>
    </row>
    <row r="5383" spans="2:6">
      <c r="B5383">
        <v>2020</v>
      </c>
      <c r="C5383" t="s">
        <v>66</v>
      </c>
      <c r="D5383" t="s">
        <v>183</v>
      </c>
      <c r="E5383" t="s">
        <v>7</v>
      </c>
      <c r="F5383">
        <v>5.123143196105957</v>
      </c>
    </row>
    <row r="5384" spans="2:6">
      <c r="B5384">
        <v>2020</v>
      </c>
      <c r="C5384" t="s">
        <v>66</v>
      </c>
      <c r="D5384" t="s">
        <v>183</v>
      </c>
      <c r="E5384" t="s">
        <v>8</v>
      </c>
      <c r="F5384">
        <v>9.5693044662475586</v>
      </c>
    </row>
    <row r="5385" spans="2:6">
      <c r="B5385">
        <v>2020</v>
      </c>
      <c r="C5385" t="s">
        <v>66</v>
      </c>
      <c r="D5385" t="s">
        <v>183</v>
      </c>
      <c r="E5385" t="s">
        <v>9</v>
      </c>
      <c r="F5385">
        <v>0.71834594011306763</v>
      </c>
    </row>
    <row r="5386" spans="2:6">
      <c r="B5386">
        <v>2020</v>
      </c>
      <c r="C5386" t="s">
        <v>66</v>
      </c>
      <c r="D5386" t="s">
        <v>183</v>
      </c>
      <c r="E5386" t="s">
        <v>10</v>
      </c>
      <c r="F5386">
        <v>64.099998474121094</v>
      </c>
    </row>
    <row r="5387" spans="2:6">
      <c r="B5387">
        <v>2020</v>
      </c>
      <c r="C5387" t="s">
        <v>66</v>
      </c>
      <c r="D5387" t="s">
        <v>183</v>
      </c>
      <c r="E5387" t="s">
        <v>11</v>
      </c>
      <c r="F5387">
        <v>0.76435238122940063</v>
      </c>
    </row>
    <row r="5388" spans="2:6">
      <c r="B5388">
        <v>2020</v>
      </c>
      <c r="C5388" t="s">
        <v>66</v>
      </c>
      <c r="D5388" t="s">
        <v>183</v>
      </c>
      <c r="E5388" t="s">
        <v>12</v>
      </c>
      <c r="F5388">
        <v>-0.22112546861171722</v>
      </c>
    </row>
    <row r="5389" spans="2:6">
      <c r="B5389">
        <v>2020</v>
      </c>
      <c r="C5389" t="s">
        <v>66</v>
      </c>
      <c r="D5389" t="s">
        <v>183</v>
      </c>
      <c r="E5389" t="s">
        <v>13</v>
      </c>
      <c r="F5389">
        <v>0.58273470401763916</v>
      </c>
    </row>
    <row r="5390" spans="2:6">
      <c r="B5390">
        <v>2020</v>
      </c>
      <c r="C5390" t="s">
        <v>66</v>
      </c>
      <c r="D5390" t="s">
        <v>183</v>
      </c>
      <c r="E5390" t="s">
        <v>14</v>
      </c>
      <c r="F5390">
        <v>0.61089491844177246</v>
      </c>
    </row>
    <row r="5391" spans="2:6">
      <c r="B5391">
        <v>2020</v>
      </c>
      <c r="C5391" t="s">
        <v>66</v>
      </c>
      <c r="D5391" t="s">
        <v>183</v>
      </c>
      <c r="E5391" t="s">
        <v>15</v>
      </c>
      <c r="F5391">
        <v>0.2945120632648468</v>
      </c>
    </row>
    <row r="5392" spans="2:6">
      <c r="B5392">
        <v>2005</v>
      </c>
      <c r="C5392" t="s">
        <v>67</v>
      </c>
      <c r="D5392" t="s">
        <v>183</v>
      </c>
      <c r="E5392" t="s">
        <v>7</v>
      </c>
      <c r="F5392">
        <v>6.6195497512817383</v>
      </c>
    </row>
    <row r="5393" spans="2:6">
      <c r="B5393">
        <v>2005</v>
      </c>
      <c r="C5393" t="s">
        <v>67</v>
      </c>
      <c r="D5393" t="s">
        <v>183</v>
      </c>
      <c r="E5393" t="s">
        <v>8</v>
      </c>
      <c r="F5393">
        <v>10.689224243164063</v>
      </c>
    </row>
    <row r="5394" spans="2:6">
      <c r="B5394">
        <v>2005</v>
      </c>
      <c r="C5394" t="s">
        <v>67</v>
      </c>
      <c r="D5394" t="s">
        <v>183</v>
      </c>
      <c r="E5394" t="s">
        <v>9</v>
      </c>
      <c r="F5394">
        <v>0.96349036693572998</v>
      </c>
    </row>
    <row r="5395" spans="2:6">
      <c r="B5395">
        <v>2005</v>
      </c>
      <c r="C5395" t="s">
        <v>67</v>
      </c>
      <c r="D5395" t="s">
        <v>183</v>
      </c>
      <c r="E5395" t="s">
        <v>10</v>
      </c>
      <c r="F5395">
        <v>70.199996948242188</v>
      </c>
    </row>
    <row r="5396" spans="2:6">
      <c r="B5396">
        <v>2005</v>
      </c>
      <c r="C5396" t="s">
        <v>67</v>
      </c>
      <c r="D5396" t="s">
        <v>183</v>
      </c>
      <c r="E5396" t="s">
        <v>11</v>
      </c>
      <c r="F5396">
        <v>0.84662377834320068</v>
      </c>
    </row>
    <row r="5397" spans="2:6">
      <c r="B5397">
        <v>2005</v>
      </c>
      <c r="C5397" t="s">
        <v>67</v>
      </c>
      <c r="D5397" t="s">
        <v>183</v>
      </c>
      <c r="E5397" t="s">
        <v>13</v>
      </c>
      <c r="F5397">
        <v>0.78100681304931641</v>
      </c>
    </row>
    <row r="5398" spans="2:6">
      <c r="B5398">
        <v>2005</v>
      </c>
      <c r="C5398" t="s">
        <v>67</v>
      </c>
      <c r="D5398" t="s">
        <v>183</v>
      </c>
      <c r="E5398" t="s">
        <v>14</v>
      </c>
      <c r="F5398">
        <v>0.77569186687469482</v>
      </c>
    </row>
    <row r="5399" spans="2:6">
      <c r="B5399">
        <v>2005</v>
      </c>
      <c r="C5399" t="s">
        <v>67</v>
      </c>
      <c r="D5399" t="s">
        <v>183</v>
      </c>
      <c r="E5399" t="s">
        <v>15</v>
      </c>
      <c r="F5399">
        <v>0.1972624808549881</v>
      </c>
    </row>
    <row r="5400" spans="2:6">
      <c r="B5400">
        <v>2007</v>
      </c>
      <c r="C5400" t="s">
        <v>67</v>
      </c>
      <c r="D5400" t="s">
        <v>183</v>
      </c>
      <c r="E5400" t="s">
        <v>7</v>
      </c>
      <c r="F5400">
        <v>6.4168195724487305</v>
      </c>
    </row>
    <row r="5401" spans="2:6">
      <c r="B5401">
        <v>2007</v>
      </c>
      <c r="C5401" t="s">
        <v>67</v>
      </c>
      <c r="D5401" t="s">
        <v>183</v>
      </c>
      <c r="E5401" t="s">
        <v>8</v>
      </c>
      <c r="F5401">
        <v>10.758530616760254</v>
      </c>
    </row>
    <row r="5402" spans="2:6">
      <c r="B5402">
        <v>2007</v>
      </c>
      <c r="C5402" t="s">
        <v>67</v>
      </c>
      <c r="D5402" t="s">
        <v>183</v>
      </c>
      <c r="E5402" t="s">
        <v>9</v>
      </c>
      <c r="F5402">
        <v>0.92593759298324585</v>
      </c>
    </row>
    <row r="5403" spans="2:6">
      <c r="B5403">
        <v>2007</v>
      </c>
      <c r="C5403" t="s">
        <v>67</v>
      </c>
      <c r="D5403" t="s">
        <v>183</v>
      </c>
      <c r="E5403" t="s">
        <v>10</v>
      </c>
      <c r="F5403">
        <v>70.480003356933594</v>
      </c>
    </row>
    <row r="5404" spans="2:6">
      <c r="B5404">
        <v>2007</v>
      </c>
      <c r="C5404" t="s">
        <v>67</v>
      </c>
      <c r="D5404" t="s">
        <v>183</v>
      </c>
      <c r="E5404" t="s">
        <v>11</v>
      </c>
      <c r="F5404">
        <v>0.80087822675704956</v>
      </c>
    </row>
    <row r="5405" spans="2:6">
      <c r="B5405">
        <v>2007</v>
      </c>
      <c r="C5405" t="s">
        <v>67</v>
      </c>
      <c r="D5405" t="s">
        <v>183</v>
      </c>
      <c r="E5405" t="s">
        <v>12</v>
      </c>
      <c r="F5405">
        <v>0.1670733243227005</v>
      </c>
    </row>
    <row r="5406" spans="2:6">
      <c r="B5406">
        <v>2007</v>
      </c>
      <c r="C5406" t="s">
        <v>67</v>
      </c>
      <c r="D5406" t="s">
        <v>183</v>
      </c>
      <c r="E5406" t="s">
        <v>13</v>
      </c>
      <c r="F5406">
        <v>0.7921794056892395</v>
      </c>
    </row>
    <row r="5407" spans="2:6">
      <c r="B5407">
        <v>2007</v>
      </c>
      <c r="C5407" t="s">
        <v>67</v>
      </c>
      <c r="D5407" t="s">
        <v>183</v>
      </c>
      <c r="E5407" t="s">
        <v>14</v>
      </c>
      <c r="F5407">
        <v>0.73246890306472778</v>
      </c>
    </row>
    <row r="5408" spans="2:6">
      <c r="B5408">
        <v>2007</v>
      </c>
      <c r="C5408" t="s">
        <v>67</v>
      </c>
      <c r="D5408" t="s">
        <v>183</v>
      </c>
      <c r="E5408" t="s">
        <v>15</v>
      </c>
      <c r="F5408">
        <v>0.23081189393997192</v>
      </c>
    </row>
    <row r="5409" spans="2:6">
      <c r="B5409">
        <v>2008</v>
      </c>
      <c r="C5409" t="s">
        <v>67</v>
      </c>
      <c r="D5409" t="s">
        <v>183</v>
      </c>
      <c r="E5409" t="s">
        <v>7</v>
      </c>
      <c r="F5409">
        <v>6.5217900276184082</v>
      </c>
    </row>
    <row r="5410" spans="2:6">
      <c r="B5410">
        <v>2008</v>
      </c>
      <c r="C5410" t="s">
        <v>67</v>
      </c>
      <c r="D5410" t="s">
        <v>183</v>
      </c>
      <c r="E5410" t="s">
        <v>8</v>
      </c>
      <c r="F5410">
        <v>10.770008087158203</v>
      </c>
    </row>
    <row r="5411" spans="2:6">
      <c r="B5411">
        <v>2008</v>
      </c>
      <c r="C5411" t="s">
        <v>67</v>
      </c>
      <c r="D5411" t="s">
        <v>183</v>
      </c>
      <c r="E5411" t="s">
        <v>9</v>
      </c>
      <c r="F5411">
        <v>0.92321133613586426</v>
      </c>
    </row>
    <row r="5412" spans="2:6">
      <c r="B5412">
        <v>2008</v>
      </c>
      <c r="C5412" t="s">
        <v>67</v>
      </c>
      <c r="D5412" t="s">
        <v>183</v>
      </c>
      <c r="E5412" t="s">
        <v>10</v>
      </c>
      <c r="F5412">
        <v>70.620002746582031</v>
      </c>
    </row>
    <row r="5413" spans="2:6">
      <c r="B5413">
        <v>2008</v>
      </c>
      <c r="C5413" t="s">
        <v>67</v>
      </c>
      <c r="D5413" t="s">
        <v>183</v>
      </c>
      <c r="E5413" t="s">
        <v>11</v>
      </c>
      <c r="F5413">
        <v>0.76555699110031128</v>
      </c>
    </row>
    <row r="5414" spans="2:6">
      <c r="B5414">
        <v>2008</v>
      </c>
      <c r="C5414" t="s">
        <v>67</v>
      </c>
      <c r="D5414" t="s">
        <v>183</v>
      </c>
      <c r="E5414" t="s">
        <v>13</v>
      </c>
      <c r="F5414">
        <v>0.7582661509513855</v>
      </c>
    </row>
    <row r="5415" spans="2:6">
      <c r="B5415">
        <v>2008</v>
      </c>
      <c r="C5415" t="s">
        <v>67</v>
      </c>
      <c r="D5415" t="s">
        <v>183</v>
      </c>
      <c r="E5415" t="s">
        <v>14</v>
      </c>
      <c r="F5415">
        <v>0.78748184442520142</v>
      </c>
    </row>
    <row r="5416" spans="2:6">
      <c r="B5416">
        <v>2008</v>
      </c>
      <c r="C5416" t="s">
        <v>67</v>
      </c>
      <c r="D5416" t="s">
        <v>183</v>
      </c>
      <c r="E5416" t="s">
        <v>15</v>
      </c>
      <c r="F5416">
        <v>0.22000038623809814</v>
      </c>
    </row>
    <row r="5417" spans="2:6">
      <c r="B5417">
        <v>2009</v>
      </c>
      <c r="C5417" t="s">
        <v>67</v>
      </c>
      <c r="D5417" t="s">
        <v>183</v>
      </c>
      <c r="E5417" t="s">
        <v>7</v>
      </c>
      <c r="F5417">
        <v>6.6414933204650879</v>
      </c>
    </row>
    <row r="5418" spans="2:6">
      <c r="B5418">
        <v>2009</v>
      </c>
      <c r="C5418" t="s">
        <v>67</v>
      </c>
      <c r="D5418" t="s">
        <v>183</v>
      </c>
      <c r="E5418" t="s">
        <v>8</v>
      </c>
      <c r="F5418">
        <v>10.713883399963379</v>
      </c>
    </row>
    <row r="5419" spans="2:6">
      <c r="B5419">
        <v>2009</v>
      </c>
      <c r="C5419" t="s">
        <v>67</v>
      </c>
      <c r="D5419" t="s">
        <v>183</v>
      </c>
      <c r="E5419" t="s">
        <v>9</v>
      </c>
      <c r="F5419">
        <v>0.93478232622146606</v>
      </c>
    </row>
    <row r="5420" spans="2:6">
      <c r="B5420">
        <v>2009</v>
      </c>
      <c r="C5420" t="s">
        <v>67</v>
      </c>
      <c r="D5420" t="s">
        <v>183</v>
      </c>
      <c r="E5420" t="s">
        <v>10</v>
      </c>
      <c r="F5420">
        <v>70.760002136230469</v>
      </c>
    </row>
    <row r="5421" spans="2:6">
      <c r="B5421">
        <v>2009</v>
      </c>
      <c r="C5421" t="s">
        <v>67</v>
      </c>
      <c r="D5421" t="s">
        <v>183</v>
      </c>
      <c r="E5421" t="s">
        <v>11</v>
      </c>
      <c r="F5421">
        <v>0.84378451108932495</v>
      </c>
    </row>
    <row r="5422" spans="2:6">
      <c r="B5422">
        <v>2009</v>
      </c>
      <c r="C5422" t="s">
        <v>67</v>
      </c>
      <c r="D5422" t="s">
        <v>183</v>
      </c>
      <c r="E5422" t="s">
        <v>12</v>
      </c>
      <c r="F5422">
        <v>0.12723971903324127</v>
      </c>
    </row>
    <row r="5423" spans="2:6">
      <c r="B5423">
        <v>2009</v>
      </c>
      <c r="C5423" t="s">
        <v>67</v>
      </c>
      <c r="D5423" t="s">
        <v>183</v>
      </c>
      <c r="E5423" t="s">
        <v>13</v>
      </c>
      <c r="F5423">
        <v>0.68993073701858521</v>
      </c>
    </row>
    <row r="5424" spans="2:6">
      <c r="B5424">
        <v>2009</v>
      </c>
      <c r="C5424" t="s">
        <v>67</v>
      </c>
      <c r="D5424" t="s">
        <v>183</v>
      </c>
      <c r="E5424" t="s">
        <v>14</v>
      </c>
      <c r="F5424">
        <v>0.79182744026184082</v>
      </c>
    </row>
    <row r="5425" spans="2:6">
      <c r="B5425">
        <v>2009</v>
      </c>
      <c r="C5425" t="s">
        <v>67</v>
      </c>
      <c r="D5425" t="s">
        <v>183</v>
      </c>
      <c r="E5425" t="s">
        <v>15</v>
      </c>
      <c r="F5425">
        <v>0.20644472539424896</v>
      </c>
    </row>
    <row r="5426" spans="2:6">
      <c r="B5426">
        <v>2010</v>
      </c>
      <c r="C5426" t="s">
        <v>67</v>
      </c>
      <c r="D5426" t="s">
        <v>183</v>
      </c>
      <c r="E5426" t="s">
        <v>7</v>
      </c>
      <c r="F5426">
        <v>6.7245311737060547</v>
      </c>
    </row>
    <row r="5427" spans="2:6">
      <c r="B5427">
        <v>2010</v>
      </c>
      <c r="C5427" t="s">
        <v>67</v>
      </c>
      <c r="D5427" t="s">
        <v>183</v>
      </c>
      <c r="E5427" t="s">
        <v>8</v>
      </c>
      <c r="F5427">
        <v>10.756355285644531</v>
      </c>
    </row>
    <row r="5428" spans="2:6">
      <c r="B5428">
        <v>2010</v>
      </c>
      <c r="C5428" t="s">
        <v>67</v>
      </c>
      <c r="D5428" t="s">
        <v>183</v>
      </c>
      <c r="E5428" t="s">
        <v>9</v>
      </c>
      <c r="F5428">
        <v>0.93930864334106445</v>
      </c>
    </row>
    <row r="5429" spans="2:6">
      <c r="B5429">
        <v>2010</v>
      </c>
      <c r="C5429" t="s">
        <v>67</v>
      </c>
      <c r="D5429" t="s">
        <v>183</v>
      </c>
      <c r="E5429" t="s">
        <v>10</v>
      </c>
      <c r="F5429">
        <v>70.900001525878906</v>
      </c>
    </row>
    <row r="5430" spans="2:6">
      <c r="B5430">
        <v>2010</v>
      </c>
      <c r="C5430" t="s">
        <v>67</v>
      </c>
      <c r="D5430" t="s">
        <v>183</v>
      </c>
      <c r="E5430" t="s">
        <v>11</v>
      </c>
      <c r="F5430">
        <v>0.84265643358230591</v>
      </c>
    </row>
    <row r="5431" spans="2:6">
      <c r="B5431">
        <v>2010</v>
      </c>
      <c r="C5431" t="s">
        <v>67</v>
      </c>
      <c r="D5431" t="s">
        <v>183</v>
      </c>
      <c r="E5431" t="s">
        <v>12</v>
      </c>
      <c r="F5431">
        <v>9.513787180185318E-2</v>
      </c>
    </row>
    <row r="5432" spans="2:6">
      <c r="B5432">
        <v>2010</v>
      </c>
      <c r="C5432" t="s">
        <v>67</v>
      </c>
      <c r="D5432" t="s">
        <v>183</v>
      </c>
      <c r="E5432" t="s">
        <v>13</v>
      </c>
      <c r="F5432">
        <v>0.68800598382949829</v>
      </c>
    </row>
    <row r="5433" spans="2:6">
      <c r="B5433">
        <v>2010</v>
      </c>
      <c r="C5433" t="s">
        <v>67</v>
      </c>
      <c r="D5433" t="s">
        <v>183</v>
      </c>
      <c r="E5433" t="s">
        <v>14</v>
      </c>
      <c r="F5433">
        <v>0.79370582103729248</v>
      </c>
    </row>
    <row r="5434" spans="2:6">
      <c r="B5434">
        <v>2010</v>
      </c>
      <c r="C5434" t="s">
        <v>67</v>
      </c>
      <c r="D5434" t="s">
        <v>183</v>
      </c>
      <c r="E5434" t="s">
        <v>15</v>
      </c>
      <c r="F5434">
        <v>0.18234413862228394</v>
      </c>
    </row>
    <row r="5435" spans="2:6">
      <c r="B5435">
        <v>2011</v>
      </c>
      <c r="C5435" t="s">
        <v>67</v>
      </c>
      <c r="D5435" t="s">
        <v>183</v>
      </c>
      <c r="E5435" t="s">
        <v>7</v>
      </c>
      <c r="F5435">
        <v>6.621312141418457</v>
      </c>
    </row>
    <row r="5436" spans="2:6">
      <c r="B5436">
        <v>2011</v>
      </c>
      <c r="C5436" t="s">
        <v>67</v>
      </c>
      <c r="D5436" t="s">
        <v>183</v>
      </c>
      <c r="E5436" t="s">
        <v>8</v>
      </c>
      <c r="F5436">
        <v>10.813384056091309</v>
      </c>
    </row>
    <row r="5437" spans="2:6">
      <c r="B5437">
        <v>2011</v>
      </c>
      <c r="C5437" t="s">
        <v>67</v>
      </c>
      <c r="D5437" t="s">
        <v>183</v>
      </c>
      <c r="E5437" t="s">
        <v>9</v>
      </c>
      <c r="F5437">
        <v>0.94723665714263916</v>
      </c>
    </row>
    <row r="5438" spans="2:6">
      <c r="B5438">
        <v>2011</v>
      </c>
      <c r="C5438" t="s">
        <v>67</v>
      </c>
      <c r="D5438" t="s">
        <v>183</v>
      </c>
      <c r="E5438" t="s">
        <v>10</v>
      </c>
      <c r="F5438">
        <v>70.980003356933594</v>
      </c>
    </row>
    <row r="5439" spans="2:6">
      <c r="B5439">
        <v>2011</v>
      </c>
      <c r="C5439" t="s">
        <v>67</v>
      </c>
      <c r="D5439" t="s">
        <v>183</v>
      </c>
      <c r="E5439" t="s">
        <v>11</v>
      </c>
      <c r="F5439">
        <v>0.90629327297210693</v>
      </c>
    </row>
    <row r="5440" spans="2:6">
      <c r="B5440">
        <v>2011</v>
      </c>
      <c r="C5440" t="s">
        <v>67</v>
      </c>
      <c r="D5440" t="s">
        <v>183</v>
      </c>
      <c r="E5440" t="s">
        <v>12</v>
      </c>
      <c r="F5440">
        <v>3.2934501767158508E-2</v>
      </c>
    </row>
    <row r="5441" spans="2:6">
      <c r="B5441">
        <v>2011</v>
      </c>
      <c r="C5441" t="s">
        <v>67</v>
      </c>
      <c r="D5441" t="s">
        <v>183</v>
      </c>
      <c r="E5441" t="s">
        <v>13</v>
      </c>
      <c r="F5441">
        <v>0.67717212438583374</v>
      </c>
    </row>
    <row r="5442" spans="2:6">
      <c r="B5442">
        <v>2011</v>
      </c>
      <c r="C5442" t="s">
        <v>67</v>
      </c>
      <c r="D5442" t="s">
        <v>183</v>
      </c>
      <c r="E5442" t="s">
        <v>14</v>
      </c>
      <c r="F5442">
        <v>0.79366624355316162</v>
      </c>
    </row>
    <row r="5443" spans="2:6">
      <c r="B5443">
        <v>2011</v>
      </c>
      <c r="C5443" t="s">
        <v>67</v>
      </c>
      <c r="D5443" t="s">
        <v>183</v>
      </c>
      <c r="E5443" t="s">
        <v>15</v>
      </c>
      <c r="F5443">
        <v>0.16519953310489655</v>
      </c>
    </row>
    <row r="5444" spans="2:6">
      <c r="B5444">
        <v>2012</v>
      </c>
      <c r="C5444" t="s">
        <v>67</v>
      </c>
      <c r="D5444" t="s">
        <v>183</v>
      </c>
      <c r="E5444" t="s">
        <v>7</v>
      </c>
      <c r="F5444">
        <v>6.702362060546875</v>
      </c>
    </row>
    <row r="5445" spans="2:6">
      <c r="B5445">
        <v>2012</v>
      </c>
      <c r="C5445" t="s">
        <v>67</v>
      </c>
      <c r="D5445" t="s">
        <v>183</v>
      </c>
      <c r="E5445" t="s">
        <v>8</v>
      </c>
      <c r="F5445">
        <v>10.815692901611328</v>
      </c>
    </row>
    <row r="5446" spans="2:6">
      <c r="B5446">
        <v>2012</v>
      </c>
      <c r="C5446" t="s">
        <v>67</v>
      </c>
      <c r="D5446" t="s">
        <v>183</v>
      </c>
      <c r="E5446" t="s">
        <v>9</v>
      </c>
      <c r="F5446">
        <v>0.9264066219329834</v>
      </c>
    </row>
    <row r="5447" spans="2:6">
      <c r="B5447">
        <v>2012</v>
      </c>
      <c r="C5447" t="s">
        <v>67</v>
      </c>
      <c r="D5447" t="s">
        <v>183</v>
      </c>
      <c r="E5447" t="s">
        <v>10</v>
      </c>
      <c r="F5447">
        <v>71.05999755859375</v>
      </c>
    </row>
    <row r="5448" spans="2:6">
      <c r="B5448">
        <v>2012</v>
      </c>
      <c r="C5448" t="s">
        <v>67</v>
      </c>
      <c r="D5448" t="s">
        <v>183</v>
      </c>
      <c r="E5448" t="s">
        <v>11</v>
      </c>
      <c r="F5448">
        <v>0.90444046258926392</v>
      </c>
    </row>
    <row r="5449" spans="2:6">
      <c r="B5449">
        <v>2012</v>
      </c>
      <c r="C5449" t="s">
        <v>67</v>
      </c>
      <c r="D5449" t="s">
        <v>183</v>
      </c>
      <c r="E5449" t="s">
        <v>12</v>
      </c>
      <c r="F5449">
        <v>7.1023166179656982E-2</v>
      </c>
    </row>
    <row r="5450" spans="2:6">
      <c r="B5450">
        <v>2012</v>
      </c>
      <c r="C5450" t="s">
        <v>67</v>
      </c>
      <c r="D5450" t="s">
        <v>183</v>
      </c>
      <c r="E5450" t="s">
        <v>13</v>
      </c>
      <c r="F5450">
        <v>0.67923671007156372</v>
      </c>
    </row>
    <row r="5451" spans="2:6">
      <c r="B5451">
        <v>2012</v>
      </c>
      <c r="C5451" t="s">
        <v>67</v>
      </c>
      <c r="D5451" t="s">
        <v>183</v>
      </c>
      <c r="E5451" t="s">
        <v>14</v>
      </c>
      <c r="F5451">
        <v>0.80373930931091309</v>
      </c>
    </row>
    <row r="5452" spans="2:6">
      <c r="B5452">
        <v>2012</v>
      </c>
      <c r="C5452" t="s">
        <v>67</v>
      </c>
      <c r="D5452" t="s">
        <v>183</v>
      </c>
      <c r="E5452" t="s">
        <v>15</v>
      </c>
      <c r="F5452">
        <v>0.16957616806030273</v>
      </c>
    </row>
    <row r="5453" spans="2:6">
      <c r="B5453">
        <v>2013</v>
      </c>
      <c r="C5453" t="s">
        <v>67</v>
      </c>
      <c r="D5453" t="s">
        <v>183</v>
      </c>
      <c r="E5453" t="s">
        <v>7</v>
      </c>
      <c r="F5453">
        <v>6.9651250839233398</v>
      </c>
    </row>
    <row r="5454" spans="2:6">
      <c r="B5454">
        <v>2013</v>
      </c>
      <c r="C5454" t="s">
        <v>67</v>
      </c>
      <c r="D5454" t="s">
        <v>183</v>
      </c>
      <c r="E5454" t="s">
        <v>8</v>
      </c>
      <c r="F5454">
        <v>10.81723690032959</v>
      </c>
    </row>
    <row r="5455" spans="2:6">
      <c r="B5455">
        <v>2013</v>
      </c>
      <c r="C5455" t="s">
        <v>67</v>
      </c>
      <c r="D5455" t="s">
        <v>183</v>
      </c>
      <c r="E5455" t="s">
        <v>9</v>
      </c>
      <c r="F5455">
        <v>0.93142056465148926</v>
      </c>
    </row>
    <row r="5456" spans="2:6">
      <c r="B5456">
        <v>2013</v>
      </c>
      <c r="C5456" t="s">
        <v>67</v>
      </c>
      <c r="D5456" t="s">
        <v>183</v>
      </c>
      <c r="E5456" t="s">
        <v>10</v>
      </c>
      <c r="F5456">
        <v>71.139999389648438</v>
      </c>
    </row>
    <row r="5457" spans="2:6">
      <c r="B5457">
        <v>2013</v>
      </c>
      <c r="C5457" t="s">
        <v>67</v>
      </c>
      <c r="D5457" t="s">
        <v>183</v>
      </c>
      <c r="E5457" t="s">
        <v>11</v>
      </c>
      <c r="F5457">
        <v>0.89431297779083252</v>
      </c>
    </row>
    <row r="5458" spans="2:6">
      <c r="B5458">
        <v>2013</v>
      </c>
      <c r="C5458" t="s">
        <v>67</v>
      </c>
      <c r="D5458" t="s">
        <v>183</v>
      </c>
      <c r="E5458" t="s">
        <v>12</v>
      </c>
      <c r="F5458">
        <v>2.4312058463692665E-2</v>
      </c>
    </row>
    <row r="5459" spans="2:6">
      <c r="B5459">
        <v>2013</v>
      </c>
      <c r="C5459" t="s">
        <v>67</v>
      </c>
      <c r="D5459" t="s">
        <v>183</v>
      </c>
      <c r="E5459" t="s">
        <v>13</v>
      </c>
      <c r="F5459">
        <v>0.56579422950744629</v>
      </c>
    </row>
    <row r="5460" spans="2:6">
      <c r="B5460">
        <v>2013</v>
      </c>
      <c r="C5460" t="s">
        <v>67</v>
      </c>
      <c r="D5460" t="s">
        <v>183</v>
      </c>
      <c r="E5460" t="s">
        <v>14</v>
      </c>
      <c r="F5460">
        <v>0.74348735809326172</v>
      </c>
    </row>
    <row r="5461" spans="2:6">
      <c r="B5461">
        <v>2013</v>
      </c>
      <c r="C5461" t="s">
        <v>67</v>
      </c>
      <c r="D5461" t="s">
        <v>183</v>
      </c>
      <c r="E5461" t="s">
        <v>15</v>
      </c>
      <c r="F5461">
        <v>0.20499591529369354</v>
      </c>
    </row>
    <row r="5462" spans="2:6">
      <c r="B5462">
        <v>2014</v>
      </c>
      <c r="C5462" t="s">
        <v>67</v>
      </c>
      <c r="D5462" t="s">
        <v>183</v>
      </c>
      <c r="E5462" t="s">
        <v>7</v>
      </c>
      <c r="F5462">
        <v>6.9842143058776855</v>
      </c>
    </row>
    <row r="5463" spans="2:6">
      <c r="B5463">
        <v>2014</v>
      </c>
      <c r="C5463" t="s">
        <v>67</v>
      </c>
      <c r="D5463" t="s">
        <v>183</v>
      </c>
      <c r="E5463" t="s">
        <v>8</v>
      </c>
      <c r="F5463">
        <v>10.835081100463867</v>
      </c>
    </row>
    <row r="5464" spans="2:6">
      <c r="B5464">
        <v>2014</v>
      </c>
      <c r="C5464" t="s">
        <v>67</v>
      </c>
      <c r="D5464" t="s">
        <v>183</v>
      </c>
      <c r="E5464" t="s">
        <v>9</v>
      </c>
      <c r="F5464">
        <v>0.93755894899368286</v>
      </c>
    </row>
    <row r="5465" spans="2:6">
      <c r="B5465">
        <v>2014</v>
      </c>
      <c r="C5465" t="s">
        <v>67</v>
      </c>
      <c r="D5465" t="s">
        <v>183</v>
      </c>
      <c r="E5465" t="s">
        <v>10</v>
      </c>
      <c r="F5465">
        <v>71.220001220703125</v>
      </c>
    </row>
    <row r="5466" spans="2:6">
      <c r="B5466">
        <v>2014</v>
      </c>
      <c r="C5466" t="s">
        <v>67</v>
      </c>
      <c r="D5466" t="s">
        <v>183</v>
      </c>
      <c r="E5466" t="s">
        <v>11</v>
      </c>
      <c r="F5466">
        <v>0.89868342876434326</v>
      </c>
    </row>
    <row r="5467" spans="2:6">
      <c r="B5467">
        <v>2014</v>
      </c>
      <c r="C5467" t="s">
        <v>67</v>
      </c>
      <c r="D5467" t="s">
        <v>183</v>
      </c>
      <c r="E5467" t="s">
        <v>12</v>
      </c>
      <c r="F5467">
        <v>8.7881356477737427E-2</v>
      </c>
    </row>
    <row r="5468" spans="2:6">
      <c r="B5468">
        <v>2014</v>
      </c>
      <c r="C5468" t="s">
        <v>67</v>
      </c>
      <c r="D5468" t="s">
        <v>183</v>
      </c>
      <c r="E5468" t="s">
        <v>13</v>
      </c>
      <c r="F5468">
        <v>0.47395291924476624</v>
      </c>
    </row>
    <row r="5469" spans="2:6">
      <c r="B5469">
        <v>2014</v>
      </c>
      <c r="C5469" t="s">
        <v>67</v>
      </c>
      <c r="D5469" t="s">
        <v>183</v>
      </c>
      <c r="E5469" t="s">
        <v>14</v>
      </c>
      <c r="F5469">
        <v>0.78540849685668945</v>
      </c>
    </row>
    <row r="5470" spans="2:6">
      <c r="B5470">
        <v>2014</v>
      </c>
      <c r="C5470" t="s">
        <v>67</v>
      </c>
      <c r="D5470" t="s">
        <v>183</v>
      </c>
      <c r="E5470" t="s">
        <v>15</v>
      </c>
      <c r="F5470">
        <v>0.18784487247467041</v>
      </c>
    </row>
    <row r="5471" spans="2:6">
      <c r="B5471">
        <v>2015</v>
      </c>
      <c r="C5471" t="s">
        <v>67</v>
      </c>
      <c r="D5471" t="s">
        <v>183</v>
      </c>
      <c r="E5471" t="s">
        <v>7</v>
      </c>
      <c r="F5471">
        <v>7.037137508392334</v>
      </c>
    </row>
    <row r="5472" spans="2:6">
      <c r="B5472">
        <v>2015</v>
      </c>
      <c r="C5472" t="s">
        <v>67</v>
      </c>
      <c r="D5472" t="s">
        <v>183</v>
      </c>
      <c r="E5472" t="s">
        <v>8</v>
      </c>
      <c r="F5472">
        <v>10.843671798706055</v>
      </c>
    </row>
    <row r="5473" spans="2:6">
      <c r="B5473">
        <v>2015</v>
      </c>
      <c r="C5473" t="s">
        <v>67</v>
      </c>
      <c r="D5473" t="s">
        <v>183</v>
      </c>
      <c r="E5473" t="s">
        <v>9</v>
      </c>
      <c r="F5473">
        <v>0.92592322826385498</v>
      </c>
    </row>
    <row r="5474" spans="2:6">
      <c r="B5474">
        <v>2015</v>
      </c>
      <c r="C5474" t="s">
        <v>67</v>
      </c>
      <c r="D5474" t="s">
        <v>183</v>
      </c>
      <c r="E5474" t="s">
        <v>10</v>
      </c>
      <c r="F5474">
        <v>71.300003051757813</v>
      </c>
    </row>
    <row r="5475" spans="2:6">
      <c r="B5475">
        <v>2015</v>
      </c>
      <c r="C5475" t="s">
        <v>67</v>
      </c>
      <c r="D5475" t="s">
        <v>183</v>
      </c>
      <c r="E5475" t="s">
        <v>11</v>
      </c>
      <c r="F5475">
        <v>0.88942885398864746</v>
      </c>
    </row>
    <row r="5476" spans="2:6">
      <c r="B5476">
        <v>2015</v>
      </c>
      <c r="C5476" t="s">
        <v>67</v>
      </c>
      <c r="D5476" t="s">
        <v>183</v>
      </c>
      <c r="E5476" t="s">
        <v>12</v>
      </c>
      <c r="F5476">
        <v>0.1776224672794342</v>
      </c>
    </row>
    <row r="5477" spans="2:6">
      <c r="B5477">
        <v>2015</v>
      </c>
      <c r="C5477" t="s">
        <v>67</v>
      </c>
      <c r="D5477" t="s">
        <v>183</v>
      </c>
      <c r="E5477" t="s">
        <v>13</v>
      </c>
      <c r="F5477">
        <v>0.41216829419136047</v>
      </c>
    </row>
    <row r="5478" spans="2:6">
      <c r="B5478">
        <v>2015</v>
      </c>
      <c r="C5478" t="s">
        <v>67</v>
      </c>
      <c r="D5478" t="s">
        <v>183</v>
      </c>
      <c r="E5478" t="s">
        <v>14</v>
      </c>
      <c r="F5478">
        <v>0.76453936100006104</v>
      </c>
    </row>
    <row r="5479" spans="2:6">
      <c r="B5479">
        <v>2015</v>
      </c>
      <c r="C5479" t="s">
        <v>67</v>
      </c>
      <c r="D5479" t="s">
        <v>183</v>
      </c>
      <c r="E5479" t="s">
        <v>15</v>
      </c>
      <c r="F5479">
        <v>0.20270515978336334</v>
      </c>
    </row>
    <row r="5480" spans="2:6">
      <c r="B5480">
        <v>2016</v>
      </c>
      <c r="C5480" t="s">
        <v>67</v>
      </c>
      <c r="D5480" t="s">
        <v>183</v>
      </c>
      <c r="E5480" t="s">
        <v>7</v>
      </c>
      <c r="F5480">
        <v>6.8737630844116211</v>
      </c>
    </row>
    <row r="5481" spans="2:6">
      <c r="B5481">
        <v>2016</v>
      </c>
      <c r="C5481" t="s">
        <v>67</v>
      </c>
      <c r="D5481" t="s">
        <v>183</v>
      </c>
      <c r="E5481" t="s">
        <v>8</v>
      </c>
      <c r="F5481">
        <v>10.85765552520752</v>
      </c>
    </row>
    <row r="5482" spans="2:6">
      <c r="B5482">
        <v>2016</v>
      </c>
      <c r="C5482" t="s">
        <v>67</v>
      </c>
      <c r="D5482" t="s">
        <v>183</v>
      </c>
      <c r="E5482" t="s">
        <v>9</v>
      </c>
      <c r="F5482">
        <v>0.90602928400039673</v>
      </c>
    </row>
    <row r="5483" spans="2:6">
      <c r="B5483">
        <v>2016</v>
      </c>
      <c r="C5483" t="s">
        <v>67</v>
      </c>
      <c r="D5483" t="s">
        <v>183</v>
      </c>
      <c r="E5483" t="s">
        <v>10</v>
      </c>
      <c r="F5483">
        <v>71.599998474121094</v>
      </c>
    </row>
    <row r="5484" spans="2:6">
      <c r="B5484">
        <v>2016</v>
      </c>
      <c r="C5484" t="s">
        <v>67</v>
      </c>
      <c r="D5484" t="s">
        <v>183</v>
      </c>
      <c r="E5484" t="s">
        <v>11</v>
      </c>
      <c r="F5484">
        <v>0.87051504850387573</v>
      </c>
    </row>
    <row r="5485" spans="2:6">
      <c r="B5485">
        <v>2016</v>
      </c>
      <c r="C5485" t="s">
        <v>67</v>
      </c>
      <c r="D5485" t="s">
        <v>183</v>
      </c>
      <c r="E5485" t="s">
        <v>12</v>
      </c>
      <c r="F5485">
        <v>0.14828841388225555</v>
      </c>
    </row>
    <row r="5486" spans="2:6">
      <c r="B5486">
        <v>2016</v>
      </c>
      <c r="C5486" t="s">
        <v>67</v>
      </c>
      <c r="D5486" t="s">
        <v>183</v>
      </c>
      <c r="E5486" t="s">
        <v>13</v>
      </c>
      <c r="F5486">
        <v>0.4459221363067627</v>
      </c>
    </row>
    <row r="5487" spans="2:6">
      <c r="B5487">
        <v>2016</v>
      </c>
      <c r="C5487" t="s">
        <v>67</v>
      </c>
      <c r="D5487" t="s">
        <v>183</v>
      </c>
      <c r="E5487" t="s">
        <v>14</v>
      </c>
      <c r="F5487">
        <v>0.73774594068527222</v>
      </c>
    </row>
    <row r="5488" spans="2:6">
      <c r="B5488">
        <v>2016</v>
      </c>
      <c r="C5488" t="s">
        <v>67</v>
      </c>
      <c r="D5488" t="s">
        <v>183</v>
      </c>
      <c r="E5488" t="s">
        <v>15</v>
      </c>
      <c r="F5488">
        <v>0.18725493550300598</v>
      </c>
    </row>
    <row r="5489" spans="2:6">
      <c r="B5489">
        <v>2017</v>
      </c>
      <c r="C5489" t="s">
        <v>67</v>
      </c>
      <c r="D5489" t="s">
        <v>183</v>
      </c>
      <c r="E5489" t="s">
        <v>7</v>
      </c>
      <c r="F5489">
        <v>7.0743246078491211</v>
      </c>
    </row>
    <row r="5490" spans="2:6">
      <c r="B5490">
        <v>2017</v>
      </c>
      <c r="C5490" t="s">
        <v>67</v>
      </c>
      <c r="D5490" t="s">
        <v>183</v>
      </c>
      <c r="E5490" t="s">
        <v>8</v>
      </c>
      <c r="F5490">
        <v>10.878269195556641</v>
      </c>
    </row>
    <row r="5491" spans="2:6">
      <c r="B5491">
        <v>2017</v>
      </c>
      <c r="C5491" t="s">
        <v>67</v>
      </c>
      <c r="D5491" t="s">
        <v>183</v>
      </c>
      <c r="E5491" t="s">
        <v>9</v>
      </c>
      <c r="F5491">
        <v>0.89216607809066772</v>
      </c>
    </row>
    <row r="5492" spans="2:6">
      <c r="B5492">
        <v>2017</v>
      </c>
      <c r="C5492" t="s">
        <v>67</v>
      </c>
      <c r="D5492" t="s">
        <v>183</v>
      </c>
      <c r="E5492" t="s">
        <v>10</v>
      </c>
      <c r="F5492">
        <v>71.900001525878906</v>
      </c>
    </row>
    <row r="5493" spans="2:6">
      <c r="B5493">
        <v>2017</v>
      </c>
      <c r="C5493" t="s">
        <v>67</v>
      </c>
      <c r="D5493" t="s">
        <v>183</v>
      </c>
      <c r="E5493" t="s">
        <v>11</v>
      </c>
      <c r="F5493">
        <v>0.84072786569595337</v>
      </c>
    </row>
    <row r="5494" spans="2:6">
      <c r="B5494">
        <v>2017</v>
      </c>
      <c r="C5494" t="s">
        <v>67</v>
      </c>
      <c r="D5494" t="s">
        <v>183</v>
      </c>
      <c r="E5494" t="s">
        <v>12</v>
      </c>
      <c r="F5494">
        <v>0.14513944089412689</v>
      </c>
    </row>
    <row r="5495" spans="2:6">
      <c r="B5495">
        <v>2017</v>
      </c>
      <c r="C5495" t="s">
        <v>67</v>
      </c>
      <c r="D5495" t="s">
        <v>183</v>
      </c>
      <c r="E5495" t="s">
        <v>13</v>
      </c>
      <c r="F5495">
        <v>0.41402119398117065</v>
      </c>
    </row>
    <row r="5496" spans="2:6">
      <c r="B5496">
        <v>2017</v>
      </c>
      <c r="C5496" t="s">
        <v>67</v>
      </c>
      <c r="D5496" t="s">
        <v>183</v>
      </c>
      <c r="E5496" t="s">
        <v>14</v>
      </c>
      <c r="F5496">
        <v>0.73656570911407471</v>
      </c>
    </row>
    <row r="5497" spans="2:6">
      <c r="B5497">
        <v>2017</v>
      </c>
      <c r="C5497" t="s">
        <v>67</v>
      </c>
      <c r="D5497" t="s">
        <v>183</v>
      </c>
      <c r="E5497" t="s">
        <v>15</v>
      </c>
      <c r="F5497">
        <v>0.19643481075763702</v>
      </c>
    </row>
    <row r="5498" spans="2:6">
      <c r="B5498">
        <v>2018</v>
      </c>
      <c r="C5498" t="s">
        <v>67</v>
      </c>
      <c r="D5498" t="s">
        <v>183</v>
      </c>
      <c r="E5498" t="s">
        <v>7</v>
      </c>
      <c r="F5498">
        <v>7.1183643341064453</v>
      </c>
    </row>
    <row r="5499" spans="2:6">
      <c r="B5499">
        <v>2018</v>
      </c>
      <c r="C5499" t="s">
        <v>67</v>
      </c>
      <c r="D5499" t="s">
        <v>183</v>
      </c>
      <c r="E5499" t="s">
        <v>8</v>
      </c>
      <c r="F5499">
        <v>10.890422821044922</v>
      </c>
    </row>
    <row r="5500" spans="2:6">
      <c r="B5500">
        <v>2018</v>
      </c>
      <c r="C5500" t="s">
        <v>67</v>
      </c>
      <c r="D5500" t="s">
        <v>183</v>
      </c>
      <c r="E5500" t="s">
        <v>9</v>
      </c>
      <c r="F5500">
        <v>0.91976314783096313</v>
      </c>
    </row>
    <row r="5501" spans="2:6">
      <c r="B5501">
        <v>2018</v>
      </c>
      <c r="C5501" t="s">
        <v>67</v>
      </c>
      <c r="D5501" t="s">
        <v>183</v>
      </c>
      <c r="E5501" t="s">
        <v>10</v>
      </c>
      <c r="F5501">
        <v>72.199996948242188</v>
      </c>
    </row>
    <row r="5502" spans="2:6">
      <c r="B5502">
        <v>2018</v>
      </c>
      <c r="C5502" t="s">
        <v>67</v>
      </c>
      <c r="D5502" t="s">
        <v>183</v>
      </c>
      <c r="E5502" t="s">
        <v>11</v>
      </c>
      <c r="F5502">
        <v>0.87688750028610229</v>
      </c>
    </row>
    <row r="5503" spans="2:6">
      <c r="B5503">
        <v>2018</v>
      </c>
      <c r="C5503" t="s">
        <v>67</v>
      </c>
      <c r="D5503" t="s">
        <v>183</v>
      </c>
      <c r="E5503" t="s">
        <v>12</v>
      </c>
      <c r="F5503">
        <v>3.3948469907045364E-2</v>
      </c>
    </row>
    <row r="5504" spans="2:6">
      <c r="B5504">
        <v>2018</v>
      </c>
      <c r="C5504" t="s">
        <v>67</v>
      </c>
      <c r="D5504" t="s">
        <v>183</v>
      </c>
      <c r="E5504" t="s">
        <v>13</v>
      </c>
      <c r="F5504">
        <v>0.49567395448684692</v>
      </c>
    </row>
    <row r="5505" spans="2:6">
      <c r="B5505">
        <v>2018</v>
      </c>
      <c r="C5505" t="s">
        <v>67</v>
      </c>
      <c r="D5505" t="s">
        <v>183</v>
      </c>
      <c r="E5505" t="s">
        <v>14</v>
      </c>
      <c r="F5505">
        <v>0.78028041124343872</v>
      </c>
    </row>
    <row r="5506" spans="2:6">
      <c r="B5506">
        <v>2018</v>
      </c>
      <c r="C5506" t="s">
        <v>67</v>
      </c>
      <c r="D5506" t="s">
        <v>183</v>
      </c>
      <c r="E5506" t="s">
        <v>15</v>
      </c>
      <c r="F5506">
        <v>0.24321457743644714</v>
      </c>
    </row>
    <row r="5507" spans="2:6">
      <c r="B5507">
        <v>2019</v>
      </c>
      <c r="C5507" t="s">
        <v>67</v>
      </c>
      <c r="D5507" t="s">
        <v>183</v>
      </c>
      <c r="E5507" t="s">
        <v>7</v>
      </c>
      <c r="F5507">
        <v>7.0354723930358887</v>
      </c>
    </row>
    <row r="5508" spans="2:6">
      <c r="B5508">
        <v>2019</v>
      </c>
      <c r="C5508" t="s">
        <v>67</v>
      </c>
      <c r="D5508" t="s">
        <v>183</v>
      </c>
      <c r="E5508" t="s">
        <v>8</v>
      </c>
      <c r="F5508">
        <v>10.893314361572266</v>
      </c>
    </row>
    <row r="5509" spans="2:6">
      <c r="B5509">
        <v>2019</v>
      </c>
      <c r="C5509" t="s">
        <v>67</v>
      </c>
      <c r="D5509" t="s">
        <v>183</v>
      </c>
      <c r="E5509" t="s">
        <v>9</v>
      </c>
      <c r="F5509">
        <v>0.88566732406616211</v>
      </c>
    </row>
    <row r="5510" spans="2:6">
      <c r="B5510">
        <v>2019</v>
      </c>
      <c r="C5510" t="s">
        <v>67</v>
      </c>
      <c r="D5510" t="s">
        <v>183</v>
      </c>
      <c r="E5510" t="s">
        <v>10</v>
      </c>
      <c r="F5510">
        <v>72.5</v>
      </c>
    </row>
    <row r="5511" spans="2:6">
      <c r="B5511">
        <v>2019</v>
      </c>
      <c r="C5511" t="s">
        <v>67</v>
      </c>
      <c r="D5511" t="s">
        <v>183</v>
      </c>
      <c r="E5511" t="s">
        <v>11</v>
      </c>
      <c r="F5511">
        <v>0.88475155830383301</v>
      </c>
    </row>
    <row r="5512" spans="2:6">
      <c r="B5512">
        <v>2019</v>
      </c>
      <c r="C5512" t="s">
        <v>67</v>
      </c>
      <c r="D5512" t="s">
        <v>183</v>
      </c>
      <c r="E5512" t="s">
        <v>12</v>
      </c>
      <c r="F5512">
        <v>5.7099718600511551E-2</v>
      </c>
    </row>
    <row r="5513" spans="2:6">
      <c r="B5513">
        <v>2019</v>
      </c>
      <c r="C5513" t="s">
        <v>67</v>
      </c>
      <c r="D5513" t="s">
        <v>183</v>
      </c>
      <c r="E5513" t="s">
        <v>13</v>
      </c>
      <c r="F5513">
        <v>0.46225515007972717</v>
      </c>
    </row>
    <row r="5514" spans="2:6">
      <c r="B5514">
        <v>2019</v>
      </c>
      <c r="C5514" t="s">
        <v>67</v>
      </c>
      <c r="D5514" t="s">
        <v>183</v>
      </c>
      <c r="E5514" t="s">
        <v>14</v>
      </c>
      <c r="F5514">
        <v>0.75060921907424927</v>
      </c>
    </row>
    <row r="5515" spans="2:6">
      <c r="B5515">
        <v>2019</v>
      </c>
      <c r="C5515" t="s">
        <v>67</v>
      </c>
      <c r="D5515" t="s">
        <v>183</v>
      </c>
      <c r="E5515" t="s">
        <v>15</v>
      </c>
      <c r="F5515">
        <v>0.22617121040821075</v>
      </c>
    </row>
    <row r="5516" spans="2:6">
      <c r="B5516">
        <v>2020</v>
      </c>
      <c r="C5516" t="s">
        <v>67</v>
      </c>
      <c r="D5516" t="s">
        <v>183</v>
      </c>
      <c r="E5516" t="s">
        <v>7</v>
      </c>
      <c r="F5516">
        <v>7.3118977546691895</v>
      </c>
    </row>
    <row r="5517" spans="2:6">
      <c r="B5517">
        <v>2020</v>
      </c>
      <c r="C5517" t="s">
        <v>67</v>
      </c>
      <c r="D5517" t="s">
        <v>183</v>
      </c>
      <c r="E5517" t="s">
        <v>8</v>
      </c>
      <c r="F5517">
        <v>10.833498954772949</v>
      </c>
    </row>
    <row r="5518" spans="2:6">
      <c r="B5518">
        <v>2020</v>
      </c>
      <c r="C5518" t="s">
        <v>67</v>
      </c>
      <c r="D5518" t="s">
        <v>183</v>
      </c>
      <c r="E5518" t="s">
        <v>9</v>
      </c>
      <c r="F5518">
        <v>0.90508049726486206</v>
      </c>
    </row>
    <row r="5519" spans="2:6">
      <c r="B5519">
        <v>2020</v>
      </c>
      <c r="C5519" t="s">
        <v>67</v>
      </c>
      <c r="D5519" t="s">
        <v>183</v>
      </c>
      <c r="E5519" t="s">
        <v>10</v>
      </c>
      <c r="F5519">
        <v>72.800003051757813</v>
      </c>
    </row>
    <row r="5520" spans="2:6">
      <c r="B5520">
        <v>2020</v>
      </c>
      <c r="C5520" t="s">
        <v>67</v>
      </c>
      <c r="D5520" t="s">
        <v>183</v>
      </c>
      <c r="E5520" t="s">
        <v>11</v>
      </c>
      <c r="F5520">
        <v>0.86435604095458984</v>
      </c>
    </row>
    <row r="5521" spans="2:6">
      <c r="B5521">
        <v>2020</v>
      </c>
      <c r="C5521" t="s">
        <v>67</v>
      </c>
      <c r="D5521" t="s">
        <v>183</v>
      </c>
      <c r="E5521" t="s">
        <v>12</v>
      </c>
      <c r="F5521">
        <v>-6.0048040002584457E-2</v>
      </c>
    </row>
    <row r="5522" spans="2:6">
      <c r="B5522">
        <v>2020</v>
      </c>
      <c r="C5522" t="s">
        <v>67</v>
      </c>
      <c r="D5522" t="s">
        <v>183</v>
      </c>
      <c r="E5522" t="s">
        <v>13</v>
      </c>
      <c r="F5522">
        <v>0.42408877611160278</v>
      </c>
    </row>
    <row r="5523" spans="2:6">
      <c r="B5523">
        <v>2020</v>
      </c>
      <c r="C5523" t="s">
        <v>67</v>
      </c>
      <c r="D5523" t="s">
        <v>183</v>
      </c>
      <c r="E5523" t="s">
        <v>14</v>
      </c>
      <c r="F5523">
        <v>0.75959432125091553</v>
      </c>
    </row>
    <row r="5524" spans="2:6">
      <c r="B5524">
        <v>2020</v>
      </c>
      <c r="C5524" t="s">
        <v>67</v>
      </c>
      <c r="D5524" t="s">
        <v>183</v>
      </c>
      <c r="E5524" t="s">
        <v>15</v>
      </c>
      <c r="F5524">
        <v>0.20592711865901947</v>
      </c>
    </row>
    <row r="5525" spans="2:6">
      <c r="B5525">
        <v>2006</v>
      </c>
      <c r="C5525" t="s">
        <v>68</v>
      </c>
      <c r="D5525" t="s">
        <v>184</v>
      </c>
      <c r="E5525" t="s">
        <v>7</v>
      </c>
      <c r="F5525">
        <v>4.5350198745727539</v>
      </c>
    </row>
    <row r="5526" spans="2:6">
      <c r="B5526">
        <v>2006</v>
      </c>
      <c r="C5526" t="s">
        <v>68</v>
      </c>
      <c r="D5526" t="s">
        <v>184</v>
      </c>
      <c r="E5526" t="s">
        <v>8</v>
      </c>
      <c r="F5526">
        <v>8.0732564926147461</v>
      </c>
    </row>
    <row r="5527" spans="2:6">
      <c r="B5527">
        <v>2006</v>
      </c>
      <c r="C5527" t="s">
        <v>68</v>
      </c>
      <c r="D5527" t="s">
        <v>184</v>
      </c>
      <c r="E5527" t="s">
        <v>9</v>
      </c>
      <c r="F5527">
        <v>0.72826999425888062</v>
      </c>
    </row>
    <row r="5528" spans="2:6">
      <c r="B5528">
        <v>2006</v>
      </c>
      <c r="C5528" t="s">
        <v>68</v>
      </c>
      <c r="D5528" t="s">
        <v>184</v>
      </c>
      <c r="E5528" t="s">
        <v>10</v>
      </c>
      <c r="F5528">
        <v>52.340000152587891</v>
      </c>
    </row>
    <row r="5529" spans="2:6">
      <c r="B5529">
        <v>2006</v>
      </c>
      <c r="C5529" t="s">
        <v>68</v>
      </c>
      <c r="D5529" t="s">
        <v>184</v>
      </c>
      <c r="E5529" t="s">
        <v>11</v>
      </c>
      <c r="F5529">
        <v>0.84928339719772339</v>
      </c>
    </row>
    <row r="5530" spans="2:6">
      <c r="B5530">
        <v>2006</v>
      </c>
      <c r="C5530" t="s">
        <v>68</v>
      </c>
      <c r="D5530" t="s">
        <v>184</v>
      </c>
      <c r="E5530" t="s">
        <v>12</v>
      </c>
      <c r="F5530">
        <v>0.21309642493724823</v>
      </c>
    </row>
    <row r="5531" spans="2:6">
      <c r="B5531">
        <v>2006</v>
      </c>
      <c r="C5531" t="s">
        <v>68</v>
      </c>
      <c r="D5531" t="s">
        <v>184</v>
      </c>
      <c r="E5531" t="s">
        <v>13</v>
      </c>
      <c r="F5531">
        <v>0.81407040357589722</v>
      </c>
    </row>
    <row r="5532" spans="2:6">
      <c r="B5532">
        <v>2006</v>
      </c>
      <c r="C5532" t="s">
        <v>68</v>
      </c>
      <c r="D5532" t="s">
        <v>184</v>
      </c>
      <c r="E5532" t="s">
        <v>14</v>
      </c>
      <c r="F5532">
        <v>0.67120105028152466</v>
      </c>
    </row>
    <row r="5533" spans="2:6">
      <c r="B5533">
        <v>2006</v>
      </c>
      <c r="C5533" t="s">
        <v>68</v>
      </c>
      <c r="D5533" t="s">
        <v>184</v>
      </c>
      <c r="E5533" t="s">
        <v>15</v>
      </c>
      <c r="F5533">
        <v>0.1976066529750824</v>
      </c>
    </row>
    <row r="5534" spans="2:6">
      <c r="B5534">
        <v>2007</v>
      </c>
      <c r="C5534" t="s">
        <v>68</v>
      </c>
      <c r="D5534" t="s">
        <v>184</v>
      </c>
      <c r="E5534" t="s">
        <v>7</v>
      </c>
      <c r="F5534">
        <v>5.2201480865478516</v>
      </c>
    </row>
    <row r="5535" spans="2:6">
      <c r="B5535">
        <v>2007</v>
      </c>
      <c r="C5535" t="s">
        <v>68</v>
      </c>
      <c r="D5535" t="s">
        <v>184</v>
      </c>
      <c r="E5535" t="s">
        <v>8</v>
      </c>
      <c r="F5535">
        <v>8.0900068283081055</v>
      </c>
    </row>
    <row r="5536" spans="2:6">
      <c r="B5536">
        <v>2007</v>
      </c>
      <c r="C5536" t="s">
        <v>68</v>
      </c>
      <c r="D5536" t="s">
        <v>184</v>
      </c>
      <c r="E5536" t="s">
        <v>9</v>
      </c>
      <c r="F5536">
        <v>0.72964769601821899</v>
      </c>
    </row>
    <row r="5537" spans="2:6">
      <c r="B5537">
        <v>2007</v>
      </c>
      <c r="C5537" t="s">
        <v>68</v>
      </c>
      <c r="D5537" t="s">
        <v>184</v>
      </c>
      <c r="E5537" t="s">
        <v>10</v>
      </c>
      <c r="F5537">
        <v>52.779998779296875</v>
      </c>
    </row>
    <row r="5538" spans="2:6">
      <c r="B5538">
        <v>2007</v>
      </c>
      <c r="C5538" t="s">
        <v>68</v>
      </c>
      <c r="D5538" t="s">
        <v>184</v>
      </c>
      <c r="E5538" t="s">
        <v>11</v>
      </c>
      <c r="F5538">
        <v>0.89115327596664429</v>
      </c>
    </row>
    <row r="5539" spans="2:6">
      <c r="B5539">
        <v>2007</v>
      </c>
      <c r="C5539" t="s">
        <v>68</v>
      </c>
      <c r="D5539" t="s">
        <v>184</v>
      </c>
      <c r="E5539" t="s">
        <v>12</v>
      </c>
      <c r="F5539">
        <v>0.13762012124061584</v>
      </c>
    </row>
    <row r="5540" spans="2:6">
      <c r="B5540">
        <v>2007</v>
      </c>
      <c r="C5540" t="s">
        <v>68</v>
      </c>
      <c r="D5540" t="s">
        <v>184</v>
      </c>
      <c r="E5540" t="s">
        <v>13</v>
      </c>
      <c r="F5540">
        <v>0.77118825912475586</v>
      </c>
    </row>
    <row r="5541" spans="2:6">
      <c r="B5541">
        <v>2007</v>
      </c>
      <c r="C5541" t="s">
        <v>68</v>
      </c>
      <c r="D5541" t="s">
        <v>184</v>
      </c>
      <c r="E5541" t="s">
        <v>14</v>
      </c>
      <c r="F5541">
        <v>0.68563640117645264</v>
      </c>
    </row>
    <row r="5542" spans="2:6">
      <c r="B5542">
        <v>2007</v>
      </c>
      <c r="C5542" t="s">
        <v>68</v>
      </c>
      <c r="D5542" t="s">
        <v>184</v>
      </c>
      <c r="E5542" t="s">
        <v>15</v>
      </c>
      <c r="F5542">
        <v>0.21663028001785278</v>
      </c>
    </row>
    <row r="5543" spans="2:6">
      <c r="B5543">
        <v>2008</v>
      </c>
      <c r="C5543" t="s">
        <v>68</v>
      </c>
      <c r="D5543" t="s">
        <v>184</v>
      </c>
      <c r="E5543" t="s">
        <v>7</v>
      </c>
      <c r="F5543">
        <v>4.9651346206665039</v>
      </c>
    </row>
    <row r="5544" spans="2:6">
      <c r="B5544">
        <v>2008</v>
      </c>
      <c r="C5544" t="s">
        <v>68</v>
      </c>
      <c r="D5544" t="s">
        <v>184</v>
      </c>
      <c r="E5544" t="s">
        <v>8</v>
      </c>
      <c r="F5544">
        <v>8.1517705917358398</v>
      </c>
    </row>
    <row r="5545" spans="2:6">
      <c r="B5545">
        <v>2008</v>
      </c>
      <c r="C5545" t="s">
        <v>68</v>
      </c>
      <c r="D5545" t="s">
        <v>184</v>
      </c>
      <c r="E5545" t="s">
        <v>9</v>
      </c>
      <c r="F5545">
        <v>0.62225514650344849</v>
      </c>
    </row>
    <row r="5546" spans="2:6">
      <c r="B5546">
        <v>2008</v>
      </c>
      <c r="C5546" t="s">
        <v>68</v>
      </c>
      <c r="D5546" t="s">
        <v>184</v>
      </c>
      <c r="E5546" t="s">
        <v>10</v>
      </c>
      <c r="F5546">
        <v>53.220001220703125</v>
      </c>
    </row>
    <row r="5547" spans="2:6">
      <c r="B5547">
        <v>2008</v>
      </c>
      <c r="C5547" t="s">
        <v>68</v>
      </c>
      <c r="D5547" t="s">
        <v>184</v>
      </c>
      <c r="E5547" t="s">
        <v>11</v>
      </c>
      <c r="F5547">
        <v>0.83800631761550903</v>
      </c>
    </row>
    <row r="5548" spans="2:6">
      <c r="B5548">
        <v>2008</v>
      </c>
      <c r="C5548" t="s">
        <v>68</v>
      </c>
      <c r="D5548" t="s">
        <v>184</v>
      </c>
      <c r="E5548" t="s">
        <v>12</v>
      </c>
      <c r="F5548">
        <v>0.11971728503704071</v>
      </c>
    </row>
    <row r="5549" spans="2:6">
      <c r="B5549">
        <v>2008</v>
      </c>
      <c r="C5549" t="s">
        <v>68</v>
      </c>
      <c r="D5549" t="s">
        <v>184</v>
      </c>
      <c r="E5549" t="s">
        <v>13</v>
      </c>
      <c r="F5549">
        <v>0.86287039518356323</v>
      </c>
    </row>
    <row r="5550" spans="2:6">
      <c r="B5550">
        <v>2008</v>
      </c>
      <c r="C5550" t="s">
        <v>68</v>
      </c>
      <c r="D5550" t="s">
        <v>184</v>
      </c>
      <c r="E5550" t="s">
        <v>14</v>
      </c>
      <c r="F5550">
        <v>0.71701037883758545</v>
      </c>
    </row>
    <row r="5551" spans="2:6">
      <c r="B5551">
        <v>2008</v>
      </c>
      <c r="C5551" t="s">
        <v>68</v>
      </c>
      <c r="D5551" t="s">
        <v>184</v>
      </c>
      <c r="E5551" t="s">
        <v>15</v>
      </c>
      <c r="F5551">
        <v>0.17204543948173523</v>
      </c>
    </row>
    <row r="5552" spans="2:6">
      <c r="B5552">
        <v>2009</v>
      </c>
      <c r="C5552" t="s">
        <v>68</v>
      </c>
      <c r="D5552" t="s">
        <v>184</v>
      </c>
      <c r="E5552" t="s">
        <v>7</v>
      </c>
      <c r="F5552">
        <v>4.1976957321166992</v>
      </c>
    </row>
    <row r="5553" spans="2:6">
      <c r="B5553">
        <v>2009</v>
      </c>
      <c r="C5553" t="s">
        <v>68</v>
      </c>
      <c r="D5553" t="s">
        <v>184</v>
      </c>
      <c r="E5553" t="s">
        <v>8</v>
      </c>
      <c r="F5553">
        <v>8.173640251159668</v>
      </c>
    </row>
    <row r="5554" spans="2:6">
      <c r="B5554">
        <v>2009</v>
      </c>
      <c r="C5554" t="s">
        <v>68</v>
      </c>
      <c r="D5554" t="s">
        <v>184</v>
      </c>
      <c r="E5554" t="s">
        <v>9</v>
      </c>
      <c r="F5554">
        <v>0.63319772481918335</v>
      </c>
    </row>
    <row r="5555" spans="2:6">
      <c r="B5555">
        <v>2009</v>
      </c>
      <c r="C5555" t="s">
        <v>68</v>
      </c>
      <c r="D5555" t="s">
        <v>184</v>
      </c>
      <c r="E5555" t="s">
        <v>10</v>
      </c>
      <c r="F5555">
        <v>53.659999847412109</v>
      </c>
    </row>
    <row r="5556" spans="2:6">
      <c r="B5556">
        <v>2009</v>
      </c>
      <c r="C5556" t="s">
        <v>68</v>
      </c>
      <c r="D5556" t="s">
        <v>184</v>
      </c>
      <c r="E5556" t="s">
        <v>11</v>
      </c>
      <c r="F5556">
        <v>0.75747776031494141</v>
      </c>
    </row>
    <row r="5557" spans="2:6">
      <c r="B5557">
        <v>2009</v>
      </c>
      <c r="C5557" t="s">
        <v>68</v>
      </c>
      <c r="D5557" t="s">
        <v>184</v>
      </c>
      <c r="E5557" t="s">
        <v>12</v>
      </c>
      <c r="F5557">
        <v>5.1779472269117832E-3</v>
      </c>
    </row>
    <row r="5558" spans="2:6">
      <c r="B5558">
        <v>2009</v>
      </c>
      <c r="C5558" t="s">
        <v>68</v>
      </c>
      <c r="D5558" t="s">
        <v>184</v>
      </c>
      <c r="E5558" t="s">
        <v>13</v>
      </c>
      <c r="F5558">
        <v>0.88973832130432129</v>
      </c>
    </row>
    <row r="5559" spans="2:6">
      <c r="B5559">
        <v>2009</v>
      </c>
      <c r="C5559" t="s">
        <v>68</v>
      </c>
      <c r="D5559" t="s">
        <v>184</v>
      </c>
      <c r="E5559" t="s">
        <v>14</v>
      </c>
      <c r="F5559">
        <v>0.77420318126678467</v>
      </c>
    </row>
    <row r="5560" spans="2:6">
      <c r="B5560">
        <v>2009</v>
      </c>
      <c r="C5560" t="s">
        <v>68</v>
      </c>
      <c r="D5560" t="s">
        <v>184</v>
      </c>
      <c r="E5560" t="s">
        <v>15</v>
      </c>
      <c r="F5560">
        <v>0.19759012758731842</v>
      </c>
    </row>
    <row r="5561" spans="2:6">
      <c r="B5561">
        <v>2010</v>
      </c>
      <c r="C5561" t="s">
        <v>68</v>
      </c>
      <c r="D5561" t="s">
        <v>184</v>
      </c>
      <c r="E5561" t="s">
        <v>7</v>
      </c>
      <c r="F5561">
        <v>4.6062517166137695</v>
      </c>
    </row>
    <row r="5562" spans="2:6">
      <c r="B5562">
        <v>2010</v>
      </c>
      <c r="C5562" t="s">
        <v>68</v>
      </c>
      <c r="D5562" t="s">
        <v>184</v>
      </c>
      <c r="E5562" t="s">
        <v>8</v>
      </c>
      <c r="F5562">
        <v>8.2248020172119141</v>
      </c>
    </row>
    <row r="5563" spans="2:6">
      <c r="B5563">
        <v>2010</v>
      </c>
      <c r="C5563" t="s">
        <v>68</v>
      </c>
      <c r="D5563" t="s">
        <v>184</v>
      </c>
      <c r="E5563" t="s">
        <v>9</v>
      </c>
      <c r="F5563">
        <v>0.73855865001678467</v>
      </c>
    </row>
    <row r="5564" spans="2:6">
      <c r="B5564">
        <v>2010</v>
      </c>
      <c r="C5564" t="s">
        <v>68</v>
      </c>
      <c r="D5564" t="s">
        <v>184</v>
      </c>
      <c r="E5564" t="s">
        <v>10</v>
      </c>
      <c r="F5564">
        <v>54.099998474121094</v>
      </c>
    </row>
    <row r="5565" spans="2:6">
      <c r="B5565">
        <v>2010</v>
      </c>
      <c r="C5565" t="s">
        <v>68</v>
      </c>
      <c r="D5565" t="s">
        <v>184</v>
      </c>
      <c r="E5565" t="s">
        <v>11</v>
      </c>
      <c r="F5565">
        <v>0.89112991094589233</v>
      </c>
    </row>
    <row r="5566" spans="2:6">
      <c r="B5566">
        <v>2010</v>
      </c>
      <c r="C5566" t="s">
        <v>68</v>
      </c>
      <c r="D5566" t="s">
        <v>184</v>
      </c>
      <c r="E5566" t="s">
        <v>12</v>
      </c>
      <c r="F5566">
        <v>7.3657743632793427E-2</v>
      </c>
    </row>
    <row r="5567" spans="2:6">
      <c r="B5567">
        <v>2010</v>
      </c>
      <c r="C5567" t="s">
        <v>68</v>
      </c>
      <c r="D5567" t="s">
        <v>184</v>
      </c>
      <c r="E5567" t="s">
        <v>13</v>
      </c>
      <c r="F5567">
        <v>0.87484914064407349</v>
      </c>
    </row>
    <row r="5568" spans="2:6">
      <c r="B5568">
        <v>2010</v>
      </c>
      <c r="C5568" t="s">
        <v>68</v>
      </c>
      <c r="D5568" t="s">
        <v>184</v>
      </c>
      <c r="E5568" t="s">
        <v>14</v>
      </c>
      <c r="F5568">
        <v>0.78339970111846924</v>
      </c>
    </row>
    <row r="5569" spans="2:6">
      <c r="B5569">
        <v>2010</v>
      </c>
      <c r="C5569" t="s">
        <v>68</v>
      </c>
      <c r="D5569" t="s">
        <v>184</v>
      </c>
      <c r="E5569" t="s">
        <v>15</v>
      </c>
      <c r="F5569">
        <v>0.18412871658802032</v>
      </c>
    </row>
    <row r="5570" spans="2:6">
      <c r="B5570">
        <v>2011</v>
      </c>
      <c r="C5570" t="s">
        <v>68</v>
      </c>
      <c r="D5570" t="s">
        <v>184</v>
      </c>
      <c r="E5570" t="s">
        <v>7</v>
      </c>
      <c r="F5570">
        <v>5.6081995964050293</v>
      </c>
    </row>
    <row r="5571" spans="2:6">
      <c r="B5571">
        <v>2011</v>
      </c>
      <c r="C5571" t="s">
        <v>68</v>
      </c>
      <c r="D5571" t="s">
        <v>184</v>
      </c>
      <c r="E5571" t="s">
        <v>8</v>
      </c>
      <c r="F5571">
        <v>8.3319997787475586</v>
      </c>
    </row>
    <row r="5572" spans="2:6">
      <c r="B5572">
        <v>2011</v>
      </c>
      <c r="C5572" t="s">
        <v>68</v>
      </c>
      <c r="D5572" t="s">
        <v>184</v>
      </c>
      <c r="E5572" t="s">
        <v>9</v>
      </c>
      <c r="F5572">
        <v>0.72429722547531128</v>
      </c>
    </row>
    <row r="5573" spans="2:6">
      <c r="B5573">
        <v>2011</v>
      </c>
      <c r="C5573" t="s">
        <v>68</v>
      </c>
      <c r="D5573" t="s">
        <v>184</v>
      </c>
      <c r="E5573" t="s">
        <v>10</v>
      </c>
      <c r="F5573">
        <v>54.479999542236328</v>
      </c>
    </row>
    <row r="5574" spans="2:6">
      <c r="B5574">
        <v>2011</v>
      </c>
      <c r="C5574" t="s">
        <v>68</v>
      </c>
      <c r="D5574" t="s">
        <v>184</v>
      </c>
      <c r="E5574" t="s">
        <v>11</v>
      </c>
      <c r="F5574">
        <v>0.85189616680145264</v>
      </c>
    </row>
    <row r="5575" spans="2:6">
      <c r="B5575">
        <v>2011</v>
      </c>
      <c r="C5575" t="s">
        <v>68</v>
      </c>
      <c r="D5575" t="s">
        <v>184</v>
      </c>
      <c r="E5575" t="s">
        <v>12</v>
      </c>
      <c r="F5575">
        <v>1.0544514283537865E-2</v>
      </c>
    </row>
    <row r="5576" spans="2:6">
      <c r="B5576">
        <v>2011</v>
      </c>
      <c r="C5576" t="s">
        <v>68</v>
      </c>
      <c r="D5576" t="s">
        <v>184</v>
      </c>
      <c r="E5576" t="s">
        <v>13</v>
      </c>
      <c r="F5576">
        <v>0.79044431447982788</v>
      </c>
    </row>
    <row r="5577" spans="2:6">
      <c r="B5577">
        <v>2011</v>
      </c>
      <c r="C5577" t="s">
        <v>68</v>
      </c>
      <c r="D5577" t="s">
        <v>184</v>
      </c>
      <c r="E5577" t="s">
        <v>14</v>
      </c>
      <c r="F5577">
        <v>0.74396711587905884</v>
      </c>
    </row>
    <row r="5578" spans="2:6">
      <c r="B5578">
        <v>2011</v>
      </c>
      <c r="C5578" t="s">
        <v>68</v>
      </c>
      <c r="D5578" t="s">
        <v>184</v>
      </c>
      <c r="E5578" t="s">
        <v>15</v>
      </c>
      <c r="F5578">
        <v>0.20921263098716736</v>
      </c>
    </row>
    <row r="5579" spans="2:6">
      <c r="B5579">
        <v>2012</v>
      </c>
      <c r="C5579" t="s">
        <v>68</v>
      </c>
      <c r="D5579" t="s">
        <v>184</v>
      </c>
      <c r="E5579" t="s">
        <v>7</v>
      </c>
      <c r="F5579">
        <v>5.0572619438171387</v>
      </c>
    </row>
    <row r="5580" spans="2:6">
      <c r="B5580">
        <v>2012</v>
      </c>
      <c r="C5580" t="s">
        <v>68</v>
      </c>
      <c r="D5580" t="s">
        <v>184</v>
      </c>
      <c r="E5580" t="s">
        <v>8</v>
      </c>
      <c r="F5580">
        <v>8.3971652984619141</v>
      </c>
    </row>
    <row r="5581" spans="2:6">
      <c r="B5581">
        <v>2012</v>
      </c>
      <c r="C5581" t="s">
        <v>68</v>
      </c>
      <c r="D5581" t="s">
        <v>184</v>
      </c>
      <c r="E5581" t="s">
        <v>9</v>
      </c>
      <c r="F5581">
        <v>0.6851118803024292</v>
      </c>
    </row>
    <row r="5582" spans="2:6">
      <c r="B5582">
        <v>2012</v>
      </c>
      <c r="C5582" t="s">
        <v>68</v>
      </c>
      <c r="D5582" t="s">
        <v>184</v>
      </c>
      <c r="E5582" t="s">
        <v>10</v>
      </c>
      <c r="F5582">
        <v>54.860000610351563</v>
      </c>
    </row>
    <row r="5583" spans="2:6">
      <c r="B5583">
        <v>2012</v>
      </c>
      <c r="C5583" t="s">
        <v>68</v>
      </c>
      <c r="D5583" t="s">
        <v>184</v>
      </c>
      <c r="E5583" t="s">
        <v>11</v>
      </c>
      <c r="F5583">
        <v>0.67941844463348389</v>
      </c>
    </row>
    <row r="5584" spans="2:6">
      <c r="B5584">
        <v>2012</v>
      </c>
      <c r="C5584" t="s">
        <v>68</v>
      </c>
      <c r="D5584" t="s">
        <v>184</v>
      </c>
      <c r="E5584" t="s">
        <v>12</v>
      </c>
      <c r="F5584">
        <v>3.9938453584909439E-2</v>
      </c>
    </row>
    <row r="5585" spans="2:6">
      <c r="B5585">
        <v>2012</v>
      </c>
      <c r="C5585" t="s">
        <v>68</v>
      </c>
      <c r="D5585" t="s">
        <v>184</v>
      </c>
      <c r="E5585" t="s">
        <v>13</v>
      </c>
      <c r="F5585">
        <v>0.89783614873886108</v>
      </c>
    </row>
    <row r="5586" spans="2:6">
      <c r="B5586">
        <v>2012</v>
      </c>
      <c r="C5586" t="s">
        <v>68</v>
      </c>
      <c r="D5586" t="s">
        <v>184</v>
      </c>
      <c r="E5586" t="s">
        <v>14</v>
      </c>
      <c r="F5586">
        <v>0.75968801975250244</v>
      </c>
    </row>
    <row r="5587" spans="2:6">
      <c r="B5587">
        <v>2012</v>
      </c>
      <c r="C5587" t="s">
        <v>68</v>
      </c>
      <c r="D5587" t="s">
        <v>184</v>
      </c>
      <c r="E5587" t="s">
        <v>15</v>
      </c>
      <c r="F5587">
        <v>0.15237638354301453</v>
      </c>
    </row>
    <row r="5588" spans="2:6">
      <c r="B5588">
        <v>2013</v>
      </c>
      <c r="C5588" t="s">
        <v>68</v>
      </c>
      <c r="D5588" t="s">
        <v>184</v>
      </c>
      <c r="E5588" t="s">
        <v>7</v>
      </c>
      <c r="F5588">
        <v>4.9650530815124512</v>
      </c>
    </row>
    <row r="5589" spans="2:6">
      <c r="B5589">
        <v>2013</v>
      </c>
      <c r="C5589" t="s">
        <v>68</v>
      </c>
      <c r="D5589" t="s">
        <v>184</v>
      </c>
      <c r="E5589" t="s">
        <v>8</v>
      </c>
      <c r="F5589">
        <v>8.4445018768310547</v>
      </c>
    </row>
    <row r="5590" spans="2:6">
      <c r="B5590">
        <v>2013</v>
      </c>
      <c r="C5590" t="s">
        <v>68</v>
      </c>
      <c r="D5590" t="s">
        <v>184</v>
      </c>
      <c r="E5590" t="s">
        <v>9</v>
      </c>
      <c r="F5590">
        <v>0.67628920078277588</v>
      </c>
    </row>
    <row r="5591" spans="2:6">
      <c r="B5591">
        <v>2013</v>
      </c>
      <c r="C5591" t="s">
        <v>68</v>
      </c>
      <c r="D5591" t="s">
        <v>184</v>
      </c>
      <c r="E5591" t="s">
        <v>10</v>
      </c>
      <c r="F5591">
        <v>55.240001678466797</v>
      </c>
    </row>
    <row r="5592" spans="2:6">
      <c r="B5592">
        <v>2013</v>
      </c>
      <c r="C5592" t="s">
        <v>68</v>
      </c>
      <c r="D5592" t="s">
        <v>184</v>
      </c>
      <c r="E5592" t="s">
        <v>11</v>
      </c>
      <c r="F5592">
        <v>0.79379373788833618</v>
      </c>
    </row>
    <row r="5593" spans="2:6">
      <c r="B5593">
        <v>2013</v>
      </c>
      <c r="C5593" t="s">
        <v>68</v>
      </c>
      <c r="D5593" t="s">
        <v>184</v>
      </c>
      <c r="E5593" t="s">
        <v>12</v>
      </c>
      <c r="F5593">
        <v>-6.5492458641529083E-2</v>
      </c>
    </row>
    <row r="5594" spans="2:6">
      <c r="B5594">
        <v>2013</v>
      </c>
      <c r="C5594" t="s">
        <v>68</v>
      </c>
      <c r="D5594" t="s">
        <v>184</v>
      </c>
      <c r="E5594" t="s">
        <v>13</v>
      </c>
      <c r="F5594">
        <v>0.88017845153808594</v>
      </c>
    </row>
    <row r="5595" spans="2:6">
      <c r="B5595">
        <v>2013</v>
      </c>
      <c r="C5595" t="s">
        <v>68</v>
      </c>
      <c r="D5595" t="s">
        <v>184</v>
      </c>
      <c r="E5595" t="s">
        <v>14</v>
      </c>
      <c r="F5595">
        <v>0.69076621532440186</v>
      </c>
    </row>
    <row r="5596" spans="2:6">
      <c r="B5596">
        <v>2013</v>
      </c>
      <c r="C5596" t="s">
        <v>68</v>
      </c>
      <c r="D5596" t="s">
        <v>184</v>
      </c>
      <c r="E5596" t="s">
        <v>15</v>
      </c>
      <c r="F5596">
        <v>0.21081872284412384</v>
      </c>
    </row>
    <row r="5597" spans="2:6">
      <c r="B5597">
        <v>2014</v>
      </c>
      <c r="C5597" t="s">
        <v>68</v>
      </c>
      <c r="D5597" t="s">
        <v>184</v>
      </c>
      <c r="E5597" t="s">
        <v>7</v>
      </c>
      <c r="F5597">
        <v>3.8603510856628418</v>
      </c>
    </row>
    <row r="5598" spans="2:6">
      <c r="B5598">
        <v>2014</v>
      </c>
      <c r="C5598" t="s">
        <v>68</v>
      </c>
      <c r="D5598" t="s">
        <v>184</v>
      </c>
      <c r="E5598" t="s">
        <v>8</v>
      </c>
      <c r="F5598">
        <v>8.4501466751098633</v>
      </c>
    </row>
    <row r="5599" spans="2:6">
      <c r="B5599">
        <v>2014</v>
      </c>
      <c r="C5599" t="s">
        <v>68</v>
      </c>
      <c r="D5599" t="s">
        <v>184</v>
      </c>
      <c r="E5599" t="s">
        <v>9</v>
      </c>
      <c r="F5599">
        <v>0.65146875381469727</v>
      </c>
    </row>
    <row r="5600" spans="2:6">
      <c r="B5600">
        <v>2014</v>
      </c>
      <c r="C5600" t="s">
        <v>68</v>
      </c>
      <c r="D5600" t="s">
        <v>184</v>
      </c>
      <c r="E5600" t="s">
        <v>10</v>
      </c>
      <c r="F5600">
        <v>55.619998931884766</v>
      </c>
    </row>
    <row r="5601" spans="2:6">
      <c r="B5601">
        <v>2014</v>
      </c>
      <c r="C5601" t="s">
        <v>68</v>
      </c>
      <c r="D5601" t="s">
        <v>184</v>
      </c>
      <c r="E5601" t="s">
        <v>11</v>
      </c>
      <c r="F5601">
        <v>0.67691606283187866</v>
      </c>
    </row>
    <row r="5602" spans="2:6">
      <c r="B5602">
        <v>2014</v>
      </c>
      <c r="C5602" t="s">
        <v>68</v>
      </c>
      <c r="D5602" t="s">
        <v>184</v>
      </c>
      <c r="E5602" t="s">
        <v>12</v>
      </c>
      <c r="F5602">
        <v>1.0831790277734399E-3</v>
      </c>
    </row>
    <row r="5603" spans="2:6">
      <c r="B5603">
        <v>2014</v>
      </c>
      <c r="C5603" t="s">
        <v>68</v>
      </c>
      <c r="D5603" t="s">
        <v>184</v>
      </c>
      <c r="E5603" t="s">
        <v>13</v>
      </c>
      <c r="F5603">
        <v>0.91268235445022583</v>
      </c>
    </row>
    <row r="5604" spans="2:6">
      <c r="B5604">
        <v>2014</v>
      </c>
      <c r="C5604" t="s">
        <v>68</v>
      </c>
      <c r="D5604" t="s">
        <v>184</v>
      </c>
      <c r="E5604" t="s">
        <v>14</v>
      </c>
      <c r="F5604">
        <v>0.6961548924446106</v>
      </c>
    </row>
    <row r="5605" spans="2:6">
      <c r="B5605">
        <v>2014</v>
      </c>
      <c r="C5605" t="s">
        <v>68</v>
      </c>
      <c r="D5605" t="s">
        <v>184</v>
      </c>
      <c r="E5605" t="s">
        <v>15</v>
      </c>
      <c r="F5605">
        <v>0.28032103180885315</v>
      </c>
    </row>
    <row r="5606" spans="2:6">
      <c r="B5606">
        <v>2015</v>
      </c>
      <c r="C5606" t="s">
        <v>68</v>
      </c>
      <c r="D5606" t="s">
        <v>184</v>
      </c>
      <c r="E5606" t="s">
        <v>7</v>
      </c>
      <c r="F5606">
        <v>3.9859161376953125</v>
      </c>
    </row>
    <row r="5607" spans="2:6">
      <c r="B5607">
        <v>2015</v>
      </c>
      <c r="C5607" t="s">
        <v>68</v>
      </c>
      <c r="D5607" t="s">
        <v>184</v>
      </c>
      <c r="E5607" t="s">
        <v>8</v>
      </c>
      <c r="F5607">
        <v>8.4490070343017578</v>
      </c>
    </row>
    <row r="5608" spans="2:6">
      <c r="B5608">
        <v>2015</v>
      </c>
      <c r="C5608" t="s">
        <v>68</v>
      </c>
      <c r="D5608" t="s">
        <v>184</v>
      </c>
      <c r="E5608" t="s">
        <v>9</v>
      </c>
      <c r="F5608">
        <v>0.68744856119155884</v>
      </c>
    </row>
    <row r="5609" spans="2:6">
      <c r="B5609">
        <v>2015</v>
      </c>
      <c r="C5609" t="s">
        <v>68</v>
      </c>
      <c r="D5609" t="s">
        <v>184</v>
      </c>
      <c r="E5609" t="s">
        <v>10</v>
      </c>
      <c r="F5609">
        <v>56</v>
      </c>
    </row>
    <row r="5610" spans="2:6">
      <c r="B5610">
        <v>2015</v>
      </c>
      <c r="C5610" t="s">
        <v>68</v>
      </c>
      <c r="D5610" t="s">
        <v>184</v>
      </c>
      <c r="E5610" t="s">
        <v>11</v>
      </c>
      <c r="F5610">
        <v>0.8520161509513855</v>
      </c>
    </row>
    <row r="5611" spans="2:6">
      <c r="B5611">
        <v>2015</v>
      </c>
      <c r="C5611" t="s">
        <v>68</v>
      </c>
      <c r="D5611" t="s">
        <v>184</v>
      </c>
      <c r="E5611" t="s">
        <v>12</v>
      </c>
      <c r="F5611">
        <v>-3.8346521556377411E-2</v>
      </c>
    </row>
    <row r="5612" spans="2:6">
      <c r="B5612">
        <v>2015</v>
      </c>
      <c r="C5612" t="s">
        <v>68</v>
      </c>
      <c r="D5612" t="s">
        <v>184</v>
      </c>
      <c r="E5612" t="s">
        <v>13</v>
      </c>
      <c r="F5612">
        <v>0.94543612003326416</v>
      </c>
    </row>
    <row r="5613" spans="2:6">
      <c r="B5613">
        <v>2015</v>
      </c>
      <c r="C5613" t="s">
        <v>68</v>
      </c>
      <c r="D5613" t="s">
        <v>184</v>
      </c>
      <c r="E5613" t="s">
        <v>14</v>
      </c>
      <c r="F5613">
        <v>0.68977826833724976</v>
      </c>
    </row>
    <row r="5614" spans="2:6">
      <c r="B5614">
        <v>2015</v>
      </c>
      <c r="C5614" t="s">
        <v>68</v>
      </c>
      <c r="D5614" t="s">
        <v>184</v>
      </c>
      <c r="E5614" t="s">
        <v>15</v>
      </c>
      <c r="F5614">
        <v>0.26527854800224304</v>
      </c>
    </row>
    <row r="5615" spans="2:6">
      <c r="B5615">
        <v>2016</v>
      </c>
      <c r="C5615" t="s">
        <v>68</v>
      </c>
      <c r="D5615" t="s">
        <v>184</v>
      </c>
      <c r="E5615" t="s">
        <v>7</v>
      </c>
      <c r="F5615">
        <v>4.514411449432373</v>
      </c>
    </row>
    <row r="5616" spans="2:6">
      <c r="B5616">
        <v>2016</v>
      </c>
      <c r="C5616" t="s">
        <v>68</v>
      </c>
      <c r="D5616" t="s">
        <v>184</v>
      </c>
      <c r="E5616" t="s">
        <v>8</v>
      </c>
      <c r="F5616">
        <v>8.4604377746582031</v>
      </c>
    </row>
    <row r="5617" spans="2:6">
      <c r="B5617">
        <v>2016</v>
      </c>
      <c r="C5617" t="s">
        <v>68</v>
      </c>
      <c r="D5617" t="s">
        <v>184</v>
      </c>
      <c r="E5617" t="s">
        <v>9</v>
      </c>
      <c r="F5617">
        <v>0.64730316400527954</v>
      </c>
    </row>
    <row r="5618" spans="2:6">
      <c r="B5618">
        <v>2016</v>
      </c>
      <c r="C5618" t="s">
        <v>68</v>
      </c>
      <c r="D5618" t="s">
        <v>184</v>
      </c>
      <c r="E5618" t="s">
        <v>10</v>
      </c>
      <c r="F5618">
        <v>56.400001525878906</v>
      </c>
    </row>
    <row r="5619" spans="2:6">
      <c r="B5619">
        <v>2016</v>
      </c>
      <c r="C5619" t="s">
        <v>68</v>
      </c>
      <c r="D5619" t="s">
        <v>184</v>
      </c>
      <c r="E5619" t="s">
        <v>11</v>
      </c>
      <c r="F5619">
        <v>0.75116837024688721</v>
      </c>
    </row>
    <row r="5620" spans="2:6">
      <c r="B5620">
        <v>2016</v>
      </c>
      <c r="C5620" t="s">
        <v>68</v>
      </c>
      <c r="D5620" t="s">
        <v>184</v>
      </c>
      <c r="E5620" t="s">
        <v>12</v>
      </c>
      <c r="F5620">
        <v>8.9573986828327179E-2</v>
      </c>
    </row>
    <row r="5621" spans="2:6">
      <c r="B5621">
        <v>2016</v>
      </c>
      <c r="C5621" t="s">
        <v>68</v>
      </c>
      <c r="D5621" t="s">
        <v>184</v>
      </c>
      <c r="E5621" t="s">
        <v>13</v>
      </c>
      <c r="F5621">
        <v>0.89395523071289063</v>
      </c>
    </row>
    <row r="5622" spans="2:6">
      <c r="B5622">
        <v>2016</v>
      </c>
      <c r="C5622" t="s">
        <v>68</v>
      </c>
      <c r="D5622" t="s">
        <v>184</v>
      </c>
      <c r="E5622" t="s">
        <v>14</v>
      </c>
      <c r="F5622">
        <v>0.66826391220092773</v>
      </c>
    </row>
    <row r="5623" spans="2:6">
      <c r="B5623">
        <v>2016</v>
      </c>
      <c r="C5623" t="s">
        <v>68</v>
      </c>
      <c r="D5623" t="s">
        <v>184</v>
      </c>
      <c r="E5623" t="s">
        <v>15</v>
      </c>
      <c r="F5623">
        <v>0.30490970611572266</v>
      </c>
    </row>
    <row r="5624" spans="2:6">
      <c r="B5624">
        <v>2017</v>
      </c>
      <c r="C5624" t="s">
        <v>68</v>
      </c>
      <c r="D5624" t="s">
        <v>184</v>
      </c>
      <c r="E5624" t="s">
        <v>7</v>
      </c>
      <c r="F5624">
        <v>5.4813108444213867</v>
      </c>
    </row>
    <row r="5625" spans="2:6">
      <c r="B5625">
        <v>2017</v>
      </c>
      <c r="C5625" t="s">
        <v>68</v>
      </c>
      <c r="D5625" t="s">
        <v>184</v>
      </c>
      <c r="E5625" t="s">
        <v>8</v>
      </c>
      <c r="F5625">
        <v>8.5165205001831055</v>
      </c>
    </row>
    <row r="5626" spans="2:6">
      <c r="B5626">
        <v>2017</v>
      </c>
      <c r="C5626" t="s">
        <v>68</v>
      </c>
      <c r="D5626" t="s">
        <v>184</v>
      </c>
      <c r="E5626" t="s">
        <v>9</v>
      </c>
      <c r="F5626">
        <v>0.66911107301712036</v>
      </c>
    </row>
    <row r="5627" spans="2:6">
      <c r="B5627">
        <v>2017</v>
      </c>
      <c r="C5627" t="s">
        <v>68</v>
      </c>
      <c r="D5627" t="s">
        <v>184</v>
      </c>
      <c r="E5627" t="s">
        <v>10</v>
      </c>
      <c r="F5627">
        <v>56.799999237060547</v>
      </c>
    </row>
    <row r="5628" spans="2:6">
      <c r="B5628">
        <v>2017</v>
      </c>
      <c r="C5628" t="s">
        <v>68</v>
      </c>
      <c r="D5628" t="s">
        <v>184</v>
      </c>
      <c r="E5628" t="s">
        <v>11</v>
      </c>
      <c r="F5628">
        <v>0.78304636478424072</v>
      </c>
    </row>
    <row r="5629" spans="2:6">
      <c r="B5629">
        <v>2017</v>
      </c>
      <c r="C5629" t="s">
        <v>68</v>
      </c>
      <c r="D5629" t="s">
        <v>184</v>
      </c>
      <c r="E5629" t="s">
        <v>12</v>
      </c>
      <c r="F5629">
        <v>7.8707426786422729E-2</v>
      </c>
    </row>
    <row r="5630" spans="2:6">
      <c r="B5630">
        <v>2017</v>
      </c>
      <c r="C5630" t="s">
        <v>68</v>
      </c>
      <c r="D5630" t="s">
        <v>184</v>
      </c>
      <c r="E5630" t="s">
        <v>13</v>
      </c>
      <c r="F5630">
        <v>0.83860999345779419</v>
      </c>
    </row>
    <row r="5631" spans="2:6">
      <c r="B5631">
        <v>2017</v>
      </c>
      <c r="C5631" t="s">
        <v>68</v>
      </c>
      <c r="D5631" t="s">
        <v>184</v>
      </c>
      <c r="E5631" t="s">
        <v>14</v>
      </c>
      <c r="F5631">
        <v>0.70251172780990601</v>
      </c>
    </row>
    <row r="5632" spans="2:6">
      <c r="B5632">
        <v>2017</v>
      </c>
      <c r="C5632" t="s">
        <v>68</v>
      </c>
      <c r="D5632" t="s">
        <v>184</v>
      </c>
      <c r="E5632" t="s">
        <v>15</v>
      </c>
      <c r="F5632">
        <v>0.24751894176006317</v>
      </c>
    </row>
    <row r="5633" spans="2:6">
      <c r="B5633">
        <v>2018</v>
      </c>
      <c r="C5633" t="s">
        <v>68</v>
      </c>
      <c r="D5633" t="s">
        <v>184</v>
      </c>
      <c r="E5633" t="s">
        <v>7</v>
      </c>
      <c r="F5633">
        <v>5.0036931037902832</v>
      </c>
    </row>
    <row r="5634" spans="2:6">
      <c r="B5634">
        <v>2018</v>
      </c>
      <c r="C5634" t="s">
        <v>68</v>
      </c>
      <c r="D5634" t="s">
        <v>184</v>
      </c>
      <c r="E5634" t="s">
        <v>8</v>
      </c>
      <c r="F5634">
        <v>8.5553436279296875</v>
      </c>
    </row>
    <row r="5635" spans="2:6">
      <c r="B5635">
        <v>2018</v>
      </c>
      <c r="C5635" t="s">
        <v>68</v>
      </c>
      <c r="D5635" t="s">
        <v>184</v>
      </c>
      <c r="E5635" t="s">
        <v>9</v>
      </c>
      <c r="F5635">
        <v>0.76071679592132568</v>
      </c>
    </row>
    <row r="5636" spans="2:6">
      <c r="B5636">
        <v>2018</v>
      </c>
      <c r="C5636" t="s">
        <v>68</v>
      </c>
      <c r="D5636" t="s">
        <v>184</v>
      </c>
      <c r="E5636" t="s">
        <v>10</v>
      </c>
      <c r="F5636">
        <v>57.200000762939453</v>
      </c>
    </row>
    <row r="5637" spans="2:6">
      <c r="B5637">
        <v>2018</v>
      </c>
      <c r="C5637" t="s">
        <v>68</v>
      </c>
      <c r="D5637" t="s">
        <v>184</v>
      </c>
      <c r="E5637" t="s">
        <v>11</v>
      </c>
      <c r="F5637">
        <v>0.81668049097061157</v>
      </c>
    </row>
    <row r="5638" spans="2:6">
      <c r="B5638">
        <v>2018</v>
      </c>
      <c r="C5638" t="s">
        <v>68</v>
      </c>
      <c r="D5638" t="s">
        <v>184</v>
      </c>
      <c r="E5638" t="s">
        <v>12</v>
      </c>
      <c r="F5638">
        <v>6.2164817005395889E-2</v>
      </c>
    </row>
    <row r="5639" spans="2:6">
      <c r="B5639">
        <v>2018</v>
      </c>
      <c r="C5639" t="s">
        <v>68</v>
      </c>
      <c r="D5639" t="s">
        <v>184</v>
      </c>
      <c r="E5639" t="s">
        <v>13</v>
      </c>
      <c r="F5639">
        <v>0.8463284969329834</v>
      </c>
    </row>
    <row r="5640" spans="2:6">
      <c r="B5640">
        <v>2018</v>
      </c>
      <c r="C5640" t="s">
        <v>68</v>
      </c>
      <c r="D5640" t="s">
        <v>184</v>
      </c>
      <c r="E5640" t="s">
        <v>14</v>
      </c>
      <c r="F5640">
        <v>0.74690020084381104</v>
      </c>
    </row>
    <row r="5641" spans="2:6">
      <c r="B5641">
        <v>2018</v>
      </c>
      <c r="C5641" t="s">
        <v>68</v>
      </c>
      <c r="D5641" t="s">
        <v>184</v>
      </c>
      <c r="E5641" t="s">
        <v>15</v>
      </c>
      <c r="F5641">
        <v>0.25000125169754028</v>
      </c>
    </row>
    <row r="5642" spans="2:6">
      <c r="B5642">
        <v>2019</v>
      </c>
      <c r="C5642" t="s">
        <v>68</v>
      </c>
      <c r="D5642" t="s">
        <v>184</v>
      </c>
      <c r="E5642" t="s">
        <v>7</v>
      </c>
      <c r="F5642">
        <v>4.9668097496032715</v>
      </c>
    </row>
    <row r="5643" spans="2:6">
      <c r="B5643">
        <v>2019</v>
      </c>
      <c r="C5643" t="s">
        <v>68</v>
      </c>
      <c r="D5643" t="s">
        <v>184</v>
      </c>
      <c r="E5643" t="s">
        <v>8</v>
      </c>
      <c r="F5643">
        <v>8.5964899063110352</v>
      </c>
    </row>
    <row r="5644" spans="2:6">
      <c r="B5644">
        <v>2019</v>
      </c>
      <c r="C5644" t="s">
        <v>68</v>
      </c>
      <c r="D5644" t="s">
        <v>184</v>
      </c>
      <c r="E5644" t="s">
        <v>9</v>
      </c>
      <c r="F5644">
        <v>0.74624782800674438</v>
      </c>
    </row>
    <row r="5645" spans="2:6">
      <c r="B5645">
        <v>2019</v>
      </c>
      <c r="C5645" t="s">
        <v>68</v>
      </c>
      <c r="D5645" t="s">
        <v>184</v>
      </c>
      <c r="E5645" t="s">
        <v>10</v>
      </c>
      <c r="F5645">
        <v>57.599998474121094</v>
      </c>
    </row>
    <row r="5646" spans="2:6">
      <c r="B5646">
        <v>2019</v>
      </c>
      <c r="C5646" t="s">
        <v>68</v>
      </c>
      <c r="D5646" t="s">
        <v>184</v>
      </c>
      <c r="E5646" t="s">
        <v>11</v>
      </c>
      <c r="F5646">
        <v>0.78744775056838989</v>
      </c>
    </row>
    <row r="5647" spans="2:6">
      <c r="B5647">
        <v>2019</v>
      </c>
      <c r="C5647" t="s">
        <v>68</v>
      </c>
      <c r="D5647" t="s">
        <v>184</v>
      </c>
      <c r="E5647" t="s">
        <v>12</v>
      </c>
      <c r="F5647">
        <v>0.11595781147480011</v>
      </c>
    </row>
    <row r="5648" spans="2:6">
      <c r="B5648">
        <v>2019</v>
      </c>
      <c r="C5648" t="s">
        <v>68</v>
      </c>
      <c r="D5648" t="s">
        <v>184</v>
      </c>
      <c r="E5648" t="s">
        <v>13</v>
      </c>
      <c r="F5648">
        <v>0.85666584968566895</v>
      </c>
    </row>
    <row r="5649" spans="2:6">
      <c r="B5649">
        <v>2019</v>
      </c>
      <c r="C5649" t="s">
        <v>68</v>
      </c>
      <c r="D5649" t="s">
        <v>184</v>
      </c>
      <c r="E5649" t="s">
        <v>14</v>
      </c>
      <c r="F5649">
        <v>0.68217235803604126</v>
      </c>
    </row>
    <row r="5650" spans="2:6">
      <c r="B5650">
        <v>2019</v>
      </c>
      <c r="C5650" t="s">
        <v>68</v>
      </c>
      <c r="D5650" t="s">
        <v>184</v>
      </c>
      <c r="E5650" t="s">
        <v>15</v>
      </c>
      <c r="F5650">
        <v>0.26994010806083679</v>
      </c>
    </row>
    <row r="5651" spans="2:6">
      <c r="B5651">
        <v>2020</v>
      </c>
      <c r="C5651" t="s">
        <v>68</v>
      </c>
      <c r="D5651" t="s">
        <v>184</v>
      </c>
      <c r="E5651" t="s">
        <v>7</v>
      </c>
      <c r="F5651">
        <v>5.3194832801818848</v>
      </c>
    </row>
    <row r="5652" spans="2:6">
      <c r="B5652">
        <v>2020</v>
      </c>
      <c r="C5652" t="s">
        <v>68</v>
      </c>
      <c r="D5652" t="s">
        <v>184</v>
      </c>
      <c r="E5652" t="s">
        <v>8</v>
      </c>
      <c r="F5652">
        <v>8.5896053314208984</v>
      </c>
    </row>
    <row r="5653" spans="2:6">
      <c r="B5653">
        <v>2020</v>
      </c>
      <c r="C5653" t="s">
        <v>68</v>
      </c>
      <c r="D5653" t="s">
        <v>184</v>
      </c>
      <c r="E5653" t="s">
        <v>9</v>
      </c>
      <c r="F5653">
        <v>0.6427033543586731</v>
      </c>
    </row>
    <row r="5654" spans="2:6">
      <c r="B5654">
        <v>2020</v>
      </c>
      <c r="C5654" t="s">
        <v>68</v>
      </c>
      <c r="D5654" t="s">
        <v>184</v>
      </c>
      <c r="E5654" t="s">
        <v>10</v>
      </c>
      <c r="F5654">
        <v>58</v>
      </c>
    </row>
    <row r="5655" spans="2:6">
      <c r="B5655">
        <v>2020</v>
      </c>
      <c r="C5655" t="s">
        <v>68</v>
      </c>
      <c r="D5655" t="s">
        <v>184</v>
      </c>
      <c r="E5655" t="s">
        <v>11</v>
      </c>
      <c r="F5655">
        <v>0.82372003793716431</v>
      </c>
    </row>
    <row r="5656" spans="2:6">
      <c r="B5656">
        <v>2020</v>
      </c>
      <c r="C5656" t="s">
        <v>68</v>
      </c>
      <c r="D5656" t="s">
        <v>184</v>
      </c>
      <c r="E5656" t="s">
        <v>12</v>
      </c>
      <c r="F5656">
        <v>0.19963206350803375</v>
      </c>
    </row>
    <row r="5657" spans="2:6">
      <c r="B5657">
        <v>2020</v>
      </c>
      <c r="C5657" t="s">
        <v>68</v>
      </c>
      <c r="D5657" t="s">
        <v>184</v>
      </c>
      <c r="E5657" t="s">
        <v>13</v>
      </c>
      <c r="F5657">
        <v>0.84702491760253906</v>
      </c>
    </row>
    <row r="5658" spans="2:6">
      <c r="B5658">
        <v>2020</v>
      </c>
      <c r="C5658" t="s">
        <v>68</v>
      </c>
      <c r="D5658" t="s">
        <v>184</v>
      </c>
      <c r="E5658" t="s">
        <v>14</v>
      </c>
      <c r="F5658">
        <v>0.71276593208312988</v>
      </c>
    </row>
    <row r="5659" spans="2:6">
      <c r="B5659">
        <v>2020</v>
      </c>
      <c r="C5659" t="s">
        <v>68</v>
      </c>
      <c r="D5659" t="s">
        <v>184</v>
      </c>
      <c r="E5659" t="s">
        <v>15</v>
      </c>
      <c r="F5659">
        <v>0.25272843241691589</v>
      </c>
    </row>
    <row r="5660" spans="2:6">
      <c r="B5660">
        <v>2005</v>
      </c>
      <c r="C5660" t="s">
        <v>69</v>
      </c>
      <c r="D5660" t="s">
        <v>183</v>
      </c>
      <c r="E5660" t="s">
        <v>7</v>
      </c>
      <c r="F5660">
        <v>6.006309986114502</v>
      </c>
    </row>
    <row r="5661" spans="2:6">
      <c r="B5661">
        <v>2005</v>
      </c>
      <c r="C5661" t="s">
        <v>69</v>
      </c>
      <c r="D5661" t="s">
        <v>183</v>
      </c>
      <c r="E5661" t="s">
        <v>8</v>
      </c>
      <c r="F5661">
        <v>10.461699485778809</v>
      </c>
    </row>
    <row r="5662" spans="2:6">
      <c r="B5662">
        <v>2005</v>
      </c>
      <c r="C5662" t="s">
        <v>69</v>
      </c>
      <c r="D5662" t="s">
        <v>183</v>
      </c>
      <c r="E5662" t="s">
        <v>9</v>
      </c>
      <c r="F5662">
        <v>0.83653944730758667</v>
      </c>
    </row>
    <row r="5663" spans="2:6">
      <c r="B5663">
        <v>2005</v>
      </c>
      <c r="C5663" t="s">
        <v>69</v>
      </c>
      <c r="D5663" t="s">
        <v>183</v>
      </c>
      <c r="E5663" t="s">
        <v>10</v>
      </c>
      <c r="F5663">
        <v>70.5</v>
      </c>
    </row>
    <row r="5664" spans="2:6">
      <c r="B5664">
        <v>2005</v>
      </c>
      <c r="C5664" t="s">
        <v>69</v>
      </c>
      <c r="D5664" t="s">
        <v>183</v>
      </c>
      <c r="E5664" t="s">
        <v>11</v>
      </c>
      <c r="F5664">
        <v>0.73417180776596069</v>
      </c>
    </row>
    <row r="5665" spans="2:6">
      <c r="B5665">
        <v>2005</v>
      </c>
      <c r="C5665" t="s">
        <v>69</v>
      </c>
      <c r="D5665" t="s">
        <v>183</v>
      </c>
      <c r="E5665" t="s">
        <v>13</v>
      </c>
      <c r="F5665">
        <v>0.86056309938430786</v>
      </c>
    </row>
    <row r="5666" spans="2:6">
      <c r="B5666">
        <v>2005</v>
      </c>
      <c r="C5666" t="s">
        <v>69</v>
      </c>
      <c r="D5666" t="s">
        <v>183</v>
      </c>
      <c r="E5666" t="s">
        <v>14</v>
      </c>
      <c r="F5666">
        <v>0.69199758768081665</v>
      </c>
    </row>
    <row r="5667" spans="2:6">
      <c r="B5667">
        <v>2005</v>
      </c>
      <c r="C5667" t="s">
        <v>69</v>
      </c>
      <c r="D5667" t="s">
        <v>183</v>
      </c>
      <c r="E5667" t="s">
        <v>15</v>
      </c>
      <c r="F5667">
        <v>0.26364302635192871</v>
      </c>
    </row>
    <row r="5668" spans="2:6">
      <c r="B5668">
        <v>2007</v>
      </c>
      <c r="C5668" t="s">
        <v>69</v>
      </c>
      <c r="D5668" t="s">
        <v>183</v>
      </c>
      <c r="E5668" t="s">
        <v>7</v>
      </c>
      <c r="F5668">
        <v>6.6469612121582031</v>
      </c>
    </row>
    <row r="5669" spans="2:6">
      <c r="B5669">
        <v>2007</v>
      </c>
      <c r="C5669" t="s">
        <v>69</v>
      </c>
      <c r="D5669" t="s">
        <v>183</v>
      </c>
      <c r="E5669" t="s">
        <v>8</v>
      </c>
      <c r="F5669">
        <v>10.54334545135498</v>
      </c>
    </row>
    <row r="5670" spans="2:6">
      <c r="B5670">
        <v>2007</v>
      </c>
      <c r="C5670" t="s">
        <v>69</v>
      </c>
      <c r="D5670" t="s">
        <v>183</v>
      </c>
      <c r="E5670" t="s">
        <v>9</v>
      </c>
      <c r="F5670">
        <v>0.80800265073776245</v>
      </c>
    </row>
    <row r="5671" spans="2:6">
      <c r="B5671">
        <v>2007</v>
      </c>
      <c r="C5671" t="s">
        <v>69</v>
      </c>
      <c r="D5671" t="s">
        <v>183</v>
      </c>
      <c r="E5671" t="s">
        <v>10</v>
      </c>
      <c r="F5671">
        <v>70.900001525878906</v>
      </c>
    </row>
    <row r="5672" spans="2:6">
      <c r="B5672">
        <v>2007</v>
      </c>
      <c r="C5672" t="s">
        <v>69</v>
      </c>
      <c r="D5672" t="s">
        <v>183</v>
      </c>
      <c r="E5672" t="s">
        <v>11</v>
      </c>
      <c r="F5672">
        <v>0.57530885934829712</v>
      </c>
    </row>
    <row r="5673" spans="2:6">
      <c r="B5673">
        <v>2007</v>
      </c>
      <c r="C5673" t="s">
        <v>69</v>
      </c>
      <c r="D5673" t="s">
        <v>183</v>
      </c>
      <c r="E5673" t="s">
        <v>12</v>
      </c>
      <c r="F5673">
        <v>-0.19035927951335907</v>
      </c>
    </row>
    <row r="5674" spans="2:6">
      <c r="B5674">
        <v>2007</v>
      </c>
      <c r="C5674" t="s">
        <v>69</v>
      </c>
      <c r="D5674" t="s">
        <v>183</v>
      </c>
      <c r="E5674" t="s">
        <v>13</v>
      </c>
      <c r="F5674">
        <v>0.84457093477249146</v>
      </c>
    </row>
    <row r="5675" spans="2:6">
      <c r="B5675">
        <v>2007</v>
      </c>
      <c r="C5675" t="s">
        <v>69</v>
      </c>
      <c r="D5675" t="s">
        <v>183</v>
      </c>
      <c r="E5675" t="s">
        <v>14</v>
      </c>
      <c r="F5675">
        <v>0.73792427778244019</v>
      </c>
    </row>
    <row r="5676" spans="2:6">
      <c r="B5676">
        <v>2007</v>
      </c>
      <c r="C5676" t="s">
        <v>69</v>
      </c>
      <c r="D5676" t="s">
        <v>183</v>
      </c>
      <c r="E5676" t="s">
        <v>15</v>
      </c>
      <c r="F5676">
        <v>0.2217441201210022</v>
      </c>
    </row>
    <row r="5677" spans="2:6">
      <c r="B5677">
        <v>2009</v>
      </c>
      <c r="C5677" t="s">
        <v>69</v>
      </c>
      <c r="D5677" t="s">
        <v>183</v>
      </c>
      <c r="E5677" t="s">
        <v>7</v>
      </c>
      <c r="F5677">
        <v>6.0385746955871582</v>
      </c>
    </row>
    <row r="5678" spans="2:6">
      <c r="B5678">
        <v>2009</v>
      </c>
      <c r="C5678" t="s">
        <v>69</v>
      </c>
      <c r="D5678" t="s">
        <v>183</v>
      </c>
      <c r="E5678" t="s">
        <v>8</v>
      </c>
      <c r="F5678">
        <v>10.490744590759277</v>
      </c>
    </row>
    <row r="5679" spans="2:6">
      <c r="B5679">
        <v>2009</v>
      </c>
      <c r="C5679" t="s">
        <v>69</v>
      </c>
      <c r="D5679" t="s">
        <v>183</v>
      </c>
      <c r="E5679" t="s">
        <v>9</v>
      </c>
      <c r="F5679">
        <v>0.79331761598587036</v>
      </c>
    </row>
    <row r="5680" spans="2:6">
      <c r="B5680">
        <v>2009</v>
      </c>
      <c r="C5680" t="s">
        <v>69</v>
      </c>
      <c r="D5680" t="s">
        <v>183</v>
      </c>
      <c r="E5680" t="s">
        <v>10</v>
      </c>
      <c r="F5680">
        <v>71.300003051757813</v>
      </c>
    </row>
    <row r="5681" spans="2:6">
      <c r="B5681">
        <v>2009</v>
      </c>
      <c r="C5681" t="s">
        <v>69</v>
      </c>
      <c r="D5681" t="s">
        <v>183</v>
      </c>
      <c r="E5681" t="s">
        <v>11</v>
      </c>
      <c r="F5681">
        <v>0.44310784339904785</v>
      </c>
    </row>
    <row r="5682" spans="2:6">
      <c r="B5682">
        <v>2009</v>
      </c>
      <c r="C5682" t="s">
        <v>69</v>
      </c>
      <c r="D5682" t="s">
        <v>183</v>
      </c>
      <c r="E5682" t="s">
        <v>12</v>
      </c>
      <c r="F5682">
        <v>-0.29305177927017212</v>
      </c>
    </row>
    <row r="5683" spans="2:6">
      <c r="B5683">
        <v>2009</v>
      </c>
      <c r="C5683" t="s">
        <v>69</v>
      </c>
      <c r="D5683" t="s">
        <v>183</v>
      </c>
      <c r="E5683" t="s">
        <v>13</v>
      </c>
      <c r="F5683">
        <v>0.95876830816268921</v>
      </c>
    </row>
    <row r="5684" spans="2:6">
      <c r="B5684">
        <v>2009</v>
      </c>
      <c r="C5684" t="s">
        <v>69</v>
      </c>
      <c r="D5684" t="s">
        <v>183</v>
      </c>
      <c r="E5684" t="s">
        <v>14</v>
      </c>
      <c r="F5684">
        <v>0.6485135555267334</v>
      </c>
    </row>
    <row r="5685" spans="2:6">
      <c r="B5685">
        <v>2009</v>
      </c>
      <c r="C5685" t="s">
        <v>69</v>
      </c>
      <c r="D5685" t="s">
        <v>183</v>
      </c>
      <c r="E5685" t="s">
        <v>15</v>
      </c>
      <c r="F5685">
        <v>0.25358948111534119</v>
      </c>
    </row>
    <row r="5686" spans="2:6">
      <c r="B5686">
        <v>2010</v>
      </c>
      <c r="C5686" t="s">
        <v>69</v>
      </c>
      <c r="D5686" t="s">
        <v>183</v>
      </c>
      <c r="E5686" t="s">
        <v>7</v>
      </c>
      <c r="F5686">
        <v>5.8395586013793945</v>
      </c>
    </row>
    <row r="5687" spans="2:6">
      <c r="B5687">
        <v>2010</v>
      </c>
      <c r="C5687" t="s">
        <v>69</v>
      </c>
      <c r="D5687" t="s">
        <v>183</v>
      </c>
      <c r="E5687" t="s">
        <v>8</v>
      </c>
      <c r="F5687">
        <v>10.433106422424316</v>
      </c>
    </row>
    <row r="5688" spans="2:6">
      <c r="B5688">
        <v>2010</v>
      </c>
      <c r="C5688" t="s">
        <v>69</v>
      </c>
      <c r="D5688" t="s">
        <v>183</v>
      </c>
      <c r="E5688" t="s">
        <v>9</v>
      </c>
      <c r="F5688">
        <v>0.86842244863510132</v>
      </c>
    </row>
    <row r="5689" spans="2:6">
      <c r="B5689">
        <v>2010</v>
      </c>
      <c r="C5689" t="s">
        <v>69</v>
      </c>
      <c r="D5689" t="s">
        <v>183</v>
      </c>
      <c r="E5689" t="s">
        <v>10</v>
      </c>
      <c r="F5689">
        <v>71.5</v>
      </c>
    </row>
    <row r="5690" spans="2:6">
      <c r="B5690">
        <v>2010</v>
      </c>
      <c r="C5690" t="s">
        <v>69</v>
      </c>
      <c r="D5690" t="s">
        <v>183</v>
      </c>
      <c r="E5690" t="s">
        <v>11</v>
      </c>
      <c r="F5690">
        <v>0.48411098122596741</v>
      </c>
    </row>
    <row r="5691" spans="2:6">
      <c r="B5691">
        <v>2010</v>
      </c>
      <c r="C5691" t="s">
        <v>69</v>
      </c>
      <c r="D5691" t="s">
        <v>183</v>
      </c>
      <c r="E5691" t="s">
        <v>12</v>
      </c>
      <c r="F5691">
        <v>-0.30287697911262512</v>
      </c>
    </row>
    <row r="5692" spans="2:6">
      <c r="B5692">
        <v>2010</v>
      </c>
      <c r="C5692" t="s">
        <v>69</v>
      </c>
      <c r="D5692" t="s">
        <v>183</v>
      </c>
      <c r="E5692" t="s">
        <v>13</v>
      </c>
      <c r="F5692">
        <v>0.95411384105682373</v>
      </c>
    </row>
    <row r="5693" spans="2:6">
      <c r="B5693">
        <v>2010</v>
      </c>
      <c r="C5693" t="s">
        <v>69</v>
      </c>
      <c r="D5693" t="s">
        <v>183</v>
      </c>
      <c r="E5693" t="s">
        <v>14</v>
      </c>
      <c r="F5693">
        <v>0.63394749164581299</v>
      </c>
    </row>
    <row r="5694" spans="2:6">
      <c r="B5694">
        <v>2010</v>
      </c>
      <c r="C5694" t="s">
        <v>69</v>
      </c>
      <c r="D5694" t="s">
        <v>183</v>
      </c>
      <c r="E5694" t="s">
        <v>15</v>
      </c>
      <c r="F5694">
        <v>0.29151639342308044</v>
      </c>
    </row>
    <row r="5695" spans="2:6">
      <c r="B5695">
        <v>2011</v>
      </c>
      <c r="C5695" t="s">
        <v>69</v>
      </c>
      <c r="D5695" t="s">
        <v>183</v>
      </c>
      <c r="E5695" t="s">
        <v>7</v>
      </c>
      <c r="F5695">
        <v>5.372039794921875</v>
      </c>
    </row>
    <row r="5696" spans="2:6">
      <c r="B5696">
        <v>2011</v>
      </c>
      <c r="C5696" t="s">
        <v>69</v>
      </c>
      <c r="D5696" t="s">
        <v>183</v>
      </c>
      <c r="E5696" t="s">
        <v>8</v>
      </c>
      <c r="F5696">
        <v>10.338818550109863</v>
      </c>
    </row>
    <row r="5697" spans="2:6">
      <c r="B5697">
        <v>2011</v>
      </c>
      <c r="C5697" t="s">
        <v>69</v>
      </c>
      <c r="D5697" t="s">
        <v>183</v>
      </c>
      <c r="E5697" t="s">
        <v>9</v>
      </c>
      <c r="F5697">
        <v>0.8515549898147583</v>
      </c>
    </row>
    <row r="5698" spans="2:6">
      <c r="B5698">
        <v>2011</v>
      </c>
      <c r="C5698" t="s">
        <v>69</v>
      </c>
      <c r="D5698" t="s">
        <v>183</v>
      </c>
      <c r="E5698" t="s">
        <v>10</v>
      </c>
      <c r="F5698">
        <v>71.55999755859375</v>
      </c>
    </row>
    <row r="5699" spans="2:6">
      <c r="B5699">
        <v>2011</v>
      </c>
      <c r="C5699" t="s">
        <v>69</v>
      </c>
      <c r="D5699" t="s">
        <v>183</v>
      </c>
      <c r="E5699" t="s">
        <v>11</v>
      </c>
      <c r="F5699">
        <v>0.52812594175338745</v>
      </c>
    </row>
    <row r="5700" spans="2:6">
      <c r="B5700">
        <v>2011</v>
      </c>
      <c r="C5700" t="s">
        <v>69</v>
      </c>
      <c r="D5700" t="s">
        <v>183</v>
      </c>
      <c r="E5700" t="s">
        <v>12</v>
      </c>
      <c r="F5700">
        <v>-0.31643930077552795</v>
      </c>
    </row>
    <row r="5701" spans="2:6">
      <c r="B5701">
        <v>2011</v>
      </c>
      <c r="C5701" t="s">
        <v>69</v>
      </c>
      <c r="D5701" t="s">
        <v>183</v>
      </c>
      <c r="E5701" t="s">
        <v>13</v>
      </c>
      <c r="F5701">
        <v>0.94115251302719116</v>
      </c>
    </row>
    <row r="5702" spans="2:6">
      <c r="B5702">
        <v>2011</v>
      </c>
      <c r="C5702" t="s">
        <v>69</v>
      </c>
      <c r="D5702" t="s">
        <v>183</v>
      </c>
      <c r="E5702" t="s">
        <v>14</v>
      </c>
      <c r="F5702">
        <v>0.59137189388275146</v>
      </c>
    </row>
    <row r="5703" spans="2:6">
      <c r="B5703">
        <v>2011</v>
      </c>
      <c r="C5703" t="s">
        <v>69</v>
      </c>
      <c r="D5703" t="s">
        <v>183</v>
      </c>
      <c r="E5703" t="s">
        <v>15</v>
      </c>
      <c r="F5703">
        <v>0.32279080152511597</v>
      </c>
    </row>
    <row r="5704" spans="2:6">
      <c r="B5704">
        <v>2012</v>
      </c>
      <c r="C5704" t="s">
        <v>69</v>
      </c>
      <c r="D5704" t="s">
        <v>183</v>
      </c>
      <c r="E5704" t="s">
        <v>7</v>
      </c>
      <c r="F5704">
        <v>5.0963540077209473</v>
      </c>
    </row>
    <row r="5705" spans="2:6">
      <c r="B5705">
        <v>2012</v>
      </c>
      <c r="C5705" t="s">
        <v>69</v>
      </c>
      <c r="D5705" t="s">
        <v>183</v>
      </c>
      <c r="E5705" t="s">
        <v>8</v>
      </c>
      <c r="F5705">
        <v>10.26841926574707</v>
      </c>
    </row>
    <row r="5706" spans="2:6">
      <c r="B5706">
        <v>2012</v>
      </c>
      <c r="C5706" t="s">
        <v>69</v>
      </c>
      <c r="D5706" t="s">
        <v>183</v>
      </c>
      <c r="E5706" t="s">
        <v>9</v>
      </c>
      <c r="F5706">
        <v>0.81214112043380737</v>
      </c>
    </row>
    <row r="5707" spans="2:6">
      <c r="B5707">
        <v>2012</v>
      </c>
      <c r="C5707" t="s">
        <v>69</v>
      </c>
      <c r="D5707" t="s">
        <v>183</v>
      </c>
      <c r="E5707" t="s">
        <v>10</v>
      </c>
      <c r="F5707">
        <v>71.620002746582031</v>
      </c>
    </row>
    <row r="5708" spans="2:6">
      <c r="B5708">
        <v>2012</v>
      </c>
      <c r="C5708" t="s">
        <v>69</v>
      </c>
      <c r="D5708" t="s">
        <v>183</v>
      </c>
      <c r="E5708" t="s">
        <v>11</v>
      </c>
      <c r="F5708">
        <v>0.3726104199886322</v>
      </c>
    </row>
    <row r="5709" spans="2:6">
      <c r="B5709">
        <v>2012</v>
      </c>
      <c r="C5709" t="s">
        <v>69</v>
      </c>
      <c r="D5709" t="s">
        <v>183</v>
      </c>
      <c r="E5709" t="s">
        <v>12</v>
      </c>
      <c r="F5709">
        <v>-0.30490773916244507</v>
      </c>
    </row>
    <row r="5710" spans="2:6">
      <c r="B5710">
        <v>2012</v>
      </c>
      <c r="C5710" t="s">
        <v>69</v>
      </c>
      <c r="D5710" t="s">
        <v>183</v>
      </c>
      <c r="E5710" t="s">
        <v>13</v>
      </c>
      <c r="F5710">
        <v>0.95890897512435913</v>
      </c>
    </row>
    <row r="5711" spans="2:6">
      <c r="B5711">
        <v>2012</v>
      </c>
      <c r="C5711" t="s">
        <v>69</v>
      </c>
      <c r="D5711" t="s">
        <v>183</v>
      </c>
      <c r="E5711" t="s">
        <v>14</v>
      </c>
      <c r="F5711">
        <v>0.58068758249282837</v>
      </c>
    </row>
    <row r="5712" spans="2:6">
      <c r="B5712">
        <v>2012</v>
      </c>
      <c r="C5712" t="s">
        <v>69</v>
      </c>
      <c r="D5712" t="s">
        <v>183</v>
      </c>
      <c r="E5712" t="s">
        <v>15</v>
      </c>
      <c r="F5712">
        <v>0.35150629281997681</v>
      </c>
    </row>
    <row r="5713" spans="2:6">
      <c r="B5713">
        <v>2013</v>
      </c>
      <c r="C5713" t="s">
        <v>69</v>
      </c>
      <c r="D5713" t="s">
        <v>183</v>
      </c>
      <c r="E5713" t="s">
        <v>7</v>
      </c>
      <c r="F5713">
        <v>4.7202510833740234</v>
      </c>
    </row>
    <row r="5714" spans="2:6">
      <c r="B5714">
        <v>2013</v>
      </c>
      <c r="C5714" t="s">
        <v>69</v>
      </c>
      <c r="D5714" t="s">
        <v>183</v>
      </c>
      <c r="E5714" t="s">
        <v>8</v>
      </c>
      <c r="F5714">
        <v>10.242718696594238</v>
      </c>
    </row>
    <row r="5715" spans="2:6">
      <c r="B5715">
        <v>2013</v>
      </c>
      <c r="C5715" t="s">
        <v>69</v>
      </c>
      <c r="D5715" t="s">
        <v>183</v>
      </c>
      <c r="E5715" t="s">
        <v>9</v>
      </c>
      <c r="F5715">
        <v>0.68665003776550293</v>
      </c>
    </row>
    <row r="5716" spans="2:6">
      <c r="B5716">
        <v>2013</v>
      </c>
      <c r="C5716" t="s">
        <v>69</v>
      </c>
      <c r="D5716" t="s">
        <v>183</v>
      </c>
      <c r="E5716" t="s">
        <v>10</v>
      </c>
      <c r="F5716">
        <v>71.680000305175781</v>
      </c>
    </row>
    <row r="5717" spans="2:6">
      <c r="B5717">
        <v>2013</v>
      </c>
      <c r="C5717" t="s">
        <v>69</v>
      </c>
      <c r="D5717" t="s">
        <v>183</v>
      </c>
      <c r="E5717" t="s">
        <v>11</v>
      </c>
      <c r="F5717">
        <v>0.4259665310382843</v>
      </c>
    </row>
    <row r="5718" spans="2:6">
      <c r="B5718">
        <v>2013</v>
      </c>
      <c r="C5718" t="s">
        <v>69</v>
      </c>
      <c r="D5718" t="s">
        <v>183</v>
      </c>
      <c r="E5718" t="s">
        <v>12</v>
      </c>
      <c r="F5718">
        <v>-0.27204173803329468</v>
      </c>
    </row>
    <row r="5719" spans="2:6">
      <c r="B5719">
        <v>2013</v>
      </c>
      <c r="C5719" t="s">
        <v>69</v>
      </c>
      <c r="D5719" t="s">
        <v>183</v>
      </c>
      <c r="E5719" t="s">
        <v>13</v>
      </c>
      <c r="F5719">
        <v>0.94130986928939819</v>
      </c>
    </row>
    <row r="5720" spans="2:6">
      <c r="B5720">
        <v>2013</v>
      </c>
      <c r="C5720" t="s">
        <v>69</v>
      </c>
      <c r="D5720" t="s">
        <v>183</v>
      </c>
      <c r="E5720" t="s">
        <v>14</v>
      </c>
      <c r="F5720">
        <v>0.68916237354278564</v>
      </c>
    </row>
    <row r="5721" spans="2:6">
      <c r="B5721">
        <v>2013</v>
      </c>
      <c r="C5721" t="s">
        <v>69</v>
      </c>
      <c r="D5721" t="s">
        <v>183</v>
      </c>
      <c r="E5721" t="s">
        <v>15</v>
      </c>
      <c r="F5721">
        <v>0.48218315839767456</v>
      </c>
    </row>
    <row r="5722" spans="2:6">
      <c r="B5722">
        <v>2014</v>
      </c>
      <c r="C5722" t="s">
        <v>69</v>
      </c>
      <c r="D5722" t="s">
        <v>183</v>
      </c>
      <c r="E5722" t="s">
        <v>7</v>
      </c>
      <c r="F5722">
        <v>4.7562370300292969</v>
      </c>
    </row>
    <row r="5723" spans="2:6">
      <c r="B5723">
        <v>2014</v>
      </c>
      <c r="C5723" t="s">
        <v>69</v>
      </c>
      <c r="D5723" t="s">
        <v>183</v>
      </c>
      <c r="E5723" t="s">
        <v>8</v>
      </c>
      <c r="F5723">
        <v>10.25675106048584</v>
      </c>
    </row>
    <row r="5724" spans="2:6">
      <c r="B5724">
        <v>2014</v>
      </c>
      <c r="C5724" t="s">
        <v>69</v>
      </c>
      <c r="D5724" t="s">
        <v>183</v>
      </c>
      <c r="E5724" t="s">
        <v>9</v>
      </c>
      <c r="F5724">
        <v>0.83233320713043213</v>
      </c>
    </row>
    <row r="5725" spans="2:6">
      <c r="B5725">
        <v>2014</v>
      </c>
      <c r="C5725" t="s">
        <v>69</v>
      </c>
      <c r="D5725" t="s">
        <v>183</v>
      </c>
      <c r="E5725" t="s">
        <v>10</v>
      </c>
      <c r="F5725">
        <v>71.739997863769531</v>
      </c>
    </row>
    <row r="5726" spans="2:6">
      <c r="B5726">
        <v>2014</v>
      </c>
      <c r="C5726" t="s">
        <v>69</v>
      </c>
      <c r="D5726" t="s">
        <v>183</v>
      </c>
      <c r="E5726" t="s">
        <v>11</v>
      </c>
      <c r="F5726">
        <v>0.36915633082389832</v>
      </c>
    </row>
    <row r="5727" spans="2:6">
      <c r="B5727">
        <v>2014</v>
      </c>
      <c r="C5727" t="s">
        <v>69</v>
      </c>
      <c r="D5727" t="s">
        <v>183</v>
      </c>
      <c r="E5727" t="s">
        <v>12</v>
      </c>
      <c r="F5727">
        <v>-0.28792953491210938</v>
      </c>
    </row>
    <row r="5728" spans="2:6">
      <c r="B5728">
        <v>2014</v>
      </c>
      <c r="C5728" t="s">
        <v>69</v>
      </c>
      <c r="D5728" t="s">
        <v>183</v>
      </c>
      <c r="E5728" t="s">
        <v>13</v>
      </c>
      <c r="F5728">
        <v>0.9302138090133667</v>
      </c>
    </row>
    <row r="5729" spans="2:6">
      <c r="B5729">
        <v>2014</v>
      </c>
      <c r="C5729" t="s">
        <v>69</v>
      </c>
      <c r="D5729" t="s">
        <v>183</v>
      </c>
      <c r="E5729" t="s">
        <v>14</v>
      </c>
      <c r="F5729">
        <v>0.69467592239379883</v>
      </c>
    </row>
    <row r="5730" spans="2:6">
      <c r="B5730">
        <v>2014</v>
      </c>
      <c r="C5730" t="s">
        <v>69</v>
      </c>
      <c r="D5730" t="s">
        <v>183</v>
      </c>
      <c r="E5730" t="s">
        <v>15</v>
      </c>
      <c r="F5730">
        <v>0.38543331623077393</v>
      </c>
    </row>
    <row r="5731" spans="2:6">
      <c r="B5731">
        <v>2015</v>
      </c>
      <c r="C5731" t="s">
        <v>69</v>
      </c>
      <c r="D5731" t="s">
        <v>183</v>
      </c>
      <c r="E5731" t="s">
        <v>7</v>
      </c>
      <c r="F5731">
        <v>5.6225190162658691</v>
      </c>
    </row>
    <row r="5732" spans="2:6">
      <c r="B5732">
        <v>2015</v>
      </c>
      <c r="C5732" t="s">
        <v>69</v>
      </c>
      <c r="D5732" t="s">
        <v>183</v>
      </c>
      <c r="E5732" t="s">
        <v>8</v>
      </c>
      <c r="F5732">
        <v>10.258951187133789</v>
      </c>
    </row>
    <row r="5733" spans="2:6">
      <c r="B5733">
        <v>2015</v>
      </c>
      <c r="C5733" t="s">
        <v>69</v>
      </c>
      <c r="D5733" t="s">
        <v>183</v>
      </c>
      <c r="E5733" t="s">
        <v>9</v>
      </c>
      <c r="F5733">
        <v>0.83482468128204346</v>
      </c>
    </row>
    <row r="5734" spans="2:6">
      <c r="B5734">
        <v>2015</v>
      </c>
      <c r="C5734" t="s">
        <v>69</v>
      </c>
      <c r="D5734" t="s">
        <v>183</v>
      </c>
      <c r="E5734" t="s">
        <v>10</v>
      </c>
      <c r="F5734">
        <v>71.800003051757813</v>
      </c>
    </row>
    <row r="5735" spans="2:6">
      <c r="B5735">
        <v>2015</v>
      </c>
      <c r="C5735" t="s">
        <v>69</v>
      </c>
      <c r="D5735" t="s">
        <v>183</v>
      </c>
      <c r="E5735" t="s">
        <v>11</v>
      </c>
      <c r="F5735">
        <v>0.53173631429672241</v>
      </c>
    </row>
    <row r="5736" spans="2:6">
      <c r="B5736">
        <v>2015</v>
      </c>
      <c r="C5736" t="s">
        <v>69</v>
      </c>
      <c r="D5736" t="s">
        <v>183</v>
      </c>
      <c r="E5736" t="s">
        <v>12</v>
      </c>
      <c r="F5736">
        <v>-0.27197811007499695</v>
      </c>
    </row>
    <row r="5737" spans="2:6">
      <c r="B5737">
        <v>2015</v>
      </c>
      <c r="C5737" t="s">
        <v>69</v>
      </c>
      <c r="D5737" t="s">
        <v>183</v>
      </c>
      <c r="E5737" t="s">
        <v>13</v>
      </c>
      <c r="F5737">
        <v>0.82395964860916138</v>
      </c>
    </row>
    <row r="5738" spans="2:6">
      <c r="B5738">
        <v>2015</v>
      </c>
      <c r="C5738" t="s">
        <v>69</v>
      </c>
      <c r="D5738" t="s">
        <v>183</v>
      </c>
      <c r="E5738" t="s">
        <v>14</v>
      </c>
      <c r="F5738">
        <v>0.73975121974945068</v>
      </c>
    </row>
    <row r="5739" spans="2:6">
      <c r="B5739">
        <v>2015</v>
      </c>
      <c r="C5739" t="s">
        <v>69</v>
      </c>
      <c r="D5739" t="s">
        <v>183</v>
      </c>
      <c r="E5739" t="s">
        <v>15</v>
      </c>
      <c r="F5739">
        <v>0.2774125337600708</v>
      </c>
    </row>
    <row r="5740" spans="2:6">
      <c r="B5740">
        <v>2016</v>
      </c>
      <c r="C5740" t="s">
        <v>69</v>
      </c>
      <c r="D5740" t="s">
        <v>183</v>
      </c>
      <c r="E5740" t="s">
        <v>7</v>
      </c>
      <c r="F5740">
        <v>5.302619457244873</v>
      </c>
    </row>
    <row r="5741" spans="2:6">
      <c r="B5741">
        <v>2016</v>
      </c>
      <c r="C5741" t="s">
        <v>69</v>
      </c>
      <c r="D5741" t="s">
        <v>183</v>
      </c>
      <c r="E5741" t="s">
        <v>8</v>
      </c>
      <c r="F5741">
        <v>10.261198997497559</v>
      </c>
    </row>
    <row r="5742" spans="2:6">
      <c r="B5742">
        <v>2016</v>
      </c>
      <c r="C5742" t="s">
        <v>69</v>
      </c>
      <c r="D5742" t="s">
        <v>183</v>
      </c>
      <c r="E5742" t="s">
        <v>9</v>
      </c>
      <c r="F5742">
        <v>0.80260586738586426</v>
      </c>
    </row>
    <row r="5743" spans="2:6">
      <c r="B5743">
        <v>2016</v>
      </c>
      <c r="C5743" t="s">
        <v>69</v>
      </c>
      <c r="D5743" t="s">
        <v>183</v>
      </c>
      <c r="E5743" t="s">
        <v>10</v>
      </c>
      <c r="F5743">
        <v>72</v>
      </c>
    </row>
    <row r="5744" spans="2:6">
      <c r="B5744">
        <v>2016</v>
      </c>
      <c r="C5744" t="s">
        <v>69</v>
      </c>
      <c r="D5744" t="s">
        <v>183</v>
      </c>
      <c r="E5744" t="s">
        <v>11</v>
      </c>
      <c r="F5744">
        <v>0.48161685466766357</v>
      </c>
    </row>
    <row r="5745" spans="2:6">
      <c r="B5745">
        <v>2016</v>
      </c>
      <c r="C5745" t="s">
        <v>69</v>
      </c>
      <c r="D5745" t="s">
        <v>183</v>
      </c>
      <c r="E5745" t="s">
        <v>12</v>
      </c>
      <c r="F5745">
        <v>-0.26015955209732056</v>
      </c>
    </row>
    <row r="5746" spans="2:6">
      <c r="B5746">
        <v>2016</v>
      </c>
      <c r="C5746" t="s">
        <v>69</v>
      </c>
      <c r="D5746" t="s">
        <v>183</v>
      </c>
      <c r="E5746" t="s">
        <v>13</v>
      </c>
      <c r="F5746">
        <v>0.89847081899642944</v>
      </c>
    </row>
    <row r="5747" spans="2:6">
      <c r="B5747">
        <v>2016</v>
      </c>
      <c r="C5747" t="s">
        <v>69</v>
      </c>
      <c r="D5747" t="s">
        <v>183</v>
      </c>
      <c r="E5747" t="s">
        <v>14</v>
      </c>
      <c r="F5747">
        <v>0.7005043625831604</v>
      </c>
    </row>
    <row r="5748" spans="2:6">
      <c r="B5748">
        <v>2016</v>
      </c>
      <c r="C5748" t="s">
        <v>69</v>
      </c>
      <c r="D5748" t="s">
        <v>183</v>
      </c>
      <c r="E5748" t="s">
        <v>15</v>
      </c>
      <c r="F5748">
        <v>0.33620750904083252</v>
      </c>
    </row>
    <row r="5749" spans="2:6">
      <c r="B5749">
        <v>2017</v>
      </c>
      <c r="C5749" t="s">
        <v>69</v>
      </c>
      <c r="D5749" t="s">
        <v>183</v>
      </c>
      <c r="E5749" t="s">
        <v>7</v>
      </c>
      <c r="F5749">
        <v>5.1482415199279785</v>
      </c>
    </row>
    <row r="5750" spans="2:6">
      <c r="B5750">
        <v>2017</v>
      </c>
      <c r="C5750" t="s">
        <v>69</v>
      </c>
      <c r="D5750" t="s">
        <v>183</v>
      </c>
      <c r="E5750" t="s">
        <v>8</v>
      </c>
      <c r="F5750">
        <v>10.278116226196289</v>
      </c>
    </row>
    <row r="5751" spans="2:6">
      <c r="B5751">
        <v>2017</v>
      </c>
      <c r="C5751" t="s">
        <v>69</v>
      </c>
      <c r="D5751" t="s">
        <v>183</v>
      </c>
      <c r="E5751" t="s">
        <v>9</v>
      </c>
      <c r="F5751">
        <v>0.75289952754974365</v>
      </c>
    </row>
    <row r="5752" spans="2:6">
      <c r="B5752">
        <v>2017</v>
      </c>
      <c r="C5752" t="s">
        <v>69</v>
      </c>
      <c r="D5752" t="s">
        <v>183</v>
      </c>
      <c r="E5752" t="s">
        <v>10</v>
      </c>
      <c r="F5752">
        <v>72.199996948242188</v>
      </c>
    </row>
    <row r="5753" spans="2:6">
      <c r="B5753">
        <v>2017</v>
      </c>
      <c r="C5753" t="s">
        <v>69</v>
      </c>
      <c r="D5753" t="s">
        <v>183</v>
      </c>
      <c r="E5753" t="s">
        <v>11</v>
      </c>
      <c r="F5753">
        <v>0.43830001354217529</v>
      </c>
    </row>
    <row r="5754" spans="2:6">
      <c r="B5754">
        <v>2017</v>
      </c>
      <c r="C5754" t="s">
        <v>69</v>
      </c>
      <c r="D5754" t="s">
        <v>183</v>
      </c>
      <c r="E5754" t="s">
        <v>12</v>
      </c>
      <c r="F5754">
        <v>-0.29005348682403564</v>
      </c>
    </row>
    <row r="5755" spans="2:6">
      <c r="B5755">
        <v>2017</v>
      </c>
      <c r="C5755" t="s">
        <v>69</v>
      </c>
      <c r="D5755" t="s">
        <v>183</v>
      </c>
      <c r="E5755" t="s">
        <v>13</v>
      </c>
      <c r="F5755">
        <v>0.87223947048187256</v>
      </c>
    </row>
    <row r="5756" spans="2:6">
      <c r="B5756">
        <v>2017</v>
      </c>
      <c r="C5756" t="s">
        <v>69</v>
      </c>
      <c r="D5756" t="s">
        <v>183</v>
      </c>
      <c r="E5756" t="s">
        <v>14</v>
      </c>
      <c r="F5756">
        <v>0.60293900966644287</v>
      </c>
    </row>
    <row r="5757" spans="2:6">
      <c r="B5757">
        <v>2017</v>
      </c>
      <c r="C5757" t="s">
        <v>69</v>
      </c>
      <c r="D5757" t="s">
        <v>183</v>
      </c>
      <c r="E5757" t="s">
        <v>15</v>
      </c>
      <c r="F5757">
        <v>0.3328307569026947</v>
      </c>
    </row>
    <row r="5758" spans="2:6">
      <c r="B5758">
        <v>2018</v>
      </c>
      <c r="C5758" t="s">
        <v>69</v>
      </c>
      <c r="D5758" t="s">
        <v>183</v>
      </c>
      <c r="E5758" t="s">
        <v>7</v>
      </c>
      <c r="F5758">
        <v>5.4092893600463867</v>
      </c>
    </row>
    <row r="5759" spans="2:6">
      <c r="B5759">
        <v>2018</v>
      </c>
      <c r="C5759" t="s">
        <v>69</v>
      </c>
      <c r="D5759" t="s">
        <v>183</v>
      </c>
      <c r="E5759" t="s">
        <v>8</v>
      </c>
      <c r="F5759">
        <v>10.299304008483887</v>
      </c>
    </row>
    <row r="5760" spans="2:6">
      <c r="B5760">
        <v>2018</v>
      </c>
      <c r="C5760" t="s">
        <v>69</v>
      </c>
      <c r="D5760" t="s">
        <v>183</v>
      </c>
      <c r="E5760" t="s">
        <v>9</v>
      </c>
      <c r="F5760">
        <v>0.79350078105926514</v>
      </c>
    </row>
    <row r="5761" spans="2:6">
      <c r="B5761">
        <v>2018</v>
      </c>
      <c r="C5761" t="s">
        <v>69</v>
      </c>
      <c r="D5761" t="s">
        <v>183</v>
      </c>
      <c r="E5761" t="s">
        <v>10</v>
      </c>
      <c r="F5761">
        <v>72.400001525878906</v>
      </c>
    </row>
    <row r="5762" spans="2:6">
      <c r="B5762">
        <v>2018</v>
      </c>
      <c r="C5762" t="s">
        <v>69</v>
      </c>
      <c r="D5762" t="s">
        <v>183</v>
      </c>
      <c r="E5762" t="s">
        <v>11</v>
      </c>
      <c r="F5762">
        <v>0.56445568799972534</v>
      </c>
    </row>
    <row r="5763" spans="2:6">
      <c r="B5763">
        <v>2018</v>
      </c>
      <c r="C5763" t="s">
        <v>69</v>
      </c>
      <c r="D5763" t="s">
        <v>183</v>
      </c>
      <c r="E5763" t="s">
        <v>12</v>
      </c>
      <c r="F5763">
        <v>-0.33504024147987366</v>
      </c>
    </row>
    <row r="5764" spans="2:6">
      <c r="B5764">
        <v>2018</v>
      </c>
      <c r="C5764" t="s">
        <v>69</v>
      </c>
      <c r="D5764" t="s">
        <v>183</v>
      </c>
      <c r="E5764" t="s">
        <v>13</v>
      </c>
      <c r="F5764">
        <v>0.8603023886680603</v>
      </c>
    </row>
    <row r="5765" spans="2:6">
      <c r="B5765">
        <v>2018</v>
      </c>
      <c r="C5765" t="s">
        <v>69</v>
      </c>
      <c r="D5765" t="s">
        <v>183</v>
      </c>
      <c r="E5765" t="s">
        <v>14</v>
      </c>
      <c r="F5765">
        <v>0.6656990647315979</v>
      </c>
    </row>
    <row r="5766" spans="2:6">
      <c r="B5766">
        <v>2018</v>
      </c>
      <c r="C5766" t="s">
        <v>69</v>
      </c>
      <c r="D5766" t="s">
        <v>183</v>
      </c>
      <c r="E5766" t="s">
        <v>15</v>
      </c>
      <c r="F5766">
        <v>0.2550065815448761</v>
      </c>
    </row>
    <row r="5767" spans="2:6">
      <c r="B5767">
        <v>2019</v>
      </c>
      <c r="C5767" t="s">
        <v>69</v>
      </c>
      <c r="D5767" t="s">
        <v>183</v>
      </c>
      <c r="E5767" t="s">
        <v>7</v>
      </c>
      <c r="F5767">
        <v>5.9521574974060059</v>
      </c>
    </row>
    <row r="5768" spans="2:6">
      <c r="B5768">
        <v>2019</v>
      </c>
      <c r="C5768" t="s">
        <v>69</v>
      </c>
      <c r="D5768" t="s">
        <v>183</v>
      </c>
      <c r="E5768" t="s">
        <v>8</v>
      </c>
      <c r="F5768">
        <v>10.31938362121582</v>
      </c>
    </row>
    <row r="5769" spans="2:6">
      <c r="B5769">
        <v>2019</v>
      </c>
      <c r="C5769" t="s">
        <v>69</v>
      </c>
      <c r="D5769" t="s">
        <v>183</v>
      </c>
      <c r="E5769" t="s">
        <v>9</v>
      </c>
      <c r="F5769">
        <v>0.89080953598022461</v>
      </c>
    </row>
    <row r="5770" spans="2:6">
      <c r="B5770">
        <v>2019</v>
      </c>
      <c r="C5770" t="s">
        <v>69</v>
      </c>
      <c r="D5770" t="s">
        <v>183</v>
      </c>
      <c r="E5770" t="s">
        <v>10</v>
      </c>
      <c r="F5770">
        <v>72.599998474121094</v>
      </c>
    </row>
    <row r="5771" spans="2:6">
      <c r="B5771">
        <v>2019</v>
      </c>
      <c r="C5771" t="s">
        <v>69</v>
      </c>
      <c r="D5771" t="s">
        <v>183</v>
      </c>
      <c r="E5771" t="s">
        <v>11</v>
      </c>
      <c r="F5771">
        <v>0.61358410120010376</v>
      </c>
    </row>
    <row r="5772" spans="2:6">
      <c r="B5772">
        <v>2019</v>
      </c>
      <c r="C5772" t="s">
        <v>69</v>
      </c>
      <c r="D5772" t="s">
        <v>183</v>
      </c>
      <c r="E5772" t="s">
        <v>12</v>
      </c>
      <c r="F5772">
        <v>-0.28867843747138977</v>
      </c>
    </row>
    <row r="5773" spans="2:6">
      <c r="B5773">
        <v>2019</v>
      </c>
      <c r="C5773" t="s">
        <v>69</v>
      </c>
      <c r="D5773" t="s">
        <v>183</v>
      </c>
      <c r="E5773" t="s">
        <v>13</v>
      </c>
      <c r="F5773">
        <v>0.8480038046836853</v>
      </c>
    </row>
    <row r="5774" spans="2:6">
      <c r="B5774">
        <v>2019</v>
      </c>
      <c r="C5774" t="s">
        <v>69</v>
      </c>
      <c r="D5774" t="s">
        <v>183</v>
      </c>
      <c r="E5774" t="s">
        <v>14</v>
      </c>
      <c r="F5774">
        <v>0.66751378774642944</v>
      </c>
    </row>
    <row r="5775" spans="2:6">
      <c r="B5775">
        <v>2019</v>
      </c>
      <c r="C5775" t="s">
        <v>69</v>
      </c>
      <c r="D5775" t="s">
        <v>183</v>
      </c>
      <c r="E5775" t="s">
        <v>15</v>
      </c>
      <c r="F5775">
        <v>0.23594646155834198</v>
      </c>
    </row>
    <row r="5776" spans="2:6">
      <c r="B5776">
        <v>2020</v>
      </c>
      <c r="C5776" t="s">
        <v>69</v>
      </c>
      <c r="D5776" t="s">
        <v>183</v>
      </c>
      <c r="E5776" t="s">
        <v>7</v>
      </c>
      <c r="F5776">
        <v>5.7876157760620117</v>
      </c>
    </row>
    <row r="5777" spans="2:6">
      <c r="B5777">
        <v>2020</v>
      </c>
      <c r="C5777" t="s">
        <v>69</v>
      </c>
      <c r="D5777" t="s">
        <v>183</v>
      </c>
      <c r="E5777" t="s">
        <v>8</v>
      </c>
      <c r="F5777">
        <v>10.214579582214355</v>
      </c>
    </row>
    <row r="5778" spans="2:6">
      <c r="B5778">
        <v>2020</v>
      </c>
      <c r="C5778" t="s">
        <v>69</v>
      </c>
      <c r="D5778" t="s">
        <v>183</v>
      </c>
      <c r="E5778" t="s">
        <v>9</v>
      </c>
      <c r="F5778">
        <v>0.77853655815124512</v>
      </c>
    </row>
    <row r="5779" spans="2:6">
      <c r="B5779">
        <v>2020</v>
      </c>
      <c r="C5779" t="s">
        <v>69</v>
      </c>
      <c r="D5779" t="s">
        <v>183</v>
      </c>
      <c r="E5779" t="s">
        <v>10</v>
      </c>
      <c r="F5779">
        <v>72.800003051757813</v>
      </c>
    </row>
    <row r="5780" spans="2:6">
      <c r="B5780">
        <v>2020</v>
      </c>
      <c r="C5780" t="s">
        <v>69</v>
      </c>
      <c r="D5780" t="s">
        <v>183</v>
      </c>
      <c r="E5780" t="s">
        <v>11</v>
      </c>
      <c r="F5780">
        <v>0.56461364030838013</v>
      </c>
    </row>
    <row r="5781" spans="2:6">
      <c r="B5781">
        <v>2020</v>
      </c>
      <c r="C5781" t="s">
        <v>69</v>
      </c>
      <c r="D5781" t="s">
        <v>183</v>
      </c>
      <c r="E5781" t="s">
        <v>12</v>
      </c>
      <c r="F5781">
        <v>-0.2408064603805542</v>
      </c>
    </row>
    <row r="5782" spans="2:6">
      <c r="B5782">
        <v>2020</v>
      </c>
      <c r="C5782" t="s">
        <v>69</v>
      </c>
      <c r="D5782" t="s">
        <v>183</v>
      </c>
      <c r="E5782" t="s">
        <v>13</v>
      </c>
      <c r="F5782">
        <v>0.76432454586029053</v>
      </c>
    </row>
    <row r="5783" spans="2:6">
      <c r="B5783">
        <v>2020</v>
      </c>
      <c r="C5783" t="s">
        <v>69</v>
      </c>
      <c r="D5783" t="s">
        <v>183</v>
      </c>
      <c r="E5783" t="s">
        <v>14</v>
      </c>
      <c r="F5783">
        <v>0.68445783853530884</v>
      </c>
    </row>
    <row r="5784" spans="2:6">
      <c r="B5784">
        <v>2020</v>
      </c>
      <c r="C5784" t="s">
        <v>69</v>
      </c>
      <c r="D5784" t="s">
        <v>183</v>
      </c>
      <c r="E5784" t="s">
        <v>15</v>
      </c>
      <c r="F5784">
        <v>0.32168421149253845</v>
      </c>
    </row>
    <row r="5785" spans="2:6">
      <c r="B5785">
        <v>2006</v>
      </c>
      <c r="C5785" t="s">
        <v>70</v>
      </c>
      <c r="D5785" t="s">
        <v>185</v>
      </c>
      <c r="E5785" t="s">
        <v>7</v>
      </c>
      <c r="F5785">
        <v>5.9014291763305664</v>
      </c>
    </row>
    <row r="5786" spans="2:6">
      <c r="B5786">
        <v>2006</v>
      </c>
      <c r="C5786" t="s">
        <v>70</v>
      </c>
      <c r="D5786" t="s">
        <v>185</v>
      </c>
      <c r="E5786" t="s">
        <v>8</v>
      </c>
      <c r="F5786">
        <v>8.8498058319091797</v>
      </c>
    </row>
    <row r="5787" spans="2:6">
      <c r="B5787">
        <v>2006</v>
      </c>
      <c r="C5787" t="s">
        <v>70</v>
      </c>
      <c r="D5787" t="s">
        <v>185</v>
      </c>
      <c r="E5787" t="s">
        <v>9</v>
      </c>
      <c r="F5787">
        <v>0.83044159412384033</v>
      </c>
    </row>
    <row r="5788" spans="2:6">
      <c r="B5788">
        <v>2006</v>
      </c>
      <c r="C5788" t="s">
        <v>70</v>
      </c>
      <c r="D5788" t="s">
        <v>185</v>
      </c>
      <c r="E5788" t="s">
        <v>10</v>
      </c>
      <c r="F5788">
        <v>60.740001678466797</v>
      </c>
    </row>
    <row r="5789" spans="2:6">
      <c r="B5789">
        <v>2006</v>
      </c>
      <c r="C5789" t="s">
        <v>70</v>
      </c>
      <c r="D5789" t="s">
        <v>185</v>
      </c>
      <c r="E5789" t="s">
        <v>11</v>
      </c>
      <c r="F5789">
        <v>0.66338169574737549</v>
      </c>
    </row>
    <row r="5790" spans="2:6">
      <c r="B5790">
        <v>2006</v>
      </c>
      <c r="C5790" t="s">
        <v>70</v>
      </c>
      <c r="D5790" t="s">
        <v>185</v>
      </c>
      <c r="E5790" t="s">
        <v>12</v>
      </c>
      <c r="F5790">
        <v>0.17222230136394501</v>
      </c>
    </row>
    <row r="5791" spans="2:6">
      <c r="B5791">
        <v>2006</v>
      </c>
      <c r="C5791" t="s">
        <v>70</v>
      </c>
      <c r="D5791" t="s">
        <v>185</v>
      </c>
      <c r="E5791" t="s">
        <v>13</v>
      </c>
      <c r="F5791">
        <v>0.70609557628631592</v>
      </c>
    </row>
    <row r="5792" spans="2:6">
      <c r="B5792">
        <v>2006</v>
      </c>
      <c r="C5792" t="s">
        <v>70</v>
      </c>
      <c r="D5792" t="s">
        <v>185</v>
      </c>
      <c r="E5792" t="s">
        <v>14</v>
      </c>
      <c r="F5792">
        <v>0.818015456199646</v>
      </c>
    </row>
    <row r="5793" spans="2:6">
      <c r="B5793">
        <v>2006</v>
      </c>
      <c r="C5793" t="s">
        <v>70</v>
      </c>
      <c r="D5793" t="s">
        <v>185</v>
      </c>
      <c r="E5793" t="s">
        <v>15</v>
      </c>
      <c r="F5793">
        <v>0.28708189725875854</v>
      </c>
    </row>
    <row r="5794" spans="2:6">
      <c r="B5794">
        <v>2007</v>
      </c>
      <c r="C5794" t="s">
        <v>70</v>
      </c>
      <c r="D5794" t="s">
        <v>185</v>
      </c>
      <c r="E5794" t="s">
        <v>7</v>
      </c>
      <c r="F5794">
        <v>6.3295812606811523</v>
      </c>
    </row>
    <row r="5795" spans="2:6">
      <c r="B5795">
        <v>2007</v>
      </c>
      <c r="C5795" t="s">
        <v>70</v>
      </c>
      <c r="D5795" t="s">
        <v>185</v>
      </c>
      <c r="E5795" t="s">
        <v>8</v>
      </c>
      <c r="F5795">
        <v>8.891179084777832</v>
      </c>
    </row>
    <row r="5796" spans="2:6">
      <c r="B5796">
        <v>2007</v>
      </c>
      <c r="C5796" t="s">
        <v>70</v>
      </c>
      <c r="D5796" t="s">
        <v>185</v>
      </c>
      <c r="E5796" t="s">
        <v>9</v>
      </c>
      <c r="F5796">
        <v>0.86639708280563354</v>
      </c>
    </row>
    <row r="5797" spans="2:6">
      <c r="B5797">
        <v>2007</v>
      </c>
      <c r="C5797" t="s">
        <v>70</v>
      </c>
      <c r="D5797" t="s">
        <v>185</v>
      </c>
      <c r="E5797" t="s">
        <v>10</v>
      </c>
      <c r="F5797">
        <v>61.080001831054688</v>
      </c>
    </row>
    <row r="5798" spans="2:6">
      <c r="B5798">
        <v>2007</v>
      </c>
      <c r="C5798" t="s">
        <v>70</v>
      </c>
      <c r="D5798" t="s">
        <v>185</v>
      </c>
      <c r="E5798" t="s">
        <v>11</v>
      </c>
      <c r="F5798">
        <v>0.6275869607925415</v>
      </c>
    </row>
    <row r="5799" spans="2:6">
      <c r="B5799">
        <v>2007</v>
      </c>
      <c r="C5799" t="s">
        <v>70</v>
      </c>
      <c r="D5799" t="s">
        <v>185</v>
      </c>
      <c r="E5799" t="s">
        <v>12</v>
      </c>
      <c r="F5799">
        <v>0.13580827414989471</v>
      </c>
    </row>
    <row r="5800" spans="2:6">
      <c r="B5800">
        <v>2007</v>
      </c>
      <c r="C5800" t="s">
        <v>70</v>
      </c>
      <c r="D5800" t="s">
        <v>185</v>
      </c>
      <c r="E5800" t="s">
        <v>13</v>
      </c>
      <c r="F5800">
        <v>0.80974262952804565</v>
      </c>
    </row>
    <row r="5801" spans="2:6">
      <c r="B5801">
        <v>2007</v>
      </c>
      <c r="C5801" t="s">
        <v>70</v>
      </c>
      <c r="D5801" t="s">
        <v>185</v>
      </c>
      <c r="E5801" t="s">
        <v>14</v>
      </c>
      <c r="F5801">
        <v>0.8190464973449707</v>
      </c>
    </row>
    <row r="5802" spans="2:6">
      <c r="B5802">
        <v>2007</v>
      </c>
      <c r="C5802" t="s">
        <v>70</v>
      </c>
      <c r="D5802" t="s">
        <v>185</v>
      </c>
      <c r="E5802" t="s">
        <v>15</v>
      </c>
      <c r="F5802">
        <v>0.22437973320484161</v>
      </c>
    </row>
    <row r="5803" spans="2:6">
      <c r="B5803">
        <v>2008</v>
      </c>
      <c r="C5803" t="s">
        <v>70</v>
      </c>
      <c r="D5803" t="s">
        <v>185</v>
      </c>
      <c r="E5803" t="s">
        <v>7</v>
      </c>
      <c r="F5803">
        <v>6.414494514465332</v>
      </c>
    </row>
    <row r="5804" spans="2:6">
      <c r="B5804">
        <v>2008</v>
      </c>
      <c r="C5804" t="s">
        <v>70</v>
      </c>
      <c r="D5804" t="s">
        <v>185</v>
      </c>
      <c r="E5804" t="s">
        <v>8</v>
      </c>
      <c r="F5804">
        <v>8.9041891098022461</v>
      </c>
    </row>
    <row r="5805" spans="2:6">
      <c r="B5805">
        <v>2008</v>
      </c>
      <c r="C5805" t="s">
        <v>70</v>
      </c>
      <c r="D5805" t="s">
        <v>185</v>
      </c>
      <c r="E5805" t="s">
        <v>9</v>
      </c>
      <c r="F5805">
        <v>0.86560547351837158</v>
      </c>
    </row>
    <row r="5806" spans="2:6">
      <c r="B5806">
        <v>2008</v>
      </c>
      <c r="C5806" t="s">
        <v>70</v>
      </c>
      <c r="D5806" t="s">
        <v>185</v>
      </c>
      <c r="E5806" t="s">
        <v>10</v>
      </c>
      <c r="F5806">
        <v>61.419998168945313</v>
      </c>
    </row>
    <row r="5807" spans="2:6">
      <c r="B5807">
        <v>2008</v>
      </c>
      <c r="C5807" t="s">
        <v>70</v>
      </c>
      <c r="D5807" t="s">
        <v>185</v>
      </c>
      <c r="E5807" t="s">
        <v>11</v>
      </c>
      <c r="F5807">
        <v>0.63015174865722656</v>
      </c>
    </row>
    <row r="5808" spans="2:6">
      <c r="B5808">
        <v>2008</v>
      </c>
      <c r="C5808" t="s">
        <v>70</v>
      </c>
      <c r="D5808" t="s">
        <v>185</v>
      </c>
      <c r="E5808" t="s">
        <v>12</v>
      </c>
      <c r="F5808">
        <v>0.205519899725914</v>
      </c>
    </row>
    <row r="5809" spans="2:6">
      <c r="B5809">
        <v>2008</v>
      </c>
      <c r="C5809" t="s">
        <v>70</v>
      </c>
      <c r="D5809" t="s">
        <v>185</v>
      </c>
      <c r="E5809" t="s">
        <v>13</v>
      </c>
      <c r="F5809">
        <v>0.79628545045852661</v>
      </c>
    </row>
    <row r="5810" spans="2:6">
      <c r="B5810">
        <v>2008</v>
      </c>
      <c r="C5810" t="s">
        <v>70</v>
      </c>
      <c r="D5810" t="s">
        <v>185</v>
      </c>
      <c r="E5810" t="s">
        <v>14</v>
      </c>
      <c r="F5810">
        <v>0.83436006307601929</v>
      </c>
    </row>
    <row r="5811" spans="2:6">
      <c r="B5811">
        <v>2008</v>
      </c>
      <c r="C5811" t="s">
        <v>70</v>
      </c>
      <c r="D5811" t="s">
        <v>185</v>
      </c>
      <c r="E5811" t="s">
        <v>15</v>
      </c>
      <c r="F5811">
        <v>0.23363620042800903</v>
      </c>
    </row>
    <row r="5812" spans="2:6">
      <c r="B5812">
        <v>2009</v>
      </c>
      <c r="C5812" t="s">
        <v>70</v>
      </c>
      <c r="D5812" t="s">
        <v>185</v>
      </c>
      <c r="E5812" t="s">
        <v>7</v>
      </c>
      <c r="F5812">
        <v>6.4519162178039551</v>
      </c>
    </row>
    <row r="5813" spans="2:6">
      <c r="B5813">
        <v>2009</v>
      </c>
      <c r="C5813" t="s">
        <v>70</v>
      </c>
      <c r="D5813" t="s">
        <v>185</v>
      </c>
      <c r="E5813" t="s">
        <v>8</v>
      </c>
      <c r="F5813">
        <v>8.890625</v>
      </c>
    </row>
    <row r="5814" spans="2:6">
      <c r="B5814">
        <v>2009</v>
      </c>
      <c r="C5814" t="s">
        <v>70</v>
      </c>
      <c r="D5814" t="s">
        <v>185</v>
      </c>
      <c r="E5814" t="s">
        <v>9</v>
      </c>
      <c r="F5814">
        <v>0.83381563425064087</v>
      </c>
    </row>
    <row r="5815" spans="2:6">
      <c r="B5815">
        <v>2009</v>
      </c>
      <c r="C5815" t="s">
        <v>70</v>
      </c>
      <c r="D5815" t="s">
        <v>185</v>
      </c>
      <c r="E5815" t="s">
        <v>10</v>
      </c>
      <c r="F5815">
        <v>61.759998321533203</v>
      </c>
    </row>
    <row r="5816" spans="2:6">
      <c r="B5816">
        <v>2009</v>
      </c>
      <c r="C5816" t="s">
        <v>70</v>
      </c>
      <c r="D5816" t="s">
        <v>185</v>
      </c>
      <c r="E5816" t="s">
        <v>11</v>
      </c>
      <c r="F5816">
        <v>0.64347875118255615</v>
      </c>
    </row>
    <row r="5817" spans="2:6">
      <c r="B5817">
        <v>2009</v>
      </c>
      <c r="C5817" t="s">
        <v>70</v>
      </c>
      <c r="D5817" t="s">
        <v>185</v>
      </c>
      <c r="E5817" t="s">
        <v>12</v>
      </c>
      <c r="F5817">
        <v>0.1965453177690506</v>
      </c>
    </row>
    <row r="5818" spans="2:6">
      <c r="B5818">
        <v>2009</v>
      </c>
      <c r="C5818" t="s">
        <v>70</v>
      </c>
      <c r="D5818" t="s">
        <v>185</v>
      </c>
      <c r="E5818" t="s">
        <v>13</v>
      </c>
      <c r="F5818">
        <v>0.75488936901092529</v>
      </c>
    </row>
    <row r="5819" spans="2:6">
      <c r="B5819">
        <v>2009</v>
      </c>
      <c r="C5819" t="s">
        <v>70</v>
      </c>
      <c r="D5819" t="s">
        <v>185</v>
      </c>
      <c r="E5819" t="s">
        <v>14</v>
      </c>
      <c r="F5819">
        <v>0.82871550321578979</v>
      </c>
    </row>
    <row r="5820" spans="2:6">
      <c r="B5820">
        <v>2009</v>
      </c>
      <c r="C5820" t="s">
        <v>70</v>
      </c>
      <c r="D5820" t="s">
        <v>185</v>
      </c>
      <c r="E5820" t="s">
        <v>15</v>
      </c>
      <c r="F5820">
        <v>0.23974157869815826</v>
      </c>
    </row>
    <row r="5821" spans="2:6">
      <c r="B5821">
        <v>2010</v>
      </c>
      <c r="C5821" t="s">
        <v>70</v>
      </c>
      <c r="D5821" t="s">
        <v>185</v>
      </c>
      <c r="E5821" t="s">
        <v>7</v>
      </c>
      <c r="F5821">
        <v>6.2897486686706543</v>
      </c>
    </row>
    <row r="5822" spans="2:6">
      <c r="B5822">
        <v>2010</v>
      </c>
      <c r="C5822" t="s">
        <v>70</v>
      </c>
      <c r="D5822" t="s">
        <v>185</v>
      </c>
      <c r="E5822" t="s">
        <v>8</v>
      </c>
      <c r="F5822">
        <v>8.9005498886108398</v>
      </c>
    </row>
    <row r="5823" spans="2:6">
      <c r="B5823">
        <v>2010</v>
      </c>
      <c r="C5823" t="s">
        <v>70</v>
      </c>
      <c r="D5823" t="s">
        <v>185</v>
      </c>
      <c r="E5823" t="s">
        <v>9</v>
      </c>
      <c r="F5823">
        <v>0.85905247926712036</v>
      </c>
    </row>
    <row r="5824" spans="2:6">
      <c r="B5824">
        <v>2010</v>
      </c>
      <c r="C5824" t="s">
        <v>70</v>
      </c>
      <c r="D5824" t="s">
        <v>185</v>
      </c>
      <c r="E5824" t="s">
        <v>10</v>
      </c>
      <c r="F5824">
        <v>62.099998474121094</v>
      </c>
    </row>
    <row r="5825" spans="2:6">
      <c r="B5825">
        <v>2010</v>
      </c>
      <c r="C5825" t="s">
        <v>70</v>
      </c>
      <c r="D5825" t="s">
        <v>185</v>
      </c>
      <c r="E5825" t="s">
        <v>11</v>
      </c>
      <c r="F5825">
        <v>0.69586294889450073</v>
      </c>
    </row>
    <row r="5826" spans="2:6">
      <c r="B5826">
        <v>2010</v>
      </c>
      <c r="C5826" t="s">
        <v>70</v>
      </c>
      <c r="D5826" t="s">
        <v>185</v>
      </c>
      <c r="E5826" t="s">
        <v>12</v>
      </c>
      <c r="F5826">
        <v>0.16623491048812866</v>
      </c>
    </row>
    <row r="5827" spans="2:6">
      <c r="B5827">
        <v>2010</v>
      </c>
      <c r="C5827" t="s">
        <v>70</v>
      </c>
      <c r="D5827" t="s">
        <v>185</v>
      </c>
      <c r="E5827" t="s">
        <v>13</v>
      </c>
      <c r="F5827">
        <v>0.79483538866043091</v>
      </c>
    </row>
    <row r="5828" spans="2:6">
      <c r="B5828">
        <v>2010</v>
      </c>
      <c r="C5828" t="s">
        <v>70</v>
      </c>
      <c r="D5828" t="s">
        <v>185</v>
      </c>
      <c r="E5828" t="s">
        <v>14</v>
      </c>
      <c r="F5828">
        <v>0.84993338584899902</v>
      </c>
    </row>
    <row r="5829" spans="2:6">
      <c r="B5829">
        <v>2010</v>
      </c>
      <c r="C5829" t="s">
        <v>70</v>
      </c>
      <c r="D5829" t="s">
        <v>185</v>
      </c>
      <c r="E5829" t="s">
        <v>15</v>
      </c>
      <c r="F5829">
        <v>0.23561792075634003</v>
      </c>
    </row>
    <row r="5830" spans="2:6">
      <c r="B5830">
        <v>2011</v>
      </c>
      <c r="C5830" t="s">
        <v>70</v>
      </c>
      <c r="D5830" t="s">
        <v>185</v>
      </c>
      <c r="E5830" t="s">
        <v>7</v>
      </c>
      <c r="F5830">
        <v>5.7433538436889648</v>
      </c>
    </row>
    <row r="5831" spans="2:6">
      <c r="B5831">
        <v>2011</v>
      </c>
      <c r="C5831" t="s">
        <v>70</v>
      </c>
      <c r="D5831" t="s">
        <v>185</v>
      </c>
      <c r="E5831" t="s">
        <v>8</v>
      </c>
      <c r="F5831">
        <v>8.9231328964233398</v>
      </c>
    </row>
    <row r="5832" spans="2:6">
      <c r="B5832">
        <v>2011</v>
      </c>
      <c r="C5832" t="s">
        <v>70</v>
      </c>
      <c r="D5832" t="s">
        <v>185</v>
      </c>
      <c r="E5832" t="s">
        <v>9</v>
      </c>
      <c r="F5832">
        <v>0.7681124210357666</v>
      </c>
    </row>
    <row r="5833" spans="2:6">
      <c r="B5833">
        <v>2011</v>
      </c>
      <c r="C5833" t="s">
        <v>70</v>
      </c>
      <c r="D5833" t="s">
        <v>185</v>
      </c>
      <c r="E5833" t="s">
        <v>10</v>
      </c>
      <c r="F5833">
        <v>62.459999084472656</v>
      </c>
    </row>
    <row r="5834" spans="2:6">
      <c r="B5834">
        <v>2011</v>
      </c>
      <c r="C5834" t="s">
        <v>70</v>
      </c>
      <c r="D5834" t="s">
        <v>185</v>
      </c>
      <c r="E5834" t="s">
        <v>11</v>
      </c>
      <c r="F5834">
        <v>0.76296311616897583</v>
      </c>
    </row>
    <row r="5835" spans="2:6">
      <c r="B5835">
        <v>2011</v>
      </c>
      <c r="C5835" t="s">
        <v>70</v>
      </c>
      <c r="D5835" t="s">
        <v>185</v>
      </c>
      <c r="E5835" t="s">
        <v>12</v>
      </c>
      <c r="F5835">
        <v>8.8824573904275894E-3</v>
      </c>
    </row>
    <row r="5836" spans="2:6">
      <c r="B5836">
        <v>2011</v>
      </c>
      <c r="C5836" t="s">
        <v>70</v>
      </c>
      <c r="D5836" t="s">
        <v>185</v>
      </c>
      <c r="E5836" t="s">
        <v>13</v>
      </c>
      <c r="F5836">
        <v>0.86303937435150146</v>
      </c>
    </row>
    <row r="5837" spans="2:6">
      <c r="B5837">
        <v>2011</v>
      </c>
      <c r="C5837" t="s">
        <v>70</v>
      </c>
      <c r="D5837" t="s">
        <v>185</v>
      </c>
      <c r="E5837" t="s">
        <v>14</v>
      </c>
      <c r="F5837">
        <v>0.84449368715286255</v>
      </c>
    </row>
    <row r="5838" spans="2:6">
      <c r="B5838">
        <v>2011</v>
      </c>
      <c r="C5838" t="s">
        <v>70</v>
      </c>
      <c r="D5838" t="s">
        <v>185</v>
      </c>
      <c r="E5838" t="s">
        <v>15</v>
      </c>
      <c r="F5838">
        <v>0.28935790061950684</v>
      </c>
    </row>
    <row r="5839" spans="2:6">
      <c r="B5839">
        <v>2012</v>
      </c>
      <c r="C5839" t="s">
        <v>70</v>
      </c>
      <c r="D5839" t="s">
        <v>185</v>
      </c>
      <c r="E5839" t="s">
        <v>7</v>
      </c>
      <c r="F5839">
        <v>5.8557171821594238</v>
      </c>
    </row>
    <row r="5840" spans="2:6">
      <c r="B5840">
        <v>2012</v>
      </c>
      <c r="C5840" t="s">
        <v>70</v>
      </c>
      <c r="D5840" t="s">
        <v>185</v>
      </c>
      <c r="E5840" t="s">
        <v>8</v>
      </c>
      <c r="F5840">
        <v>8.9346237182617188</v>
      </c>
    </row>
    <row r="5841" spans="2:6">
      <c r="B5841">
        <v>2012</v>
      </c>
      <c r="C5841" t="s">
        <v>70</v>
      </c>
      <c r="D5841" t="s">
        <v>185</v>
      </c>
      <c r="E5841" t="s">
        <v>9</v>
      </c>
      <c r="F5841">
        <v>0.80214899778366089</v>
      </c>
    </row>
    <row r="5842" spans="2:6">
      <c r="B5842">
        <v>2012</v>
      </c>
      <c r="C5842" t="s">
        <v>70</v>
      </c>
      <c r="D5842" t="s">
        <v>185</v>
      </c>
      <c r="E5842" t="s">
        <v>10</v>
      </c>
      <c r="F5842">
        <v>62.819999694824219</v>
      </c>
    </row>
    <row r="5843" spans="2:6">
      <c r="B5843">
        <v>2012</v>
      </c>
      <c r="C5843" t="s">
        <v>70</v>
      </c>
      <c r="D5843" t="s">
        <v>185</v>
      </c>
      <c r="E5843" t="s">
        <v>11</v>
      </c>
      <c r="F5843">
        <v>0.86547201871871948</v>
      </c>
    </row>
    <row r="5844" spans="2:6">
      <c r="B5844">
        <v>2012</v>
      </c>
      <c r="C5844" t="s">
        <v>70</v>
      </c>
      <c r="D5844" t="s">
        <v>185</v>
      </c>
      <c r="E5844" t="s">
        <v>12</v>
      </c>
      <c r="F5844">
        <v>2.0274976268410683E-2</v>
      </c>
    </row>
    <row r="5845" spans="2:6">
      <c r="B5845">
        <v>2012</v>
      </c>
      <c r="C5845" t="s">
        <v>70</v>
      </c>
      <c r="D5845" t="s">
        <v>185</v>
      </c>
      <c r="E5845" t="s">
        <v>13</v>
      </c>
      <c r="F5845">
        <v>0.82092398405075073</v>
      </c>
    </row>
    <row r="5846" spans="2:6">
      <c r="B5846">
        <v>2012</v>
      </c>
      <c r="C5846" t="s">
        <v>70</v>
      </c>
      <c r="D5846" t="s">
        <v>185</v>
      </c>
      <c r="E5846" t="s">
        <v>14</v>
      </c>
      <c r="F5846">
        <v>0.86278343200683594</v>
      </c>
    </row>
    <row r="5847" spans="2:6">
      <c r="B5847">
        <v>2012</v>
      </c>
      <c r="C5847" t="s">
        <v>70</v>
      </c>
      <c r="D5847" t="s">
        <v>185</v>
      </c>
      <c r="E5847" t="s">
        <v>15</v>
      </c>
      <c r="F5847">
        <v>0.3494049608707428</v>
      </c>
    </row>
    <row r="5848" spans="2:6">
      <c r="B5848">
        <v>2013</v>
      </c>
      <c r="C5848" t="s">
        <v>70</v>
      </c>
      <c r="D5848" t="s">
        <v>185</v>
      </c>
      <c r="E5848" t="s">
        <v>7</v>
      </c>
      <c r="F5848">
        <v>5.9846014976501465</v>
      </c>
    </row>
    <row r="5849" spans="2:6">
      <c r="B5849">
        <v>2013</v>
      </c>
      <c r="C5849" t="s">
        <v>70</v>
      </c>
      <c r="D5849" t="s">
        <v>185</v>
      </c>
      <c r="E5849" t="s">
        <v>8</v>
      </c>
      <c r="F5849">
        <v>8.9533605575561523</v>
      </c>
    </row>
    <row r="5850" spans="2:6">
      <c r="B5850">
        <v>2013</v>
      </c>
      <c r="C5850" t="s">
        <v>70</v>
      </c>
      <c r="D5850" t="s">
        <v>185</v>
      </c>
      <c r="E5850" t="s">
        <v>9</v>
      </c>
      <c r="F5850">
        <v>0.8296504020690918</v>
      </c>
    </row>
    <row r="5851" spans="2:6">
      <c r="B5851">
        <v>2013</v>
      </c>
      <c r="C5851" t="s">
        <v>70</v>
      </c>
      <c r="D5851" t="s">
        <v>185</v>
      </c>
      <c r="E5851" t="s">
        <v>10</v>
      </c>
      <c r="F5851">
        <v>63.180000305175781</v>
      </c>
    </row>
    <row r="5852" spans="2:6">
      <c r="B5852">
        <v>2013</v>
      </c>
      <c r="C5852" t="s">
        <v>70</v>
      </c>
      <c r="D5852" t="s">
        <v>185</v>
      </c>
      <c r="E5852" t="s">
        <v>11</v>
      </c>
      <c r="F5852">
        <v>0.88400501012802124</v>
      </c>
    </row>
    <row r="5853" spans="2:6">
      <c r="B5853">
        <v>2013</v>
      </c>
      <c r="C5853" t="s">
        <v>70</v>
      </c>
      <c r="D5853" t="s">
        <v>185</v>
      </c>
      <c r="E5853" t="s">
        <v>12</v>
      </c>
      <c r="F5853">
        <v>4.4931687414646149E-2</v>
      </c>
    </row>
    <row r="5854" spans="2:6">
      <c r="B5854">
        <v>2013</v>
      </c>
      <c r="C5854" t="s">
        <v>70</v>
      </c>
      <c r="D5854" t="s">
        <v>185</v>
      </c>
      <c r="E5854" t="s">
        <v>13</v>
      </c>
      <c r="F5854">
        <v>0.81676983833312988</v>
      </c>
    </row>
    <row r="5855" spans="2:6">
      <c r="B5855">
        <v>2013</v>
      </c>
      <c r="C5855" t="s">
        <v>70</v>
      </c>
      <c r="D5855" t="s">
        <v>185</v>
      </c>
      <c r="E5855" t="s">
        <v>14</v>
      </c>
      <c r="F5855">
        <v>0.86677384376525879</v>
      </c>
    </row>
    <row r="5856" spans="2:6">
      <c r="B5856">
        <v>2013</v>
      </c>
      <c r="C5856" t="s">
        <v>70</v>
      </c>
      <c r="D5856" t="s">
        <v>185</v>
      </c>
      <c r="E5856" t="s">
        <v>15</v>
      </c>
      <c r="F5856">
        <v>0.33252426981925964</v>
      </c>
    </row>
    <row r="5857" spans="2:6">
      <c r="B5857">
        <v>2014</v>
      </c>
      <c r="C5857" t="s">
        <v>70</v>
      </c>
      <c r="D5857" t="s">
        <v>185</v>
      </c>
      <c r="E5857" t="s">
        <v>7</v>
      </c>
      <c r="F5857">
        <v>6.5360307693481445</v>
      </c>
    </row>
    <row r="5858" spans="2:6">
      <c r="B5858">
        <v>2014</v>
      </c>
      <c r="C5858" t="s">
        <v>70</v>
      </c>
      <c r="D5858" t="s">
        <v>185</v>
      </c>
      <c r="E5858" t="s">
        <v>8</v>
      </c>
      <c r="F5858">
        <v>8.9795541763305664</v>
      </c>
    </row>
    <row r="5859" spans="2:6">
      <c r="B5859">
        <v>2014</v>
      </c>
      <c r="C5859" t="s">
        <v>70</v>
      </c>
      <c r="D5859" t="s">
        <v>185</v>
      </c>
      <c r="E5859" t="s">
        <v>9</v>
      </c>
      <c r="F5859">
        <v>0.83397465944290161</v>
      </c>
    </row>
    <row r="5860" spans="2:6">
      <c r="B5860">
        <v>2014</v>
      </c>
      <c r="C5860" t="s">
        <v>70</v>
      </c>
      <c r="D5860" t="s">
        <v>185</v>
      </c>
      <c r="E5860" t="s">
        <v>10</v>
      </c>
      <c r="F5860">
        <v>63.540000915527344</v>
      </c>
    </row>
    <row r="5861" spans="2:6">
      <c r="B5861">
        <v>2014</v>
      </c>
      <c r="C5861" t="s">
        <v>70</v>
      </c>
      <c r="D5861" t="s">
        <v>185</v>
      </c>
      <c r="E5861" t="s">
        <v>11</v>
      </c>
      <c r="F5861">
        <v>0.84339892864227295</v>
      </c>
    </row>
    <row r="5862" spans="2:6">
      <c r="B5862">
        <v>2014</v>
      </c>
      <c r="C5862" t="s">
        <v>70</v>
      </c>
      <c r="D5862" t="s">
        <v>185</v>
      </c>
      <c r="E5862" t="s">
        <v>12</v>
      </c>
      <c r="F5862">
        <v>0.10752591490745544</v>
      </c>
    </row>
    <row r="5863" spans="2:6">
      <c r="B5863">
        <v>2014</v>
      </c>
      <c r="C5863" t="s">
        <v>70</v>
      </c>
      <c r="D5863" t="s">
        <v>185</v>
      </c>
      <c r="E5863" t="s">
        <v>13</v>
      </c>
      <c r="F5863">
        <v>0.80446255207061768</v>
      </c>
    </row>
    <row r="5864" spans="2:6">
      <c r="B5864">
        <v>2014</v>
      </c>
      <c r="C5864" t="s">
        <v>70</v>
      </c>
      <c r="D5864" t="s">
        <v>185</v>
      </c>
      <c r="E5864" t="s">
        <v>14</v>
      </c>
      <c r="F5864">
        <v>0.83536803722381592</v>
      </c>
    </row>
    <row r="5865" spans="2:6">
      <c r="B5865">
        <v>2014</v>
      </c>
      <c r="C5865" t="s">
        <v>70</v>
      </c>
      <c r="D5865" t="s">
        <v>185</v>
      </c>
      <c r="E5865" t="s">
        <v>15</v>
      </c>
      <c r="F5865">
        <v>0.30511468648910522</v>
      </c>
    </row>
    <row r="5866" spans="2:6">
      <c r="B5866">
        <v>2015</v>
      </c>
      <c r="C5866" t="s">
        <v>70</v>
      </c>
      <c r="D5866" t="s">
        <v>185</v>
      </c>
      <c r="E5866" t="s">
        <v>7</v>
      </c>
      <c r="F5866">
        <v>6.4649868011474609</v>
      </c>
    </row>
    <row r="5867" spans="2:6">
      <c r="B5867">
        <v>2015</v>
      </c>
      <c r="C5867" t="s">
        <v>70</v>
      </c>
      <c r="D5867" t="s">
        <v>185</v>
      </c>
      <c r="E5867" t="s">
        <v>8</v>
      </c>
      <c r="F5867">
        <v>9.0027456283569336</v>
      </c>
    </row>
    <row r="5868" spans="2:6">
      <c r="B5868">
        <v>2015</v>
      </c>
      <c r="C5868" t="s">
        <v>70</v>
      </c>
      <c r="D5868" t="s">
        <v>185</v>
      </c>
      <c r="E5868" t="s">
        <v>9</v>
      </c>
      <c r="F5868">
        <v>0.8228374719619751</v>
      </c>
    </row>
    <row r="5869" spans="2:6">
      <c r="B5869">
        <v>2015</v>
      </c>
      <c r="C5869" t="s">
        <v>70</v>
      </c>
      <c r="D5869" t="s">
        <v>185</v>
      </c>
      <c r="E5869" t="s">
        <v>10</v>
      </c>
      <c r="F5869">
        <v>63.900001525878906</v>
      </c>
    </row>
    <row r="5870" spans="2:6">
      <c r="B5870">
        <v>2015</v>
      </c>
      <c r="C5870" t="s">
        <v>70</v>
      </c>
      <c r="D5870" t="s">
        <v>185</v>
      </c>
      <c r="E5870" t="s">
        <v>11</v>
      </c>
      <c r="F5870">
        <v>0.86863976716995239</v>
      </c>
    </row>
    <row r="5871" spans="2:6">
      <c r="B5871">
        <v>2015</v>
      </c>
      <c r="C5871" t="s">
        <v>70</v>
      </c>
      <c r="D5871" t="s">
        <v>185</v>
      </c>
      <c r="E5871" t="s">
        <v>12</v>
      </c>
      <c r="F5871">
        <v>5.1297381520271301E-2</v>
      </c>
    </row>
    <row r="5872" spans="2:6">
      <c r="B5872">
        <v>2015</v>
      </c>
      <c r="C5872" t="s">
        <v>70</v>
      </c>
      <c r="D5872" t="s">
        <v>185</v>
      </c>
      <c r="E5872" t="s">
        <v>13</v>
      </c>
      <c r="F5872">
        <v>0.82165491580963135</v>
      </c>
    </row>
    <row r="5873" spans="2:6">
      <c r="B5873">
        <v>2015</v>
      </c>
      <c r="C5873" t="s">
        <v>70</v>
      </c>
      <c r="D5873" t="s">
        <v>185</v>
      </c>
      <c r="E5873" t="s">
        <v>14</v>
      </c>
      <c r="F5873">
        <v>0.85137081146240234</v>
      </c>
    </row>
    <row r="5874" spans="2:6">
      <c r="B5874">
        <v>2015</v>
      </c>
      <c r="C5874" t="s">
        <v>70</v>
      </c>
      <c r="D5874" t="s">
        <v>185</v>
      </c>
      <c r="E5874" t="s">
        <v>15</v>
      </c>
      <c r="F5874">
        <v>0.31055378913879395</v>
      </c>
    </row>
    <row r="5875" spans="2:6">
      <c r="B5875">
        <v>2016</v>
      </c>
      <c r="C5875" t="s">
        <v>70</v>
      </c>
      <c r="D5875" t="s">
        <v>185</v>
      </c>
      <c r="E5875" t="s">
        <v>7</v>
      </c>
      <c r="F5875">
        <v>6.3589162826538086</v>
      </c>
    </row>
    <row r="5876" spans="2:6">
      <c r="B5876">
        <v>2016</v>
      </c>
      <c r="C5876" t="s">
        <v>70</v>
      </c>
      <c r="D5876" t="s">
        <v>185</v>
      </c>
      <c r="E5876" t="s">
        <v>8</v>
      </c>
      <c r="F5876">
        <v>9.0125913619995117</v>
      </c>
    </row>
    <row r="5877" spans="2:6">
      <c r="B5877">
        <v>2016</v>
      </c>
      <c r="C5877" t="s">
        <v>70</v>
      </c>
      <c r="D5877" t="s">
        <v>185</v>
      </c>
      <c r="E5877" t="s">
        <v>9</v>
      </c>
      <c r="F5877">
        <v>0.81123548746109009</v>
      </c>
    </row>
    <row r="5878" spans="2:6">
      <c r="B5878">
        <v>2016</v>
      </c>
      <c r="C5878" t="s">
        <v>70</v>
      </c>
      <c r="D5878" t="s">
        <v>185</v>
      </c>
      <c r="E5878" t="s">
        <v>10</v>
      </c>
      <c r="F5878">
        <v>64.199996948242188</v>
      </c>
    </row>
    <row r="5879" spans="2:6">
      <c r="B5879">
        <v>2016</v>
      </c>
      <c r="C5879" t="s">
        <v>70</v>
      </c>
      <c r="D5879" t="s">
        <v>185</v>
      </c>
      <c r="E5879" t="s">
        <v>11</v>
      </c>
      <c r="F5879">
        <v>0.86267572641372681</v>
      </c>
    </row>
    <row r="5880" spans="2:6">
      <c r="B5880">
        <v>2016</v>
      </c>
      <c r="C5880" t="s">
        <v>70</v>
      </c>
      <c r="D5880" t="s">
        <v>185</v>
      </c>
      <c r="E5880" t="s">
        <v>12</v>
      </c>
      <c r="F5880">
        <v>1.1462771333754063E-2</v>
      </c>
    </row>
    <row r="5881" spans="2:6">
      <c r="B5881">
        <v>2016</v>
      </c>
      <c r="C5881" t="s">
        <v>70</v>
      </c>
      <c r="D5881" t="s">
        <v>185</v>
      </c>
      <c r="E5881" t="s">
        <v>13</v>
      </c>
      <c r="F5881">
        <v>0.81203001737594604</v>
      </c>
    </row>
    <row r="5882" spans="2:6">
      <c r="B5882">
        <v>2016</v>
      </c>
      <c r="C5882" t="s">
        <v>70</v>
      </c>
      <c r="D5882" t="s">
        <v>185</v>
      </c>
      <c r="E5882" t="s">
        <v>14</v>
      </c>
      <c r="F5882">
        <v>0.84612250328063965</v>
      </c>
    </row>
    <row r="5883" spans="2:6">
      <c r="B5883">
        <v>2016</v>
      </c>
      <c r="C5883" t="s">
        <v>70</v>
      </c>
      <c r="D5883" t="s">
        <v>185</v>
      </c>
      <c r="E5883" t="s">
        <v>15</v>
      </c>
      <c r="F5883">
        <v>0.32135719060897827</v>
      </c>
    </row>
    <row r="5884" spans="2:6">
      <c r="B5884">
        <v>2017</v>
      </c>
      <c r="C5884" t="s">
        <v>70</v>
      </c>
      <c r="D5884" t="s">
        <v>185</v>
      </c>
      <c r="E5884" t="s">
        <v>7</v>
      </c>
      <c r="F5884">
        <v>6.3251185417175293</v>
      </c>
    </row>
    <row r="5885" spans="2:6">
      <c r="B5885">
        <v>2017</v>
      </c>
      <c r="C5885" t="s">
        <v>70</v>
      </c>
      <c r="D5885" t="s">
        <v>185</v>
      </c>
      <c r="E5885" t="s">
        <v>8</v>
      </c>
      <c r="F5885">
        <v>9.0261011123657227</v>
      </c>
    </row>
    <row r="5886" spans="2:6">
      <c r="B5886">
        <v>2017</v>
      </c>
      <c r="C5886" t="s">
        <v>70</v>
      </c>
      <c r="D5886" t="s">
        <v>185</v>
      </c>
      <c r="E5886" t="s">
        <v>9</v>
      </c>
      <c r="F5886">
        <v>0.8264920711517334</v>
      </c>
    </row>
    <row r="5887" spans="2:6">
      <c r="B5887">
        <v>2017</v>
      </c>
      <c r="C5887" t="s">
        <v>70</v>
      </c>
      <c r="D5887" t="s">
        <v>185</v>
      </c>
      <c r="E5887" t="s">
        <v>10</v>
      </c>
      <c r="F5887">
        <v>64.5</v>
      </c>
    </row>
    <row r="5888" spans="2:6">
      <c r="B5888">
        <v>2017</v>
      </c>
      <c r="C5888" t="s">
        <v>70</v>
      </c>
      <c r="D5888" t="s">
        <v>185</v>
      </c>
      <c r="E5888" t="s">
        <v>11</v>
      </c>
      <c r="F5888">
        <v>0.91452169418334961</v>
      </c>
    </row>
    <row r="5889" spans="2:6">
      <c r="B5889">
        <v>2017</v>
      </c>
      <c r="C5889" t="s">
        <v>70</v>
      </c>
      <c r="D5889" t="s">
        <v>185</v>
      </c>
      <c r="E5889" t="s">
        <v>12</v>
      </c>
      <c r="F5889">
        <v>-5.8530699461698532E-2</v>
      </c>
    </row>
    <row r="5890" spans="2:6">
      <c r="B5890">
        <v>2017</v>
      </c>
      <c r="C5890" t="s">
        <v>70</v>
      </c>
      <c r="D5890" t="s">
        <v>185</v>
      </c>
      <c r="E5890" t="s">
        <v>13</v>
      </c>
      <c r="F5890">
        <v>0.79974788427352905</v>
      </c>
    </row>
    <row r="5891" spans="2:6">
      <c r="B5891">
        <v>2017</v>
      </c>
      <c r="C5891" t="s">
        <v>70</v>
      </c>
      <c r="D5891" t="s">
        <v>185</v>
      </c>
      <c r="E5891" t="s">
        <v>14</v>
      </c>
      <c r="F5891">
        <v>0.84586578607559204</v>
      </c>
    </row>
    <row r="5892" spans="2:6">
      <c r="B5892">
        <v>2017</v>
      </c>
      <c r="C5892" t="s">
        <v>70</v>
      </c>
      <c r="D5892" t="s">
        <v>185</v>
      </c>
      <c r="E5892" t="s">
        <v>15</v>
      </c>
      <c r="F5892">
        <v>0.30808615684509277</v>
      </c>
    </row>
    <row r="5893" spans="2:6">
      <c r="B5893">
        <v>2018</v>
      </c>
      <c r="C5893" t="s">
        <v>70</v>
      </c>
      <c r="D5893" t="s">
        <v>185</v>
      </c>
      <c r="E5893" t="s">
        <v>7</v>
      </c>
      <c r="F5893">
        <v>6.626591682434082</v>
      </c>
    </row>
    <row r="5894" spans="2:6">
      <c r="B5894">
        <v>2018</v>
      </c>
      <c r="C5894" t="s">
        <v>70</v>
      </c>
      <c r="D5894" t="s">
        <v>185</v>
      </c>
      <c r="E5894" t="s">
        <v>8</v>
      </c>
      <c r="F5894">
        <v>9.0417394638061523</v>
      </c>
    </row>
    <row r="5895" spans="2:6">
      <c r="B5895">
        <v>2018</v>
      </c>
      <c r="C5895" t="s">
        <v>70</v>
      </c>
      <c r="D5895" t="s">
        <v>185</v>
      </c>
      <c r="E5895" t="s">
        <v>9</v>
      </c>
      <c r="F5895">
        <v>0.84110724925994873</v>
      </c>
    </row>
    <row r="5896" spans="2:6">
      <c r="B5896">
        <v>2018</v>
      </c>
      <c r="C5896" t="s">
        <v>70</v>
      </c>
      <c r="D5896" t="s">
        <v>185</v>
      </c>
      <c r="E5896" t="s">
        <v>10</v>
      </c>
      <c r="F5896">
        <v>64.800003051757813</v>
      </c>
    </row>
    <row r="5897" spans="2:6">
      <c r="B5897">
        <v>2018</v>
      </c>
      <c r="C5897" t="s">
        <v>70</v>
      </c>
      <c r="D5897" t="s">
        <v>185</v>
      </c>
      <c r="E5897" t="s">
        <v>11</v>
      </c>
      <c r="F5897">
        <v>0.90953803062438965</v>
      </c>
    </row>
    <row r="5898" spans="2:6">
      <c r="B5898">
        <v>2018</v>
      </c>
      <c r="C5898" t="s">
        <v>70</v>
      </c>
      <c r="D5898" t="s">
        <v>185</v>
      </c>
      <c r="E5898" t="s">
        <v>12</v>
      </c>
      <c r="F5898">
        <v>-1.006377674639225E-2</v>
      </c>
    </row>
    <row r="5899" spans="2:6">
      <c r="B5899">
        <v>2018</v>
      </c>
      <c r="C5899" t="s">
        <v>70</v>
      </c>
      <c r="D5899" t="s">
        <v>185</v>
      </c>
      <c r="E5899" t="s">
        <v>13</v>
      </c>
      <c r="F5899">
        <v>0.76545441150665283</v>
      </c>
    </row>
    <row r="5900" spans="2:6">
      <c r="B5900">
        <v>2018</v>
      </c>
      <c r="C5900" t="s">
        <v>70</v>
      </c>
      <c r="D5900" t="s">
        <v>185</v>
      </c>
      <c r="E5900" t="s">
        <v>14</v>
      </c>
      <c r="F5900">
        <v>0.87136203050613403</v>
      </c>
    </row>
    <row r="5901" spans="2:6">
      <c r="B5901">
        <v>2018</v>
      </c>
      <c r="C5901" t="s">
        <v>70</v>
      </c>
      <c r="D5901" t="s">
        <v>185</v>
      </c>
      <c r="E5901" t="s">
        <v>15</v>
      </c>
      <c r="F5901">
        <v>0.26241126656532288</v>
      </c>
    </row>
    <row r="5902" spans="2:6">
      <c r="B5902">
        <v>2019</v>
      </c>
      <c r="C5902" t="s">
        <v>70</v>
      </c>
      <c r="D5902" t="s">
        <v>185</v>
      </c>
      <c r="E5902" t="s">
        <v>7</v>
      </c>
      <c r="F5902">
        <v>6.2621750831604004</v>
      </c>
    </row>
    <row r="5903" spans="2:6">
      <c r="B5903">
        <v>2019</v>
      </c>
      <c r="C5903" t="s">
        <v>70</v>
      </c>
      <c r="D5903" t="s">
        <v>185</v>
      </c>
      <c r="E5903" t="s">
        <v>8</v>
      </c>
      <c r="F5903">
        <v>9.0638751983642578</v>
      </c>
    </row>
    <row r="5904" spans="2:6">
      <c r="B5904">
        <v>2019</v>
      </c>
      <c r="C5904" t="s">
        <v>70</v>
      </c>
      <c r="D5904" t="s">
        <v>185</v>
      </c>
      <c r="E5904" t="s">
        <v>9</v>
      </c>
      <c r="F5904">
        <v>0.77407437562942505</v>
      </c>
    </row>
    <row r="5905" spans="2:6">
      <c r="B5905">
        <v>2019</v>
      </c>
      <c r="C5905" t="s">
        <v>70</v>
      </c>
      <c r="D5905" t="s">
        <v>185</v>
      </c>
      <c r="E5905" t="s">
        <v>10</v>
      </c>
      <c r="F5905">
        <v>65.099998474121094</v>
      </c>
    </row>
    <row r="5906" spans="2:6">
      <c r="B5906">
        <v>2019</v>
      </c>
      <c r="C5906" t="s">
        <v>70</v>
      </c>
      <c r="D5906" t="s">
        <v>185</v>
      </c>
      <c r="E5906" t="s">
        <v>11</v>
      </c>
      <c r="F5906">
        <v>0.90067631006240845</v>
      </c>
    </row>
    <row r="5907" spans="2:6">
      <c r="B5907">
        <v>2019</v>
      </c>
      <c r="C5907" t="s">
        <v>70</v>
      </c>
      <c r="D5907" t="s">
        <v>185</v>
      </c>
      <c r="E5907" t="s">
        <v>12</v>
      </c>
      <c r="F5907">
        <v>-6.2302988022565842E-2</v>
      </c>
    </row>
    <row r="5908" spans="2:6">
      <c r="B5908">
        <v>2019</v>
      </c>
      <c r="C5908" t="s">
        <v>70</v>
      </c>
      <c r="D5908" t="s">
        <v>185</v>
      </c>
      <c r="E5908" t="s">
        <v>13</v>
      </c>
      <c r="F5908">
        <v>0.77257794141769409</v>
      </c>
    </row>
    <row r="5909" spans="2:6">
      <c r="B5909">
        <v>2019</v>
      </c>
      <c r="C5909" t="s">
        <v>70</v>
      </c>
      <c r="D5909" t="s">
        <v>185</v>
      </c>
      <c r="E5909" t="s">
        <v>14</v>
      </c>
      <c r="F5909">
        <v>0.85941267013549805</v>
      </c>
    </row>
    <row r="5910" spans="2:6">
      <c r="B5910">
        <v>2019</v>
      </c>
      <c r="C5910" t="s">
        <v>70</v>
      </c>
      <c r="D5910" t="s">
        <v>185</v>
      </c>
      <c r="E5910" t="s">
        <v>15</v>
      </c>
      <c r="F5910">
        <v>0.31078925728797913</v>
      </c>
    </row>
    <row r="5911" spans="2:6">
      <c r="B5911">
        <v>2011</v>
      </c>
      <c r="C5911" t="s">
        <v>71</v>
      </c>
      <c r="D5911" t="s">
        <v>184</v>
      </c>
      <c r="E5911" t="s">
        <v>7</v>
      </c>
      <c r="F5911">
        <v>4.0445694923400879</v>
      </c>
    </row>
    <row r="5912" spans="2:6">
      <c r="B5912">
        <v>2011</v>
      </c>
      <c r="C5912" t="s">
        <v>71</v>
      </c>
      <c r="D5912" t="s">
        <v>184</v>
      </c>
      <c r="E5912" t="s">
        <v>8</v>
      </c>
      <c r="F5912">
        <v>7.5674042701721191</v>
      </c>
    </row>
    <row r="5913" spans="2:6">
      <c r="B5913">
        <v>2011</v>
      </c>
      <c r="C5913" t="s">
        <v>71</v>
      </c>
      <c r="D5913" t="s">
        <v>184</v>
      </c>
      <c r="E5913" t="s">
        <v>9</v>
      </c>
      <c r="F5913">
        <v>0.59846556186676025</v>
      </c>
    </row>
    <row r="5914" spans="2:6">
      <c r="B5914">
        <v>2011</v>
      </c>
      <c r="C5914" t="s">
        <v>71</v>
      </c>
      <c r="D5914" t="s">
        <v>184</v>
      </c>
      <c r="E5914" t="s">
        <v>10</v>
      </c>
      <c r="F5914">
        <v>50.220001220703125</v>
      </c>
    </row>
    <row r="5915" spans="2:6">
      <c r="B5915">
        <v>2011</v>
      </c>
      <c r="C5915" t="s">
        <v>71</v>
      </c>
      <c r="D5915" t="s">
        <v>184</v>
      </c>
      <c r="E5915" t="s">
        <v>11</v>
      </c>
      <c r="F5915">
        <v>0.79683023691177368</v>
      </c>
    </row>
    <row r="5916" spans="2:6">
      <c r="B5916">
        <v>2011</v>
      </c>
      <c r="C5916" t="s">
        <v>71</v>
      </c>
      <c r="D5916" t="s">
        <v>184</v>
      </c>
      <c r="E5916" t="s">
        <v>12</v>
      </c>
      <c r="F5916">
        <v>4.0657788515090942E-2</v>
      </c>
    </row>
    <row r="5917" spans="2:6">
      <c r="B5917">
        <v>2011</v>
      </c>
      <c r="C5917" t="s">
        <v>71</v>
      </c>
      <c r="D5917" t="s">
        <v>184</v>
      </c>
      <c r="E5917" t="s">
        <v>13</v>
      </c>
      <c r="F5917">
        <v>0.74325627088546753</v>
      </c>
    </row>
    <row r="5918" spans="2:6">
      <c r="B5918">
        <v>2011</v>
      </c>
      <c r="C5918" t="s">
        <v>71</v>
      </c>
      <c r="D5918" t="s">
        <v>184</v>
      </c>
      <c r="E5918" t="s">
        <v>14</v>
      </c>
      <c r="F5918">
        <v>0.70054930448532104</v>
      </c>
    </row>
    <row r="5919" spans="2:6">
      <c r="B5919">
        <v>2011</v>
      </c>
      <c r="C5919" t="s">
        <v>71</v>
      </c>
      <c r="D5919" t="s">
        <v>184</v>
      </c>
      <c r="E5919" t="s">
        <v>15</v>
      </c>
      <c r="F5919">
        <v>0.26013317704200745</v>
      </c>
    </row>
    <row r="5920" spans="2:6">
      <c r="B5920">
        <v>2012</v>
      </c>
      <c r="C5920" t="s">
        <v>71</v>
      </c>
      <c r="D5920" t="s">
        <v>184</v>
      </c>
      <c r="E5920" t="s">
        <v>7</v>
      </c>
      <c r="F5920">
        <v>3.6515548229217529</v>
      </c>
    </row>
    <row r="5921" spans="2:6">
      <c r="B5921">
        <v>2012</v>
      </c>
      <c r="C5921" t="s">
        <v>71</v>
      </c>
      <c r="D5921" t="s">
        <v>184</v>
      </c>
      <c r="E5921" t="s">
        <v>8</v>
      </c>
      <c r="F5921">
        <v>7.6028957366943359</v>
      </c>
    </row>
    <row r="5922" spans="2:6">
      <c r="B5922">
        <v>2012</v>
      </c>
      <c r="C5922" t="s">
        <v>71</v>
      </c>
      <c r="D5922" t="s">
        <v>184</v>
      </c>
      <c r="E5922" t="s">
        <v>9</v>
      </c>
      <c r="F5922">
        <v>0.54229527711868286</v>
      </c>
    </row>
    <row r="5923" spans="2:6">
      <c r="B5923">
        <v>2012</v>
      </c>
      <c r="C5923" t="s">
        <v>71</v>
      </c>
      <c r="D5923" t="s">
        <v>184</v>
      </c>
      <c r="E5923" t="s">
        <v>10</v>
      </c>
      <c r="F5923">
        <v>50.439998626708984</v>
      </c>
    </row>
    <row r="5924" spans="2:6">
      <c r="B5924">
        <v>2012</v>
      </c>
      <c r="C5924" t="s">
        <v>71</v>
      </c>
      <c r="D5924" t="s">
        <v>184</v>
      </c>
      <c r="E5924" t="s">
        <v>11</v>
      </c>
      <c r="F5924">
        <v>0.64618784189224243</v>
      </c>
    </row>
    <row r="5925" spans="2:6">
      <c r="B5925">
        <v>2012</v>
      </c>
      <c r="C5925" t="s">
        <v>71</v>
      </c>
      <c r="D5925" t="s">
        <v>184</v>
      </c>
      <c r="E5925" t="s">
        <v>12</v>
      </c>
      <c r="F5925">
        <v>9.2819624114781618E-4</v>
      </c>
    </row>
    <row r="5926" spans="2:6">
      <c r="B5926">
        <v>2012</v>
      </c>
      <c r="C5926" t="s">
        <v>71</v>
      </c>
      <c r="D5926" t="s">
        <v>184</v>
      </c>
      <c r="E5926" t="s">
        <v>13</v>
      </c>
      <c r="F5926">
        <v>0.79445022344589233</v>
      </c>
    </row>
    <row r="5927" spans="2:6">
      <c r="B5927">
        <v>2012</v>
      </c>
      <c r="C5927" t="s">
        <v>71</v>
      </c>
      <c r="D5927" t="s">
        <v>184</v>
      </c>
      <c r="E5927" t="s">
        <v>14</v>
      </c>
      <c r="F5927">
        <v>0.67721259593963623</v>
      </c>
    </row>
    <row r="5928" spans="2:6">
      <c r="B5928">
        <v>2012</v>
      </c>
      <c r="C5928" t="s">
        <v>71</v>
      </c>
      <c r="D5928" t="s">
        <v>184</v>
      </c>
      <c r="E5928" t="s">
        <v>15</v>
      </c>
      <c r="F5928">
        <v>0.28457337617874146</v>
      </c>
    </row>
    <row r="5929" spans="2:6">
      <c r="B5929">
        <v>2013</v>
      </c>
      <c r="C5929" t="s">
        <v>71</v>
      </c>
      <c r="D5929" t="s">
        <v>184</v>
      </c>
      <c r="E5929" t="s">
        <v>7</v>
      </c>
      <c r="F5929">
        <v>3.9017930030822754</v>
      </c>
    </row>
    <row r="5930" spans="2:6">
      <c r="B5930">
        <v>2013</v>
      </c>
      <c r="C5930" t="s">
        <v>71</v>
      </c>
      <c r="D5930" t="s">
        <v>184</v>
      </c>
      <c r="E5930" t="s">
        <v>8</v>
      </c>
      <c r="F5930">
        <v>7.6192412376403809</v>
      </c>
    </row>
    <row r="5931" spans="2:6">
      <c r="B5931">
        <v>2013</v>
      </c>
      <c r="C5931" t="s">
        <v>71</v>
      </c>
      <c r="D5931" t="s">
        <v>184</v>
      </c>
      <c r="E5931" t="s">
        <v>9</v>
      </c>
      <c r="F5931">
        <v>0.56686657667160034</v>
      </c>
    </row>
    <row r="5932" spans="2:6">
      <c r="B5932">
        <v>2013</v>
      </c>
      <c r="C5932" t="s">
        <v>71</v>
      </c>
      <c r="D5932" t="s">
        <v>184</v>
      </c>
      <c r="E5932" t="s">
        <v>10</v>
      </c>
      <c r="F5932">
        <v>50.659999847412109</v>
      </c>
    </row>
    <row r="5933" spans="2:6">
      <c r="B5933">
        <v>2013</v>
      </c>
      <c r="C5933" t="s">
        <v>71</v>
      </c>
      <c r="D5933" t="s">
        <v>184</v>
      </c>
      <c r="E5933" t="s">
        <v>11</v>
      </c>
      <c r="F5933">
        <v>0.69273662567138672</v>
      </c>
    </row>
    <row r="5934" spans="2:6">
      <c r="B5934">
        <v>2013</v>
      </c>
      <c r="C5934" t="s">
        <v>71</v>
      </c>
      <c r="D5934" t="s">
        <v>184</v>
      </c>
      <c r="E5934" t="s">
        <v>12</v>
      </c>
      <c r="F5934">
        <v>9.0948179364204407E-2</v>
      </c>
    </row>
    <row r="5935" spans="2:6">
      <c r="B5935">
        <v>2013</v>
      </c>
      <c r="C5935" t="s">
        <v>71</v>
      </c>
      <c r="D5935" t="s">
        <v>184</v>
      </c>
      <c r="E5935" t="s">
        <v>13</v>
      </c>
      <c r="F5935">
        <v>0.81548160314559937</v>
      </c>
    </row>
    <row r="5936" spans="2:6">
      <c r="B5936">
        <v>2013</v>
      </c>
      <c r="C5936" t="s">
        <v>71</v>
      </c>
      <c r="D5936" t="s">
        <v>184</v>
      </c>
      <c r="E5936" t="s">
        <v>14</v>
      </c>
      <c r="F5936">
        <v>0.60032457113265991</v>
      </c>
    </row>
    <row r="5937" spans="2:6">
      <c r="B5937">
        <v>2013</v>
      </c>
      <c r="C5937" t="s">
        <v>71</v>
      </c>
      <c r="D5937" t="s">
        <v>184</v>
      </c>
      <c r="E5937" t="s">
        <v>15</v>
      </c>
      <c r="F5937">
        <v>0.34805700182914734</v>
      </c>
    </row>
    <row r="5938" spans="2:6">
      <c r="B5938">
        <v>2014</v>
      </c>
      <c r="C5938" t="s">
        <v>71</v>
      </c>
      <c r="D5938" t="s">
        <v>184</v>
      </c>
      <c r="E5938" t="s">
        <v>7</v>
      </c>
      <c r="F5938">
        <v>3.4124825000762939</v>
      </c>
    </row>
    <row r="5939" spans="2:6">
      <c r="B5939">
        <v>2014</v>
      </c>
      <c r="C5939" t="s">
        <v>71</v>
      </c>
      <c r="D5939" t="s">
        <v>184</v>
      </c>
      <c r="E5939" t="s">
        <v>8</v>
      </c>
      <c r="F5939">
        <v>7.6321158409118652</v>
      </c>
    </row>
    <row r="5940" spans="2:6">
      <c r="B5940">
        <v>2014</v>
      </c>
      <c r="C5940" t="s">
        <v>71</v>
      </c>
      <c r="D5940" t="s">
        <v>184</v>
      </c>
      <c r="E5940" t="s">
        <v>9</v>
      </c>
      <c r="F5940">
        <v>0.6377137303352356</v>
      </c>
    </row>
    <row r="5941" spans="2:6">
      <c r="B5941">
        <v>2014</v>
      </c>
      <c r="C5941" t="s">
        <v>71</v>
      </c>
      <c r="D5941" t="s">
        <v>184</v>
      </c>
      <c r="E5941" t="s">
        <v>10</v>
      </c>
      <c r="F5941">
        <v>50.880001068115234</v>
      </c>
    </row>
    <row r="5942" spans="2:6">
      <c r="B5942">
        <v>2014</v>
      </c>
      <c r="C5942" t="s">
        <v>71</v>
      </c>
      <c r="D5942" t="s">
        <v>184</v>
      </c>
      <c r="E5942" t="s">
        <v>11</v>
      </c>
      <c r="F5942">
        <v>0.68355756998062134</v>
      </c>
    </row>
    <row r="5943" spans="2:6">
      <c r="B5943">
        <v>2014</v>
      </c>
      <c r="C5943" t="s">
        <v>71</v>
      </c>
      <c r="D5943" t="s">
        <v>184</v>
      </c>
      <c r="E5943" t="s">
        <v>12</v>
      </c>
      <c r="F5943">
        <v>5.9905964881181717E-3</v>
      </c>
    </row>
    <row r="5944" spans="2:6">
      <c r="B5944">
        <v>2014</v>
      </c>
      <c r="C5944" t="s">
        <v>71</v>
      </c>
      <c r="D5944" t="s">
        <v>184</v>
      </c>
      <c r="E5944" t="s">
        <v>13</v>
      </c>
      <c r="F5944">
        <v>0.70524638891220093</v>
      </c>
    </row>
    <row r="5945" spans="2:6">
      <c r="B5945">
        <v>2014</v>
      </c>
      <c r="C5945" t="s">
        <v>71</v>
      </c>
      <c r="D5945" t="s">
        <v>184</v>
      </c>
      <c r="E5945" t="s">
        <v>14</v>
      </c>
      <c r="F5945">
        <v>0.62864971160888672</v>
      </c>
    </row>
    <row r="5946" spans="2:6">
      <c r="B5946">
        <v>2014</v>
      </c>
      <c r="C5946" t="s">
        <v>71</v>
      </c>
      <c r="D5946" t="s">
        <v>184</v>
      </c>
      <c r="E5946" t="s">
        <v>15</v>
      </c>
      <c r="F5946">
        <v>0.35126453638076782</v>
      </c>
    </row>
    <row r="5947" spans="2:6">
      <c r="B5947">
        <v>2015</v>
      </c>
      <c r="C5947" t="s">
        <v>71</v>
      </c>
      <c r="D5947" t="s">
        <v>184</v>
      </c>
      <c r="E5947" t="s">
        <v>7</v>
      </c>
      <c r="F5947">
        <v>3.5046935081481934</v>
      </c>
    </row>
    <row r="5948" spans="2:6">
      <c r="B5948">
        <v>2015</v>
      </c>
      <c r="C5948" t="s">
        <v>71</v>
      </c>
      <c r="D5948" t="s">
        <v>184</v>
      </c>
      <c r="E5948" t="s">
        <v>8</v>
      </c>
      <c r="F5948">
        <v>7.6447644233703613</v>
      </c>
    </row>
    <row r="5949" spans="2:6">
      <c r="B5949">
        <v>2015</v>
      </c>
      <c r="C5949" t="s">
        <v>71</v>
      </c>
      <c r="D5949" t="s">
        <v>184</v>
      </c>
      <c r="E5949" t="s">
        <v>9</v>
      </c>
      <c r="F5949">
        <v>0.57885962724685669</v>
      </c>
    </row>
    <row r="5950" spans="2:6">
      <c r="B5950">
        <v>2015</v>
      </c>
      <c r="C5950" t="s">
        <v>71</v>
      </c>
      <c r="D5950" t="s">
        <v>184</v>
      </c>
      <c r="E5950" t="s">
        <v>10</v>
      </c>
      <c r="F5950">
        <v>51.099998474121094</v>
      </c>
    </row>
    <row r="5951" spans="2:6">
      <c r="B5951">
        <v>2015</v>
      </c>
      <c r="C5951" t="s">
        <v>71</v>
      </c>
      <c r="D5951" t="s">
        <v>184</v>
      </c>
      <c r="E5951" t="s">
        <v>11</v>
      </c>
      <c r="F5951">
        <v>0.66595304012298584</v>
      </c>
    </row>
    <row r="5952" spans="2:6">
      <c r="B5952">
        <v>2015</v>
      </c>
      <c r="C5952" t="s">
        <v>71</v>
      </c>
      <c r="D5952" t="s">
        <v>184</v>
      </c>
      <c r="E5952" t="s">
        <v>12</v>
      </c>
      <c r="F5952">
        <v>6.5465820953249931E-3</v>
      </c>
    </row>
    <row r="5953" spans="2:6">
      <c r="B5953">
        <v>2015</v>
      </c>
      <c r="C5953" t="s">
        <v>71</v>
      </c>
      <c r="D5953" t="s">
        <v>184</v>
      </c>
      <c r="E5953" t="s">
        <v>13</v>
      </c>
      <c r="F5953">
        <v>0.76215201616287231</v>
      </c>
    </row>
    <row r="5954" spans="2:6">
      <c r="B5954">
        <v>2015</v>
      </c>
      <c r="C5954" t="s">
        <v>71</v>
      </c>
      <c r="D5954" t="s">
        <v>184</v>
      </c>
      <c r="E5954" t="s">
        <v>14</v>
      </c>
      <c r="F5954">
        <v>0.66697061061859131</v>
      </c>
    </row>
    <row r="5955" spans="2:6">
      <c r="B5955">
        <v>2015</v>
      </c>
      <c r="C5955" t="s">
        <v>71</v>
      </c>
      <c r="D5955" t="s">
        <v>184</v>
      </c>
      <c r="E5955" t="s">
        <v>15</v>
      </c>
      <c r="F5955">
        <v>0.26774123311042786</v>
      </c>
    </row>
    <row r="5956" spans="2:6">
      <c r="B5956">
        <v>2016</v>
      </c>
      <c r="C5956" t="s">
        <v>71</v>
      </c>
      <c r="D5956" t="s">
        <v>184</v>
      </c>
      <c r="E5956" t="s">
        <v>7</v>
      </c>
      <c r="F5956">
        <v>3.6028547286987305</v>
      </c>
    </row>
    <row r="5957" spans="2:6">
      <c r="B5957">
        <v>2016</v>
      </c>
      <c r="C5957" t="s">
        <v>71</v>
      </c>
      <c r="D5957" t="s">
        <v>184</v>
      </c>
      <c r="E5957" t="s">
        <v>8</v>
      </c>
      <c r="F5957">
        <v>7.7210421562194824</v>
      </c>
    </row>
    <row r="5958" spans="2:6">
      <c r="B5958">
        <v>2016</v>
      </c>
      <c r="C5958" t="s">
        <v>71</v>
      </c>
      <c r="D5958" t="s">
        <v>184</v>
      </c>
      <c r="E5958" t="s">
        <v>9</v>
      </c>
      <c r="F5958">
        <v>0.67544704675674438</v>
      </c>
    </row>
    <row r="5959" spans="2:6">
      <c r="B5959">
        <v>2016</v>
      </c>
      <c r="C5959" t="s">
        <v>71</v>
      </c>
      <c r="D5959" t="s">
        <v>184</v>
      </c>
      <c r="E5959" t="s">
        <v>10</v>
      </c>
      <c r="F5959">
        <v>52.200000762939453</v>
      </c>
    </row>
    <row r="5960" spans="2:6">
      <c r="B5960">
        <v>2016</v>
      </c>
      <c r="C5960" t="s">
        <v>71</v>
      </c>
      <c r="D5960" t="s">
        <v>184</v>
      </c>
      <c r="E5960" t="s">
        <v>11</v>
      </c>
      <c r="F5960">
        <v>0.72568517923355103</v>
      </c>
    </row>
    <row r="5961" spans="2:6">
      <c r="B5961">
        <v>2016</v>
      </c>
      <c r="C5961" t="s">
        <v>71</v>
      </c>
      <c r="D5961" t="s">
        <v>184</v>
      </c>
      <c r="E5961" t="s">
        <v>12</v>
      </c>
      <c r="F5961">
        <v>-5.6312337517738342E-2</v>
      </c>
    </row>
    <row r="5962" spans="2:6">
      <c r="B5962">
        <v>2016</v>
      </c>
      <c r="C5962" t="s">
        <v>71</v>
      </c>
      <c r="D5962" t="s">
        <v>184</v>
      </c>
      <c r="E5962" t="s">
        <v>13</v>
      </c>
      <c r="F5962">
        <v>0.80278116464614868</v>
      </c>
    </row>
    <row r="5963" spans="2:6">
      <c r="B5963">
        <v>2016</v>
      </c>
      <c r="C5963" t="s">
        <v>71</v>
      </c>
      <c r="D5963" t="s">
        <v>184</v>
      </c>
      <c r="E5963" t="s">
        <v>14</v>
      </c>
      <c r="F5963">
        <v>0.68698465824127197</v>
      </c>
    </row>
    <row r="5964" spans="2:6">
      <c r="B5964">
        <v>2016</v>
      </c>
      <c r="C5964" t="s">
        <v>71</v>
      </c>
      <c r="D5964" t="s">
        <v>184</v>
      </c>
      <c r="E5964" t="s">
        <v>15</v>
      </c>
      <c r="F5964">
        <v>0.37439379096031189</v>
      </c>
    </row>
    <row r="5965" spans="2:6">
      <c r="B5965">
        <v>2017</v>
      </c>
      <c r="C5965" t="s">
        <v>71</v>
      </c>
      <c r="D5965" t="s">
        <v>184</v>
      </c>
      <c r="E5965" t="s">
        <v>7</v>
      </c>
      <c r="F5965">
        <v>4.8737225532531738</v>
      </c>
    </row>
    <row r="5966" spans="2:6">
      <c r="B5966">
        <v>2017</v>
      </c>
      <c r="C5966" t="s">
        <v>71</v>
      </c>
      <c r="D5966" t="s">
        <v>184</v>
      </c>
      <c r="E5966" t="s">
        <v>8</v>
      </c>
      <c r="F5966">
        <v>7.7917709350585938</v>
      </c>
    </row>
    <row r="5967" spans="2:6">
      <c r="B5967">
        <v>2017</v>
      </c>
      <c r="C5967" t="s">
        <v>71</v>
      </c>
      <c r="D5967" t="s">
        <v>184</v>
      </c>
      <c r="E5967" t="s">
        <v>9</v>
      </c>
      <c r="F5967">
        <v>0.63402557373046875</v>
      </c>
    </row>
    <row r="5968" spans="2:6">
      <c r="B5968">
        <v>2017</v>
      </c>
      <c r="C5968" t="s">
        <v>71</v>
      </c>
      <c r="D5968" t="s">
        <v>184</v>
      </c>
      <c r="E5968" t="s">
        <v>10</v>
      </c>
      <c r="F5968">
        <v>53.299999237060547</v>
      </c>
    </row>
    <row r="5969" spans="2:6">
      <c r="B5969">
        <v>2017</v>
      </c>
      <c r="C5969" t="s">
        <v>71</v>
      </c>
      <c r="D5969" t="s">
        <v>184</v>
      </c>
      <c r="E5969" t="s">
        <v>11</v>
      </c>
      <c r="F5969">
        <v>0.73821282386779785</v>
      </c>
    </row>
    <row r="5970" spans="2:6">
      <c r="B5970">
        <v>2017</v>
      </c>
      <c r="C5970" t="s">
        <v>71</v>
      </c>
      <c r="D5970" t="s">
        <v>184</v>
      </c>
      <c r="E5970" t="s">
        <v>12</v>
      </c>
      <c r="F5970">
        <v>3.782358393073082E-2</v>
      </c>
    </row>
    <row r="5971" spans="2:6">
      <c r="B5971">
        <v>2017</v>
      </c>
      <c r="C5971" t="s">
        <v>71</v>
      </c>
      <c r="D5971" t="s">
        <v>184</v>
      </c>
      <c r="E5971" t="s">
        <v>13</v>
      </c>
      <c r="F5971">
        <v>0.75002622604370117</v>
      </c>
    </row>
    <row r="5972" spans="2:6">
      <c r="B5972">
        <v>2017</v>
      </c>
      <c r="C5972" t="s">
        <v>71</v>
      </c>
      <c r="D5972" t="s">
        <v>184</v>
      </c>
      <c r="E5972" t="s">
        <v>14</v>
      </c>
      <c r="F5972">
        <v>0.70447713136672974</v>
      </c>
    </row>
    <row r="5973" spans="2:6">
      <c r="B5973">
        <v>2017</v>
      </c>
      <c r="C5973" t="s">
        <v>71</v>
      </c>
      <c r="D5973" t="s">
        <v>184</v>
      </c>
      <c r="E5973" t="s">
        <v>15</v>
      </c>
      <c r="F5973">
        <v>0.4224608838558197</v>
      </c>
    </row>
    <row r="5974" spans="2:6">
      <c r="B5974">
        <v>2018</v>
      </c>
      <c r="C5974" t="s">
        <v>71</v>
      </c>
      <c r="D5974" t="s">
        <v>184</v>
      </c>
      <c r="E5974" t="s">
        <v>7</v>
      </c>
      <c r="F5974">
        <v>5.2522268295288086</v>
      </c>
    </row>
    <row r="5975" spans="2:6">
      <c r="B5975">
        <v>2018</v>
      </c>
      <c r="C5975" t="s">
        <v>71</v>
      </c>
      <c r="D5975" t="s">
        <v>184</v>
      </c>
      <c r="E5975" t="s">
        <v>8</v>
      </c>
      <c r="F5975">
        <v>7.8234162330627441</v>
      </c>
    </row>
    <row r="5976" spans="2:6">
      <c r="B5976">
        <v>2018</v>
      </c>
      <c r="C5976" t="s">
        <v>71</v>
      </c>
      <c r="D5976" t="s">
        <v>184</v>
      </c>
      <c r="E5976" t="s">
        <v>9</v>
      </c>
      <c r="F5976">
        <v>0.63043314218521118</v>
      </c>
    </row>
    <row r="5977" spans="2:6">
      <c r="B5977">
        <v>2018</v>
      </c>
      <c r="C5977" t="s">
        <v>71</v>
      </c>
      <c r="D5977" t="s">
        <v>184</v>
      </c>
      <c r="E5977" t="s">
        <v>10</v>
      </c>
      <c r="F5977">
        <v>54.400001525878906</v>
      </c>
    </row>
    <row r="5978" spans="2:6">
      <c r="B5978">
        <v>2018</v>
      </c>
      <c r="C5978" t="s">
        <v>71</v>
      </c>
      <c r="D5978" t="s">
        <v>184</v>
      </c>
      <c r="E5978" t="s">
        <v>11</v>
      </c>
      <c r="F5978">
        <v>0.73115724325180054</v>
      </c>
    </row>
    <row r="5979" spans="2:6">
      <c r="B5979">
        <v>2018</v>
      </c>
      <c r="C5979" t="s">
        <v>71</v>
      </c>
      <c r="D5979" t="s">
        <v>184</v>
      </c>
      <c r="E5979" t="s">
        <v>12</v>
      </c>
      <c r="F5979">
        <v>9.2035137116909027E-2</v>
      </c>
    </row>
    <row r="5980" spans="2:6">
      <c r="B5980">
        <v>2018</v>
      </c>
      <c r="C5980" t="s">
        <v>71</v>
      </c>
      <c r="D5980" t="s">
        <v>184</v>
      </c>
      <c r="E5980" t="s">
        <v>13</v>
      </c>
      <c r="F5980">
        <v>0.77839380502700806</v>
      </c>
    </row>
    <row r="5981" spans="2:6">
      <c r="B5981">
        <v>2018</v>
      </c>
      <c r="C5981" t="s">
        <v>71</v>
      </c>
      <c r="D5981" t="s">
        <v>184</v>
      </c>
      <c r="E5981" t="s">
        <v>14</v>
      </c>
      <c r="F5981">
        <v>0.74388104677200317</v>
      </c>
    </row>
    <row r="5982" spans="2:6">
      <c r="B5982">
        <v>2018</v>
      </c>
      <c r="C5982" t="s">
        <v>71</v>
      </c>
      <c r="D5982" t="s">
        <v>184</v>
      </c>
      <c r="E5982" t="s">
        <v>15</v>
      </c>
      <c r="F5982">
        <v>0.44043830037117004</v>
      </c>
    </row>
    <row r="5983" spans="2:6">
      <c r="B5983">
        <v>2019</v>
      </c>
      <c r="C5983" t="s">
        <v>71</v>
      </c>
      <c r="D5983" t="s">
        <v>184</v>
      </c>
      <c r="E5983" t="s">
        <v>7</v>
      </c>
      <c r="F5983">
        <v>4.7676844596862793</v>
      </c>
    </row>
    <row r="5984" spans="2:6">
      <c r="B5984">
        <v>2019</v>
      </c>
      <c r="C5984" t="s">
        <v>71</v>
      </c>
      <c r="D5984" t="s">
        <v>184</v>
      </c>
      <c r="E5984" t="s">
        <v>8</v>
      </c>
      <c r="F5984">
        <v>7.8493404388427734</v>
      </c>
    </row>
    <row r="5985" spans="2:6">
      <c r="B5985">
        <v>2019</v>
      </c>
      <c r="C5985" t="s">
        <v>71</v>
      </c>
      <c r="D5985" t="s">
        <v>184</v>
      </c>
      <c r="E5985" t="s">
        <v>9</v>
      </c>
      <c r="F5985">
        <v>0.65512418746948242</v>
      </c>
    </row>
    <row r="5986" spans="2:6">
      <c r="B5986">
        <v>2019</v>
      </c>
      <c r="C5986" t="s">
        <v>71</v>
      </c>
      <c r="D5986" t="s">
        <v>184</v>
      </c>
      <c r="E5986" t="s">
        <v>10</v>
      </c>
      <c r="F5986">
        <v>55.5</v>
      </c>
    </row>
    <row r="5987" spans="2:6">
      <c r="B5987">
        <v>2019</v>
      </c>
      <c r="C5987" t="s">
        <v>71</v>
      </c>
      <c r="D5987" t="s">
        <v>184</v>
      </c>
      <c r="E5987" t="s">
        <v>11</v>
      </c>
      <c r="F5987">
        <v>0.69139909744262695</v>
      </c>
    </row>
    <row r="5988" spans="2:6">
      <c r="B5988">
        <v>2019</v>
      </c>
      <c r="C5988" t="s">
        <v>71</v>
      </c>
      <c r="D5988" t="s">
        <v>184</v>
      </c>
      <c r="E5988" t="s">
        <v>12</v>
      </c>
      <c r="F5988">
        <v>9.6817240118980408E-2</v>
      </c>
    </row>
    <row r="5989" spans="2:6">
      <c r="B5989">
        <v>2019</v>
      </c>
      <c r="C5989" t="s">
        <v>71</v>
      </c>
      <c r="D5989" t="s">
        <v>184</v>
      </c>
      <c r="E5989" t="s">
        <v>13</v>
      </c>
      <c r="F5989">
        <v>0.75558549165725708</v>
      </c>
    </row>
    <row r="5990" spans="2:6">
      <c r="B5990">
        <v>2019</v>
      </c>
      <c r="C5990" t="s">
        <v>71</v>
      </c>
      <c r="D5990" t="s">
        <v>184</v>
      </c>
      <c r="E5990" t="s">
        <v>14</v>
      </c>
      <c r="F5990">
        <v>0.68464690446853638</v>
      </c>
    </row>
    <row r="5991" spans="2:6">
      <c r="B5991">
        <v>2019</v>
      </c>
      <c r="C5991" t="s">
        <v>71</v>
      </c>
      <c r="D5991" t="s">
        <v>184</v>
      </c>
      <c r="E5991" t="s">
        <v>15</v>
      </c>
      <c r="F5991">
        <v>0.4733884334564209</v>
      </c>
    </row>
    <row r="5992" spans="2:6">
      <c r="B5992">
        <v>2007</v>
      </c>
      <c r="C5992" t="s">
        <v>72</v>
      </c>
      <c r="D5992" t="s">
        <v>185</v>
      </c>
      <c r="E5992" t="s">
        <v>7</v>
      </c>
      <c r="F5992">
        <v>5.9928264617919922</v>
      </c>
    </row>
    <row r="5993" spans="2:6">
      <c r="B5993">
        <v>2007</v>
      </c>
      <c r="C5993" t="s">
        <v>72</v>
      </c>
      <c r="D5993" t="s">
        <v>185</v>
      </c>
      <c r="E5993" t="s">
        <v>8</v>
      </c>
      <c r="F5993">
        <v>8.7732887268066406</v>
      </c>
    </row>
    <row r="5994" spans="2:6">
      <c r="B5994">
        <v>2007</v>
      </c>
      <c r="C5994" t="s">
        <v>72</v>
      </c>
      <c r="D5994" t="s">
        <v>185</v>
      </c>
      <c r="E5994" t="s">
        <v>9</v>
      </c>
      <c r="F5994">
        <v>0.84876519441604614</v>
      </c>
    </row>
    <row r="5995" spans="2:6">
      <c r="B5995">
        <v>2007</v>
      </c>
      <c r="C5995" t="s">
        <v>72</v>
      </c>
      <c r="D5995" t="s">
        <v>185</v>
      </c>
      <c r="E5995" t="s">
        <v>10</v>
      </c>
      <c r="F5995">
        <v>57.259998321533203</v>
      </c>
    </row>
    <row r="5996" spans="2:6">
      <c r="B5996">
        <v>2007</v>
      </c>
      <c r="C5996" t="s">
        <v>72</v>
      </c>
      <c r="D5996" t="s">
        <v>185</v>
      </c>
      <c r="E5996" t="s">
        <v>11</v>
      </c>
      <c r="F5996">
        <v>0.69400566816329956</v>
      </c>
    </row>
    <row r="5997" spans="2:6">
      <c r="B5997">
        <v>2007</v>
      </c>
      <c r="C5997" t="s">
        <v>72</v>
      </c>
      <c r="D5997" t="s">
        <v>185</v>
      </c>
      <c r="E5997" t="s">
        <v>12</v>
      </c>
      <c r="F5997">
        <v>0.11003703624010086</v>
      </c>
    </row>
    <row r="5998" spans="2:6">
      <c r="B5998">
        <v>2007</v>
      </c>
      <c r="C5998" t="s">
        <v>72</v>
      </c>
      <c r="D5998" t="s">
        <v>185</v>
      </c>
      <c r="E5998" t="s">
        <v>13</v>
      </c>
      <c r="F5998">
        <v>0.83556908369064331</v>
      </c>
    </row>
    <row r="5999" spans="2:6">
      <c r="B5999">
        <v>2007</v>
      </c>
      <c r="C5999" t="s">
        <v>72</v>
      </c>
      <c r="D5999" t="s">
        <v>185</v>
      </c>
      <c r="E5999" t="s">
        <v>14</v>
      </c>
      <c r="F5999">
        <v>0.7675405740737915</v>
      </c>
    </row>
    <row r="6000" spans="2:6">
      <c r="B6000">
        <v>2007</v>
      </c>
      <c r="C6000" t="s">
        <v>72</v>
      </c>
      <c r="D6000" t="s">
        <v>185</v>
      </c>
      <c r="E6000" t="s">
        <v>15</v>
      </c>
      <c r="F6000">
        <v>0.29641976952552795</v>
      </c>
    </row>
    <row r="6001" spans="2:6">
      <c r="B6001">
        <v>2006</v>
      </c>
      <c r="C6001" t="s">
        <v>73</v>
      </c>
      <c r="D6001" t="s">
        <v>185</v>
      </c>
      <c r="E6001" t="s">
        <v>7</v>
      </c>
      <c r="F6001">
        <v>3.7541561126708984</v>
      </c>
    </row>
    <row r="6002" spans="2:6">
      <c r="B6002">
        <v>2006</v>
      </c>
      <c r="C6002" t="s">
        <v>73</v>
      </c>
      <c r="D6002" t="s">
        <v>185</v>
      </c>
      <c r="E6002" t="s">
        <v>8</v>
      </c>
      <c r="F6002">
        <v>7.4071683883666992</v>
      </c>
    </row>
    <row r="6003" spans="2:6">
      <c r="B6003">
        <v>2006</v>
      </c>
      <c r="C6003" t="s">
        <v>73</v>
      </c>
      <c r="D6003" t="s">
        <v>185</v>
      </c>
      <c r="E6003" t="s">
        <v>9</v>
      </c>
      <c r="F6003">
        <v>0.69380074739456177</v>
      </c>
    </row>
    <row r="6004" spans="2:6">
      <c r="B6004">
        <v>2006</v>
      </c>
      <c r="C6004" t="s">
        <v>73</v>
      </c>
      <c r="D6004" t="s">
        <v>185</v>
      </c>
      <c r="E6004" t="s">
        <v>10</v>
      </c>
      <c r="F6004">
        <v>48.459999084472656</v>
      </c>
    </row>
    <row r="6005" spans="2:6">
      <c r="B6005">
        <v>2006</v>
      </c>
      <c r="C6005" t="s">
        <v>73</v>
      </c>
      <c r="D6005" t="s">
        <v>185</v>
      </c>
      <c r="E6005" t="s">
        <v>11</v>
      </c>
      <c r="F6005">
        <v>0.44947472214698792</v>
      </c>
    </row>
    <row r="6006" spans="2:6">
      <c r="B6006">
        <v>2006</v>
      </c>
      <c r="C6006" t="s">
        <v>73</v>
      </c>
      <c r="D6006" t="s">
        <v>185</v>
      </c>
      <c r="E6006" t="s">
        <v>12</v>
      </c>
      <c r="F6006">
        <v>0.40081045031547546</v>
      </c>
    </row>
    <row r="6007" spans="2:6">
      <c r="B6007">
        <v>2006</v>
      </c>
      <c r="C6007" t="s">
        <v>73</v>
      </c>
      <c r="D6007" t="s">
        <v>185</v>
      </c>
      <c r="E6007" t="s">
        <v>13</v>
      </c>
      <c r="F6007">
        <v>0.85350644588470459</v>
      </c>
    </row>
    <row r="6008" spans="2:6">
      <c r="B6008">
        <v>2006</v>
      </c>
      <c r="C6008" t="s">
        <v>73</v>
      </c>
      <c r="D6008" t="s">
        <v>185</v>
      </c>
      <c r="E6008" t="s">
        <v>14</v>
      </c>
      <c r="F6008">
        <v>0.61290603876113892</v>
      </c>
    </row>
    <row r="6009" spans="2:6">
      <c r="B6009">
        <v>2006</v>
      </c>
      <c r="C6009" t="s">
        <v>73</v>
      </c>
      <c r="D6009" t="s">
        <v>185</v>
      </c>
      <c r="E6009" t="s">
        <v>15</v>
      </c>
      <c r="F6009">
        <v>0.33214139938354492</v>
      </c>
    </row>
    <row r="6010" spans="2:6">
      <c r="B6010">
        <v>2008</v>
      </c>
      <c r="C6010" t="s">
        <v>73</v>
      </c>
      <c r="D6010" t="s">
        <v>185</v>
      </c>
      <c r="E6010" t="s">
        <v>7</v>
      </c>
      <c r="F6010">
        <v>3.8463292121887207</v>
      </c>
    </row>
    <row r="6011" spans="2:6">
      <c r="B6011">
        <v>2008</v>
      </c>
      <c r="C6011" t="s">
        <v>73</v>
      </c>
      <c r="D6011" t="s">
        <v>185</v>
      </c>
      <c r="E6011" t="s">
        <v>8</v>
      </c>
      <c r="F6011">
        <v>7.4166731834411621</v>
      </c>
    </row>
    <row r="6012" spans="2:6">
      <c r="B6012">
        <v>2008</v>
      </c>
      <c r="C6012" t="s">
        <v>73</v>
      </c>
      <c r="D6012" t="s">
        <v>185</v>
      </c>
      <c r="E6012" t="s">
        <v>9</v>
      </c>
      <c r="F6012">
        <v>0.67909842729568481</v>
      </c>
    </row>
    <row r="6013" spans="2:6">
      <c r="B6013">
        <v>2008</v>
      </c>
      <c r="C6013" t="s">
        <v>73</v>
      </c>
      <c r="D6013" t="s">
        <v>185</v>
      </c>
      <c r="E6013" t="s">
        <v>10</v>
      </c>
      <c r="F6013">
        <v>40.380001068115234</v>
      </c>
    </row>
    <row r="6014" spans="2:6">
      <c r="B6014">
        <v>2008</v>
      </c>
      <c r="C6014" t="s">
        <v>73</v>
      </c>
      <c r="D6014" t="s">
        <v>185</v>
      </c>
      <c r="E6014" t="s">
        <v>11</v>
      </c>
      <c r="F6014">
        <v>0.46497064828872681</v>
      </c>
    </row>
    <row r="6015" spans="2:6">
      <c r="B6015">
        <v>2008</v>
      </c>
      <c r="C6015" t="s">
        <v>73</v>
      </c>
      <c r="D6015" t="s">
        <v>185</v>
      </c>
      <c r="E6015" t="s">
        <v>12</v>
      </c>
      <c r="F6015">
        <v>0.26097184419631958</v>
      </c>
    </row>
    <row r="6016" spans="2:6">
      <c r="B6016">
        <v>2008</v>
      </c>
      <c r="C6016" t="s">
        <v>73</v>
      </c>
      <c r="D6016" t="s">
        <v>185</v>
      </c>
      <c r="E6016" t="s">
        <v>13</v>
      </c>
      <c r="F6016">
        <v>0.81165897846221924</v>
      </c>
    </row>
    <row r="6017" spans="2:6">
      <c r="B6017">
        <v>2008</v>
      </c>
      <c r="C6017" t="s">
        <v>73</v>
      </c>
      <c r="D6017" t="s">
        <v>185</v>
      </c>
      <c r="E6017" t="s">
        <v>14</v>
      </c>
      <c r="F6017">
        <v>0.60769706964492798</v>
      </c>
    </row>
    <row r="6018" spans="2:6">
      <c r="B6018">
        <v>2008</v>
      </c>
      <c r="C6018" t="s">
        <v>73</v>
      </c>
      <c r="D6018" t="s">
        <v>185</v>
      </c>
      <c r="E6018" t="s">
        <v>15</v>
      </c>
      <c r="F6018">
        <v>0.2557741105556488</v>
      </c>
    </row>
    <row r="6019" spans="2:6">
      <c r="B6019">
        <v>2010</v>
      </c>
      <c r="C6019" t="s">
        <v>73</v>
      </c>
      <c r="D6019" t="s">
        <v>185</v>
      </c>
      <c r="E6019" t="s">
        <v>7</v>
      </c>
      <c r="F6019">
        <v>3.7659988403320313</v>
      </c>
    </row>
    <row r="6020" spans="2:6">
      <c r="B6020">
        <v>2010</v>
      </c>
      <c r="C6020" t="s">
        <v>73</v>
      </c>
      <c r="D6020" t="s">
        <v>185</v>
      </c>
      <c r="E6020" t="s">
        <v>8</v>
      </c>
      <c r="F6020">
        <v>7.3844170570373535</v>
      </c>
    </row>
    <row r="6021" spans="2:6">
      <c r="B6021">
        <v>2010</v>
      </c>
      <c r="C6021" t="s">
        <v>73</v>
      </c>
      <c r="D6021" t="s">
        <v>185</v>
      </c>
      <c r="E6021" t="s">
        <v>9</v>
      </c>
      <c r="F6021">
        <v>0.55403077602386475</v>
      </c>
    </row>
    <row r="6022" spans="2:6">
      <c r="B6022">
        <v>2010</v>
      </c>
      <c r="C6022" t="s">
        <v>73</v>
      </c>
      <c r="D6022" t="s">
        <v>185</v>
      </c>
      <c r="E6022" t="s">
        <v>10</v>
      </c>
      <c r="F6022">
        <v>32.299999237060547</v>
      </c>
    </row>
    <row r="6023" spans="2:6">
      <c r="B6023">
        <v>2010</v>
      </c>
      <c r="C6023" t="s">
        <v>73</v>
      </c>
      <c r="D6023" t="s">
        <v>185</v>
      </c>
      <c r="E6023" t="s">
        <v>11</v>
      </c>
      <c r="F6023">
        <v>0.37294131517410278</v>
      </c>
    </row>
    <row r="6024" spans="2:6">
      <c r="B6024">
        <v>2010</v>
      </c>
      <c r="C6024" t="s">
        <v>73</v>
      </c>
      <c r="D6024" t="s">
        <v>185</v>
      </c>
      <c r="E6024" t="s">
        <v>12</v>
      </c>
      <c r="F6024">
        <v>0.21556104719638824</v>
      </c>
    </row>
    <row r="6025" spans="2:6">
      <c r="B6025">
        <v>2010</v>
      </c>
      <c r="C6025" t="s">
        <v>73</v>
      </c>
      <c r="D6025" t="s">
        <v>185</v>
      </c>
      <c r="E6025" t="s">
        <v>13</v>
      </c>
      <c r="F6025">
        <v>0.84800678491592407</v>
      </c>
    </row>
    <row r="6026" spans="2:6">
      <c r="B6026">
        <v>2010</v>
      </c>
      <c r="C6026" t="s">
        <v>73</v>
      </c>
      <c r="D6026" t="s">
        <v>185</v>
      </c>
      <c r="E6026" t="s">
        <v>14</v>
      </c>
      <c r="F6026">
        <v>0.55495965480804443</v>
      </c>
    </row>
    <row r="6027" spans="2:6">
      <c r="B6027">
        <v>2010</v>
      </c>
      <c r="C6027" t="s">
        <v>73</v>
      </c>
      <c r="D6027" t="s">
        <v>185</v>
      </c>
      <c r="E6027" t="s">
        <v>15</v>
      </c>
      <c r="F6027">
        <v>0.29255682229995728</v>
      </c>
    </row>
    <row r="6028" spans="2:6">
      <c r="B6028">
        <v>2011</v>
      </c>
      <c r="C6028" t="s">
        <v>73</v>
      </c>
      <c r="D6028" t="s">
        <v>185</v>
      </c>
      <c r="E6028" t="s">
        <v>7</v>
      </c>
      <c r="F6028">
        <v>4.844573974609375</v>
      </c>
    </row>
    <row r="6029" spans="2:6">
      <c r="B6029">
        <v>2011</v>
      </c>
      <c r="C6029" t="s">
        <v>73</v>
      </c>
      <c r="D6029" t="s">
        <v>185</v>
      </c>
      <c r="E6029" t="s">
        <v>8</v>
      </c>
      <c r="F6029">
        <v>7.4231204986572266</v>
      </c>
    </row>
    <row r="6030" spans="2:6">
      <c r="B6030">
        <v>2011</v>
      </c>
      <c r="C6030" t="s">
        <v>73</v>
      </c>
      <c r="D6030" t="s">
        <v>185</v>
      </c>
      <c r="E6030" t="s">
        <v>9</v>
      </c>
      <c r="F6030">
        <v>0.56703901290893555</v>
      </c>
    </row>
    <row r="6031" spans="2:6">
      <c r="B6031">
        <v>2011</v>
      </c>
      <c r="C6031" t="s">
        <v>73</v>
      </c>
      <c r="D6031" t="s">
        <v>185</v>
      </c>
      <c r="E6031" t="s">
        <v>10</v>
      </c>
      <c r="F6031">
        <v>36.860000610351563</v>
      </c>
    </row>
    <row r="6032" spans="2:6">
      <c r="B6032">
        <v>2011</v>
      </c>
      <c r="C6032" t="s">
        <v>73</v>
      </c>
      <c r="D6032" t="s">
        <v>185</v>
      </c>
      <c r="E6032" t="s">
        <v>11</v>
      </c>
      <c r="F6032">
        <v>0.41258779168128967</v>
      </c>
    </row>
    <row r="6033" spans="2:6">
      <c r="B6033">
        <v>2011</v>
      </c>
      <c r="C6033" t="s">
        <v>73</v>
      </c>
      <c r="D6033" t="s">
        <v>185</v>
      </c>
      <c r="E6033" t="s">
        <v>12</v>
      </c>
      <c r="F6033">
        <v>0.24258482456207275</v>
      </c>
    </row>
    <row r="6034" spans="2:6">
      <c r="B6034">
        <v>2011</v>
      </c>
      <c r="C6034" t="s">
        <v>73</v>
      </c>
      <c r="D6034" t="s">
        <v>185</v>
      </c>
      <c r="E6034" t="s">
        <v>13</v>
      </c>
      <c r="F6034">
        <v>0.68196010589599609</v>
      </c>
    </row>
    <row r="6035" spans="2:6">
      <c r="B6035">
        <v>2011</v>
      </c>
      <c r="C6035" t="s">
        <v>73</v>
      </c>
      <c r="D6035" t="s">
        <v>185</v>
      </c>
      <c r="E6035" t="s">
        <v>14</v>
      </c>
      <c r="F6035">
        <v>0.62524014711380005</v>
      </c>
    </row>
    <row r="6036" spans="2:6">
      <c r="B6036">
        <v>2011</v>
      </c>
      <c r="C6036" t="s">
        <v>73</v>
      </c>
      <c r="D6036" t="s">
        <v>185</v>
      </c>
      <c r="E6036" t="s">
        <v>15</v>
      </c>
      <c r="F6036">
        <v>0.24485564231872559</v>
      </c>
    </row>
    <row r="6037" spans="2:6">
      <c r="B6037">
        <v>2012</v>
      </c>
      <c r="C6037" t="s">
        <v>73</v>
      </c>
      <c r="D6037" t="s">
        <v>185</v>
      </c>
      <c r="E6037" t="s">
        <v>7</v>
      </c>
      <c r="F6037">
        <v>4.4134750366210938</v>
      </c>
    </row>
    <row r="6038" spans="2:6">
      <c r="B6038">
        <v>2012</v>
      </c>
      <c r="C6038" t="s">
        <v>73</v>
      </c>
      <c r="D6038" t="s">
        <v>185</v>
      </c>
      <c r="E6038" t="s">
        <v>8</v>
      </c>
      <c r="F6038">
        <v>7.436830997467041</v>
      </c>
    </row>
    <row r="6039" spans="2:6">
      <c r="B6039">
        <v>2012</v>
      </c>
      <c r="C6039" t="s">
        <v>73</v>
      </c>
      <c r="D6039" t="s">
        <v>185</v>
      </c>
      <c r="E6039" t="s">
        <v>9</v>
      </c>
      <c r="F6039">
        <v>0.74866271018981934</v>
      </c>
    </row>
    <row r="6040" spans="2:6">
      <c r="B6040">
        <v>2012</v>
      </c>
      <c r="C6040" t="s">
        <v>73</v>
      </c>
      <c r="D6040" t="s">
        <v>185</v>
      </c>
      <c r="E6040" t="s">
        <v>10</v>
      </c>
      <c r="F6040">
        <v>41.419998168945313</v>
      </c>
    </row>
    <row r="6041" spans="2:6">
      <c r="B6041">
        <v>2012</v>
      </c>
      <c r="C6041" t="s">
        <v>73</v>
      </c>
      <c r="D6041" t="s">
        <v>185</v>
      </c>
      <c r="E6041" t="s">
        <v>11</v>
      </c>
      <c r="F6041">
        <v>0.48248586058616638</v>
      </c>
    </row>
    <row r="6042" spans="2:6">
      <c r="B6042">
        <v>2012</v>
      </c>
      <c r="C6042" t="s">
        <v>73</v>
      </c>
      <c r="D6042" t="s">
        <v>185</v>
      </c>
      <c r="E6042" t="s">
        <v>12</v>
      </c>
      <c r="F6042">
        <v>0.28906100988388062</v>
      </c>
    </row>
    <row r="6043" spans="2:6">
      <c r="B6043">
        <v>2012</v>
      </c>
      <c r="C6043" t="s">
        <v>73</v>
      </c>
      <c r="D6043" t="s">
        <v>185</v>
      </c>
      <c r="E6043" t="s">
        <v>13</v>
      </c>
      <c r="F6043">
        <v>0.71716636419296265</v>
      </c>
    </row>
    <row r="6044" spans="2:6">
      <c r="B6044">
        <v>2012</v>
      </c>
      <c r="C6044" t="s">
        <v>73</v>
      </c>
      <c r="D6044" t="s">
        <v>185</v>
      </c>
      <c r="E6044" t="s">
        <v>14</v>
      </c>
      <c r="F6044">
        <v>0.59343415498733521</v>
      </c>
    </row>
    <row r="6045" spans="2:6">
      <c r="B6045">
        <v>2012</v>
      </c>
      <c r="C6045" t="s">
        <v>73</v>
      </c>
      <c r="D6045" t="s">
        <v>185</v>
      </c>
      <c r="E6045" t="s">
        <v>15</v>
      </c>
      <c r="F6045">
        <v>0.28380641341209412</v>
      </c>
    </row>
    <row r="6046" spans="2:6">
      <c r="B6046">
        <v>2013</v>
      </c>
      <c r="C6046" t="s">
        <v>73</v>
      </c>
      <c r="D6046" t="s">
        <v>185</v>
      </c>
      <c r="E6046" t="s">
        <v>7</v>
      </c>
      <c r="F6046">
        <v>4.6219620704650879</v>
      </c>
    </row>
    <row r="6047" spans="2:6">
      <c r="B6047">
        <v>2013</v>
      </c>
      <c r="C6047" t="s">
        <v>73</v>
      </c>
      <c r="D6047" t="s">
        <v>185</v>
      </c>
      <c r="E6047" t="s">
        <v>8</v>
      </c>
      <c r="F6047">
        <v>7.46392822265625</v>
      </c>
    </row>
    <row r="6048" spans="2:6">
      <c r="B6048">
        <v>2013</v>
      </c>
      <c r="C6048" t="s">
        <v>73</v>
      </c>
      <c r="D6048" t="s">
        <v>185</v>
      </c>
      <c r="E6048" t="s">
        <v>9</v>
      </c>
      <c r="F6048">
        <v>0.64835089445114136</v>
      </c>
    </row>
    <row r="6049" spans="2:6">
      <c r="B6049">
        <v>2013</v>
      </c>
      <c r="C6049" t="s">
        <v>73</v>
      </c>
      <c r="D6049" t="s">
        <v>185</v>
      </c>
      <c r="E6049" t="s">
        <v>10</v>
      </c>
      <c r="F6049">
        <v>45.979999542236328</v>
      </c>
    </row>
    <row r="6050" spans="2:6">
      <c r="B6050">
        <v>2013</v>
      </c>
      <c r="C6050" t="s">
        <v>73</v>
      </c>
      <c r="D6050" t="s">
        <v>185</v>
      </c>
      <c r="E6050" t="s">
        <v>11</v>
      </c>
      <c r="F6050">
        <v>0.61041003465652466</v>
      </c>
    </row>
    <row r="6051" spans="2:6">
      <c r="B6051">
        <v>2013</v>
      </c>
      <c r="C6051" t="s">
        <v>73</v>
      </c>
      <c r="D6051" t="s">
        <v>185</v>
      </c>
      <c r="E6051" t="s">
        <v>12</v>
      </c>
      <c r="F6051">
        <v>0.28940367698669434</v>
      </c>
    </row>
    <row r="6052" spans="2:6">
      <c r="B6052">
        <v>2013</v>
      </c>
      <c r="C6052" t="s">
        <v>73</v>
      </c>
      <c r="D6052" t="s">
        <v>185</v>
      </c>
      <c r="E6052" t="s">
        <v>13</v>
      </c>
      <c r="F6052">
        <v>0.66897571086883545</v>
      </c>
    </row>
    <row r="6053" spans="2:6">
      <c r="B6053">
        <v>2013</v>
      </c>
      <c r="C6053" t="s">
        <v>73</v>
      </c>
      <c r="D6053" t="s">
        <v>185</v>
      </c>
      <c r="E6053" t="s">
        <v>14</v>
      </c>
      <c r="F6053">
        <v>0.53805476427078247</v>
      </c>
    </row>
    <row r="6054" spans="2:6">
      <c r="B6054">
        <v>2013</v>
      </c>
      <c r="C6054" t="s">
        <v>73</v>
      </c>
      <c r="D6054" t="s">
        <v>185</v>
      </c>
      <c r="E6054" t="s">
        <v>15</v>
      </c>
      <c r="F6054">
        <v>0.32665553689002991</v>
      </c>
    </row>
    <row r="6055" spans="2:6">
      <c r="B6055">
        <v>2014</v>
      </c>
      <c r="C6055" t="s">
        <v>73</v>
      </c>
      <c r="D6055" t="s">
        <v>185</v>
      </c>
      <c r="E6055" t="s">
        <v>7</v>
      </c>
      <c r="F6055">
        <v>3.8887784481048584</v>
      </c>
    </row>
    <row r="6056" spans="2:6">
      <c r="B6056">
        <v>2014</v>
      </c>
      <c r="C6056" t="s">
        <v>73</v>
      </c>
      <c r="D6056" t="s">
        <v>185</v>
      </c>
      <c r="E6056" t="s">
        <v>8</v>
      </c>
      <c r="F6056">
        <v>7.4771513938903809</v>
      </c>
    </row>
    <row r="6057" spans="2:6">
      <c r="B6057">
        <v>2014</v>
      </c>
      <c r="C6057" t="s">
        <v>73</v>
      </c>
      <c r="D6057" t="s">
        <v>185</v>
      </c>
      <c r="E6057" t="s">
        <v>9</v>
      </c>
      <c r="F6057">
        <v>0.55414879322052002</v>
      </c>
    </row>
    <row r="6058" spans="2:6">
      <c r="B6058">
        <v>2014</v>
      </c>
      <c r="C6058" t="s">
        <v>73</v>
      </c>
      <c r="D6058" t="s">
        <v>185</v>
      </c>
      <c r="E6058" t="s">
        <v>10</v>
      </c>
      <c r="F6058">
        <v>50.540000915527344</v>
      </c>
    </row>
    <row r="6059" spans="2:6">
      <c r="B6059">
        <v>2014</v>
      </c>
      <c r="C6059" t="s">
        <v>73</v>
      </c>
      <c r="D6059" t="s">
        <v>185</v>
      </c>
      <c r="E6059" t="s">
        <v>11</v>
      </c>
      <c r="F6059">
        <v>0.50880545377731323</v>
      </c>
    </row>
    <row r="6060" spans="2:6">
      <c r="B6060">
        <v>2014</v>
      </c>
      <c r="C6060" t="s">
        <v>73</v>
      </c>
      <c r="D6060" t="s">
        <v>185</v>
      </c>
      <c r="E6060" t="s">
        <v>12</v>
      </c>
      <c r="F6060">
        <v>0.28481432795524597</v>
      </c>
    </row>
    <row r="6061" spans="2:6">
      <c r="B6061">
        <v>2014</v>
      </c>
      <c r="C6061" t="s">
        <v>73</v>
      </c>
      <c r="D6061" t="s">
        <v>185</v>
      </c>
      <c r="E6061" t="s">
        <v>13</v>
      </c>
      <c r="F6061">
        <v>0.70752125978469849</v>
      </c>
    </row>
    <row r="6062" spans="2:6">
      <c r="B6062">
        <v>2014</v>
      </c>
      <c r="C6062" t="s">
        <v>73</v>
      </c>
      <c r="D6062" t="s">
        <v>185</v>
      </c>
      <c r="E6062" t="s">
        <v>14</v>
      </c>
      <c r="F6062">
        <v>0.59256500005722046</v>
      </c>
    </row>
    <row r="6063" spans="2:6">
      <c r="B6063">
        <v>2014</v>
      </c>
      <c r="C6063" t="s">
        <v>73</v>
      </c>
      <c r="D6063" t="s">
        <v>185</v>
      </c>
      <c r="E6063" t="s">
        <v>15</v>
      </c>
      <c r="F6063">
        <v>0.32720845937728882</v>
      </c>
    </row>
    <row r="6064" spans="2:6">
      <c r="B6064">
        <v>2015</v>
      </c>
      <c r="C6064" t="s">
        <v>73</v>
      </c>
      <c r="D6064" t="s">
        <v>185</v>
      </c>
      <c r="E6064" t="s">
        <v>7</v>
      </c>
      <c r="F6064">
        <v>3.5697624683380127</v>
      </c>
    </row>
    <row r="6065" spans="2:6">
      <c r="B6065">
        <v>2015</v>
      </c>
      <c r="C6065" t="s">
        <v>73</v>
      </c>
      <c r="D6065" t="s">
        <v>185</v>
      </c>
      <c r="E6065" t="s">
        <v>8</v>
      </c>
      <c r="F6065">
        <v>7.47552490234375</v>
      </c>
    </row>
    <row r="6066" spans="2:6">
      <c r="B6066">
        <v>2015</v>
      </c>
      <c r="C6066" t="s">
        <v>73</v>
      </c>
      <c r="D6066" t="s">
        <v>185</v>
      </c>
      <c r="E6066" t="s">
        <v>9</v>
      </c>
      <c r="F6066">
        <v>0.5643196702003479</v>
      </c>
    </row>
    <row r="6067" spans="2:6">
      <c r="B6067">
        <v>2015</v>
      </c>
      <c r="C6067" t="s">
        <v>73</v>
      </c>
      <c r="D6067" t="s">
        <v>185</v>
      </c>
      <c r="E6067" t="s">
        <v>10</v>
      </c>
      <c r="F6067">
        <v>55.099998474121094</v>
      </c>
    </row>
    <row r="6068" spans="2:6">
      <c r="B6068">
        <v>2015</v>
      </c>
      <c r="C6068" t="s">
        <v>73</v>
      </c>
      <c r="D6068" t="s">
        <v>185</v>
      </c>
      <c r="E6068" t="s">
        <v>11</v>
      </c>
      <c r="F6068">
        <v>0.39829549193382263</v>
      </c>
    </row>
    <row r="6069" spans="2:6">
      <c r="B6069">
        <v>2015</v>
      </c>
      <c r="C6069" t="s">
        <v>73</v>
      </c>
      <c r="D6069" t="s">
        <v>185</v>
      </c>
      <c r="E6069" t="s">
        <v>12</v>
      </c>
      <c r="F6069">
        <v>0.30593231320381165</v>
      </c>
    </row>
    <row r="6070" spans="2:6">
      <c r="B6070">
        <v>2015</v>
      </c>
      <c r="C6070" t="s">
        <v>73</v>
      </c>
      <c r="D6070" t="s">
        <v>185</v>
      </c>
      <c r="E6070" t="s">
        <v>13</v>
      </c>
      <c r="F6070">
        <v>0.77740395069122314</v>
      </c>
    </row>
    <row r="6071" spans="2:6">
      <c r="B6071">
        <v>2015</v>
      </c>
      <c r="C6071" t="s">
        <v>73</v>
      </c>
      <c r="D6071" t="s">
        <v>185</v>
      </c>
      <c r="E6071" t="s">
        <v>14</v>
      </c>
      <c r="F6071">
        <v>0.6185644268989563</v>
      </c>
    </row>
    <row r="6072" spans="2:6">
      <c r="B6072">
        <v>2015</v>
      </c>
      <c r="C6072" t="s">
        <v>73</v>
      </c>
      <c r="D6072" t="s">
        <v>185</v>
      </c>
      <c r="E6072" t="s">
        <v>15</v>
      </c>
      <c r="F6072">
        <v>0.33253967761993408</v>
      </c>
    </row>
    <row r="6073" spans="2:6">
      <c r="B6073">
        <v>2016</v>
      </c>
      <c r="C6073" t="s">
        <v>73</v>
      </c>
      <c r="D6073" t="s">
        <v>185</v>
      </c>
      <c r="E6073" t="s">
        <v>7</v>
      </c>
      <c r="F6073">
        <v>3.3523001670837402</v>
      </c>
    </row>
    <row r="6074" spans="2:6">
      <c r="B6074">
        <v>2016</v>
      </c>
      <c r="C6074" t="s">
        <v>73</v>
      </c>
      <c r="D6074" t="s">
        <v>185</v>
      </c>
      <c r="E6074" t="s">
        <v>8</v>
      </c>
      <c r="F6074">
        <v>7.476534366607666</v>
      </c>
    </row>
    <row r="6075" spans="2:6">
      <c r="B6075">
        <v>2016</v>
      </c>
      <c r="C6075" t="s">
        <v>73</v>
      </c>
      <c r="D6075" t="s">
        <v>185</v>
      </c>
      <c r="E6075" t="s">
        <v>9</v>
      </c>
      <c r="F6075">
        <v>0.58374243974685669</v>
      </c>
    </row>
    <row r="6076" spans="2:6">
      <c r="B6076">
        <v>2016</v>
      </c>
      <c r="C6076" t="s">
        <v>73</v>
      </c>
      <c r="D6076" t="s">
        <v>185</v>
      </c>
      <c r="E6076" t="s">
        <v>10</v>
      </c>
      <c r="F6076">
        <v>55.299999237060547</v>
      </c>
    </row>
    <row r="6077" spans="2:6">
      <c r="B6077">
        <v>2016</v>
      </c>
      <c r="C6077" t="s">
        <v>73</v>
      </c>
      <c r="D6077" t="s">
        <v>185</v>
      </c>
      <c r="E6077" t="s">
        <v>11</v>
      </c>
      <c r="F6077">
        <v>0.30354040861129761</v>
      </c>
    </row>
    <row r="6078" spans="2:6">
      <c r="B6078">
        <v>2016</v>
      </c>
      <c r="C6078" t="s">
        <v>73</v>
      </c>
      <c r="D6078" t="s">
        <v>185</v>
      </c>
      <c r="E6078" t="s">
        <v>12</v>
      </c>
      <c r="F6078">
        <v>0.29131308197975159</v>
      </c>
    </row>
    <row r="6079" spans="2:6">
      <c r="B6079">
        <v>2016</v>
      </c>
      <c r="C6079" t="s">
        <v>73</v>
      </c>
      <c r="D6079" t="s">
        <v>185</v>
      </c>
      <c r="E6079" t="s">
        <v>13</v>
      </c>
      <c r="F6079">
        <v>0.83852314949035645</v>
      </c>
    </row>
    <row r="6080" spans="2:6">
      <c r="B6080">
        <v>2016</v>
      </c>
      <c r="C6080" t="s">
        <v>73</v>
      </c>
      <c r="D6080" t="s">
        <v>185</v>
      </c>
      <c r="E6080" t="s">
        <v>14</v>
      </c>
      <c r="F6080">
        <v>0.55277407169342041</v>
      </c>
    </row>
    <row r="6081" spans="2:6">
      <c r="B6081">
        <v>2016</v>
      </c>
      <c r="C6081" t="s">
        <v>73</v>
      </c>
      <c r="D6081" t="s">
        <v>185</v>
      </c>
      <c r="E6081" t="s">
        <v>15</v>
      </c>
      <c r="F6081">
        <v>0.36734101176261902</v>
      </c>
    </row>
    <row r="6082" spans="2:6">
      <c r="B6082">
        <v>2017</v>
      </c>
      <c r="C6082" t="s">
        <v>73</v>
      </c>
      <c r="D6082" t="s">
        <v>185</v>
      </c>
      <c r="E6082" t="s">
        <v>7</v>
      </c>
      <c r="F6082">
        <v>3.8238656520843506</v>
      </c>
    </row>
    <row r="6083" spans="2:6">
      <c r="B6083">
        <v>2017</v>
      </c>
      <c r="C6083" t="s">
        <v>73</v>
      </c>
      <c r="D6083" t="s">
        <v>185</v>
      </c>
      <c r="E6083" t="s">
        <v>8</v>
      </c>
      <c r="F6083">
        <v>7.4751482009887695</v>
      </c>
    </row>
    <row r="6084" spans="2:6">
      <c r="B6084">
        <v>2017</v>
      </c>
      <c r="C6084" t="s">
        <v>73</v>
      </c>
      <c r="D6084" t="s">
        <v>185</v>
      </c>
      <c r="E6084" t="s">
        <v>9</v>
      </c>
      <c r="F6084">
        <v>0.64698499441146851</v>
      </c>
    </row>
    <row r="6085" spans="2:6">
      <c r="B6085">
        <v>2017</v>
      </c>
      <c r="C6085" t="s">
        <v>73</v>
      </c>
      <c r="D6085" t="s">
        <v>185</v>
      </c>
      <c r="E6085" t="s">
        <v>10</v>
      </c>
      <c r="F6085">
        <v>55.5</v>
      </c>
    </row>
    <row r="6086" spans="2:6">
      <c r="B6086">
        <v>2017</v>
      </c>
      <c r="C6086" t="s">
        <v>73</v>
      </c>
      <c r="D6086" t="s">
        <v>185</v>
      </c>
      <c r="E6086" t="s">
        <v>11</v>
      </c>
      <c r="F6086">
        <v>0.48442915081977844</v>
      </c>
    </row>
    <row r="6087" spans="2:6">
      <c r="B6087">
        <v>2017</v>
      </c>
      <c r="C6087" t="s">
        <v>73</v>
      </c>
      <c r="D6087" t="s">
        <v>185</v>
      </c>
      <c r="E6087" t="s">
        <v>12</v>
      </c>
      <c r="F6087">
        <v>0.38099652528762817</v>
      </c>
    </row>
    <row r="6088" spans="2:6">
      <c r="B6088">
        <v>2017</v>
      </c>
      <c r="C6088" t="s">
        <v>73</v>
      </c>
      <c r="D6088" t="s">
        <v>185</v>
      </c>
      <c r="E6088" t="s">
        <v>13</v>
      </c>
      <c r="F6088">
        <v>0.64719158411026001</v>
      </c>
    </row>
    <row r="6089" spans="2:6">
      <c r="B6089">
        <v>2017</v>
      </c>
      <c r="C6089" t="s">
        <v>73</v>
      </c>
      <c r="D6089" t="s">
        <v>185</v>
      </c>
      <c r="E6089" t="s">
        <v>14</v>
      </c>
      <c r="F6089">
        <v>0.57336670160293579</v>
      </c>
    </row>
    <row r="6090" spans="2:6">
      <c r="B6090">
        <v>2017</v>
      </c>
      <c r="C6090" t="s">
        <v>73</v>
      </c>
      <c r="D6090" t="s">
        <v>185</v>
      </c>
      <c r="E6090" t="s">
        <v>15</v>
      </c>
      <c r="F6090">
        <v>0.32169276475906372</v>
      </c>
    </row>
    <row r="6091" spans="2:6">
      <c r="B6091">
        <v>2018</v>
      </c>
      <c r="C6091" t="s">
        <v>73</v>
      </c>
      <c r="D6091" t="s">
        <v>185</v>
      </c>
      <c r="E6091" t="s">
        <v>7</v>
      </c>
      <c r="F6091">
        <v>3.6149280071258545</v>
      </c>
    </row>
    <row r="6092" spans="2:6">
      <c r="B6092">
        <v>2018</v>
      </c>
      <c r="C6092" t="s">
        <v>73</v>
      </c>
      <c r="D6092" t="s">
        <v>185</v>
      </c>
      <c r="E6092" t="s">
        <v>8</v>
      </c>
      <c r="F6092">
        <v>7.4771380424499512</v>
      </c>
    </row>
    <row r="6093" spans="2:6">
      <c r="B6093">
        <v>2018</v>
      </c>
      <c r="C6093" t="s">
        <v>73</v>
      </c>
      <c r="D6093" t="s">
        <v>185</v>
      </c>
      <c r="E6093" t="s">
        <v>9</v>
      </c>
      <c r="F6093">
        <v>0.53797590732574463</v>
      </c>
    </row>
    <row r="6094" spans="2:6">
      <c r="B6094">
        <v>2018</v>
      </c>
      <c r="C6094" t="s">
        <v>73</v>
      </c>
      <c r="D6094" t="s">
        <v>185</v>
      </c>
      <c r="E6094" t="s">
        <v>10</v>
      </c>
      <c r="F6094">
        <v>55.700000762939453</v>
      </c>
    </row>
    <row r="6095" spans="2:6">
      <c r="B6095">
        <v>2018</v>
      </c>
      <c r="C6095" t="s">
        <v>73</v>
      </c>
      <c r="D6095" t="s">
        <v>185</v>
      </c>
      <c r="E6095" t="s">
        <v>11</v>
      </c>
      <c r="F6095">
        <v>0.59146839380264282</v>
      </c>
    </row>
    <row r="6096" spans="2:6">
      <c r="B6096">
        <v>2018</v>
      </c>
      <c r="C6096" t="s">
        <v>73</v>
      </c>
      <c r="D6096" t="s">
        <v>185</v>
      </c>
      <c r="E6096" t="s">
        <v>12</v>
      </c>
      <c r="F6096">
        <v>0.42152035236358643</v>
      </c>
    </row>
    <row r="6097" spans="2:6">
      <c r="B6097">
        <v>2018</v>
      </c>
      <c r="C6097" t="s">
        <v>73</v>
      </c>
      <c r="D6097" t="s">
        <v>185</v>
      </c>
      <c r="E6097" t="s">
        <v>13</v>
      </c>
      <c r="F6097">
        <v>0.72044473886489868</v>
      </c>
    </row>
    <row r="6098" spans="2:6">
      <c r="B6098">
        <v>2018</v>
      </c>
      <c r="C6098" t="s">
        <v>73</v>
      </c>
      <c r="D6098" t="s">
        <v>185</v>
      </c>
      <c r="E6098" t="s">
        <v>14</v>
      </c>
      <c r="F6098">
        <v>0.58411329984664917</v>
      </c>
    </row>
    <row r="6099" spans="2:6">
      <c r="B6099">
        <v>2018</v>
      </c>
      <c r="C6099" t="s">
        <v>73</v>
      </c>
      <c r="D6099" t="s">
        <v>185</v>
      </c>
      <c r="E6099" t="s">
        <v>15</v>
      </c>
      <c r="F6099">
        <v>0.35872003436088562</v>
      </c>
    </row>
    <row r="6100" spans="2:6">
      <c r="B6100">
        <v>2006</v>
      </c>
      <c r="C6100" t="s">
        <v>74</v>
      </c>
      <c r="D6100" t="s">
        <v>185</v>
      </c>
      <c r="E6100" t="s">
        <v>7</v>
      </c>
      <c r="F6100">
        <v>5.396519660949707</v>
      </c>
    </row>
    <row r="6101" spans="2:6">
      <c r="B6101">
        <v>2006</v>
      </c>
      <c r="C6101" t="s">
        <v>74</v>
      </c>
      <c r="D6101" t="s">
        <v>185</v>
      </c>
      <c r="E6101" t="s">
        <v>8</v>
      </c>
      <c r="F6101">
        <v>8.4624300003051758</v>
      </c>
    </row>
    <row r="6102" spans="2:6">
      <c r="B6102">
        <v>2006</v>
      </c>
      <c r="C6102" t="s">
        <v>74</v>
      </c>
      <c r="D6102" t="s">
        <v>185</v>
      </c>
      <c r="E6102" t="s">
        <v>9</v>
      </c>
      <c r="F6102">
        <v>0.93267679214477539</v>
      </c>
    </row>
    <row r="6103" spans="2:6">
      <c r="B6103">
        <v>2006</v>
      </c>
      <c r="C6103" t="s">
        <v>74</v>
      </c>
      <c r="D6103" t="s">
        <v>185</v>
      </c>
      <c r="E6103" t="s">
        <v>10</v>
      </c>
      <c r="F6103">
        <v>64.540000915527344</v>
      </c>
    </row>
    <row r="6104" spans="2:6">
      <c r="B6104">
        <v>2006</v>
      </c>
      <c r="C6104" t="s">
        <v>74</v>
      </c>
      <c r="D6104" t="s">
        <v>185</v>
      </c>
      <c r="E6104" t="s">
        <v>11</v>
      </c>
      <c r="F6104">
        <v>0.65025359392166138</v>
      </c>
    </row>
    <row r="6105" spans="2:6">
      <c r="B6105">
        <v>2006</v>
      </c>
      <c r="C6105" t="s">
        <v>74</v>
      </c>
      <c r="D6105" t="s">
        <v>185</v>
      </c>
      <c r="E6105" t="s">
        <v>12</v>
      </c>
      <c r="F6105">
        <v>8.9146316051483154E-2</v>
      </c>
    </row>
    <row r="6106" spans="2:6">
      <c r="B6106">
        <v>2006</v>
      </c>
      <c r="C6106" t="s">
        <v>74</v>
      </c>
      <c r="D6106" t="s">
        <v>185</v>
      </c>
      <c r="E6106" t="s">
        <v>13</v>
      </c>
      <c r="F6106">
        <v>0.84353905916213989</v>
      </c>
    </row>
    <row r="6107" spans="2:6">
      <c r="B6107">
        <v>2006</v>
      </c>
      <c r="C6107" t="s">
        <v>74</v>
      </c>
      <c r="D6107" t="s">
        <v>185</v>
      </c>
      <c r="E6107" t="s">
        <v>14</v>
      </c>
      <c r="F6107">
        <v>0.85797274112701416</v>
      </c>
    </row>
    <row r="6108" spans="2:6">
      <c r="B6108">
        <v>2006</v>
      </c>
      <c r="C6108" t="s">
        <v>74</v>
      </c>
      <c r="D6108" t="s">
        <v>185</v>
      </c>
      <c r="E6108" t="s">
        <v>15</v>
      </c>
      <c r="F6108">
        <v>0.1554739773273468</v>
      </c>
    </row>
    <row r="6109" spans="2:6">
      <c r="B6109">
        <v>2007</v>
      </c>
      <c r="C6109" t="s">
        <v>74</v>
      </c>
      <c r="D6109" t="s">
        <v>185</v>
      </c>
      <c r="E6109" t="s">
        <v>7</v>
      </c>
      <c r="F6109">
        <v>5.0971541404724121</v>
      </c>
    </row>
    <row r="6110" spans="2:6">
      <c r="B6110">
        <v>2007</v>
      </c>
      <c r="C6110" t="s">
        <v>74</v>
      </c>
      <c r="D6110" t="s">
        <v>185</v>
      </c>
      <c r="E6110" t="s">
        <v>8</v>
      </c>
      <c r="F6110">
        <v>8.4999094009399414</v>
      </c>
    </row>
    <row r="6111" spans="2:6">
      <c r="B6111">
        <v>2007</v>
      </c>
      <c r="C6111" t="s">
        <v>74</v>
      </c>
      <c r="D6111" t="s">
        <v>185</v>
      </c>
      <c r="E6111" t="s">
        <v>9</v>
      </c>
      <c r="F6111">
        <v>0.81886857748031616</v>
      </c>
    </row>
    <row r="6112" spans="2:6">
      <c r="B6112">
        <v>2007</v>
      </c>
      <c r="C6112" t="s">
        <v>74</v>
      </c>
      <c r="D6112" t="s">
        <v>185</v>
      </c>
      <c r="E6112" t="s">
        <v>10</v>
      </c>
      <c r="F6112">
        <v>64.779998779296875</v>
      </c>
    </row>
    <row r="6113" spans="2:6">
      <c r="B6113">
        <v>2007</v>
      </c>
      <c r="C6113" t="s">
        <v>74</v>
      </c>
      <c r="D6113" t="s">
        <v>185</v>
      </c>
      <c r="E6113" t="s">
        <v>11</v>
      </c>
      <c r="F6113">
        <v>0.67563098669052124</v>
      </c>
    </row>
    <row r="6114" spans="2:6">
      <c r="B6114">
        <v>2007</v>
      </c>
      <c r="C6114" t="s">
        <v>74</v>
      </c>
      <c r="D6114" t="s">
        <v>185</v>
      </c>
      <c r="E6114" t="s">
        <v>12</v>
      </c>
      <c r="F6114">
        <v>0.23032006621360779</v>
      </c>
    </row>
    <row r="6115" spans="2:6">
      <c r="B6115">
        <v>2007</v>
      </c>
      <c r="C6115" t="s">
        <v>74</v>
      </c>
      <c r="D6115" t="s">
        <v>185</v>
      </c>
      <c r="E6115" t="s">
        <v>13</v>
      </c>
      <c r="F6115">
        <v>0.82597470283508301</v>
      </c>
    </row>
    <row r="6116" spans="2:6">
      <c r="B6116">
        <v>2007</v>
      </c>
      <c r="C6116" t="s">
        <v>74</v>
      </c>
      <c r="D6116" t="s">
        <v>185</v>
      </c>
      <c r="E6116" t="s">
        <v>14</v>
      </c>
      <c r="F6116">
        <v>0.75895875692367554</v>
      </c>
    </row>
    <row r="6117" spans="2:6">
      <c r="B6117">
        <v>2007</v>
      </c>
      <c r="C6117" t="s">
        <v>74</v>
      </c>
      <c r="D6117" t="s">
        <v>185</v>
      </c>
      <c r="E6117" t="s">
        <v>15</v>
      </c>
      <c r="F6117">
        <v>0.19878000020980835</v>
      </c>
    </row>
    <row r="6118" spans="2:6">
      <c r="B6118">
        <v>2008</v>
      </c>
      <c r="C6118" t="s">
        <v>74</v>
      </c>
      <c r="D6118" t="s">
        <v>185</v>
      </c>
      <c r="E6118" t="s">
        <v>7</v>
      </c>
      <c r="F6118">
        <v>5.4203310012817383</v>
      </c>
    </row>
    <row r="6119" spans="2:6">
      <c r="B6119">
        <v>2008</v>
      </c>
      <c r="C6119" t="s">
        <v>74</v>
      </c>
      <c r="D6119" t="s">
        <v>185</v>
      </c>
      <c r="E6119" t="s">
        <v>8</v>
      </c>
      <c r="F6119">
        <v>8.5195121765136719</v>
      </c>
    </row>
    <row r="6120" spans="2:6">
      <c r="B6120">
        <v>2008</v>
      </c>
      <c r="C6120" t="s">
        <v>74</v>
      </c>
      <c r="D6120" t="s">
        <v>185</v>
      </c>
      <c r="E6120" t="s">
        <v>9</v>
      </c>
      <c r="F6120">
        <v>0.82817590236663818</v>
      </c>
    </row>
    <row r="6121" spans="2:6">
      <c r="B6121">
        <v>2008</v>
      </c>
      <c r="C6121" t="s">
        <v>74</v>
      </c>
      <c r="D6121" t="s">
        <v>185</v>
      </c>
      <c r="E6121" t="s">
        <v>10</v>
      </c>
      <c r="F6121">
        <v>65.019996643066406</v>
      </c>
    </row>
    <row r="6122" spans="2:6">
      <c r="B6122">
        <v>2008</v>
      </c>
      <c r="C6122" t="s">
        <v>74</v>
      </c>
      <c r="D6122" t="s">
        <v>185</v>
      </c>
      <c r="E6122" t="s">
        <v>11</v>
      </c>
      <c r="F6122">
        <v>0.68688088655471802</v>
      </c>
    </row>
    <row r="6123" spans="2:6">
      <c r="B6123">
        <v>2008</v>
      </c>
      <c r="C6123" t="s">
        <v>74</v>
      </c>
      <c r="D6123" t="s">
        <v>185</v>
      </c>
      <c r="E6123" t="s">
        <v>12</v>
      </c>
      <c r="F6123">
        <v>0.22311125695705414</v>
      </c>
    </row>
    <row r="6124" spans="2:6">
      <c r="B6124">
        <v>2008</v>
      </c>
      <c r="C6124" t="s">
        <v>74</v>
      </c>
      <c r="D6124" t="s">
        <v>185</v>
      </c>
      <c r="E6124" t="s">
        <v>13</v>
      </c>
      <c r="F6124">
        <v>0.86322200298309326</v>
      </c>
    </row>
    <row r="6125" spans="2:6">
      <c r="B6125">
        <v>2008</v>
      </c>
      <c r="C6125" t="s">
        <v>74</v>
      </c>
      <c r="D6125" t="s">
        <v>185</v>
      </c>
      <c r="E6125" t="s">
        <v>14</v>
      </c>
      <c r="F6125">
        <v>0.78936076164245605</v>
      </c>
    </row>
    <row r="6126" spans="2:6">
      <c r="B6126">
        <v>2008</v>
      </c>
      <c r="C6126" t="s">
        <v>74</v>
      </c>
      <c r="D6126" t="s">
        <v>185</v>
      </c>
      <c r="E6126" t="s">
        <v>15</v>
      </c>
      <c r="F6126">
        <v>0.20585381984710693</v>
      </c>
    </row>
    <row r="6127" spans="2:6">
      <c r="B6127">
        <v>2009</v>
      </c>
      <c r="C6127" t="s">
        <v>74</v>
      </c>
      <c r="D6127" t="s">
        <v>185</v>
      </c>
      <c r="E6127" t="s">
        <v>7</v>
      </c>
      <c r="F6127">
        <v>6.0331892967224121</v>
      </c>
    </row>
    <row r="6128" spans="2:6">
      <c r="B6128">
        <v>2009</v>
      </c>
      <c r="C6128" t="s">
        <v>74</v>
      </c>
      <c r="D6128" t="s">
        <v>185</v>
      </c>
      <c r="E6128" t="s">
        <v>8</v>
      </c>
      <c r="F6128">
        <v>8.4738397598266602</v>
      </c>
    </row>
    <row r="6129" spans="2:6">
      <c r="B6129">
        <v>2009</v>
      </c>
      <c r="C6129" t="s">
        <v>74</v>
      </c>
      <c r="D6129" t="s">
        <v>185</v>
      </c>
      <c r="E6129" t="s">
        <v>9</v>
      </c>
      <c r="F6129">
        <v>0.82396608591079712</v>
      </c>
    </row>
    <row r="6130" spans="2:6">
      <c r="B6130">
        <v>2009</v>
      </c>
      <c r="C6130" t="s">
        <v>74</v>
      </c>
      <c r="D6130" t="s">
        <v>185</v>
      </c>
      <c r="E6130" t="s">
        <v>10</v>
      </c>
      <c r="F6130">
        <v>65.260002136230469</v>
      </c>
    </row>
    <row r="6131" spans="2:6">
      <c r="B6131">
        <v>2009</v>
      </c>
      <c r="C6131" t="s">
        <v>74</v>
      </c>
      <c r="D6131" t="s">
        <v>185</v>
      </c>
      <c r="E6131" t="s">
        <v>11</v>
      </c>
      <c r="F6131">
        <v>0.66120278835296631</v>
      </c>
    </row>
    <row r="6132" spans="2:6">
      <c r="B6132">
        <v>2009</v>
      </c>
      <c r="C6132" t="s">
        <v>74</v>
      </c>
      <c r="D6132" t="s">
        <v>185</v>
      </c>
      <c r="E6132" t="s">
        <v>12</v>
      </c>
      <c r="F6132">
        <v>0.11861097067594528</v>
      </c>
    </row>
    <row r="6133" spans="2:6">
      <c r="B6133">
        <v>2009</v>
      </c>
      <c r="C6133" t="s">
        <v>74</v>
      </c>
      <c r="D6133" t="s">
        <v>185</v>
      </c>
      <c r="E6133" t="s">
        <v>13</v>
      </c>
      <c r="F6133">
        <v>0.85673433542251587</v>
      </c>
    </row>
    <row r="6134" spans="2:6">
      <c r="B6134">
        <v>2009</v>
      </c>
      <c r="C6134" t="s">
        <v>74</v>
      </c>
      <c r="D6134" t="s">
        <v>185</v>
      </c>
      <c r="E6134" t="s">
        <v>14</v>
      </c>
      <c r="F6134">
        <v>0.80286592245101929</v>
      </c>
    </row>
    <row r="6135" spans="2:6">
      <c r="B6135">
        <v>2009</v>
      </c>
      <c r="C6135" t="s">
        <v>74</v>
      </c>
      <c r="D6135" t="s">
        <v>185</v>
      </c>
      <c r="E6135" t="s">
        <v>15</v>
      </c>
      <c r="F6135">
        <v>0.2613043487071991</v>
      </c>
    </row>
    <row r="6136" spans="2:6">
      <c r="B6136">
        <v>2010</v>
      </c>
      <c r="C6136" t="s">
        <v>74</v>
      </c>
      <c r="D6136" t="s">
        <v>185</v>
      </c>
      <c r="E6136" t="s">
        <v>7</v>
      </c>
      <c r="F6136">
        <v>5.8661313056945801</v>
      </c>
    </row>
    <row r="6137" spans="2:6">
      <c r="B6137">
        <v>2010</v>
      </c>
      <c r="C6137" t="s">
        <v>74</v>
      </c>
      <c r="D6137" t="s">
        <v>185</v>
      </c>
      <c r="E6137" t="s">
        <v>8</v>
      </c>
      <c r="F6137">
        <v>8.4902276992797852</v>
      </c>
    </row>
    <row r="6138" spans="2:6">
      <c r="B6138">
        <v>2010</v>
      </c>
      <c r="C6138" t="s">
        <v>74</v>
      </c>
      <c r="D6138" t="s">
        <v>185</v>
      </c>
      <c r="E6138" t="s">
        <v>9</v>
      </c>
      <c r="F6138">
        <v>0.80293899774551392</v>
      </c>
    </row>
    <row r="6139" spans="2:6">
      <c r="B6139">
        <v>2010</v>
      </c>
      <c r="C6139" t="s">
        <v>74</v>
      </c>
      <c r="D6139" t="s">
        <v>185</v>
      </c>
      <c r="E6139" t="s">
        <v>10</v>
      </c>
      <c r="F6139">
        <v>65.5</v>
      </c>
    </row>
    <row r="6140" spans="2:6">
      <c r="B6140">
        <v>2010</v>
      </c>
      <c r="C6140" t="s">
        <v>74</v>
      </c>
      <c r="D6140" t="s">
        <v>185</v>
      </c>
      <c r="E6140" t="s">
        <v>11</v>
      </c>
      <c r="F6140">
        <v>0.64552849531173706</v>
      </c>
    </row>
    <row r="6141" spans="2:6">
      <c r="B6141">
        <v>2010</v>
      </c>
      <c r="C6141" t="s">
        <v>74</v>
      </c>
      <c r="D6141" t="s">
        <v>185</v>
      </c>
      <c r="E6141" t="s">
        <v>12</v>
      </c>
      <c r="F6141">
        <v>0.10542243719100952</v>
      </c>
    </row>
    <row r="6142" spans="2:6">
      <c r="B6142">
        <v>2010</v>
      </c>
      <c r="C6142" t="s">
        <v>74</v>
      </c>
      <c r="D6142" t="s">
        <v>185</v>
      </c>
      <c r="E6142" t="s">
        <v>13</v>
      </c>
      <c r="F6142">
        <v>0.81994009017944336</v>
      </c>
    </row>
    <row r="6143" spans="2:6">
      <c r="B6143">
        <v>2010</v>
      </c>
      <c r="C6143" t="s">
        <v>74</v>
      </c>
      <c r="D6143" t="s">
        <v>185</v>
      </c>
      <c r="E6143" t="s">
        <v>14</v>
      </c>
      <c r="F6143">
        <v>0.79651856422424316</v>
      </c>
    </row>
    <row r="6144" spans="2:6">
      <c r="B6144">
        <v>2010</v>
      </c>
      <c r="C6144" t="s">
        <v>74</v>
      </c>
      <c r="D6144" t="s">
        <v>185</v>
      </c>
      <c r="E6144" t="s">
        <v>15</v>
      </c>
      <c r="F6144">
        <v>0.25994625687599182</v>
      </c>
    </row>
    <row r="6145" spans="2:6">
      <c r="B6145">
        <v>2011</v>
      </c>
      <c r="C6145" t="s">
        <v>74</v>
      </c>
      <c r="D6145" t="s">
        <v>185</v>
      </c>
      <c r="E6145" t="s">
        <v>7</v>
      </c>
      <c r="F6145">
        <v>4.961031436920166</v>
      </c>
    </row>
    <row r="6146" spans="2:6">
      <c r="B6146">
        <v>2011</v>
      </c>
      <c r="C6146" t="s">
        <v>74</v>
      </c>
      <c r="D6146" t="s">
        <v>185</v>
      </c>
      <c r="E6146" t="s">
        <v>8</v>
      </c>
      <c r="F6146">
        <v>8.5084352493286133</v>
      </c>
    </row>
    <row r="6147" spans="2:6">
      <c r="B6147">
        <v>2011</v>
      </c>
      <c r="C6147" t="s">
        <v>74</v>
      </c>
      <c r="D6147" t="s">
        <v>185</v>
      </c>
      <c r="E6147" t="s">
        <v>9</v>
      </c>
      <c r="F6147">
        <v>0.76570183038711548</v>
      </c>
    </row>
    <row r="6148" spans="2:6">
      <c r="B6148">
        <v>2011</v>
      </c>
      <c r="C6148" t="s">
        <v>74</v>
      </c>
      <c r="D6148" t="s">
        <v>185</v>
      </c>
      <c r="E6148" t="s">
        <v>10</v>
      </c>
      <c r="F6148">
        <v>65.720001220703125</v>
      </c>
    </row>
    <row r="6149" spans="2:6">
      <c r="B6149">
        <v>2011</v>
      </c>
      <c r="C6149" t="s">
        <v>74</v>
      </c>
      <c r="D6149" t="s">
        <v>185</v>
      </c>
      <c r="E6149" t="s">
        <v>11</v>
      </c>
      <c r="F6149">
        <v>0.78336906433105469</v>
      </c>
    </row>
    <row r="6150" spans="2:6">
      <c r="B6150">
        <v>2011</v>
      </c>
      <c r="C6150" t="s">
        <v>74</v>
      </c>
      <c r="D6150" t="s">
        <v>185</v>
      </c>
      <c r="E6150" t="s">
        <v>12</v>
      </c>
      <c r="F6150">
        <v>9.5479264855384827E-2</v>
      </c>
    </row>
    <row r="6151" spans="2:6">
      <c r="B6151">
        <v>2011</v>
      </c>
      <c r="C6151" t="s">
        <v>74</v>
      </c>
      <c r="D6151" t="s">
        <v>185</v>
      </c>
      <c r="E6151" t="s">
        <v>13</v>
      </c>
      <c r="F6151">
        <v>0.88396316766738892</v>
      </c>
    </row>
    <row r="6152" spans="2:6">
      <c r="B6152">
        <v>2011</v>
      </c>
      <c r="C6152" t="s">
        <v>74</v>
      </c>
      <c r="D6152" t="s">
        <v>185</v>
      </c>
      <c r="E6152" t="s">
        <v>14</v>
      </c>
      <c r="F6152">
        <v>0.81569147109985352</v>
      </c>
    </row>
    <row r="6153" spans="2:6">
      <c r="B6153">
        <v>2011</v>
      </c>
      <c r="C6153" t="s">
        <v>74</v>
      </c>
      <c r="D6153" t="s">
        <v>185</v>
      </c>
      <c r="E6153" t="s">
        <v>15</v>
      </c>
      <c r="F6153">
        <v>0.30747097730636597</v>
      </c>
    </row>
    <row r="6154" spans="2:6">
      <c r="B6154">
        <v>2012</v>
      </c>
      <c r="C6154" t="s">
        <v>74</v>
      </c>
      <c r="D6154" t="s">
        <v>185</v>
      </c>
      <c r="E6154" t="s">
        <v>7</v>
      </c>
      <c r="F6154">
        <v>4.6022181510925293</v>
      </c>
    </row>
    <row r="6155" spans="2:6">
      <c r="B6155">
        <v>2012</v>
      </c>
      <c r="C6155" t="s">
        <v>74</v>
      </c>
      <c r="D6155" t="s">
        <v>185</v>
      </c>
      <c r="E6155" t="s">
        <v>8</v>
      </c>
      <c r="F6155">
        <v>8.5302000045776367</v>
      </c>
    </row>
    <row r="6156" spans="2:6">
      <c r="B6156">
        <v>2012</v>
      </c>
      <c r="C6156" t="s">
        <v>74</v>
      </c>
      <c r="D6156" t="s">
        <v>185</v>
      </c>
      <c r="E6156" t="s">
        <v>9</v>
      </c>
      <c r="F6156">
        <v>0.77919489145278931</v>
      </c>
    </row>
    <row r="6157" spans="2:6">
      <c r="B6157">
        <v>2012</v>
      </c>
      <c r="C6157" t="s">
        <v>74</v>
      </c>
      <c r="D6157" t="s">
        <v>185</v>
      </c>
      <c r="E6157" t="s">
        <v>10</v>
      </c>
      <c r="F6157">
        <v>65.94000244140625</v>
      </c>
    </row>
    <row r="6158" spans="2:6">
      <c r="B6158">
        <v>2012</v>
      </c>
      <c r="C6158" t="s">
        <v>74</v>
      </c>
      <c r="D6158" t="s">
        <v>185</v>
      </c>
      <c r="E6158" t="s">
        <v>11</v>
      </c>
      <c r="F6158">
        <v>0.70045208930969238</v>
      </c>
    </row>
    <row r="6159" spans="2:6">
      <c r="B6159">
        <v>2012</v>
      </c>
      <c r="C6159" t="s">
        <v>74</v>
      </c>
      <c r="D6159" t="s">
        <v>185</v>
      </c>
      <c r="E6159" t="s">
        <v>12</v>
      </c>
      <c r="F6159">
        <v>-3.2065093982964754E-3</v>
      </c>
    </row>
    <row r="6160" spans="2:6">
      <c r="B6160">
        <v>2012</v>
      </c>
      <c r="C6160" t="s">
        <v>74</v>
      </c>
      <c r="D6160" t="s">
        <v>185</v>
      </c>
      <c r="E6160" t="s">
        <v>13</v>
      </c>
      <c r="F6160">
        <v>0.87143713235855103</v>
      </c>
    </row>
    <row r="6161" spans="2:6">
      <c r="B6161">
        <v>2012</v>
      </c>
      <c r="C6161" t="s">
        <v>74</v>
      </c>
      <c r="D6161" t="s">
        <v>185</v>
      </c>
      <c r="E6161" t="s">
        <v>14</v>
      </c>
      <c r="F6161">
        <v>0.84651035070419312</v>
      </c>
    </row>
    <row r="6162" spans="2:6">
      <c r="B6162">
        <v>2012</v>
      </c>
      <c r="C6162" t="s">
        <v>74</v>
      </c>
      <c r="D6162" t="s">
        <v>185</v>
      </c>
      <c r="E6162" t="s">
        <v>15</v>
      </c>
      <c r="F6162">
        <v>0.29359126091003418</v>
      </c>
    </row>
    <row r="6163" spans="2:6">
      <c r="B6163">
        <v>2013</v>
      </c>
      <c r="C6163" t="s">
        <v>74</v>
      </c>
      <c r="D6163" t="s">
        <v>185</v>
      </c>
      <c r="E6163" t="s">
        <v>7</v>
      </c>
      <c r="F6163">
        <v>4.7133584022521973</v>
      </c>
    </row>
    <row r="6164" spans="2:6">
      <c r="B6164">
        <v>2013</v>
      </c>
      <c r="C6164" t="s">
        <v>74</v>
      </c>
      <c r="D6164" t="s">
        <v>185</v>
      </c>
      <c r="E6164" t="s">
        <v>8</v>
      </c>
      <c r="F6164">
        <v>8.5396318435668945</v>
      </c>
    </row>
    <row r="6165" spans="2:6">
      <c r="B6165">
        <v>2013</v>
      </c>
      <c r="C6165" t="s">
        <v>74</v>
      </c>
      <c r="D6165" t="s">
        <v>185</v>
      </c>
      <c r="E6165" t="s">
        <v>9</v>
      </c>
      <c r="F6165">
        <v>0.79196023941040039</v>
      </c>
    </row>
    <row r="6166" spans="2:6">
      <c r="B6166">
        <v>2013</v>
      </c>
      <c r="C6166" t="s">
        <v>74</v>
      </c>
      <c r="D6166" t="s">
        <v>185</v>
      </c>
      <c r="E6166" t="s">
        <v>10</v>
      </c>
      <c r="F6166">
        <v>66.160003662109375</v>
      </c>
    </row>
    <row r="6167" spans="2:6">
      <c r="B6167">
        <v>2013</v>
      </c>
      <c r="C6167" t="s">
        <v>74</v>
      </c>
      <c r="D6167" t="s">
        <v>185</v>
      </c>
      <c r="E6167" t="s">
        <v>11</v>
      </c>
      <c r="F6167">
        <v>0.69840037822723389</v>
      </c>
    </row>
    <row r="6168" spans="2:6">
      <c r="B6168">
        <v>2013</v>
      </c>
      <c r="C6168" t="s">
        <v>74</v>
      </c>
      <c r="D6168" t="s">
        <v>185</v>
      </c>
      <c r="E6168" t="s">
        <v>12</v>
      </c>
      <c r="F6168">
        <v>-2.7216285467147827E-2</v>
      </c>
    </row>
    <row r="6169" spans="2:6">
      <c r="B6169">
        <v>2013</v>
      </c>
      <c r="C6169" t="s">
        <v>74</v>
      </c>
      <c r="D6169" t="s">
        <v>185</v>
      </c>
      <c r="E6169" t="s">
        <v>13</v>
      </c>
      <c r="F6169">
        <v>0.86769974231719971</v>
      </c>
    </row>
    <row r="6170" spans="2:6">
      <c r="B6170">
        <v>2013</v>
      </c>
      <c r="C6170" t="s">
        <v>74</v>
      </c>
      <c r="D6170" t="s">
        <v>185</v>
      </c>
      <c r="E6170" t="s">
        <v>14</v>
      </c>
      <c r="F6170">
        <v>0.81651854515075684</v>
      </c>
    </row>
    <row r="6171" spans="2:6">
      <c r="B6171">
        <v>2013</v>
      </c>
      <c r="C6171" t="s">
        <v>74</v>
      </c>
      <c r="D6171" t="s">
        <v>185</v>
      </c>
      <c r="E6171" t="s">
        <v>15</v>
      </c>
      <c r="F6171">
        <v>0.28328132629394531</v>
      </c>
    </row>
    <row r="6172" spans="2:6">
      <c r="B6172">
        <v>2014</v>
      </c>
      <c r="C6172" t="s">
        <v>74</v>
      </c>
      <c r="D6172" t="s">
        <v>185</v>
      </c>
      <c r="E6172" t="s">
        <v>7</v>
      </c>
      <c r="F6172">
        <v>5.0557260513305664</v>
      </c>
    </row>
    <row r="6173" spans="2:6">
      <c r="B6173">
        <v>2014</v>
      </c>
      <c r="C6173" t="s">
        <v>74</v>
      </c>
      <c r="D6173" t="s">
        <v>185</v>
      </c>
      <c r="E6173" t="s">
        <v>8</v>
      </c>
      <c r="F6173">
        <v>8.5520601272583008</v>
      </c>
    </row>
    <row r="6174" spans="2:6">
      <c r="B6174">
        <v>2014</v>
      </c>
      <c r="C6174" t="s">
        <v>74</v>
      </c>
      <c r="D6174" t="s">
        <v>185</v>
      </c>
      <c r="E6174" t="s">
        <v>9</v>
      </c>
      <c r="F6174">
        <v>0.79021453857421875</v>
      </c>
    </row>
    <row r="6175" spans="2:6">
      <c r="B6175">
        <v>2014</v>
      </c>
      <c r="C6175" t="s">
        <v>74</v>
      </c>
      <c r="D6175" t="s">
        <v>185</v>
      </c>
      <c r="E6175" t="s">
        <v>10</v>
      </c>
      <c r="F6175">
        <v>66.379997253417969</v>
      </c>
    </row>
    <row r="6176" spans="2:6">
      <c r="B6176">
        <v>2014</v>
      </c>
      <c r="C6176" t="s">
        <v>74</v>
      </c>
      <c r="D6176" t="s">
        <v>185</v>
      </c>
      <c r="E6176" t="s">
        <v>11</v>
      </c>
      <c r="F6176">
        <v>0.69598257541656494</v>
      </c>
    </row>
    <row r="6177" spans="2:6">
      <c r="B6177">
        <v>2014</v>
      </c>
      <c r="C6177" t="s">
        <v>74</v>
      </c>
      <c r="D6177" t="s">
        <v>185</v>
      </c>
      <c r="E6177" t="s">
        <v>12</v>
      </c>
      <c r="F6177">
        <v>1.508035883307457E-2</v>
      </c>
    </row>
    <row r="6178" spans="2:6">
      <c r="B6178">
        <v>2014</v>
      </c>
      <c r="C6178" t="s">
        <v>74</v>
      </c>
      <c r="D6178" t="s">
        <v>185</v>
      </c>
      <c r="E6178" t="s">
        <v>13</v>
      </c>
      <c r="F6178">
        <v>0.8343501091003418</v>
      </c>
    </row>
    <row r="6179" spans="2:6">
      <c r="B6179">
        <v>2014</v>
      </c>
      <c r="C6179" t="s">
        <v>74</v>
      </c>
      <c r="D6179" t="s">
        <v>185</v>
      </c>
      <c r="E6179" t="s">
        <v>14</v>
      </c>
      <c r="F6179">
        <v>0.82018440961837769</v>
      </c>
    </row>
    <row r="6180" spans="2:6">
      <c r="B6180">
        <v>2014</v>
      </c>
      <c r="C6180" t="s">
        <v>74</v>
      </c>
      <c r="D6180" t="s">
        <v>185</v>
      </c>
      <c r="E6180" t="s">
        <v>15</v>
      </c>
      <c r="F6180">
        <v>0.29938849806785583</v>
      </c>
    </row>
    <row r="6181" spans="2:6">
      <c r="B6181">
        <v>2015</v>
      </c>
      <c r="C6181" t="s">
        <v>74</v>
      </c>
      <c r="D6181" t="s">
        <v>185</v>
      </c>
      <c r="E6181" t="s">
        <v>7</v>
      </c>
      <c r="F6181">
        <v>4.8454365730285645</v>
      </c>
    </row>
    <row r="6182" spans="2:6">
      <c r="B6182">
        <v>2015</v>
      </c>
      <c r="C6182" t="s">
        <v>74</v>
      </c>
      <c r="D6182" t="s">
        <v>185</v>
      </c>
      <c r="E6182" t="s">
        <v>8</v>
      </c>
      <c r="F6182">
        <v>8.57232666015625</v>
      </c>
    </row>
    <row r="6183" spans="2:6">
      <c r="B6183">
        <v>2015</v>
      </c>
      <c r="C6183" t="s">
        <v>74</v>
      </c>
      <c r="D6183" t="s">
        <v>185</v>
      </c>
      <c r="E6183" t="s">
        <v>9</v>
      </c>
      <c r="F6183">
        <v>0.77237552404403687</v>
      </c>
    </row>
    <row r="6184" spans="2:6">
      <c r="B6184">
        <v>2015</v>
      </c>
      <c r="C6184" t="s">
        <v>74</v>
      </c>
      <c r="D6184" t="s">
        <v>185</v>
      </c>
      <c r="E6184" t="s">
        <v>10</v>
      </c>
      <c r="F6184">
        <v>66.599998474121094</v>
      </c>
    </row>
    <row r="6185" spans="2:6">
      <c r="B6185">
        <v>2015</v>
      </c>
      <c r="C6185" t="s">
        <v>74</v>
      </c>
      <c r="D6185" t="s">
        <v>185</v>
      </c>
      <c r="E6185" t="s">
        <v>11</v>
      </c>
      <c r="F6185">
        <v>0.53405767679214478</v>
      </c>
    </row>
    <row r="6186" spans="2:6">
      <c r="B6186">
        <v>2015</v>
      </c>
      <c r="C6186" t="s">
        <v>74</v>
      </c>
      <c r="D6186" t="s">
        <v>185</v>
      </c>
      <c r="E6186" t="s">
        <v>12</v>
      </c>
      <c r="F6186">
        <v>-9.6824087202548981E-2</v>
      </c>
    </row>
    <row r="6187" spans="2:6">
      <c r="B6187">
        <v>2015</v>
      </c>
      <c r="C6187" t="s">
        <v>74</v>
      </c>
      <c r="D6187" t="s">
        <v>185</v>
      </c>
      <c r="E6187" t="s">
        <v>13</v>
      </c>
      <c r="F6187">
        <v>0.84808272123336792</v>
      </c>
    </row>
    <row r="6188" spans="2:6">
      <c r="B6188">
        <v>2015</v>
      </c>
      <c r="C6188" t="s">
        <v>74</v>
      </c>
      <c r="D6188" t="s">
        <v>185</v>
      </c>
      <c r="E6188" t="s">
        <v>14</v>
      </c>
      <c r="F6188">
        <v>0.86283659934997559</v>
      </c>
    </row>
    <row r="6189" spans="2:6">
      <c r="B6189">
        <v>2015</v>
      </c>
      <c r="C6189" t="s">
        <v>74</v>
      </c>
      <c r="D6189" t="s">
        <v>185</v>
      </c>
      <c r="E6189" t="s">
        <v>15</v>
      </c>
      <c r="F6189">
        <v>0.31076616048812866</v>
      </c>
    </row>
    <row r="6190" spans="2:6">
      <c r="B6190">
        <v>2016</v>
      </c>
      <c r="C6190" t="s">
        <v>74</v>
      </c>
      <c r="D6190" t="s">
        <v>185</v>
      </c>
      <c r="E6190" t="s">
        <v>7</v>
      </c>
      <c r="F6190">
        <v>5.6481547355651855</v>
      </c>
    </row>
    <row r="6191" spans="2:6">
      <c r="B6191">
        <v>2016</v>
      </c>
      <c r="C6191" t="s">
        <v>74</v>
      </c>
      <c r="D6191" t="s">
        <v>185</v>
      </c>
      <c r="E6191" t="s">
        <v>8</v>
      </c>
      <c r="F6191">
        <v>8.5933418273925781</v>
      </c>
    </row>
    <row r="6192" spans="2:6">
      <c r="B6192">
        <v>2016</v>
      </c>
      <c r="C6192" t="s">
        <v>74</v>
      </c>
      <c r="D6192" t="s">
        <v>185</v>
      </c>
      <c r="E6192" t="s">
        <v>9</v>
      </c>
      <c r="F6192">
        <v>0.77390998601913452</v>
      </c>
    </row>
    <row r="6193" spans="2:6">
      <c r="B6193">
        <v>2016</v>
      </c>
      <c r="C6193" t="s">
        <v>74</v>
      </c>
      <c r="D6193" t="s">
        <v>185</v>
      </c>
      <c r="E6193" t="s">
        <v>10</v>
      </c>
      <c r="F6193">
        <v>66.800003051757813</v>
      </c>
    </row>
    <row r="6194" spans="2:6">
      <c r="B6194">
        <v>2016</v>
      </c>
      <c r="C6194" t="s">
        <v>74</v>
      </c>
      <c r="D6194" t="s">
        <v>185</v>
      </c>
      <c r="E6194" t="s">
        <v>11</v>
      </c>
      <c r="F6194">
        <v>0.85004669427871704</v>
      </c>
    </row>
    <row r="6195" spans="2:6">
      <c r="B6195">
        <v>2016</v>
      </c>
      <c r="C6195" t="s">
        <v>74</v>
      </c>
      <c r="D6195" t="s">
        <v>185</v>
      </c>
      <c r="E6195" t="s">
        <v>12</v>
      </c>
      <c r="F6195">
        <v>8.0017179250717163E-2</v>
      </c>
    </row>
    <row r="6196" spans="2:6">
      <c r="B6196">
        <v>2016</v>
      </c>
      <c r="C6196" t="s">
        <v>74</v>
      </c>
      <c r="D6196" t="s">
        <v>185</v>
      </c>
      <c r="E6196" t="s">
        <v>13</v>
      </c>
      <c r="F6196">
        <v>0.79287517070770264</v>
      </c>
    </row>
    <row r="6197" spans="2:6">
      <c r="B6197">
        <v>2016</v>
      </c>
      <c r="C6197" t="s">
        <v>74</v>
      </c>
      <c r="D6197" t="s">
        <v>185</v>
      </c>
      <c r="E6197" t="s">
        <v>14</v>
      </c>
      <c r="F6197">
        <v>0.8323967456817627</v>
      </c>
    </row>
    <row r="6198" spans="2:6">
      <c r="B6198">
        <v>2016</v>
      </c>
      <c r="C6198" t="s">
        <v>74</v>
      </c>
      <c r="D6198" t="s">
        <v>185</v>
      </c>
      <c r="E6198" t="s">
        <v>15</v>
      </c>
      <c r="F6198">
        <v>0.29684668779373169</v>
      </c>
    </row>
    <row r="6199" spans="2:6">
      <c r="B6199">
        <v>2017</v>
      </c>
      <c r="C6199" t="s">
        <v>74</v>
      </c>
      <c r="D6199" t="s">
        <v>185</v>
      </c>
      <c r="E6199" t="s">
        <v>7</v>
      </c>
      <c r="F6199">
        <v>6.0199856758117676</v>
      </c>
    </row>
    <row r="6200" spans="2:6">
      <c r="B6200">
        <v>2017</v>
      </c>
      <c r="C6200" t="s">
        <v>74</v>
      </c>
      <c r="D6200" t="s">
        <v>185</v>
      </c>
      <c r="E6200" t="s">
        <v>8</v>
      </c>
      <c r="F6200">
        <v>8.6237125396728516</v>
      </c>
    </row>
    <row r="6201" spans="2:6">
      <c r="B6201">
        <v>2017</v>
      </c>
      <c r="C6201" t="s">
        <v>74</v>
      </c>
      <c r="D6201" t="s">
        <v>185</v>
      </c>
      <c r="E6201" t="s">
        <v>9</v>
      </c>
      <c r="F6201">
        <v>0.84335494041442871</v>
      </c>
    </row>
    <row r="6202" spans="2:6">
      <c r="B6202">
        <v>2017</v>
      </c>
      <c r="C6202" t="s">
        <v>74</v>
      </c>
      <c r="D6202" t="s">
        <v>185</v>
      </c>
      <c r="E6202" t="s">
        <v>10</v>
      </c>
      <c r="F6202">
        <v>67</v>
      </c>
    </row>
    <row r="6203" spans="2:6">
      <c r="B6203">
        <v>2017</v>
      </c>
      <c r="C6203" t="s">
        <v>74</v>
      </c>
      <c r="D6203" t="s">
        <v>185</v>
      </c>
      <c r="E6203" t="s">
        <v>11</v>
      </c>
      <c r="F6203">
        <v>0.89837741851806641</v>
      </c>
    </row>
    <row r="6204" spans="2:6">
      <c r="B6204">
        <v>2017</v>
      </c>
      <c r="C6204" t="s">
        <v>74</v>
      </c>
      <c r="D6204" t="s">
        <v>185</v>
      </c>
      <c r="E6204" t="s">
        <v>12</v>
      </c>
      <c r="F6204">
        <v>7.2136424481868744E-2</v>
      </c>
    </row>
    <row r="6205" spans="2:6">
      <c r="B6205">
        <v>2017</v>
      </c>
      <c r="C6205" t="s">
        <v>74</v>
      </c>
      <c r="D6205" t="s">
        <v>185</v>
      </c>
      <c r="E6205" t="s">
        <v>13</v>
      </c>
      <c r="F6205">
        <v>0.78342944383621216</v>
      </c>
    </row>
    <row r="6206" spans="2:6">
      <c r="B6206">
        <v>2017</v>
      </c>
      <c r="C6206" t="s">
        <v>74</v>
      </c>
      <c r="D6206" t="s">
        <v>185</v>
      </c>
      <c r="E6206" t="s">
        <v>14</v>
      </c>
      <c r="F6206">
        <v>0.84220093488693237</v>
      </c>
    </row>
    <row r="6207" spans="2:6">
      <c r="B6207">
        <v>2017</v>
      </c>
      <c r="C6207" t="s">
        <v>74</v>
      </c>
      <c r="D6207" t="s">
        <v>185</v>
      </c>
      <c r="E6207" t="s">
        <v>15</v>
      </c>
      <c r="F6207">
        <v>0.24838334321975708</v>
      </c>
    </row>
    <row r="6208" spans="2:6">
      <c r="B6208">
        <v>2018</v>
      </c>
      <c r="C6208" t="s">
        <v>74</v>
      </c>
      <c r="D6208" t="s">
        <v>185</v>
      </c>
      <c r="E6208" t="s">
        <v>7</v>
      </c>
      <c r="F6208">
        <v>5.908423900604248</v>
      </c>
    </row>
    <row r="6209" spans="2:6">
      <c r="B6209">
        <v>2018</v>
      </c>
      <c r="C6209" t="s">
        <v>74</v>
      </c>
      <c r="D6209" t="s">
        <v>185</v>
      </c>
      <c r="E6209" t="s">
        <v>8</v>
      </c>
      <c r="F6209">
        <v>8.6433420181274414</v>
      </c>
    </row>
    <row r="6210" spans="2:6">
      <c r="B6210">
        <v>2018</v>
      </c>
      <c r="C6210" t="s">
        <v>74</v>
      </c>
      <c r="D6210" t="s">
        <v>185</v>
      </c>
      <c r="E6210" t="s">
        <v>9</v>
      </c>
      <c r="F6210">
        <v>0.82706701755523682</v>
      </c>
    </row>
    <row r="6211" spans="2:6">
      <c r="B6211">
        <v>2018</v>
      </c>
      <c r="C6211" t="s">
        <v>74</v>
      </c>
      <c r="D6211" t="s">
        <v>185</v>
      </c>
      <c r="E6211" t="s">
        <v>10</v>
      </c>
      <c r="F6211">
        <v>67.199996948242188</v>
      </c>
    </row>
    <row r="6212" spans="2:6">
      <c r="B6212">
        <v>2018</v>
      </c>
      <c r="C6212" t="s">
        <v>74</v>
      </c>
      <c r="D6212" t="s">
        <v>185</v>
      </c>
      <c r="E6212" t="s">
        <v>11</v>
      </c>
      <c r="F6212">
        <v>0.87216168642044067</v>
      </c>
    </row>
    <row r="6213" spans="2:6">
      <c r="B6213">
        <v>2018</v>
      </c>
      <c r="C6213" t="s">
        <v>74</v>
      </c>
      <c r="D6213" t="s">
        <v>185</v>
      </c>
      <c r="E6213" t="s">
        <v>12</v>
      </c>
      <c r="F6213">
        <v>9.9210202693939209E-2</v>
      </c>
    </row>
    <row r="6214" spans="2:6">
      <c r="B6214">
        <v>2018</v>
      </c>
      <c r="C6214" t="s">
        <v>74</v>
      </c>
      <c r="D6214" t="s">
        <v>185</v>
      </c>
      <c r="E6214" t="s">
        <v>13</v>
      </c>
      <c r="F6214">
        <v>0.80356478691101074</v>
      </c>
    </row>
    <row r="6215" spans="2:6">
      <c r="B6215">
        <v>2018</v>
      </c>
      <c r="C6215" t="s">
        <v>74</v>
      </c>
      <c r="D6215" t="s">
        <v>185</v>
      </c>
      <c r="E6215" t="s">
        <v>14</v>
      </c>
      <c r="F6215">
        <v>0.87184464931488037</v>
      </c>
    </row>
    <row r="6216" spans="2:6">
      <c r="B6216">
        <v>2018</v>
      </c>
      <c r="C6216" t="s">
        <v>74</v>
      </c>
      <c r="D6216" t="s">
        <v>185</v>
      </c>
      <c r="E6216" t="s">
        <v>15</v>
      </c>
      <c r="F6216">
        <v>0.28735789656639099</v>
      </c>
    </row>
    <row r="6217" spans="2:6">
      <c r="B6217">
        <v>2019</v>
      </c>
      <c r="C6217" t="s">
        <v>74</v>
      </c>
      <c r="D6217" t="s">
        <v>185</v>
      </c>
      <c r="E6217" t="s">
        <v>7</v>
      </c>
      <c r="F6217">
        <v>5.930051326751709</v>
      </c>
    </row>
    <row r="6218" spans="2:6">
      <c r="B6218">
        <v>2019</v>
      </c>
      <c r="C6218" t="s">
        <v>74</v>
      </c>
      <c r="D6218" t="s">
        <v>185</v>
      </c>
      <c r="E6218" t="s">
        <v>8</v>
      </c>
      <c r="F6218">
        <v>8.6531171798706055</v>
      </c>
    </row>
    <row r="6219" spans="2:6">
      <c r="B6219">
        <v>2019</v>
      </c>
      <c r="C6219" t="s">
        <v>74</v>
      </c>
      <c r="D6219" t="s">
        <v>185</v>
      </c>
      <c r="E6219" t="s">
        <v>9</v>
      </c>
      <c r="F6219">
        <v>0.79714834690093994</v>
      </c>
    </row>
    <row r="6220" spans="2:6">
      <c r="B6220">
        <v>2019</v>
      </c>
      <c r="C6220" t="s">
        <v>74</v>
      </c>
      <c r="D6220" t="s">
        <v>185</v>
      </c>
      <c r="E6220" t="s">
        <v>10</v>
      </c>
      <c r="F6220">
        <v>67.400001525878906</v>
      </c>
    </row>
    <row r="6221" spans="2:6">
      <c r="B6221">
        <v>2019</v>
      </c>
      <c r="C6221" t="s">
        <v>74</v>
      </c>
      <c r="D6221" t="s">
        <v>185</v>
      </c>
      <c r="E6221" t="s">
        <v>11</v>
      </c>
      <c r="F6221">
        <v>0.84619003534317017</v>
      </c>
    </row>
    <row r="6222" spans="2:6">
      <c r="B6222">
        <v>2019</v>
      </c>
      <c r="C6222" t="s">
        <v>74</v>
      </c>
      <c r="D6222" t="s">
        <v>185</v>
      </c>
      <c r="E6222" t="s">
        <v>12</v>
      </c>
      <c r="F6222">
        <v>6.2708921730518341E-2</v>
      </c>
    </row>
    <row r="6223" spans="2:6">
      <c r="B6223">
        <v>2019</v>
      </c>
      <c r="C6223" t="s">
        <v>74</v>
      </c>
      <c r="D6223" t="s">
        <v>185</v>
      </c>
      <c r="E6223" t="s">
        <v>13</v>
      </c>
      <c r="F6223">
        <v>0.81496292352676392</v>
      </c>
    </row>
    <row r="6224" spans="2:6">
      <c r="B6224">
        <v>2019</v>
      </c>
      <c r="C6224" t="s">
        <v>74</v>
      </c>
      <c r="D6224" t="s">
        <v>185</v>
      </c>
      <c r="E6224" t="s">
        <v>14</v>
      </c>
      <c r="F6224">
        <v>0.84995496273040771</v>
      </c>
    </row>
    <row r="6225" spans="2:6">
      <c r="B6225">
        <v>2019</v>
      </c>
      <c r="C6225" t="s">
        <v>74</v>
      </c>
      <c r="D6225" t="s">
        <v>185</v>
      </c>
      <c r="E6225" t="s">
        <v>15</v>
      </c>
      <c r="F6225">
        <v>0.27888208627700806</v>
      </c>
    </row>
    <row r="6226" spans="2:6">
      <c r="B6226">
        <v>2006</v>
      </c>
      <c r="C6226" t="s">
        <v>75</v>
      </c>
      <c r="D6226" t="s">
        <v>182</v>
      </c>
      <c r="E6226" t="s">
        <v>7</v>
      </c>
      <c r="F6226">
        <v>5.5111870765686035</v>
      </c>
    </row>
    <row r="6227" spans="2:6">
      <c r="B6227">
        <v>2006</v>
      </c>
      <c r="C6227" t="s">
        <v>75</v>
      </c>
      <c r="D6227" t="s">
        <v>182</v>
      </c>
      <c r="E6227" t="s">
        <v>8</v>
      </c>
      <c r="F6227">
        <v>10.746424674987793</v>
      </c>
    </row>
    <row r="6228" spans="2:6">
      <c r="B6228">
        <v>2006</v>
      </c>
      <c r="C6228" t="s">
        <v>75</v>
      </c>
      <c r="D6228" t="s">
        <v>182</v>
      </c>
      <c r="E6228" t="s">
        <v>9</v>
      </c>
      <c r="F6228">
        <v>0.81217771768569946</v>
      </c>
    </row>
    <row r="6229" spans="2:6">
      <c r="B6229">
        <v>2006</v>
      </c>
      <c r="C6229" t="s">
        <v>75</v>
      </c>
      <c r="D6229" t="s">
        <v>182</v>
      </c>
      <c r="E6229" t="s">
        <v>11</v>
      </c>
      <c r="F6229">
        <v>0.9098200798034668</v>
      </c>
    </row>
    <row r="6230" spans="2:6">
      <c r="B6230">
        <v>2006</v>
      </c>
      <c r="C6230" t="s">
        <v>75</v>
      </c>
      <c r="D6230" t="s">
        <v>182</v>
      </c>
      <c r="E6230" t="s">
        <v>12</v>
      </c>
      <c r="F6230">
        <v>0.15556690096855164</v>
      </c>
    </row>
    <row r="6231" spans="2:6">
      <c r="B6231">
        <v>2006</v>
      </c>
      <c r="C6231" t="s">
        <v>75</v>
      </c>
      <c r="D6231" t="s">
        <v>182</v>
      </c>
      <c r="E6231" t="s">
        <v>13</v>
      </c>
      <c r="F6231">
        <v>0.35598480701446533</v>
      </c>
    </row>
    <row r="6232" spans="2:6">
      <c r="B6232">
        <v>2006</v>
      </c>
      <c r="C6232" t="s">
        <v>75</v>
      </c>
      <c r="D6232" t="s">
        <v>182</v>
      </c>
      <c r="E6232" t="s">
        <v>14</v>
      </c>
      <c r="F6232">
        <v>0.72326010465621948</v>
      </c>
    </row>
    <row r="6233" spans="2:6">
      <c r="B6233">
        <v>2006</v>
      </c>
      <c r="C6233" t="s">
        <v>75</v>
      </c>
      <c r="D6233" t="s">
        <v>182</v>
      </c>
      <c r="E6233" t="s">
        <v>15</v>
      </c>
      <c r="F6233">
        <v>0.23595541715621948</v>
      </c>
    </row>
    <row r="6234" spans="2:6">
      <c r="B6234">
        <v>2008</v>
      </c>
      <c r="C6234" t="s">
        <v>75</v>
      </c>
      <c r="D6234" t="s">
        <v>182</v>
      </c>
      <c r="E6234" t="s">
        <v>7</v>
      </c>
      <c r="F6234">
        <v>5.1372618675231934</v>
      </c>
    </row>
    <row r="6235" spans="2:6">
      <c r="B6235">
        <v>2008</v>
      </c>
      <c r="C6235" t="s">
        <v>75</v>
      </c>
      <c r="D6235" t="s">
        <v>182</v>
      </c>
      <c r="E6235" t="s">
        <v>8</v>
      </c>
      <c r="F6235">
        <v>10.815545082092285</v>
      </c>
    </row>
    <row r="6236" spans="2:6">
      <c r="B6236">
        <v>2008</v>
      </c>
      <c r="C6236" t="s">
        <v>75</v>
      </c>
      <c r="D6236" t="s">
        <v>182</v>
      </c>
      <c r="E6236" t="s">
        <v>9</v>
      </c>
      <c r="F6236">
        <v>0.84022241830825806</v>
      </c>
    </row>
    <row r="6237" spans="2:6">
      <c r="B6237">
        <v>2008</v>
      </c>
      <c r="C6237" t="s">
        <v>75</v>
      </c>
      <c r="D6237" t="s">
        <v>182</v>
      </c>
      <c r="E6237" t="s">
        <v>11</v>
      </c>
      <c r="F6237">
        <v>0.92221128940582275</v>
      </c>
    </row>
    <row r="6238" spans="2:6">
      <c r="B6238">
        <v>2008</v>
      </c>
      <c r="C6238" t="s">
        <v>75</v>
      </c>
      <c r="D6238" t="s">
        <v>182</v>
      </c>
      <c r="E6238" t="s">
        <v>12</v>
      </c>
      <c r="F6238">
        <v>0.29626816511154175</v>
      </c>
    </row>
    <row r="6239" spans="2:6">
      <c r="B6239">
        <v>2008</v>
      </c>
      <c r="C6239" t="s">
        <v>75</v>
      </c>
      <c r="D6239" t="s">
        <v>182</v>
      </c>
      <c r="E6239" t="s">
        <v>13</v>
      </c>
      <c r="F6239">
        <v>0.27394506335258484</v>
      </c>
    </row>
    <row r="6240" spans="2:6">
      <c r="B6240">
        <v>2008</v>
      </c>
      <c r="C6240" t="s">
        <v>75</v>
      </c>
      <c r="D6240" t="s">
        <v>182</v>
      </c>
      <c r="E6240" t="s">
        <v>14</v>
      </c>
      <c r="F6240">
        <v>0.71897214651107788</v>
      </c>
    </row>
    <row r="6241" spans="2:6">
      <c r="B6241">
        <v>2008</v>
      </c>
      <c r="C6241" t="s">
        <v>75</v>
      </c>
      <c r="D6241" t="s">
        <v>182</v>
      </c>
      <c r="E6241" t="s">
        <v>15</v>
      </c>
      <c r="F6241">
        <v>0.23663444817066193</v>
      </c>
    </row>
    <row r="6242" spans="2:6">
      <c r="B6242">
        <v>2009</v>
      </c>
      <c r="C6242" t="s">
        <v>75</v>
      </c>
      <c r="D6242" t="s">
        <v>182</v>
      </c>
      <c r="E6242" t="s">
        <v>7</v>
      </c>
      <c r="F6242">
        <v>5.3970556259155273</v>
      </c>
    </row>
    <row r="6243" spans="2:6">
      <c r="B6243">
        <v>2009</v>
      </c>
      <c r="C6243" t="s">
        <v>75</v>
      </c>
      <c r="D6243" t="s">
        <v>182</v>
      </c>
      <c r="E6243" t="s">
        <v>8</v>
      </c>
      <c r="F6243">
        <v>10.788494110107422</v>
      </c>
    </row>
    <row r="6244" spans="2:6">
      <c r="B6244">
        <v>2009</v>
      </c>
      <c r="C6244" t="s">
        <v>75</v>
      </c>
      <c r="D6244" t="s">
        <v>182</v>
      </c>
      <c r="E6244" t="s">
        <v>9</v>
      </c>
      <c r="F6244">
        <v>0.83471572399139404</v>
      </c>
    </row>
    <row r="6245" spans="2:6">
      <c r="B6245">
        <v>2009</v>
      </c>
      <c r="C6245" t="s">
        <v>75</v>
      </c>
      <c r="D6245" t="s">
        <v>182</v>
      </c>
      <c r="E6245" t="s">
        <v>11</v>
      </c>
      <c r="F6245">
        <v>0.91802632808685303</v>
      </c>
    </row>
    <row r="6246" spans="2:6">
      <c r="B6246">
        <v>2009</v>
      </c>
      <c r="C6246" t="s">
        <v>75</v>
      </c>
      <c r="D6246" t="s">
        <v>182</v>
      </c>
      <c r="E6246" t="s">
        <v>12</v>
      </c>
      <c r="F6246">
        <v>0.30763772130012512</v>
      </c>
    </row>
    <row r="6247" spans="2:6">
      <c r="B6247">
        <v>2009</v>
      </c>
      <c r="C6247" t="s">
        <v>75</v>
      </c>
      <c r="D6247" t="s">
        <v>182</v>
      </c>
      <c r="E6247" t="s">
        <v>13</v>
      </c>
      <c r="F6247">
        <v>0.27212470769882202</v>
      </c>
    </row>
    <row r="6248" spans="2:6">
      <c r="B6248">
        <v>2009</v>
      </c>
      <c r="C6248" t="s">
        <v>75</v>
      </c>
      <c r="D6248" t="s">
        <v>182</v>
      </c>
      <c r="E6248" t="s">
        <v>14</v>
      </c>
      <c r="F6248">
        <v>0.76215070486068726</v>
      </c>
    </row>
    <row r="6249" spans="2:6">
      <c r="B6249">
        <v>2009</v>
      </c>
      <c r="C6249" t="s">
        <v>75</v>
      </c>
      <c r="D6249" t="s">
        <v>182</v>
      </c>
      <c r="E6249" t="s">
        <v>15</v>
      </c>
      <c r="F6249">
        <v>0.21010421216487885</v>
      </c>
    </row>
    <row r="6250" spans="2:6">
      <c r="B6250">
        <v>2010</v>
      </c>
      <c r="C6250" t="s">
        <v>75</v>
      </c>
      <c r="D6250" t="s">
        <v>182</v>
      </c>
      <c r="E6250" t="s">
        <v>7</v>
      </c>
      <c r="F6250">
        <v>5.6428346633911133</v>
      </c>
    </row>
    <row r="6251" spans="2:6">
      <c r="B6251">
        <v>2010</v>
      </c>
      <c r="C6251" t="s">
        <v>75</v>
      </c>
      <c r="D6251" t="s">
        <v>182</v>
      </c>
      <c r="E6251" t="s">
        <v>8</v>
      </c>
      <c r="F6251">
        <v>10.846633911132813</v>
      </c>
    </row>
    <row r="6252" spans="2:6">
      <c r="B6252">
        <v>2010</v>
      </c>
      <c r="C6252" t="s">
        <v>75</v>
      </c>
      <c r="D6252" t="s">
        <v>182</v>
      </c>
      <c r="E6252" t="s">
        <v>9</v>
      </c>
      <c r="F6252">
        <v>0.85731440782546997</v>
      </c>
    </row>
    <row r="6253" spans="2:6">
      <c r="B6253">
        <v>2010</v>
      </c>
      <c r="C6253" t="s">
        <v>75</v>
      </c>
      <c r="D6253" t="s">
        <v>182</v>
      </c>
      <c r="E6253" t="s">
        <v>11</v>
      </c>
      <c r="F6253">
        <v>0.89041769504547119</v>
      </c>
    </row>
    <row r="6254" spans="2:6">
      <c r="B6254">
        <v>2010</v>
      </c>
      <c r="C6254" t="s">
        <v>75</v>
      </c>
      <c r="D6254" t="s">
        <v>182</v>
      </c>
      <c r="E6254" t="s">
        <v>12</v>
      </c>
      <c r="F6254">
        <v>0.33195504546165466</v>
      </c>
    </row>
    <row r="6255" spans="2:6">
      <c r="B6255">
        <v>2010</v>
      </c>
      <c r="C6255" t="s">
        <v>75</v>
      </c>
      <c r="D6255" t="s">
        <v>182</v>
      </c>
      <c r="E6255" t="s">
        <v>13</v>
      </c>
      <c r="F6255">
        <v>0.25577542185783386</v>
      </c>
    </row>
    <row r="6256" spans="2:6">
      <c r="B6256">
        <v>2010</v>
      </c>
      <c r="C6256" t="s">
        <v>75</v>
      </c>
      <c r="D6256" t="s">
        <v>182</v>
      </c>
      <c r="E6256" t="s">
        <v>14</v>
      </c>
      <c r="F6256">
        <v>0.71037042140960693</v>
      </c>
    </row>
    <row r="6257" spans="2:6">
      <c r="B6257">
        <v>2010</v>
      </c>
      <c r="C6257" t="s">
        <v>75</v>
      </c>
      <c r="D6257" t="s">
        <v>182</v>
      </c>
      <c r="E6257" t="s">
        <v>15</v>
      </c>
      <c r="F6257">
        <v>0.18310564756393433</v>
      </c>
    </row>
    <row r="6258" spans="2:6">
      <c r="B6258">
        <v>2011</v>
      </c>
      <c r="C6258" t="s">
        <v>75</v>
      </c>
      <c r="D6258" t="s">
        <v>182</v>
      </c>
      <c r="E6258" t="s">
        <v>7</v>
      </c>
      <c r="F6258">
        <v>5.4740109443664551</v>
      </c>
    </row>
    <row r="6259" spans="2:6">
      <c r="B6259">
        <v>2011</v>
      </c>
      <c r="C6259" t="s">
        <v>75</v>
      </c>
      <c r="D6259" t="s">
        <v>182</v>
      </c>
      <c r="E6259" t="s">
        <v>8</v>
      </c>
      <c r="F6259">
        <v>10.886932373046875</v>
      </c>
    </row>
    <row r="6260" spans="2:6">
      <c r="B6260">
        <v>2011</v>
      </c>
      <c r="C6260" t="s">
        <v>75</v>
      </c>
      <c r="D6260" t="s">
        <v>182</v>
      </c>
      <c r="E6260" t="s">
        <v>9</v>
      </c>
      <c r="F6260">
        <v>0.84606015682220459</v>
      </c>
    </row>
    <row r="6261" spans="2:6">
      <c r="B6261">
        <v>2011</v>
      </c>
      <c r="C6261" t="s">
        <v>75</v>
      </c>
      <c r="D6261" t="s">
        <v>182</v>
      </c>
      <c r="E6261" t="s">
        <v>11</v>
      </c>
      <c r="F6261">
        <v>0.89433014392852783</v>
      </c>
    </row>
    <row r="6262" spans="2:6">
      <c r="B6262">
        <v>2011</v>
      </c>
      <c r="C6262" t="s">
        <v>75</v>
      </c>
      <c r="D6262" t="s">
        <v>182</v>
      </c>
      <c r="E6262" t="s">
        <v>12</v>
      </c>
      <c r="F6262">
        <v>0.2345547080039978</v>
      </c>
    </row>
    <row r="6263" spans="2:6">
      <c r="B6263">
        <v>2011</v>
      </c>
      <c r="C6263" t="s">
        <v>75</v>
      </c>
      <c r="D6263" t="s">
        <v>182</v>
      </c>
      <c r="E6263" t="s">
        <v>13</v>
      </c>
      <c r="F6263">
        <v>0.24488659203052521</v>
      </c>
    </row>
    <row r="6264" spans="2:6">
      <c r="B6264">
        <v>2011</v>
      </c>
      <c r="C6264" t="s">
        <v>75</v>
      </c>
      <c r="D6264" t="s">
        <v>182</v>
      </c>
      <c r="E6264" t="s">
        <v>14</v>
      </c>
      <c r="F6264">
        <v>0.73388731479644775</v>
      </c>
    </row>
    <row r="6265" spans="2:6">
      <c r="B6265">
        <v>2011</v>
      </c>
      <c r="C6265" t="s">
        <v>75</v>
      </c>
      <c r="D6265" t="s">
        <v>182</v>
      </c>
      <c r="E6265" t="s">
        <v>15</v>
      </c>
      <c r="F6265">
        <v>0.19571156799793243</v>
      </c>
    </row>
    <row r="6266" spans="2:6">
      <c r="B6266">
        <v>2012</v>
      </c>
      <c r="C6266" t="s">
        <v>75</v>
      </c>
      <c r="D6266" t="s">
        <v>182</v>
      </c>
      <c r="E6266" t="s">
        <v>7</v>
      </c>
      <c r="F6266">
        <v>5.4837646484375</v>
      </c>
    </row>
    <row r="6267" spans="2:6">
      <c r="B6267">
        <v>2012</v>
      </c>
      <c r="C6267" t="s">
        <v>75</v>
      </c>
      <c r="D6267" t="s">
        <v>182</v>
      </c>
      <c r="E6267" t="s">
        <v>8</v>
      </c>
      <c r="F6267">
        <v>10.892752647399902</v>
      </c>
    </row>
    <row r="6268" spans="2:6">
      <c r="B6268">
        <v>2012</v>
      </c>
      <c r="C6268" t="s">
        <v>75</v>
      </c>
      <c r="D6268" t="s">
        <v>182</v>
      </c>
      <c r="E6268" t="s">
        <v>9</v>
      </c>
      <c r="F6268">
        <v>0.82642567157745361</v>
      </c>
    </row>
    <row r="6269" spans="2:6">
      <c r="B6269">
        <v>2012</v>
      </c>
      <c r="C6269" t="s">
        <v>75</v>
      </c>
      <c r="D6269" t="s">
        <v>182</v>
      </c>
      <c r="E6269" t="s">
        <v>11</v>
      </c>
      <c r="F6269">
        <v>0.87975245714187622</v>
      </c>
    </row>
    <row r="6270" spans="2:6">
      <c r="B6270">
        <v>2012</v>
      </c>
      <c r="C6270" t="s">
        <v>75</v>
      </c>
      <c r="D6270" t="s">
        <v>182</v>
      </c>
      <c r="E6270" t="s">
        <v>12</v>
      </c>
      <c r="F6270">
        <v>0.2224019467830658</v>
      </c>
    </row>
    <row r="6271" spans="2:6">
      <c r="B6271">
        <v>2012</v>
      </c>
      <c r="C6271" t="s">
        <v>75</v>
      </c>
      <c r="D6271" t="s">
        <v>182</v>
      </c>
      <c r="E6271" t="s">
        <v>13</v>
      </c>
      <c r="F6271">
        <v>0.37978315353393555</v>
      </c>
    </row>
    <row r="6272" spans="2:6">
      <c r="B6272">
        <v>2012</v>
      </c>
      <c r="C6272" t="s">
        <v>75</v>
      </c>
      <c r="D6272" t="s">
        <v>182</v>
      </c>
      <c r="E6272" t="s">
        <v>14</v>
      </c>
      <c r="F6272">
        <v>0.7151373028755188</v>
      </c>
    </row>
    <row r="6273" spans="2:6">
      <c r="B6273">
        <v>2012</v>
      </c>
      <c r="C6273" t="s">
        <v>75</v>
      </c>
      <c r="D6273" t="s">
        <v>182</v>
      </c>
      <c r="E6273" t="s">
        <v>15</v>
      </c>
      <c r="F6273">
        <v>0.18334926664829254</v>
      </c>
    </row>
    <row r="6274" spans="2:6">
      <c r="B6274">
        <v>2014</v>
      </c>
      <c r="C6274" t="s">
        <v>75</v>
      </c>
      <c r="D6274" t="s">
        <v>182</v>
      </c>
      <c r="E6274" t="s">
        <v>7</v>
      </c>
      <c r="F6274">
        <v>5.4580507278442383</v>
      </c>
    </row>
    <row r="6275" spans="2:6">
      <c r="B6275">
        <v>2014</v>
      </c>
      <c r="C6275" t="s">
        <v>75</v>
      </c>
      <c r="D6275" t="s">
        <v>182</v>
      </c>
      <c r="E6275" t="s">
        <v>8</v>
      </c>
      <c r="F6275">
        <v>10.939502716064453</v>
      </c>
    </row>
    <row r="6276" spans="2:6">
      <c r="B6276">
        <v>2014</v>
      </c>
      <c r="C6276" t="s">
        <v>75</v>
      </c>
      <c r="D6276" t="s">
        <v>182</v>
      </c>
      <c r="E6276" t="s">
        <v>9</v>
      </c>
      <c r="F6276">
        <v>0.83355820178985596</v>
      </c>
    </row>
    <row r="6277" spans="2:6">
      <c r="B6277">
        <v>2014</v>
      </c>
      <c r="C6277" t="s">
        <v>75</v>
      </c>
      <c r="D6277" t="s">
        <v>182</v>
      </c>
      <c r="E6277" t="s">
        <v>11</v>
      </c>
      <c r="F6277">
        <v>0.84308236837387085</v>
      </c>
    </row>
    <row r="6278" spans="2:6">
      <c r="B6278">
        <v>2014</v>
      </c>
      <c r="C6278" t="s">
        <v>75</v>
      </c>
      <c r="D6278" t="s">
        <v>182</v>
      </c>
      <c r="E6278" t="s">
        <v>12</v>
      </c>
      <c r="F6278">
        <v>0.22379948198795319</v>
      </c>
    </row>
    <row r="6279" spans="2:6">
      <c r="B6279">
        <v>2014</v>
      </c>
      <c r="C6279" t="s">
        <v>75</v>
      </c>
      <c r="D6279" t="s">
        <v>182</v>
      </c>
      <c r="E6279" t="s">
        <v>13</v>
      </c>
      <c r="F6279">
        <v>0.42295986413955688</v>
      </c>
    </row>
    <row r="6280" spans="2:6">
      <c r="B6280">
        <v>2014</v>
      </c>
      <c r="C6280" t="s">
        <v>75</v>
      </c>
      <c r="D6280" t="s">
        <v>182</v>
      </c>
      <c r="E6280" t="s">
        <v>14</v>
      </c>
      <c r="F6280">
        <v>0.68396848440170288</v>
      </c>
    </row>
    <row r="6281" spans="2:6">
      <c r="B6281">
        <v>2014</v>
      </c>
      <c r="C6281" t="s">
        <v>75</v>
      </c>
      <c r="D6281" t="s">
        <v>182</v>
      </c>
      <c r="E6281" t="s">
        <v>15</v>
      </c>
      <c r="F6281">
        <v>0.24286754429340363</v>
      </c>
    </row>
    <row r="6282" spans="2:6">
      <c r="B6282">
        <v>2016</v>
      </c>
      <c r="C6282" t="s">
        <v>75</v>
      </c>
      <c r="D6282" t="s">
        <v>182</v>
      </c>
      <c r="E6282" t="s">
        <v>7</v>
      </c>
      <c r="F6282">
        <v>5.4984207153320313</v>
      </c>
    </row>
    <row r="6283" spans="2:6">
      <c r="B6283">
        <v>2016</v>
      </c>
      <c r="C6283" t="s">
        <v>75</v>
      </c>
      <c r="D6283" t="s">
        <v>182</v>
      </c>
      <c r="E6283" t="s">
        <v>8</v>
      </c>
      <c r="F6283">
        <v>10.969857215881348</v>
      </c>
    </row>
    <row r="6284" spans="2:6">
      <c r="B6284">
        <v>2016</v>
      </c>
      <c r="C6284" t="s">
        <v>75</v>
      </c>
      <c r="D6284" t="s">
        <v>182</v>
      </c>
      <c r="E6284" t="s">
        <v>9</v>
      </c>
      <c r="F6284">
        <v>0.83207792043685913</v>
      </c>
    </row>
    <row r="6285" spans="2:6">
      <c r="B6285">
        <v>2016</v>
      </c>
      <c r="C6285" t="s">
        <v>75</v>
      </c>
      <c r="D6285" t="s">
        <v>182</v>
      </c>
      <c r="E6285" t="s">
        <v>11</v>
      </c>
      <c r="F6285">
        <v>0.7997434139251709</v>
      </c>
    </row>
    <row r="6286" spans="2:6">
      <c r="B6286">
        <v>2016</v>
      </c>
      <c r="C6286" t="s">
        <v>75</v>
      </c>
      <c r="D6286" t="s">
        <v>182</v>
      </c>
      <c r="E6286" t="s">
        <v>12</v>
      </c>
      <c r="F6286">
        <v>0.10023517161607742</v>
      </c>
    </row>
    <row r="6287" spans="2:6">
      <c r="B6287">
        <v>2016</v>
      </c>
      <c r="C6287" t="s">
        <v>75</v>
      </c>
      <c r="D6287" t="s">
        <v>182</v>
      </c>
      <c r="E6287" t="s">
        <v>13</v>
      </c>
      <c r="F6287">
        <v>0.40281257033348083</v>
      </c>
    </row>
    <row r="6288" spans="2:6">
      <c r="B6288">
        <v>2016</v>
      </c>
      <c r="C6288" t="s">
        <v>75</v>
      </c>
      <c r="D6288" t="s">
        <v>182</v>
      </c>
      <c r="E6288" t="s">
        <v>14</v>
      </c>
      <c r="F6288">
        <v>0.6640927791595459</v>
      </c>
    </row>
    <row r="6289" spans="2:6">
      <c r="B6289">
        <v>2016</v>
      </c>
      <c r="C6289" t="s">
        <v>75</v>
      </c>
      <c r="D6289" t="s">
        <v>182</v>
      </c>
      <c r="E6289" t="s">
        <v>15</v>
      </c>
      <c r="F6289">
        <v>0.21311458945274353</v>
      </c>
    </row>
    <row r="6290" spans="2:6">
      <c r="B6290">
        <v>2017</v>
      </c>
      <c r="C6290" t="s">
        <v>75</v>
      </c>
      <c r="D6290" t="s">
        <v>182</v>
      </c>
      <c r="E6290" t="s">
        <v>7</v>
      </c>
      <c r="F6290">
        <v>5.3624749183654785</v>
      </c>
    </row>
    <row r="6291" spans="2:6">
      <c r="B6291">
        <v>2017</v>
      </c>
      <c r="C6291" t="s">
        <v>75</v>
      </c>
      <c r="D6291" t="s">
        <v>182</v>
      </c>
      <c r="E6291" t="s">
        <v>8</v>
      </c>
      <c r="F6291">
        <v>10.999584197998047</v>
      </c>
    </row>
    <row r="6292" spans="2:6">
      <c r="B6292">
        <v>2017</v>
      </c>
      <c r="C6292" t="s">
        <v>75</v>
      </c>
      <c r="D6292" t="s">
        <v>182</v>
      </c>
      <c r="E6292" t="s">
        <v>9</v>
      </c>
      <c r="F6292">
        <v>0.8310663104057312</v>
      </c>
    </row>
    <row r="6293" spans="2:6">
      <c r="B6293">
        <v>2017</v>
      </c>
      <c r="C6293" t="s">
        <v>75</v>
      </c>
      <c r="D6293" t="s">
        <v>182</v>
      </c>
      <c r="E6293" t="s">
        <v>11</v>
      </c>
      <c r="F6293">
        <v>0.8306572437286377</v>
      </c>
    </row>
    <row r="6294" spans="2:6">
      <c r="B6294">
        <v>2017</v>
      </c>
      <c r="C6294" t="s">
        <v>75</v>
      </c>
      <c r="D6294" t="s">
        <v>182</v>
      </c>
      <c r="E6294" t="s">
        <v>12</v>
      </c>
      <c r="F6294">
        <v>0.14006343483924866</v>
      </c>
    </row>
    <row r="6295" spans="2:6">
      <c r="B6295">
        <v>2017</v>
      </c>
      <c r="C6295" t="s">
        <v>75</v>
      </c>
      <c r="D6295" t="s">
        <v>182</v>
      </c>
      <c r="E6295" t="s">
        <v>13</v>
      </c>
      <c r="F6295">
        <v>0.41581019759178162</v>
      </c>
    </row>
    <row r="6296" spans="2:6">
      <c r="B6296">
        <v>2017</v>
      </c>
      <c r="C6296" t="s">
        <v>75</v>
      </c>
      <c r="D6296" t="s">
        <v>182</v>
      </c>
      <c r="E6296" t="s">
        <v>14</v>
      </c>
      <c r="F6296">
        <v>0.63953346014022827</v>
      </c>
    </row>
    <row r="6297" spans="2:6">
      <c r="B6297">
        <v>2017</v>
      </c>
      <c r="C6297" t="s">
        <v>75</v>
      </c>
      <c r="D6297" t="s">
        <v>182</v>
      </c>
      <c r="E6297" t="s">
        <v>15</v>
      </c>
      <c r="F6297">
        <v>0.20059341192245483</v>
      </c>
    </row>
    <row r="6298" spans="2:6">
      <c r="B6298">
        <v>2019</v>
      </c>
      <c r="C6298" t="s">
        <v>75</v>
      </c>
      <c r="D6298" t="s">
        <v>182</v>
      </c>
      <c r="E6298" t="s">
        <v>7</v>
      </c>
      <c r="F6298">
        <v>5.6593170166015625</v>
      </c>
    </row>
    <row r="6299" spans="2:6">
      <c r="B6299">
        <v>2019</v>
      </c>
      <c r="C6299" t="s">
        <v>75</v>
      </c>
      <c r="D6299" t="s">
        <v>182</v>
      </c>
      <c r="E6299" t="s">
        <v>8</v>
      </c>
      <c r="F6299">
        <v>11.000312805175781</v>
      </c>
    </row>
    <row r="6300" spans="2:6">
      <c r="B6300">
        <v>2019</v>
      </c>
      <c r="C6300" t="s">
        <v>75</v>
      </c>
      <c r="D6300" t="s">
        <v>182</v>
      </c>
      <c r="E6300" t="s">
        <v>9</v>
      </c>
      <c r="F6300">
        <v>0.85582566261291504</v>
      </c>
    </row>
    <row r="6301" spans="2:6">
      <c r="B6301">
        <v>2019</v>
      </c>
      <c r="C6301" t="s">
        <v>75</v>
      </c>
      <c r="D6301" t="s">
        <v>182</v>
      </c>
      <c r="E6301" t="s">
        <v>11</v>
      </c>
      <c r="F6301">
        <v>0.7268521785736084</v>
      </c>
    </row>
    <row r="6302" spans="2:6">
      <c r="B6302">
        <v>2019</v>
      </c>
      <c r="C6302" t="s">
        <v>75</v>
      </c>
      <c r="D6302" t="s">
        <v>182</v>
      </c>
      <c r="E6302" t="s">
        <v>12</v>
      </c>
      <c r="F6302">
        <v>6.7344248294830322E-2</v>
      </c>
    </row>
    <row r="6303" spans="2:6">
      <c r="B6303">
        <v>2019</v>
      </c>
      <c r="C6303" t="s">
        <v>75</v>
      </c>
      <c r="D6303" t="s">
        <v>182</v>
      </c>
      <c r="E6303" t="s">
        <v>13</v>
      </c>
      <c r="F6303">
        <v>0.43197363615036011</v>
      </c>
    </row>
    <row r="6304" spans="2:6">
      <c r="B6304">
        <v>2019</v>
      </c>
      <c r="C6304" t="s">
        <v>75</v>
      </c>
      <c r="D6304" t="s">
        <v>182</v>
      </c>
      <c r="E6304" t="s">
        <v>14</v>
      </c>
      <c r="F6304">
        <v>0.59931951761245728</v>
      </c>
    </row>
    <row r="6305" spans="2:6">
      <c r="B6305">
        <v>2019</v>
      </c>
      <c r="C6305" t="s">
        <v>75</v>
      </c>
      <c r="D6305" t="s">
        <v>182</v>
      </c>
      <c r="E6305" t="s">
        <v>15</v>
      </c>
      <c r="F6305">
        <v>0.35760727524757385</v>
      </c>
    </row>
    <row r="6306" spans="2:6">
      <c r="B6306">
        <v>2020</v>
      </c>
      <c r="C6306" t="s">
        <v>75</v>
      </c>
      <c r="D6306" t="s">
        <v>182</v>
      </c>
      <c r="E6306" t="s">
        <v>7</v>
      </c>
      <c r="F6306">
        <v>5.2953414916992188</v>
      </c>
    </row>
    <row r="6307" spans="2:6">
      <c r="B6307">
        <v>2020</v>
      </c>
      <c r="C6307" t="s">
        <v>75</v>
      </c>
      <c r="D6307" t="s">
        <v>182</v>
      </c>
      <c r="E6307" t="s">
        <v>9</v>
      </c>
      <c r="F6307">
        <v>0.8129429817199707</v>
      </c>
    </row>
    <row r="6308" spans="2:6">
      <c r="B6308">
        <v>2020</v>
      </c>
      <c r="C6308" t="s">
        <v>75</v>
      </c>
      <c r="D6308" t="s">
        <v>182</v>
      </c>
      <c r="E6308" t="s">
        <v>11</v>
      </c>
      <c r="F6308">
        <v>0.70545226335525513</v>
      </c>
    </row>
    <row r="6309" spans="2:6">
      <c r="B6309">
        <v>2020</v>
      </c>
      <c r="C6309" t="s">
        <v>75</v>
      </c>
      <c r="D6309" t="s">
        <v>182</v>
      </c>
      <c r="E6309" t="s">
        <v>13</v>
      </c>
      <c r="F6309">
        <v>0.38035121560096741</v>
      </c>
    </row>
    <row r="6310" spans="2:6">
      <c r="B6310">
        <v>2020</v>
      </c>
      <c r="C6310" t="s">
        <v>75</v>
      </c>
      <c r="D6310" t="s">
        <v>182</v>
      </c>
      <c r="E6310" t="s">
        <v>14</v>
      </c>
      <c r="F6310">
        <v>0.60864734649658203</v>
      </c>
    </row>
    <row r="6311" spans="2:6">
      <c r="B6311">
        <v>2020</v>
      </c>
      <c r="C6311" t="s">
        <v>75</v>
      </c>
      <c r="D6311" t="s">
        <v>182</v>
      </c>
      <c r="E6311" t="s">
        <v>15</v>
      </c>
      <c r="F6311">
        <v>0.21031361818313599</v>
      </c>
    </row>
    <row r="6312" spans="2:6">
      <c r="B6312">
        <v>2005</v>
      </c>
      <c r="C6312" t="s">
        <v>76</v>
      </c>
      <c r="D6312" t="s">
        <v>183</v>
      </c>
      <c r="E6312" t="s">
        <v>7</v>
      </c>
      <c r="F6312">
        <v>5.1939334869384766</v>
      </c>
    </row>
    <row r="6313" spans="2:6">
      <c r="B6313">
        <v>2005</v>
      </c>
      <c r="C6313" t="s">
        <v>76</v>
      </c>
      <c r="D6313" t="s">
        <v>183</v>
      </c>
      <c r="E6313" t="s">
        <v>8</v>
      </c>
      <c r="F6313">
        <v>10.107747077941895</v>
      </c>
    </row>
    <row r="6314" spans="2:6">
      <c r="B6314">
        <v>2005</v>
      </c>
      <c r="C6314" t="s">
        <v>76</v>
      </c>
      <c r="D6314" t="s">
        <v>183</v>
      </c>
      <c r="E6314" t="s">
        <v>9</v>
      </c>
      <c r="F6314">
        <v>0.92962825298309326</v>
      </c>
    </row>
    <row r="6315" spans="2:6">
      <c r="B6315">
        <v>2005</v>
      </c>
      <c r="C6315" t="s">
        <v>76</v>
      </c>
      <c r="D6315" t="s">
        <v>183</v>
      </c>
      <c r="E6315" t="s">
        <v>10</v>
      </c>
      <c r="F6315">
        <v>64.599998474121094</v>
      </c>
    </row>
    <row r="6316" spans="2:6">
      <c r="B6316">
        <v>2005</v>
      </c>
      <c r="C6316" t="s">
        <v>76</v>
      </c>
      <c r="D6316" t="s">
        <v>183</v>
      </c>
      <c r="E6316" t="s">
        <v>11</v>
      </c>
      <c r="F6316">
        <v>0.69687449932098389</v>
      </c>
    </row>
    <row r="6317" spans="2:6">
      <c r="B6317">
        <v>2005</v>
      </c>
      <c r="C6317" t="s">
        <v>76</v>
      </c>
      <c r="D6317" t="s">
        <v>183</v>
      </c>
      <c r="E6317" t="s">
        <v>13</v>
      </c>
      <c r="F6317">
        <v>0.90281069278717041</v>
      </c>
    </row>
    <row r="6318" spans="2:6">
      <c r="B6318">
        <v>2005</v>
      </c>
      <c r="C6318" t="s">
        <v>76</v>
      </c>
      <c r="D6318" t="s">
        <v>183</v>
      </c>
      <c r="E6318" t="s">
        <v>14</v>
      </c>
      <c r="F6318">
        <v>0.67544400691986084</v>
      </c>
    </row>
    <row r="6319" spans="2:6">
      <c r="B6319">
        <v>2005</v>
      </c>
      <c r="C6319" t="s">
        <v>76</v>
      </c>
      <c r="D6319" t="s">
        <v>183</v>
      </c>
      <c r="E6319" t="s">
        <v>15</v>
      </c>
      <c r="F6319">
        <v>0.29032695293426514</v>
      </c>
    </row>
    <row r="6320" spans="2:6">
      <c r="B6320">
        <v>2007</v>
      </c>
      <c r="C6320" t="s">
        <v>76</v>
      </c>
      <c r="D6320" t="s">
        <v>183</v>
      </c>
      <c r="E6320" t="s">
        <v>7</v>
      </c>
      <c r="F6320">
        <v>4.9539170265197754</v>
      </c>
    </row>
    <row r="6321" spans="2:6">
      <c r="B6321">
        <v>2007</v>
      </c>
      <c r="C6321" t="s">
        <v>76</v>
      </c>
      <c r="D6321" t="s">
        <v>183</v>
      </c>
      <c r="E6321" t="s">
        <v>8</v>
      </c>
      <c r="F6321">
        <v>10.152791023254395</v>
      </c>
    </row>
    <row r="6322" spans="2:6">
      <c r="B6322">
        <v>2007</v>
      </c>
      <c r="C6322" t="s">
        <v>76</v>
      </c>
      <c r="D6322" t="s">
        <v>183</v>
      </c>
      <c r="E6322" t="s">
        <v>9</v>
      </c>
      <c r="F6322">
        <v>0.93065387010574341</v>
      </c>
    </row>
    <row r="6323" spans="2:6">
      <c r="B6323">
        <v>2007</v>
      </c>
      <c r="C6323" t="s">
        <v>76</v>
      </c>
      <c r="D6323" t="s">
        <v>183</v>
      </c>
      <c r="E6323" t="s">
        <v>10</v>
      </c>
      <c r="F6323">
        <v>65</v>
      </c>
    </row>
    <row r="6324" spans="2:6">
      <c r="B6324">
        <v>2007</v>
      </c>
      <c r="C6324" t="s">
        <v>76</v>
      </c>
      <c r="D6324" t="s">
        <v>183</v>
      </c>
      <c r="E6324" t="s">
        <v>11</v>
      </c>
      <c r="F6324">
        <v>0.53849810361862183</v>
      </c>
    </row>
    <row r="6325" spans="2:6">
      <c r="B6325">
        <v>2007</v>
      </c>
      <c r="C6325" t="s">
        <v>76</v>
      </c>
      <c r="D6325" t="s">
        <v>183</v>
      </c>
      <c r="E6325" t="s">
        <v>12</v>
      </c>
      <c r="F6325">
        <v>-0.16084839403629303</v>
      </c>
    </row>
    <row r="6326" spans="2:6">
      <c r="B6326">
        <v>2007</v>
      </c>
      <c r="C6326" t="s">
        <v>76</v>
      </c>
      <c r="D6326" t="s">
        <v>183</v>
      </c>
      <c r="E6326" t="s">
        <v>13</v>
      </c>
      <c r="F6326">
        <v>0.89517742395401001</v>
      </c>
    </row>
    <row r="6327" spans="2:6">
      <c r="B6327">
        <v>2007</v>
      </c>
      <c r="C6327" t="s">
        <v>76</v>
      </c>
      <c r="D6327" t="s">
        <v>183</v>
      </c>
      <c r="E6327" t="s">
        <v>14</v>
      </c>
      <c r="F6327">
        <v>0.7006421685218811</v>
      </c>
    </row>
    <row r="6328" spans="2:6">
      <c r="B6328">
        <v>2007</v>
      </c>
      <c r="C6328" t="s">
        <v>76</v>
      </c>
      <c r="D6328" t="s">
        <v>183</v>
      </c>
      <c r="E6328" t="s">
        <v>15</v>
      </c>
      <c r="F6328">
        <v>0.2302829921245575</v>
      </c>
    </row>
    <row r="6329" spans="2:6">
      <c r="B6329">
        <v>2009</v>
      </c>
      <c r="C6329" t="s">
        <v>76</v>
      </c>
      <c r="D6329" t="s">
        <v>183</v>
      </c>
      <c r="E6329" t="s">
        <v>7</v>
      </c>
      <c r="F6329">
        <v>4.8946003913879395</v>
      </c>
    </row>
    <row r="6330" spans="2:6">
      <c r="B6330">
        <v>2009</v>
      </c>
      <c r="C6330" t="s">
        <v>76</v>
      </c>
      <c r="D6330" t="s">
        <v>183</v>
      </c>
      <c r="E6330" t="s">
        <v>8</v>
      </c>
      <c r="F6330">
        <v>10.097273826599121</v>
      </c>
    </row>
    <row r="6331" spans="2:6">
      <c r="B6331">
        <v>2009</v>
      </c>
      <c r="C6331" t="s">
        <v>76</v>
      </c>
      <c r="D6331" t="s">
        <v>183</v>
      </c>
      <c r="E6331" t="s">
        <v>9</v>
      </c>
      <c r="F6331">
        <v>0.90087449550628662</v>
      </c>
    </row>
    <row r="6332" spans="2:6">
      <c r="B6332">
        <v>2009</v>
      </c>
      <c r="C6332" t="s">
        <v>76</v>
      </c>
      <c r="D6332" t="s">
        <v>183</v>
      </c>
      <c r="E6332" t="s">
        <v>10</v>
      </c>
      <c r="F6332">
        <v>65.400001525878906</v>
      </c>
    </row>
    <row r="6333" spans="2:6">
      <c r="B6333">
        <v>2009</v>
      </c>
      <c r="C6333" t="s">
        <v>76</v>
      </c>
      <c r="D6333" t="s">
        <v>183</v>
      </c>
      <c r="E6333" t="s">
        <v>11</v>
      </c>
      <c r="F6333">
        <v>0.46437311172485352</v>
      </c>
    </row>
    <row r="6334" spans="2:6">
      <c r="B6334">
        <v>2009</v>
      </c>
      <c r="C6334" t="s">
        <v>76</v>
      </c>
      <c r="D6334" t="s">
        <v>183</v>
      </c>
      <c r="E6334" t="s">
        <v>12</v>
      </c>
      <c r="F6334">
        <v>-0.12515744566917419</v>
      </c>
    </row>
    <row r="6335" spans="2:6">
      <c r="B6335">
        <v>2009</v>
      </c>
      <c r="C6335" t="s">
        <v>76</v>
      </c>
      <c r="D6335" t="s">
        <v>183</v>
      </c>
      <c r="E6335" t="s">
        <v>13</v>
      </c>
      <c r="F6335">
        <v>0.91470074653625488</v>
      </c>
    </row>
    <row r="6336" spans="2:6">
      <c r="B6336">
        <v>2009</v>
      </c>
      <c r="C6336" t="s">
        <v>76</v>
      </c>
      <c r="D6336" t="s">
        <v>183</v>
      </c>
      <c r="E6336" t="s">
        <v>14</v>
      </c>
      <c r="F6336">
        <v>0.66440033912658691</v>
      </c>
    </row>
    <row r="6337" spans="2:6">
      <c r="B6337">
        <v>2009</v>
      </c>
      <c r="C6337" t="s">
        <v>76</v>
      </c>
      <c r="D6337" t="s">
        <v>183</v>
      </c>
      <c r="E6337" t="s">
        <v>15</v>
      </c>
      <c r="F6337">
        <v>0.22789041697978973</v>
      </c>
    </row>
    <row r="6338" spans="2:6">
      <c r="B6338">
        <v>2010</v>
      </c>
      <c r="C6338" t="s">
        <v>76</v>
      </c>
      <c r="D6338" t="s">
        <v>183</v>
      </c>
      <c r="E6338" t="s">
        <v>7</v>
      </c>
      <c r="F6338">
        <v>4.7251324653625488</v>
      </c>
    </row>
    <row r="6339" spans="2:6">
      <c r="B6339">
        <v>2010</v>
      </c>
      <c r="C6339" t="s">
        <v>76</v>
      </c>
      <c r="D6339" t="s">
        <v>183</v>
      </c>
      <c r="E6339" t="s">
        <v>8</v>
      </c>
      <c r="F6339">
        <v>10.106154441833496</v>
      </c>
    </row>
    <row r="6340" spans="2:6">
      <c r="B6340">
        <v>2010</v>
      </c>
      <c r="C6340" t="s">
        <v>76</v>
      </c>
      <c r="D6340" t="s">
        <v>183</v>
      </c>
      <c r="E6340" t="s">
        <v>9</v>
      </c>
      <c r="F6340">
        <v>0.89569371938705444</v>
      </c>
    </row>
    <row r="6341" spans="2:6">
      <c r="B6341">
        <v>2010</v>
      </c>
      <c r="C6341" t="s">
        <v>76</v>
      </c>
      <c r="D6341" t="s">
        <v>183</v>
      </c>
      <c r="E6341" t="s">
        <v>10</v>
      </c>
      <c r="F6341">
        <v>65.599998474121094</v>
      </c>
    </row>
    <row r="6342" spans="2:6">
      <c r="B6342">
        <v>2010</v>
      </c>
      <c r="C6342" t="s">
        <v>76</v>
      </c>
      <c r="D6342" t="s">
        <v>183</v>
      </c>
      <c r="E6342" t="s">
        <v>11</v>
      </c>
      <c r="F6342">
        <v>0.5138353705406189</v>
      </c>
    </row>
    <row r="6343" spans="2:6">
      <c r="B6343">
        <v>2010</v>
      </c>
      <c r="C6343" t="s">
        <v>76</v>
      </c>
      <c r="D6343" t="s">
        <v>183</v>
      </c>
      <c r="E6343" t="s">
        <v>12</v>
      </c>
      <c r="F6343">
        <v>-0.14508886635303497</v>
      </c>
    </row>
    <row r="6344" spans="2:6">
      <c r="B6344">
        <v>2010</v>
      </c>
      <c r="C6344" t="s">
        <v>76</v>
      </c>
      <c r="D6344" t="s">
        <v>183</v>
      </c>
      <c r="E6344" t="s">
        <v>13</v>
      </c>
      <c r="F6344">
        <v>0.98327600955963135</v>
      </c>
    </row>
    <row r="6345" spans="2:6">
      <c r="B6345">
        <v>2010</v>
      </c>
      <c r="C6345" t="s">
        <v>76</v>
      </c>
      <c r="D6345" t="s">
        <v>183</v>
      </c>
      <c r="E6345" t="s">
        <v>14</v>
      </c>
      <c r="F6345">
        <v>0.65581643581390381</v>
      </c>
    </row>
    <row r="6346" spans="2:6">
      <c r="B6346">
        <v>2010</v>
      </c>
      <c r="C6346" t="s">
        <v>76</v>
      </c>
      <c r="D6346" t="s">
        <v>183</v>
      </c>
      <c r="E6346" t="s">
        <v>15</v>
      </c>
      <c r="F6346">
        <v>0.23481304943561554</v>
      </c>
    </row>
    <row r="6347" spans="2:6">
      <c r="B6347">
        <v>2011</v>
      </c>
      <c r="C6347" t="s">
        <v>76</v>
      </c>
      <c r="D6347" t="s">
        <v>183</v>
      </c>
      <c r="E6347" t="s">
        <v>7</v>
      </c>
      <c r="F6347">
        <v>4.9176025390625</v>
      </c>
    </row>
    <row r="6348" spans="2:6">
      <c r="B6348">
        <v>2011</v>
      </c>
      <c r="C6348" t="s">
        <v>76</v>
      </c>
      <c r="D6348" t="s">
        <v>183</v>
      </c>
      <c r="E6348" t="s">
        <v>8</v>
      </c>
      <c r="F6348">
        <v>10.127015113830566</v>
      </c>
    </row>
    <row r="6349" spans="2:6">
      <c r="B6349">
        <v>2011</v>
      </c>
      <c r="C6349" t="s">
        <v>76</v>
      </c>
      <c r="D6349" t="s">
        <v>183</v>
      </c>
      <c r="E6349" t="s">
        <v>9</v>
      </c>
      <c r="F6349">
        <v>0.8936622142791748</v>
      </c>
    </row>
    <row r="6350" spans="2:6">
      <c r="B6350">
        <v>2011</v>
      </c>
      <c r="C6350" t="s">
        <v>76</v>
      </c>
      <c r="D6350" t="s">
        <v>183</v>
      </c>
      <c r="E6350" t="s">
        <v>10</v>
      </c>
      <c r="F6350">
        <v>65.760002136230469</v>
      </c>
    </row>
    <row r="6351" spans="2:6">
      <c r="B6351">
        <v>2011</v>
      </c>
      <c r="C6351" t="s">
        <v>76</v>
      </c>
      <c r="D6351" t="s">
        <v>183</v>
      </c>
      <c r="E6351" t="s">
        <v>11</v>
      </c>
      <c r="F6351">
        <v>0.6311001181602478</v>
      </c>
    </row>
    <row r="6352" spans="2:6">
      <c r="B6352">
        <v>2011</v>
      </c>
      <c r="C6352" t="s">
        <v>76</v>
      </c>
      <c r="D6352" t="s">
        <v>183</v>
      </c>
      <c r="E6352" t="s">
        <v>12</v>
      </c>
      <c r="F6352">
        <v>-8.903629332780838E-2</v>
      </c>
    </row>
    <row r="6353" spans="2:6">
      <c r="B6353">
        <v>2011</v>
      </c>
      <c r="C6353" t="s">
        <v>76</v>
      </c>
      <c r="D6353" t="s">
        <v>183</v>
      </c>
      <c r="E6353" t="s">
        <v>13</v>
      </c>
      <c r="F6353">
        <v>0.93990802764892578</v>
      </c>
    </row>
    <row r="6354" spans="2:6">
      <c r="B6354">
        <v>2011</v>
      </c>
      <c r="C6354" t="s">
        <v>76</v>
      </c>
      <c r="D6354" t="s">
        <v>183</v>
      </c>
      <c r="E6354" t="s">
        <v>14</v>
      </c>
      <c r="F6354">
        <v>0.64211428165435791</v>
      </c>
    </row>
    <row r="6355" spans="2:6">
      <c r="B6355">
        <v>2011</v>
      </c>
      <c r="C6355" t="s">
        <v>76</v>
      </c>
      <c r="D6355" t="s">
        <v>183</v>
      </c>
      <c r="E6355" t="s">
        <v>15</v>
      </c>
      <c r="F6355">
        <v>0.30451956391334534</v>
      </c>
    </row>
    <row r="6356" spans="2:6">
      <c r="B6356">
        <v>2012</v>
      </c>
      <c r="C6356" t="s">
        <v>76</v>
      </c>
      <c r="D6356" t="s">
        <v>183</v>
      </c>
      <c r="E6356" t="s">
        <v>7</v>
      </c>
      <c r="F6356">
        <v>4.6833581924438477</v>
      </c>
    </row>
    <row r="6357" spans="2:6">
      <c r="B6357">
        <v>2012</v>
      </c>
      <c r="C6357" t="s">
        <v>76</v>
      </c>
      <c r="D6357" t="s">
        <v>183</v>
      </c>
      <c r="E6357" t="s">
        <v>8</v>
      </c>
      <c r="F6357">
        <v>10.117352485656738</v>
      </c>
    </row>
    <row r="6358" spans="2:6">
      <c r="B6358">
        <v>2012</v>
      </c>
      <c r="C6358" t="s">
        <v>76</v>
      </c>
      <c r="D6358" t="s">
        <v>183</v>
      </c>
      <c r="E6358" t="s">
        <v>9</v>
      </c>
      <c r="F6358">
        <v>0.90611398220062256</v>
      </c>
    </row>
    <row r="6359" spans="2:6">
      <c r="B6359">
        <v>2012</v>
      </c>
      <c r="C6359" t="s">
        <v>76</v>
      </c>
      <c r="D6359" t="s">
        <v>183</v>
      </c>
      <c r="E6359" t="s">
        <v>10</v>
      </c>
      <c r="F6359">
        <v>65.919998168945313</v>
      </c>
    </row>
    <row r="6360" spans="2:6">
      <c r="B6360">
        <v>2012</v>
      </c>
      <c r="C6360" t="s">
        <v>76</v>
      </c>
      <c r="D6360" t="s">
        <v>183</v>
      </c>
      <c r="E6360" t="s">
        <v>11</v>
      </c>
      <c r="F6360">
        <v>0.56923151016235352</v>
      </c>
    </row>
    <row r="6361" spans="2:6">
      <c r="B6361">
        <v>2012</v>
      </c>
      <c r="C6361" t="s">
        <v>76</v>
      </c>
      <c r="D6361" t="s">
        <v>183</v>
      </c>
      <c r="E6361" t="s">
        <v>12</v>
      </c>
      <c r="F6361">
        <v>-0.13606114685535431</v>
      </c>
    </row>
    <row r="6362" spans="2:6">
      <c r="B6362">
        <v>2012</v>
      </c>
      <c r="C6362" t="s">
        <v>76</v>
      </c>
      <c r="D6362" t="s">
        <v>183</v>
      </c>
      <c r="E6362" t="s">
        <v>13</v>
      </c>
      <c r="F6362">
        <v>0.93029731512069702</v>
      </c>
    </row>
    <row r="6363" spans="2:6">
      <c r="B6363">
        <v>2012</v>
      </c>
      <c r="C6363" t="s">
        <v>76</v>
      </c>
      <c r="D6363" t="s">
        <v>183</v>
      </c>
      <c r="E6363" t="s">
        <v>14</v>
      </c>
      <c r="F6363">
        <v>0.65190798044204712</v>
      </c>
    </row>
    <row r="6364" spans="2:6">
      <c r="B6364">
        <v>2012</v>
      </c>
      <c r="C6364" t="s">
        <v>76</v>
      </c>
      <c r="D6364" t="s">
        <v>183</v>
      </c>
      <c r="E6364" t="s">
        <v>15</v>
      </c>
      <c r="F6364">
        <v>0.31539800763130188</v>
      </c>
    </row>
    <row r="6365" spans="2:6">
      <c r="B6365">
        <v>2013</v>
      </c>
      <c r="C6365" t="s">
        <v>76</v>
      </c>
      <c r="D6365" t="s">
        <v>183</v>
      </c>
      <c r="E6365" t="s">
        <v>7</v>
      </c>
      <c r="F6365">
        <v>4.9144668579101563</v>
      </c>
    </row>
    <row r="6366" spans="2:6">
      <c r="B6366">
        <v>2013</v>
      </c>
      <c r="C6366" t="s">
        <v>76</v>
      </c>
      <c r="D6366" t="s">
        <v>183</v>
      </c>
      <c r="E6366" t="s">
        <v>8</v>
      </c>
      <c r="F6366">
        <v>10.139545440673828</v>
      </c>
    </row>
    <row r="6367" spans="2:6">
      <c r="B6367">
        <v>2013</v>
      </c>
      <c r="C6367" t="s">
        <v>76</v>
      </c>
      <c r="D6367" t="s">
        <v>183</v>
      </c>
      <c r="E6367" t="s">
        <v>9</v>
      </c>
      <c r="F6367">
        <v>0.87731832265853882</v>
      </c>
    </row>
    <row r="6368" spans="2:6">
      <c r="B6368">
        <v>2013</v>
      </c>
      <c r="C6368" t="s">
        <v>76</v>
      </c>
      <c r="D6368" t="s">
        <v>183</v>
      </c>
      <c r="E6368" t="s">
        <v>10</v>
      </c>
      <c r="F6368">
        <v>66.080001831054688</v>
      </c>
    </row>
    <row r="6369" spans="2:6">
      <c r="B6369">
        <v>2013</v>
      </c>
      <c r="C6369" t="s">
        <v>76</v>
      </c>
      <c r="D6369" t="s">
        <v>183</v>
      </c>
      <c r="E6369" t="s">
        <v>11</v>
      </c>
      <c r="F6369">
        <v>0.67372828722000122</v>
      </c>
    </row>
    <row r="6370" spans="2:6">
      <c r="B6370">
        <v>2013</v>
      </c>
      <c r="C6370" t="s">
        <v>76</v>
      </c>
      <c r="D6370" t="s">
        <v>183</v>
      </c>
      <c r="E6370" t="s">
        <v>12</v>
      </c>
      <c r="F6370">
        <v>-0.11291342228651047</v>
      </c>
    </row>
    <row r="6371" spans="2:6">
      <c r="B6371">
        <v>2013</v>
      </c>
      <c r="C6371" t="s">
        <v>76</v>
      </c>
      <c r="D6371" t="s">
        <v>183</v>
      </c>
      <c r="E6371" t="s">
        <v>13</v>
      </c>
      <c r="F6371">
        <v>0.9115331768989563</v>
      </c>
    </row>
    <row r="6372" spans="2:6">
      <c r="B6372">
        <v>2013</v>
      </c>
      <c r="C6372" t="s">
        <v>76</v>
      </c>
      <c r="D6372" t="s">
        <v>183</v>
      </c>
      <c r="E6372" t="s">
        <v>14</v>
      </c>
      <c r="F6372">
        <v>0.70570367574691772</v>
      </c>
    </row>
    <row r="6373" spans="2:6">
      <c r="B6373">
        <v>2013</v>
      </c>
      <c r="C6373" t="s">
        <v>76</v>
      </c>
      <c r="D6373" t="s">
        <v>183</v>
      </c>
      <c r="E6373" t="s">
        <v>15</v>
      </c>
      <c r="F6373">
        <v>0.30672413110733032</v>
      </c>
    </row>
    <row r="6374" spans="2:6">
      <c r="B6374">
        <v>2014</v>
      </c>
      <c r="C6374" t="s">
        <v>76</v>
      </c>
      <c r="D6374" t="s">
        <v>183</v>
      </c>
      <c r="E6374" t="s">
        <v>7</v>
      </c>
      <c r="F6374">
        <v>5.1805634498596191</v>
      </c>
    </row>
    <row r="6375" spans="2:6">
      <c r="B6375">
        <v>2014</v>
      </c>
      <c r="C6375" t="s">
        <v>76</v>
      </c>
      <c r="D6375" t="s">
        <v>183</v>
      </c>
      <c r="E6375" t="s">
        <v>8</v>
      </c>
      <c r="F6375">
        <v>10.183334350585938</v>
      </c>
    </row>
    <row r="6376" spans="2:6">
      <c r="B6376">
        <v>2014</v>
      </c>
      <c r="C6376" t="s">
        <v>76</v>
      </c>
      <c r="D6376" t="s">
        <v>183</v>
      </c>
      <c r="E6376" t="s">
        <v>9</v>
      </c>
      <c r="F6376">
        <v>0.84473526477813721</v>
      </c>
    </row>
    <row r="6377" spans="2:6">
      <c r="B6377">
        <v>2014</v>
      </c>
      <c r="C6377" t="s">
        <v>76</v>
      </c>
      <c r="D6377" t="s">
        <v>183</v>
      </c>
      <c r="E6377" t="s">
        <v>10</v>
      </c>
      <c r="F6377">
        <v>66.239997863769531</v>
      </c>
    </row>
    <row r="6378" spans="2:6">
      <c r="B6378">
        <v>2014</v>
      </c>
      <c r="C6378" t="s">
        <v>76</v>
      </c>
      <c r="D6378" t="s">
        <v>183</v>
      </c>
      <c r="E6378" t="s">
        <v>11</v>
      </c>
      <c r="F6378">
        <v>0.49447470903396606</v>
      </c>
    </row>
    <row r="6379" spans="2:6">
      <c r="B6379">
        <v>2014</v>
      </c>
      <c r="C6379" t="s">
        <v>76</v>
      </c>
      <c r="D6379" t="s">
        <v>183</v>
      </c>
      <c r="E6379" t="s">
        <v>12</v>
      </c>
      <c r="F6379">
        <v>-0.14974997937679291</v>
      </c>
    </row>
    <row r="6380" spans="2:6">
      <c r="B6380">
        <v>2014</v>
      </c>
      <c r="C6380" t="s">
        <v>76</v>
      </c>
      <c r="D6380" t="s">
        <v>183</v>
      </c>
      <c r="E6380" t="s">
        <v>13</v>
      </c>
      <c r="F6380">
        <v>0.85536140203475952</v>
      </c>
    </row>
    <row r="6381" spans="2:6">
      <c r="B6381">
        <v>2014</v>
      </c>
      <c r="C6381" t="s">
        <v>76</v>
      </c>
      <c r="D6381" t="s">
        <v>183</v>
      </c>
      <c r="E6381" t="s">
        <v>14</v>
      </c>
      <c r="F6381">
        <v>0.65069013833999634</v>
      </c>
    </row>
    <row r="6382" spans="2:6">
      <c r="B6382">
        <v>2014</v>
      </c>
      <c r="C6382" t="s">
        <v>76</v>
      </c>
      <c r="D6382" t="s">
        <v>183</v>
      </c>
      <c r="E6382" t="s">
        <v>15</v>
      </c>
      <c r="F6382">
        <v>0.23761963844299316</v>
      </c>
    </row>
    <row r="6383" spans="2:6">
      <c r="B6383">
        <v>2015</v>
      </c>
      <c r="C6383" t="s">
        <v>76</v>
      </c>
      <c r="D6383" t="s">
        <v>183</v>
      </c>
      <c r="E6383" t="s">
        <v>7</v>
      </c>
      <c r="F6383">
        <v>5.3443832397460938</v>
      </c>
    </row>
    <row r="6384" spans="2:6">
      <c r="B6384">
        <v>2015</v>
      </c>
      <c r="C6384" t="s">
        <v>76</v>
      </c>
      <c r="D6384" t="s">
        <v>183</v>
      </c>
      <c r="E6384" t="s">
        <v>8</v>
      </c>
      <c r="F6384">
        <v>10.223447799682617</v>
      </c>
    </row>
    <row r="6385" spans="2:6">
      <c r="B6385">
        <v>2015</v>
      </c>
      <c r="C6385" t="s">
        <v>76</v>
      </c>
      <c r="D6385" t="s">
        <v>183</v>
      </c>
      <c r="E6385" t="s">
        <v>9</v>
      </c>
      <c r="F6385">
        <v>0.85873383283615112</v>
      </c>
    </row>
    <row r="6386" spans="2:6">
      <c r="B6386">
        <v>2015</v>
      </c>
      <c r="C6386" t="s">
        <v>76</v>
      </c>
      <c r="D6386" t="s">
        <v>183</v>
      </c>
      <c r="E6386" t="s">
        <v>10</v>
      </c>
      <c r="F6386">
        <v>66.400001525878906</v>
      </c>
    </row>
    <row r="6387" spans="2:6">
      <c r="B6387">
        <v>2015</v>
      </c>
      <c r="C6387" t="s">
        <v>76</v>
      </c>
      <c r="D6387" t="s">
        <v>183</v>
      </c>
      <c r="E6387" t="s">
        <v>11</v>
      </c>
      <c r="F6387">
        <v>0.55772137641906738</v>
      </c>
    </row>
    <row r="6388" spans="2:6">
      <c r="B6388">
        <v>2015</v>
      </c>
      <c r="C6388" t="s">
        <v>76</v>
      </c>
      <c r="D6388" t="s">
        <v>183</v>
      </c>
      <c r="E6388" t="s">
        <v>12</v>
      </c>
      <c r="F6388">
        <v>-0.19782266020774841</v>
      </c>
    </row>
    <row r="6389" spans="2:6">
      <c r="B6389">
        <v>2015</v>
      </c>
      <c r="C6389" t="s">
        <v>76</v>
      </c>
      <c r="D6389" t="s">
        <v>183</v>
      </c>
      <c r="E6389" t="s">
        <v>13</v>
      </c>
      <c r="F6389">
        <v>0.90753030776977539</v>
      </c>
    </row>
    <row r="6390" spans="2:6">
      <c r="B6390">
        <v>2015</v>
      </c>
      <c r="C6390" t="s">
        <v>76</v>
      </c>
      <c r="D6390" t="s">
        <v>183</v>
      </c>
      <c r="E6390" t="s">
        <v>14</v>
      </c>
      <c r="F6390">
        <v>0.70681476593017578</v>
      </c>
    </row>
    <row r="6391" spans="2:6">
      <c r="B6391">
        <v>2015</v>
      </c>
      <c r="C6391" t="s">
        <v>76</v>
      </c>
      <c r="D6391" t="s">
        <v>183</v>
      </c>
      <c r="E6391" t="s">
        <v>15</v>
      </c>
      <c r="F6391">
        <v>0.2445363849401474</v>
      </c>
    </row>
    <row r="6392" spans="2:6">
      <c r="B6392">
        <v>2016</v>
      </c>
      <c r="C6392" t="s">
        <v>76</v>
      </c>
      <c r="D6392" t="s">
        <v>183</v>
      </c>
      <c r="E6392" t="s">
        <v>7</v>
      </c>
      <c r="F6392">
        <v>5.4489016532897949</v>
      </c>
    </row>
    <row r="6393" spans="2:6">
      <c r="B6393">
        <v>2016</v>
      </c>
      <c r="C6393" t="s">
        <v>76</v>
      </c>
      <c r="D6393" t="s">
        <v>183</v>
      </c>
      <c r="E6393" t="s">
        <v>8</v>
      </c>
      <c r="F6393">
        <v>10.248160362243652</v>
      </c>
    </row>
    <row r="6394" spans="2:6">
      <c r="B6394">
        <v>2016</v>
      </c>
      <c r="C6394" t="s">
        <v>76</v>
      </c>
      <c r="D6394" t="s">
        <v>183</v>
      </c>
      <c r="E6394" t="s">
        <v>9</v>
      </c>
      <c r="F6394">
        <v>0.89951157569885254</v>
      </c>
    </row>
    <row r="6395" spans="2:6">
      <c r="B6395">
        <v>2016</v>
      </c>
      <c r="C6395" t="s">
        <v>76</v>
      </c>
      <c r="D6395" t="s">
        <v>183</v>
      </c>
      <c r="E6395" t="s">
        <v>10</v>
      </c>
      <c r="F6395">
        <v>66.800003051757813</v>
      </c>
    </row>
    <row r="6396" spans="2:6">
      <c r="B6396">
        <v>2016</v>
      </c>
      <c r="C6396" t="s">
        <v>76</v>
      </c>
      <c r="D6396" t="s">
        <v>183</v>
      </c>
      <c r="E6396" t="s">
        <v>11</v>
      </c>
      <c r="F6396">
        <v>0.55395174026489258</v>
      </c>
    </row>
    <row r="6397" spans="2:6">
      <c r="B6397">
        <v>2016</v>
      </c>
      <c r="C6397" t="s">
        <v>76</v>
      </c>
      <c r="D6397" t="s">
        <v>183</v>
      </c>
      <c r="E6397" t="s">
        <v>12</v>
      </c>
      <c r="F6397">
        <v>-0.1868685781955719</v>
      </c>
    </row>
    <row r="6398" spans="2:6">
      <c r="B6398">
        <v>2016</v>
      </c>
      <c r="C6398" t="s">
        <v>76</v>
      </c>
      <c r="D6398" t="s">
        <v>183</v>
      </c>
      <c r="E6398" t="s">
        <v>13</v>
      </c>
      <c r="F6398">
        <v>0.92418581247329712</v>
      </c>
    </row>
    <row r="6399" spans="2:6">
      <c r="B6399">
        <v>2016</v>
      </c>
      <c r="C6399" t="s">
        <v>76</v>
      </c>
      <c r="D6399" t="s">
        <v>183</v>
      </c>
      <c r="E6399" t="s">
        <v>14</v>
      </c>
      <c r="F6399">
        <v>0.66591078042984009</v>
      </c>
    </row>
    <row r="6400" spans="2:6">
      <c r="B6400">
        <v>2016</v>
      </c>
      <c r="C6400" t="s">
        <v>76</v>
      </c>
      <c r="D6400" t="s">
        <v>183</v>
      </c>
      <c r="E6400" t="s">
        <v>15</v>
      </c>
      <c r="F6400">
        <v>0.24332576990127563</v>
      </c>
    </row>
    <row r="6401" spans="2:6">
      <c r="B6401">
        <v>2017</v>
      </c>
      <c r="C6401" t="s">
        <v>76</v>
      </c>
      <c r="D6401" t="s">
        <v>183</v>
      </c>
      <c r="E6401" t="s">
        <v>7</v>
      </c>
      <c r="F6401">
        <v>6.0650386810302734</v>
      </c>
    </row>
    <row r="6402" spans="2:6">
      <c r="B6402">
        <v>2017</v>
      </c>
      <c r="C6402" t="s">
        <v>76</v>
      </c>
      <c r="D6402" t="s">
        <v>183</v>
      </c>
      <c r="E6402" t="s">
        <v>8</v>
      </c>
      <c r="F6402">
        <v>10.29313850402832</v>
      </c>
    </row>
    <row r="6403" spans="2:6">
      <c r="B6403">
        <v>2017</v>
      </c>
      <c r="C6403" t="s">
        <v>76</v>
      </c>
      <c r="D6403" t="s">
        <v>183</v>
      </c>
      <c r="E6403" t="s">
        <v>9</v>
      </c>
      <c r="F6403">
        <v>0.87674754858016968</v>
      </c>
    </row>
    <row r="6404" spans="2:6">
      <c r="B6404">
        <v>2017</v>
      </c>
      <c r="C6404" t="s">
        <v>76</v>
      </c>
      <c r="D6404" t="s">
        <v>183</v>
      </c>
      <c r="E6404" t="s">
        <v>10</v>
      </c>
      <c r="F6404">
        <v>67.199996948242188</v>
      </c>
    </row>
    <row r="6405" spans="2:6">
      <c r="B6405">
        <v>2017</v>
      </c>
      <c r="C6405" t="s">
        <v>76</v>
      </c>
      <c r="D6405" t="s">
        <v>183</v>
      </c>
      <c r="E6405" t="s">
        <v>11</v>
      </c>
      <c r="F6405">
        <v>0.66116595268249512</v>
      </c>
    </row>
    <row r="6406" spans="2:6">
      <c r="B6406">
        <v>2017</v>
      </c>
      <c r="C6406" t="s">
        <v>76</v>
      </c>
      <c r="D6406" t="s">
        <v>183</v>
      </c>
      <c r="E6406" t="s">
        <v>12</v>
      </c>
      <c r="F6406">
        <v>-0.13931834697723389</v>
      </c>
    </row>
    <row r="6407" spans="2:6">
      <c r="B6407">
        <v>2017</v>
      </c>
      <c r="C6407" t="s">
        <v>76</v>
      </c>
      <c r="D6407" t="s">
        <v>183</v>
      </c>
      <c r="E6407" t="s">
        <v>13</v>
      </c>
      <c r="F6407">
        <v>0.88636130094528198</v>
      </c>
    </row>
    <row r="6408" spans="2:6">
      <c r="B6408">
        <v>2017</v>
      </c>
      <c r="C6408" t="s">
        <v>76</v>
      </c>
      <c r="D6408" t="s">
        <v>183</v>
      </c>
      <c r="E6408" t="s">
        <v>14</v>
      </c>
      <c r="F6408">
        <v>0.73518425226211548</v>
      </c>
    </row>
    <row r="6409" spans="2:6">
      <c r="B6409">
        <v>2017</v>
      </c>
      <c r="C6409" t="s">
        <v>76</v>
      </c>
      <c r="D6409" t="s">
        <v>183</v>
      </c>
      <c r="E6409" t="s">
        <v>15</v>
      </c>
      <c r="F6409">
        <v>0.180921271443367</v>
      </c>
    </row>
    <row r="6410" spans="2:6">
      <c r="B6410">
        <v>2018</v>
      </c>
      <c r="C6410" t="s">
        <v>76</v>
      </c>
      <c r="D6410" t="s">
        <v>183</v>
      </c>
      <c r="E6410" t="s">
        <v>7</v>
      </c>
      <c r="F6410">
        <v>5.9357709884643555</v>
      </c>
    </row>
    <row r="6411" spans="2:6">
      <c r="B6411">
        <v>2018</v>
      </c>
      <c r="C6411" t="s">
        <v>76</v>
      </c>
      <c r="D6411" t="s">
        <v>183</v>
      </c>
      <c r="E6411" t="s">
        <v>8</v>
      </c>
      <c r="F6411">
        <v>10.344091415405273</v>
      </c>
    </row>
    <row r="6412" spans="2:6">
      <c r="B6412">
        <v>2018</v>
      </c>
      <c r="C6412" t="s">
        <v>76</v>
      </c>
      <c r="D6412" t="s">
        <v>183</v>
      </c>
      <c r="E6412" t="s">
        <v>9</v>
      </c>
      <c r="F6412">
        <v>0.94059139490127563</v>
      </c>
    </row>
    <row r="6413" spans="2:6">
      <c r="B6413">
        <v>2018</v>
      </c>
      <c r="C6413" t="s">
        <v>76</v>
      </c>
      <c r="D6413" t="s">
        <v>183</v>
      </c>
      <c r="E6413" t="s">
        <v>10</v>
      </c>
      <c r="F6413">
        <v>67.599998474121094</v>
      </c>
    </row>
    <row r="6414" spans="2:6">
      <c r="B6414">
        <v>2018</v>
      </c>
      <c r="C6414" t="s">
        <v>76</v>
      </c>
      <c r="D6414" t="s">
        <v>183</v>
      </c>
      <c r="E6414" t="s">
        <v>11</v>
      </c>
      <c r="F6414">
        <v>0.69262707233428955</v>
      </c>
    </row>
    <row r="6415" spans="2:6">
      <c r="B6415">
        <v>2018</v>
      </c>
      <c r="C6415" t="s">
        <v>76</v>
      </c>
      <c r="D6415" t="s">
        <v>183</v>
      </c>
      <c r="E6415" t="s">
        <v>12</v>
      </c>
      <c r="F6415">
        <v>-0.24262432754039764</v>
      </c>
    </row>
    <row r="6416" spans="2:6">
      <c r="B6416">
        <v>2018</v>
      </c>
      <c r="C6416" t="s">
        <v>76</v>
      </c>
      <c r="D6416" t="s">
        <v>183</v>
      </c>
      <c r="E6416" t="s">
        <v>13</v>
      </c>
      <c r="F6416">
        <v>0.9112774133682251</v>
      </c>
    </row>
    <row r="6417" spans="2:6">
      <c r="B6417">
        <v>2018</v>
      </c>
      <c r="C6417" t="s">
        <v>76</v>
      </c>
      <c r="D6417" t="s">
        <v>183</v>
      </c>
      <c r="E6417" t="s">
        <v>14</v>
      </c>
      <c r="F6417">
        <v>0.67607313394546509</v>
      </c>
    </row>
    <row r="6418" spans="2:6">
      <c r="B6418">
        <v>2018</v>
      </c>
      <c r="C6418" t="s">
        <v>76</v>
      </c>
      <c r="D6418" t="s">
        <v>183</v>
      </c>
      <c r="E6418" t="s">
        <v>15</v>
      </c>
      <c r="F6418">
        <v>0.20108288526535034</v>
      </c>
    </row>
    <row r="6419" spans="2:6">
      <c r="B6419">
        <v>2019</v>
      </c>
      <c r="C6419" t="s">
        <v>76</v>
      </c>
      <c r="D6419" t="s">
        <v>183</v>
      </c>
      <c r="E6419" t="s">
        <v>7</v>
      </c>
      <c r="F6419">
        <v>6.0002598762512207</v>
      </c>
    </row>
    <row r="6420" spans="2:6">
      <c r="B6420">
        <v>2019</v>
      </c>
      <c r="C6420" t="s">
        <v>76</v>
      </c>
      <c r="D6420" t="s">
        <v>183</v>
      </c>
      <c r="E6420" t="s">
        <v>8</v>
      </c>
      <c r="F6420">
        <v>10.392767906188965</v>
      </c>
    </row>
    <row r="6421" spans="2:6">
      <c r="B6421">
        <v>2019</v>
      </c>
      <c r="C6421" t="s">
        <v>76</v>
      </c>
      <c r="D6421" t="s">
        <v>183</v>
      </c>
      <c r="E6421" t="s">
        <v>9</v>
      </c>
      <c r="F6421">
        <v>0.94651556015014648</v>
      </c>
    </row>
    <row r="6422" spans="2:6">
      <c r="B6422">
        <v>2019</v>
      </c>
      <c r="C6422" t="s">
        <v>76</v>
      </c>
      <c r="D6422" t="s">
        <v>183</v>
      </c>
      <c r="E6422" t="s">
        <v>10</v>
      </c>
      <c r="F6422">
        <v>68</v>
      </c>
    </row>
    <row r="6423" spans="2:6">
      <c r="B6423">
        <v>2019</v>
      </c>
      <c r="C6423" t="s">
        <v>76</v>
      </c>
      <c r="D6423" t="s">
        <v>183</v>
      </c>
      <c r="E6423" t="s">
        <v>11</v>
      </c>
      <c r="F6423">
        <v>0.79804104566574097</v>
      </c>
    </row>
    <row r="6424" spans="2:6">
      <c r="B6424">
        <v>2019</v>
      </c>
      <c r="C6424" t="s">
        <v>76</v>
      </c>
      <c r="D6424" t="s">
        <v>183</v>
      </c>
      <c r="E6424" t="s">
        <v>12</v>
      </c>
      <c r="F6424">
        <v>-0.19490307569503784</v>
      </c>
    </row>
    <row r="6425" spans="2:6">
      <c r="B6425">
        <v>2019</v>
      </c>
      <c r="C6425" t="s">
        <v>76</v>
      </c>
      <c r="D6425" t="s">
        <v>183</v>
      </c>
      <c r="E6425" t="s">
        <v>13</v>
      </c>
      <c r="F6425">
        <v>0.88357144594192505</v>
      </c>
    </row>
    <row r="6426" spans="2:6">
      <c r="B6426">
        <v>2019</v>
      </c>
      <c r="C6426" t="s">
        <v>76</v>
      </c>
      <c r="D6426" t="s">
        <v>183</v>
      </c>
      <c r="E6426" t="s">
        <v>14</v>
      </c>
      <c r="F6426">
        <v>0.74301433563232422</v>
      </c>
    </row>
    <row r="6427" spans="2:6">
      <c r="B6427">
        <v>2019</v>
      </c>
      <c r="C6427" t="s">
        <v>76</v>
      </c>
      <c r="D6427" t="s">
        <v>183</v>
      </c>
      <c r="E6427" t="s">
        <v>15</v>
      </c>
      <c r="F6427">
        <v>0.18034812808036804</v>
      </c>
    </row>
    <row r="6428" spans="2:6">
      <c r="B6428">
        <v>2020</v>
      </c>
      <c r="C6428" t="s">
        <v>76</v>
      </c>
      <c r="D6428" t="s">
        <v>183</v>
      </c>
      <c r="E6428" t="s">
        <v>7</v>
      </c>
      <c r="F6428">
        <v>6.0380496978759766</v>
      </c>
    </row>
    <row r="6429" spans="2:6">
      <c r="B6429">
        <v>2020</v>
      </c>
      <c r="C6429" t="s">
        <v>76</v>
      </c>
      <c r="D6429" t="s">
        <v>183</v>
      </c>
      <c r="E6429" t="s">
        <v>8</v>
      </c>
      <c r="F6429">
        <v>10.335147857666016</v>
      </c>
    </row>
    <row r="6430" spans="2:6">
      <c r="B6430">
        <v>2020</v>
      </c>
      <c r="C6430" t="s">
        <v>76</v>
      </c>
      <c r="D6430" t="s">
        <v>183</v>
      </c>
      <c r="E6430" t="s">
        <v>9</v>
      </c>
      <c r="F6430">
        <v>0.94340038299560547</v>
      </c>
    </row>
    <row r="6431" spans="2:6">
      <c r="B6431">
        <v>2020</v>
      </c>
      <c r="C6431" t="s">
        <v>76</v>
      </c>
      <c r="D6431" t="s">
        <v>183</v>
      </c>
      <c r="E6431" t="s">
        <v>10</v>
      </c>
      <c r="F6431">
        <v>68.400001525878906</v>
      </c>
    </row>
    <row r="6432" spans="2:6">
      <c r="B6432">
        <v>2020</v>
      </c>
      <c r="C6432" t="s">
        <v>76</v>
      </c>
      <c r="D6432" t="s">
        <v>183</v>
      </c>
      <c r="E6432" t="s">
        <v>11</v>
      </c>
      <c r="F6432">
        <v>0.77096807956695557</v>
      </c>
    </row>
    <row r="6433" spans="2:6">
      <c r="B6433">
        <v>2020</v>
      </c>
      <c r="C6433" t="s">
        <v>76</v>
      </c>
      <c r="D6433" t="s">
        <v>183</v>
      </c>
      <c r="E6433" t="s">
        <v>12</v>
      </c>
      <c r="F6433">
        <v>-0.12040461599826813</v>
      </c>
    </row>
    <row r="6434" spans="2:6">
      <c r="B6434">
        <v>2020</v>
      </c>
      <c r="C6434" t="s">
        <v>76</v>
      </c>
      <c r="D6434" t="s">
        <v>183</v>
      </c>
      <c r="E6434" t="s">
        <v>13</v>
      </c>
      <c r="F6434">
        <v>0.8361051082611084</v>
      </c>
    </row>
    <row r="6435" spans="2:6">
      <c r="B6435">
        <v>2020</v>
      </c>
      <c r="C6435" t="s">
        <v>76</v>
      </c>
      <c r="D6435" t="s">
        <v>183</v>
      </c>
      <c r="E6435" t="s">
        <v>14</v>
      </c>
      <c r="F6435">
        <v>0.73523837327957153</v>
      </c>
    </row>
    <row r="6436" spans="2:6">
      <c r="B6436">
        <v>2020</v>
      </c>
      <c r="C6436" t="s">
        <v>76</v>
      </c>
      <c r="D6436" t="s">
        <v>183</v>
      </c>
      <c r="E6436" t="s">
        <v>15</v>
      </c>
      <c r="F6436">
        <v>0.24005194008350372</v>
      </c>
    </row>
    <row r="6437" spans="2:6">
      <c r="B6437">
        <v>2008</v>
      </c>
      <c r="C6437" t="s">
        <v>77</v>
      </c>
      <c r="D6437" t="s">
        <v>183</v>
      </c>
      <c r="E6437" t="s">
        <v>7</v>
      </c>
      <c r="F6437">
        <v>6.8882842063903809</v>
      </c>
    </row>
    <row r="6438" spans="2:6">
      <c r="B6438">
        <v>2008</v>
      </c>
      <c r="C6438" t="s">
        <v>77</v>
      </c>
      <c r="D6438" t="s">
        <v>183</v>
      </c>
      <c r="E6438" t="s">
        <v>8</v>
      </c>
      <c r="F6438">
        <v>10.861430168151855</v>
      </c>
    </row>
    <row r="6439" spans="2:6">
      <c r="B6439">
        <v>2008</v>
      </c>
      <c r="C6439" t="s">
        <v>77</v>
      </c>
      <c r="D6439" t="s">
        <v>183</v>
      </c>
      <c r="E6439" t="s">
        <v>9</v>
      </c>
      <c r="F6439">
        <v>0.97742956876754761</v>
      </c>
    </row>
    <row r="6440" spans="2:6">
      <c r="B6440">
        <v>2008</v>
      </c>
      <c r="C6440" t="s">
        <v>77</v>
      </c>
      <c r="D6440" t="s">
        <v>183</v>
      </c>
      <c r="E6440" t="s">
        <v>10</v>
      </c>
      <c r="F6440">
        <v>72.319999694824219</v>
      </c>
    </row>
    <row r="6441" spans="2:6">
      <c r="B6441">
        <v>2008</v>
      </c>
      <c r="C6441" t="s">
        <v>77</v>
      </c>
      <c r="D6441" t="s">
        <v>183</v>
      </c>
      <c r="E6441" t="s">
        <v>11</v>
      </c>
      <c r="F6441">
        <v>0.88519614934921265</v>
      </c>
    </row>
    <row r="6442" spans="2:6">
      <c r="B6442">
        <v>2008</v>
      </c>
      <c r="C6442" t="s">
        <v>77</v>
      </c>
      <c r="D6442" t="s">
        <v>183</v>
      </c>
      <c r="E6442" t="s">
        <v>12</v>
      </c>
      <c r="F6442">
        <v>0.27176573872566223</v>
      </c>
    </row>
    <row r="6443" spans="2:6">
      <c r="B6443">
        <v>2008</v>
      </c>
      <c r="C6443" t="s">
        <v>77</v>
      </c>
      <c r="D6443" t="s">
        <v>183</v>
      </c>
      <c r="E6443" t="s">
        <v>13</v>
      </c>
      <c r="F6443">
        <v>0.70804929733276367</v>
      </c>
    </row>
    <row r="6444" spans="2:6">
      <c r="B6444">
        <v>2008</v>
      </c>
      <c r="C6444" t="s">
        <v>77</v>
      </c>
      <c r="D6444" t="s">
        <v>183</v>
      </c>
      <c r="E6444" t="s">
        <v>14</v>
      </c>
      <c r="F6444">
        <v>0.87953847646713257</v>
      </c>
    </row>
    <row r="6445" spans="2:6">
      <c r="B6445">
        <v>2008</v>
      </c>
      <c r="C6445" t="s">
        <v>77</v>
      </c>
      <c r="D6445" t="s">
        <v>183</v>
      </c>
      <c r="E6445" t="s">
        <v>15</v>
      </c>
      <c r="F6445">
        <v>0.15306843817234039</v>
      </c>
    </row>
    <row r="6446" spans="2:6">
      <c r="B6446">
        <v>2012</v>
      </c>
      <c r="C6446" t="s">
        <v>77</v>
      </c>
      <c r="D6446" t="s">
        <v>183</v>
      </c>
      <c r="E6446" t="s">
        <v>7</v>
      </c>
      <c r="F6446">
        <v>7.5906600952148438</v>
      </c>
    </row>
    <row r="6447" spans="2:6">
      <c r="B6447">
        <v>2012</v>
      </c>
      <c r="C6447" t="s">
        <v>77</v>
      </c>
      <c r="D6447" t="s">
        <v>183</v>
      </c>
      <c r="E6447" t="s">
        <v>8</v>
      </c>
      <c r="F6447">
        <v>10.777462959289551</v>
      </c>
    </row>
    <row r="6448" spans="2:6">
      <c r="B6448">
        <v>2012</v>
      </c>
      <c r="C6448" t="s">
        <v>77</v>
      </c>
      <c r="D6448" t="s">
        <v>183</v>
      </c>
      <c r="E6448" t="s">
        <v>9</v>
      </c>
      <c r="F6448">
        <v>0.97896528244018555</v>
      </c>
    </row>
    <row r="6449" spans="2:6">
      <c r="B6449">
        <v>2012</v>
      </c>
      <c r="C6449" t="s">
        <v>77</v>
      </c>
      <c r="D6449" t="s">
        <v>183</v>
      </c>
      <c r="E6449" t="s">
        <v>10</v>
      </c>
      <c r="F6449">
        <v>72.760002136230469</v>
      </c>
    </row>
    <row r="6450" spans="2:6">
      <c r="B6450">
        <v>2012</v>
      </c>
      <c r="C6450" t="s">
        <v>77</v>
      </c>
      <c r="D6450" t="s">
        <v>183</v>
      </c>
      <c r="E6450" t="s">
        <v>11</v>
      </c>
      <c r="F6450">
        <v>0.90465450286865234</v>
      </c>
    </row>
    <row r="6451" spans="2:6">
      <c r="B6451">
        <v>2012</v>
      </c>
      <c r="C6451" t="s">
        <v>77</v>
      </c>
      <c r="D6451" t="s">
        <v>183</v>
      </c>
      <c r="E6451" t="s">
        <v>12</v>
      </c>
      <c r="F6451">
        <v>0.24138300120830536</v>
      </c>
    </row>
    <row r="6452" spans="2:6">
      <c r="B6452">
        <v>2012</v>
      </c>
      <c r="C6452" t="s">
        <v>77</v>
      </c>
      <c r="D6452" t="s">
        <v>183</v>
      </c>
      <c r="E6452" t="s">
        <v>13</v>
      </c>
      <c r="F6452">
        <v>0.75858563184738159</v>
      </c>
    </row>
    <row r="6453" spans="2:6">
      <c r="B6453">
        <v>2012</v>
      </c>
      <c r="C6453" t="s">
        <v>77</v>
      </c>
      <c r="D6453" t="s">
        <v>183</v>
      </c>
      <c r="E6453" t="s">
        <v>14</v>
      </c>
      <c r="F6453">
        <v>0.89971846342086792</v>
      </c>
    </row>
    <row r="6454" spans="2:6">
      <c r="B6454">
        <v>2012</v>
      </c>
      <c r="C6454" t="s">
        <v>77</v>
      </c>
      <c r="D6454" t="s">
        <v>183</v>
      </c>
      <c r="E6454" t="s">
        <v>15</v>
      </c>
      <c r="F6454">
        <v>0.15715381503105164</v>
      </c>
    </row>
    <row r="6455" spans="2:6">
      <c r="B6455">
        <v>2013</v>
      </c>
      <c r="C6455" t="s">
        <v>77</v>
      </c>
      <c r="D6455" t="s">
        <v>183</v>
      </c>
      <c r="E6455" t="s">
        <v>7</v>
      </c>
      <c r="F6455">
        <v>7.5013942718505859</v>
      </c>
    </row>
    <row r="6456" spans="2:6">
      <c r="B6456">
        <v>2013</v>
      </c>
      <c r="C6456" t="s">
        <v>77</v>
      </c>
      <c r="D6456" t="s">
        <v>183</v>
      </c>
      <c r="E6456" t="s">
        <v>8</v>
      </c>
      <c r="F6456">
        <v>10.808510780334473</v>
      </c>
    </row>
    <row r="6457" spans="2:6">
      <c r="B6457">
        <v>2013</v>
      </c>
      <c r="C6457" t="s">
        <v>77</v>
      </c>
      <c r="D6457" t="s">
        <v>183</v>
      </c>
      <c r="E6457" t="s">
        <v>9</v>
      </c>
      <c r="F6457">
        <v>0.96714490652084351</v>
      </c>
    </row>
    <row r="6458" spans="2:6">
      <c r="B6458">
        <v>2013</v>
      </c>
      <c r="C6458" t="s">
        <v>77</v>
      </c>
      <c r="D6458" t="s">
        <v>183</v>
      </c>
      <c r="E6458" t="s">
        <v>10</v>
      </c>
      <c r="F6458">
        <v>72.839996337890625</v>
      </c>
    </row>
    <row r="6459" spans="2:6">
      <c r="B6459">
        <v>2013</v>
      </c>
      <c r="C6459" t="s">
        <v>77</v>
      </c>
      <c r="D6459" t="s">
        <v>183</v>
      </c>
      <c r="E6459" t="s">
        <v>11</v>
      </c>
      <c r="F6459">
        <v>0.92320770025253296</v>
      </c>
    </row>
    <row r="6460" spans="2:6">
      <c r="B6460">
        <v>2013</v>
      </c>
      <c r="C6460" t="s">
        <v>77</v>
      </c>
      <c r="D6460" t="s">
        <v>183</v>
      </c>
      <c r="E6460" t="s">
        <v>12</v>
      </c>
      <c r="F6460">
        <v>0.30591592192649841</v>
      </c>
    </row>
    <row r="6461" spans="2:6">
      <c r="B6461">
        <v>2013</v>
      </c>
      <c r="C6461" t="s">
        <v>77</v>
      </c>
      <c r="D6461" t="s">
        <v>183</v>
      </c>
      <c r="E6461" t="s">
        <v>13</v>
      </c>
      <c r="F6461">
        <v>0.71259874105453491</v>
      </c>
    </row>
    <row r="6462" spans="2:6">
      <c r="B6462">
        <v>2013</v>
      </c>
      <c r="C6462" t="s">
        <v>77</v>
      </c>
      <c r="D6462" t="s">
        <v>183</v>
      </c>
      <c r="E6462" t="s">
        <v>14</v>
      </c>
      <c r="F6462">
        <v>0.86997103691101074</v>
      </c>
    </row>
    <row r="6463" spans="2:6">
      <c r="B6463">
        <v>2013</v>
      </c>
      <c r="C6463" t="s">
        <v>77</v>
      </c>
      <c r="D6463" t="s">
        <v>183</v>
      </c>
      <c r="E6463" t="s">
        <v>15</v>
      </c>
      <c r="F6463">
        <v>0.15627557039260864</v>
      </c>
    </row>
    <row r="6464" spans="2:6">
      <c r="B6464">
        <v>2015</v>
      </c>
      <c r="C6464" t="s">
        <v>77</v>
      </c>
      <c r="D6464" t="s">
        <v>183</v>
      </c>
      <c r="E6464" t="s">
        <v>7</v>
      </c>
      <c r="F6464">
        <v>7.4980707168579102</v>
      </c>
    </row>
    <row r="6465" spans="2:6">
      <c r="B6465">
        <v>2015</v>
      </c>
      <c r="C6465" t="s">
        <v>77</v>
      </c>
      <c r="D6465" t="s">
        <v>183</v>
      </c>
      <c r="E6465" t="s">
        <v>8</v>
      </c>
      <c r="F6465">
        <v>10.853975296020508</v>
      </c>
    </row>
    <row r="6466" spans="2:6">
      <c r="B6466">
        <v>2015</v>
      </c>
      <c r="C6466" t="s">
        <v>77</v>
      </c>
      <c r="D6466" t="s">
        <v>183</v>
      </c>
      <c r="E6466" t="s">
        <v>9</v>
      </c>
      <c r="F6466">
        <v>0.98028320074081421</v>
      </c>
    </row>
    <row r="6467" spans="2:6">
      <c r="B6467">
        <v>2015</v>
      </c>
      <c r="C6467" t="s">
        <v>77</v>
      </c>
      <c r="D6467" t="s">
        <v>183</v>
      </c>
      <c r="E6467" t="s">
        <v>10</v>
      </c>
      <c r="F6467">
        <v>73</v>
      </c>
    </row>
    <row r="6468" spans="2:6">
      <c r="B6468">
        <v>2015</v>
      </c>
      <c r="C6468" t="s">
        <v>77</v>
      </c>
      <c r="D6468" t="s">
        <v>183</v>
      </c>
      <c r="E6468" t="s">
        <v>11</v>
      </c>
      <c r="F6468">
        <v>0.94048511981964111</v>
      </c>
    </row>
    <row r="6469" spans="2:6">
      <c r="B6469">
        <v>2015</v>
      </c>
      <c r="C6469" t="s">
        <v>77</v>
      </c>
      <c r="D6469" t="s">
        <v>183</v>
      </c>
      <c r="E6469" t="s">
        <v>12</v>
      </c>
      <c r="F6469">
        <v>0.30074355006217957</v>
      </c>
    </row>
    <row r="6470" spans="2:6">
      <c r="B6470">
        <v>2015</v>
      </c>
      <c r="C6470" t="s">
        <v>77</v>
      </c>
      <c r="D6470" t="s">
        <v>183</v>
      </c>
      <c r="E6470" t="s">
        <v>13</v>
      </c>
      <c r="F6470">
        <v>0.63866180181503296</v>
      </c>
    </row>
    <row r="6471" spans="2:6">
      <c r="B6471">
        <v>2015</v>
      </c>
      <c r="C6471" t="s">
        <v>77</v>
      </c>
      <c r="D6471" t="s">
        <v>183</v>
      </c>
      <c r="E6471" t="s">
        <v>14</v>
      </c>
      <c r="F6471">
        <v>0.84902083873748779</v>
      </c>
    </row>
    <row r="6472" spans="2:6">
      <c r="B6472">
        <v>2015</v>
      </c>
      <c r="C6472" t="s">
        <v>77</v>
      </c>
      <c r="D6472" t="s">
        <v>183</v>
      </c>
      <c r="E6472" t="s">
        <v>15</v>
      </c>
      <c r="F6472">
        <v>0.17950443923473358</v>
      </c>
    </row>
    <row r="6473" spans="2:6">
      <c r="B6473">
        <v>2016</v>
      </c>
      <c r="C6473" t="s">
        <v>77</v>
      </c>
      <c r="D6473" t="s">
        <v>183</v>
      </c>
      <c r="E6473" t="s">
        <v>7</v>
      </c>
      <c r="F6473">
        <v>7.5100345611572266</v>
      </c>
    </row>
    <row r="6474" spans="2:6">
      <c r="B6474">
        <v>2016</v>
      </c>
      <c r="C6474" t="s">
        <v>77</v>
      </c>
      <c r="D6474" t="s">
        <v>183</v>
      </c>
      <c r="E6474" t="s">
        <v>8</v>
      </c>
      <c r="F6474">
        <v>10.904261589050293</v>
      </c>
    </row>
    <row r="6475" spans="2:6">
      <c r="B6475">
        <v>2016</v>
      </c>
      <c r="C6475" t="s">
        <v>77</v>
      </c>
      <c r="D6475" t="s">
        <v>183</v>
      </c>
      <c r="E6475" t="s">
        <v>9</v>
      </c>
      <c r="F6475">
        <v>0.9849400520324707</v>
      </c>
    </row>
    <row r="6476" spans="2:6">
      <c r="B6476">
        <v>2016</v>
      </c>
      <c r="C6476" t="s">
        <v>77</v>
      </c>
      <c r="D6476" t="s">
        <v>183</v>
      </c>
      <c r="E6476" t="s">
        <v>10</v>
      </c>
      <c r="F6476">
        <v>73</v>
      </c>
    </row>
    <row r="6477" spans="2:6">
      <c r="B6477">
        <v>2016</v>
      </c>
      <c r="C6477" t="s">
        <v>77</v>
      </c>
      <c r="D6477" t="s">
        <v>183</v>
      </c>
      <c r="E6477" t="s">
        <v>11</v>
      </c>
      <c r="F6477">
        <v>0.95160955190658569</v>
      </c>
    </row>
    <row r="6478" spans="2:6">
      <c r="B6478">
        <v>2016</v>
      </c>
      <c r="C6478" t="s">
        <v>77</v>
      </c>
      <c r="D6478" t="s">
        <v>183</v>
      </c>
      <c r="E6478" t="s">
        <v>12</v>
      </c>
      <c r="F6478">
        <v>0.28081178665161133</v>
      </c>
    </row>
    <row r="6479" spans="2:6">
      <c r="B6479">
        <v>2016</v>
      </c>
      <c r="C6479" t="s">
        <v>77</v>
      </c>
      <c r="D6479" t="s">
        <v>183</v>
      </c>
      <c r="E6479" t="s">
        <v>13</v>
      </c>
      <c r="F6479">
        <v>0.7192995548248291</v>
      </c>
    </row>
    <row r="6480" spans="2:6">
      <c r="B6480">
        <v>2016</v>
      </c>
      <c r="C6480" t="s">
        <v>77</v>
      </c>
      <c r="D6480" t="s">
        <v>183</v>
      </c>
      <c r="E6480" t="s">
        <v>14</v>
      </c>
      <c r="F6480">
        <v>0.87388789653778076</v>
      </c>
    </row>
    <row r="6481" spans="2:6">
      <c r="B6481">
        <v>2016</v>
      </c>
      <c r="C6481" t="s">
        <v>77</v>
      </c>
      <c r="D6481" t="s">
        <v>183</v>
      </c>
      <c r="E6481" t="s">
        <v>15</v>
      </c>
      <c r="F6481">
        <v>0.15816916525363922</v>
      </c>
    </row>
    <row r="6482" spans="2:6">
      <c r="B6482">
        <v>2017</v>
      </c>
      <c r="C6482" t="s">
        <v>77</v>
      </c>
      <c r="D6482" t="s">
        <v>183</v>
      </c>
      <c r="E6482" t="s">
        <v>7</v>
      </c>
      <c r="F6482">
        <v>7.4762139320373535</v>
      </c>
    </row>
    <row r="6483" spans="2:6">
      <c r="B6483">
        <v>2017</v>
      </c>
      <c r="C6483" t="s">
        <v>77</v>
      </c>
      <c r="D6483" t="s">
        <v>183</v>
      </c>
      <c r="E6483" t="s">
        <v>8</v>
      </c>
      <c r="F6483">
        <v>10.925262451171875</v>
      </c>
    </row>
    <row r="6484" spans="2:6">
      <c r="B6484">
        <v>2017</v>
      </c>
      <c r="C6484" t="s">
        <v>77</v>
      </c>
      <c r="D6484" t="s">
        <v>183</v>
      </c>
      <c r="E6484" t="s">
        <v>9</v>
      </c>
      <c r="F6484">
        <v>0.96675282716751099</v>
      </c>
    </row>
    <row r="6485" spans="2:6">
      <c r="B6485">
        <v>2017</v>
      </c>
      <c r="C6485" t="s">
        <v>77</v>
      </c>
      <c r="D6485" t="s">
        <v>183</v>
      </c>
      <c r="E6485" t="s">
        <v>10</v>
      </c>
      <c r="F6485">
        <v>73</v>
      </c>
    </row>
    <row r="6486" spans="2:6">
      <c r="B6486">
        <v>2017</v>
      </c>
      <c r="C6486" t="s">
        <v>77</v>
      </c>
      <c r="D6486" t="s">
        <v>183</v>
      </c>
      <c r="E6486" t="s">
        <v>11</v>
      </c>
      <c r="F6486">
        <v>0.93878328800201416</v>
      </c>
    </row>
    <row r="6487" spans="2:6">
      <c r="B6487">
        <v>2017</v>
      </c>
      <c r="C6487" t="s">
        <v>77</v>
      </c>
      <c r="D6487" t="s">
        <v>183</v>
      </c>
      <c r="E6487" t="s">
        <v>12</v>
      </c>
      <c r="F6487">
        <v>0.24576959013938904</v>
      </c>
    </row>
    <row r="6488" spans="2:6">
      <c r="B6488">
        <v>2017</v>
      </c>
      <c r="C6488" t="s">
        <v>77</v>
      </c>
      <c r="D6488" t="s">
        <v>183</v>
      </c>
      <c r="E6488" t="s">
        <v>13</v>
      </c>
      <c r="F6488">
        <v>0.726845383644104</v>
      </c>
    </row>
    <row r="6489" spans="2:6">
      <c r="B6489">
        <v>2017</v>
      </c>
      <c r="C6489" t="s">
        <v>77</v>
      </c>
      <c r="D6489" t="s">
        <v>183</v>
      </c>
      <c r="E6489" t="s">
        <v>14</v>
      </c>
      <c r="F6489">
        <v>0.89525455236434937</v>
      </c>
    </row>
    <row r="6490" spans="2:6">
      <c r="B6490">
        <v>2017</v>
      </c>
      <c r="C6490" t="s">
        <v>77</v>
      </c>
      <c r="D6490" t="s">
        <v>183</v>
      </c>
      <c r="E6490" t="s">
        <v>15</v>
      </c>
      <c r="F6490">
        <v>0.14816001057624817</v>
      </c>
    </row>
    <row r="6491" spans="2:6">
      <c r="B6491">
        <v>2019</v>
      </c>
      <c r="C6491" t="s">
        <v>77</v>
      </c>
      <c r="D6491" t="s">
        <v>183</v>
      </c>
      <c r="E6491" t="s">
        <v>7</v>
      </c>
      <c r="F6491">
        <v>7.5325045585632324</v>
      </c>
    </row>
    <row r="6492" spans="2:6">
      <c r="B6492">
        <v>2019</v>
      </c>
      <c r="C6492" t="s">
        <v>77</v>
      </c>
      <c r="D6492" t="s">
        <v>183</v>
      </c>
      <c r="E6492" t="s">
        <v>8</v>
      </c>
      <c r="F6492">
        <v>10.930853843688965</v>
      </c>
    </row>
    <row r="6493" spans="2:6">
      <c r="B6493">
        <v>2019</v>
      </c>
      <c r="C6493" t="s">
        <v>77</v>
      </c>
      <c r="D6493" t="s">
        <v>183</v>
      </c>
      <c r="E6493" t="s">
        <v>9</v>
      </c>
      <c r="F6493">
        <v>0.98182457685470581</v>
      </c>
    </row>
    <row r="6494" spans="2:6">
      <c r="B6494">
        <v>2019</v>
      </c>
      <c r="C6494" t="s">
        <v>77</v>
      </c>
      <c r="D6494" t="s">
        <v>183</v>
      </c>
      <c r="E6494" t="s">
        <v>10</v>
      </c>
      <c r="F6494">
        <v>73</v>
      </c>
    </row>
    <row r="6495" spans="2:6">
      <c r="B6495">
        <v>2019</v>
      </c>
      <c r="C6495" t="s">
        <v>77</v>
      </c>
      <c r="D6495" t="s">
        <v>183</v>
      </c>
      <c r="E6495" t="s">
        <v>11</v>
      </c>
      <c r="F6495">
        <v>0.95947009325027466</v>
      </c>
    </row>
    <row r="6496" spans="2:6">
      <c r="B6496">
        <v>2019</v>
      </c>
      <c r="C6496" t="s">
        <v>77</v>
      </c>
      <c r="D6496" t="s">
        <v>183</v>
      </c>
      <c r="E6496" t="s">
        <v>13</v>
      </c>
      <c r="F6496">
        <v>0.6987079381942749</v>
      </c>
    </row>
    <row r="6497" spans="2:6">
      <c r="B6497">
        <v>2019</v>
      </c>
      <c r="C6497" t="s">
        <v>77</v>
      </c>
      <c r="D6497" t="s">
        <v>183</v>
      </c>
      <c r="E6497" t="s">
        <v>14</v>
      </c>
      <c r="F6497">
        <v>0.83600854873657227</v>
      </c>
    </row>
    <row r="6498" spans="2:6">
      <c r="B6498">
        <v>2019</v>
      </c>
      <c r="C6498" t="s">
        <v>77</v>
      </c>
      <c r="D6498" t="s">
        <v>183</v>
      </c>
      <c r="E6498" t="s">
        <v>15</v>
      </c>
      <c r="F6498">
        <v>0.17770352959632874</v>
      </c>
    </row>
    <row r="6499" spans="2:6">
      <c r="B6499">
        <v>2020</v>
      </c>
      <c r="C6499" t="s">
        <v>77</v>
      </c>
      <c r="D6499" t="s">
        <v>183</v>
      </c>
      <c r="E6499" t="s">
        <v>7</v>
      </c>
      <c r="F6499">
        <v>7.5754895210266113</v>
      </c>
    </row>
    <row r="6500" spans="2:6">
      <c r="B6500">
        <v>2020</v>
      </c>
      <c r="C6500" t="s">
        <v>77</v>
      </c>
      <c r="D6500" t="s">
        <v>183</v>
      </c>
      <c r="E6500" t="s">
        <v>8</v>
      </c>
      <c r="F6500">
        <v>10.824200630187988</v>
      </c>
    </row>
    <row r="6501" spans="2:6">
      <c r="B6501">
        <v>2020</v>
      </c>
      <c r="C6501" t="s">
        <v>77</v>
      </c>
      <c r="D6501" t="s">
        <v>183</v>
      </c>
      <c r="E6501" t="s">
        <v>9</v>
      </c>
      <c r="F6501">
        <v>0.98328608274459839</v>
      </c>
    </row>
    <row r="6502" spans="2:6">
      <c r="B6502">
        <v>2020</v>
      </c>
      <c r="C6502" t="s">
        <v>77</v>
      </c>
      <c r="D6502" t="s">
        <v>183</v>
      </c>
      <c r="E6502" t="s">
        <v>10</v>
      </c>
      <c r="F6502">
        <v>73</v>
      </c>
    </row>
    <row r="6503" spans="2:6">
      <c r="B6503">
        <v>2020</v>
      </c>
      <c r="C6503" t="s">
        <v>77</v>
      </c>
      <c r="D6503" t="s">
        <v>183</v>
      </c>
      <c r="E6503" t="s">
        <v>11</v>
      </c>
      <c r="F6503">
        <v>0.94862717390060425</v>
      </c>
    </row>
    <row r="6504" spans="2:6">
      <c r="B6504">
        <v>2020</v>
      </c>
      <c r="C6504" t="s">
        <v>77</v>
      </c>
      <c r="D6504" t="s">
        <v>183</v>
      </c>
      <c r="E6504" t="s">
        <v>12</v>
      </c>
      <c r="F6504">
        <v>0.16027399897575378</v>
      </c>
    </row>
    <row r="6505" spans="2:6">
      <c r="B6505">
        <v>2020</v>
      </c>
      <c r="C6505" t="s">
        <v>77</v>
      </c>
      <c r="D6505" t="s">
        <v>183</v>
      </c>
      <c r="E6505" t="s">
        <v>13</v>
      </c>
      <c r="F6505">
        <v>0.64406388998031616</v>
      </c>
    </row>
    <row r="6506" spans="2:6">
      <c r="B6506">
        <v>2020</v>
      </c>
      <c r="C6506" t="s">
        <v>77</v>
      </c>
      <c r="D6506" t="s">
        <v>183</v>
      </c>
      <c r="E6506" t="s">
        <v>14</v>
      </c>
      <c r="F6506">
        <v>0.86301761865615845</v>
      </c>
    </row>
    <row r="6507" spans="2:6">
      <c r="B6507">
        <v>2020</v>
      </c>
      <c r="C6507" t="s">
        <v>77</v>
      </c>
      <c r="D6507" t="s">
        <v>183</v>
      </c>
      <c r="E6507" t="s">
        <v>15</v>
      </c>
      <c r="F6507">
        <v>0.17179514467716217</v>
      </c>
    </row>
    <row r="6508" spans="2:6">
      <c r="B6508">
        <v>2006</v>
      </c>
      <c r="C6508" t="s">
        <v>78</v>
      </c>
      <c r="D6508" t="s">
        <v>182</v>
      </c>
      <c r="E6508" t="s">
        <v>7</v>
      </c>
      <c r="F6508">
        <v>5.3482589721679688</v>
      </c>
    </row>
    <row r="6509" spans="2:6">
      <c r="B6509">
        <v>2006</v>
      </c>
      <c r="C6509" t="s">
        <v>78</v>
      </c>
      <c r="D6509" t="s">
        <v>182</v>
      </c>
      <c r="E6509" t="s">
        <v>8</v>
      </c>
      <c r="F6509">
        <v>8.1451892852783203</v>
      </c>
    </row>
    <row r="6510" spans="2:6">
      <c r="B6510">
        <v>2006</v>
      </c>
      <c r="C6510" t="s">
        <v>78</v>
      </c>
      <c r="D6510" t="s">
        <v>182</v>
      </c>
      <c r="E6510" t="s">
        <v>9</v>
      </c>
      <c r="F6510">
        <v>0.70731806755065918</v>
      </c>
    </row>
    <row r="6511" spans="2:6">
      <c r="B6511">
        <v>2006</v>
      </c>
      <c r="C6511" t="s">
        <v>78</v>
      </c>
      <c r="D6511" t="s">
        <v>182</v>
      </c>
      <c r="E6511" t="s">
        <v>10</v>
      </c>
      <c r="F6511">
        <v>55.720001220703125</v>
      </c>
    </row>
    <row r="6512" spans="2:6">
      <c r="B6512">
        <v>2006</v>
      </c>
      <c r="C6512" t="s">
        <v>78</v>
      </c>
      <c r="D6512" t="s">
        <v>182</v>
      </c>
      <c r="E6512" t="s">
        <v>11</v>
      </c>
      <c r="F6512">
        <v>0.77373707294464111</v>
      </c>
    </row>
    <row r="6513" spans="2:6">
      <c r="B6513">
        <v>2006</v>
      </c>
      <c r="C6513" t="s">
        <v>78</v>
      </c>
      <c r="D6513" t="s">
        <v>182</v>
      </c>
      <c r="E6513" t="s">
        <v>13</v>
      </c>
      <c r="F6513">
        <v>0.85481172800064087</v>
      </c>
    </row>
    <row r="6514" spans="2:6">
      <c r="B6514">
        <v>2006</v>
      </c>
      <c r="C6514" t="s">
        <v>78</v>
      </c>
      <c r="D6514" t="s">
        <v>182</v>
      </c>
      <c r="E6514" t="s">
        <v>14</v>
      </c>
      <c r="F6514">
        <v>0.68701684474945068</v>
      </c>
    </row>
    <row r="6515" spans="2:6">
      <c r="B6515">
        <v>2006</v>
      </c>
      <c r="C6515" t="s">
        <v>78</v>
      </c>
      <c r="D6515" t="s">
        <v>182</v>
      </c>
      <c r="E6515" t="s">
        <v>15</v>
      </c>
      <c r="F6515">
        <v>0.1986016184091568</v>
      </c>
    </row>
    <row r="6516" spans="2:6">
      <c r="B6516">
        <v>2007</v>
      </c>
      <c r="C6516" t="s">
        <v>78</v>
      </c>
      <c r="D6516" t="s">
        <v>182</v>
      </c>
      <c r="E6516" t="s">
        <v>7</v>
      </c>
      <c r="F6516">
        <v>5.0267934799194336</v>
      </c>
    </row>
    <row r="6517" spans="2:6">
      <c r="B6517">
        <v>2007</v>
      </c>
      <c r="C6517" t="s">
        <v>78</v>
      </c>
      <c r="D6517" t="s">
        <v>182</v>
      </c>
      <c r="E6517" t="s">
        <v>8</v>
      </c>
      <c r="F6517">
        <v>8.2039127349853516</v>
      </c>
    </row>
    <row r="6518" spans="2:6">
      <c r="B6518">
        <v>2007</v>
      </c>
      <c r="C6518" t="s">
        <v>78</v>
      </c>
      <c r="D6518" t="s">
        <v>182</v>
      </c>
      <c r="E6518" t="s">
        <v>9</v>
      </c>
      <c r="F6518">
        <v>0.56899267435073853</v>
      </c>
    </row>
    <row r="6519" spans="2:6">
      <c r="B6519">
        <v>2007</v>
      </c>
      <c r="C6519" t="s">
        <v>78</v>
      </c>
      <c r="D6519" t="s">
        <v>182</v>
      </c>
      <c r="E6519" t="s">
        <v>10</v>
      </c>
      <c r="F6519">
        <v>56.139999389648438</v>
      </c>
    </row>
    <row r="6520" spans="2:6">
      <c r="B6520">
        <v>2007</v>
      </c>
      <c r="C6520" t="s">
        <v>78</v>
      </c>
      <c r="D6520" t="s">
        <v>182</v>
      </c>
      <c r="E6520" t="s">
        <v>11</v>
      </c>
      <c r="F6520">
        <v>0.72889262437820435</v>
      </c>
    </row>
    <row r="6521" spans="2:6">
      <c r="B6521">
        <v>2007</v>
      </c>
      <c r="C6521" t="s">
        <v>78</v>
      </c>
      <c r="D6521" t="s">
        <v>182</v>
      </c>
      <c r="E6521" t="s">
        <v>12</v>
      </c>
      <c r="F6521">
        <v>-5.1250956952571869E-2</v>
      </c>
    </row>
    <row r="6522" spans="2:6">
      <c r="B6522">
        <v>2007</v>
      </c>
      <c r="C6522" t="s">
        <v>78</v>
      </c>
      <c r="D6522" t="s">
        <v>182</v>
      </c>
      <c r="E6522" t="s">
        <v>13</v>
      </c>
      <c r="F6522">
        <v>0.86214286088943481</v>
      </c>
    </row>
    <row r="6523" spans="2:6">
      <c r="B6523">
        <v>2007</v>
      </c>
      <c r="C6523" t="s">
        <v>78</v>
      </c>
      <c r="D6523" t="s">
        <v>182</v>
      </c>
      <c r="E6523" t="s">
        <v>14</v>
      </c>
      <c r="F6523">
        <v>0.66846787929534912</v>
      </c>
    </row>
    <row r="6524" spans="2:6">
      <c r="B6524">
        <v>2007</v>
      </c>
      <c r="C6524" t="s">
        <v>78</v>
      </c>
      <c r="D6524" t="s">
        <v>182</v>
      </c>
      <c r="E6524" t="s">
        <v>15</v>
      </c>
      <c r="F6524">
        <v>0.2525022029876709</v>
      </c>
    </row>
    <row r="6525" spans="2:6">
      <c r="B6525">
        <v>2008</v>
      </c>
      <c r="C6525" t="s">
        <v>78</v>
      </c>
      <c r="D6525" t="s">
        <v>182</v>
      </c>
      <c r="E6525" t="s">
        <v>7</v>
      </c>
      <c r="F6525">
        <v>5.1458330154418945</v>
      </c>
    </row>
    <row r="6526" spans="2:6">
      <c r="B6526">
        <v>2008</v>
      </c>
      <c r="C6526" t="s">
        <v>78</v>
      </c>
      <c r="D6526" t="s">
        <v>182</v>
      </c>
      <c r="E6526" t="s">
        <v>8</v>
      </c>
      <c r="F6526">
        <v>8.2196636199951172</v>
      </c>
    </row>
    <row r="6527" spans="2:6">
      <c r="B6527">
        <v>2008</v>
      </c>
      <c r="C6527" t="s">
        <v>78</v>
      </c>
      <c r="D6527" t="s">
        <v>182</v>
      </c>
      <c r="E6527" t="s">
        <v>9</v>
      </c>
      <c r="F6527">
        <v>0.68359315395355225</v>
      </c>
    </row>
    <row r="6528" spans="2:6">
      <c r="B6528">
        <v>2008</v>
      </c>
      <c r="C6528" t="s">
        <v>78</v>
      </c>
      <c r="D6528" t="s">
        <v>182</v>
      </c>
      <c r="E6528" t="s">
        <v>10</v>
      </c>
      <c r="F6528">
        <v>56.560001373291016</v>
      </c>
    </row>
    <row r="6529" spans="2:6">
      <c r="B6529">
        <v>2008</v>
      </c>
      <c r="C6529" t="s">
        <v>78</v>
      </c>
      <c r="D6529" t="s">
        <v>182</v>
      </c>
      <c r="E6529" t="s">
        <v>11</v>
      </c>
      <c r="F6529">
        <v>0.75583964586257935</v>
      </c>
    </row>
    <row r="6530" spans="2:6">
      <c r="B6530">
        <v>2008</v>
      </c>
      <c r="C6530" t="s">
        <v>78</v>
      </c>
      <c r="D6530" t="s">
        <v>182</v>
      </c>
      <c r="E6530" t="s">
        <v>12</v>
      </c>
      <c r="F6530">
        <v>-7.1905680000782013E-2</v>
      </c>
    </row>
    <row r="6531" spans="2:6">
      <c r="B6531">
        <v>2008</v>
      </c>
      <c r="C6531" t="s">
        <v>78</v>
      </c>
      <c r="D6531" t="s">
        <v>182</v>
      </c>
      <c r="E6531" t="s">
        <v>13</v>
      </c>
      <c r="F6531">
        <v>0.89118844270706177</v>
      </c>
    </row>
    <row r="6532" spans="2:6">
      <c r="B6532">
        <v>2008</v>
      </c>
      <c r="C6532" t="s">
        <v>78</v>
      </c>
      <c r="D6532" t="s">
        <v>182</v>
      </c>
      <c r="E6532" t="s">
        <v>14</v>
      </c>
      <c r="F6532">
        <v>0.67415982484817505</v>
      </c>
    </row>
    <row r="6533" spans="2:6">
      <c r="B6533">
        <v>2008</v>
      </c>
      <c r="C6533" t="s">
        <v>78</v>
      </c>
      <c r="D6533" t="s">
        <v>182</v>
      </c>
      <c r="E6533" t="s">
        <v>15</v>
      </c>
      <c r="F6533">
        <v>0.25931546092033386</v>
      </c>
    </row>
    <row r="6534" spans="2:6">
      <c r="B6534">
        <v>2009</v>
      </c>
      <c r="C6534" t="s">
        <v>78</v>
      </c>
      <c r="D6534" t="s">
        <v>182</v>
      </c>
      <c r="E6534" t="s">
        <v>7</v>
      </c>
      <c r="F6534">
        <v>4.5215177536010742</v>
      </c>
    </row>
    <row r="6535" spans="2:6">
      <c r="B6535">
        <v>2009</v>
      </c>
      <c r="C6535" t="s">
        <v>78</v>
      </c>
      <c r="D6535" t="s">
        <v>182</v>
      </c>
      <c r="E6535" t="s">
        <v>8</v>
      </c>
      <c r="F6535">
        <v>8.2812395095825195</v>
      </c>
    </row>
    <row r="6536" spans="2:6">
      <c r="B6536">
        <v>2009</v>
      </c>
      <c r="C6536" t="s">
        <v>78</v>
      </c>
      <c r="D6536" t="s">
        <v>182</v>
      </c>
      <c r="E6536" t="s">
        <v>9</v>
      </c>
      <c r="F6536">
        <v>0.65285205841064453</v>
      </c>
    </row>
    <row r="6537" spans="2:6">
      <c r="B6537">
        <v>2009</v>
      </c>
      <c r="C6537" t="s">
        <v>78</v>
      </c>
      <c r="D6537" t="s">
        <v>182</v>
      </c>
      <c r="E6537" t="s">
        <v>10</v>
      </c>
      <c r="F6537">
        <v>56.979999542236328</v>
      </c>
    </row>
    <row r="6538" spans="2:6">
      <c r="B6538">
        <v>2009</v>
      </c>
      <c r="C6538" t="s">
        <v>78</v>
      </c>
      <c r="D6538" t="s">
        <v>182</v>
      </c>
      <c r="E6538" t="s">
        <v>11</v>
      </c>
      <c r="F6538">
        <v>0.67864364385604858</v>
      </c>
    </row>
    <row r="6539" spans="2:6">
      <c r="B6539">
        <v>2009</v>
      </c>
      <c r="C6539" t="s">
        <v>78</v>
      </c>
      <c r="D6539" t="s">
        <v>182</v>
      </c>
      <c r="E6539" t="s">
        <v>12</v>
      </c>
      <c r="F6539">
        <v>-2.5930330157279968E-2</v>
      </c>
    </row>
    <row r="6540" spans="2:6">
      <c r="B6540">
        <v>2009</v>
      </c>
      <c r="C6540" t="s">
        <v>78</v>
      </c>
      <c r="D6540" t="s">
        <v>182</v>
      </c>
      <c r="E6540" t="s">
        <v>13</v>
      </c>
      <c r="F6540">
        <v>0.89461106061935425</v>
      </c>
    </row>
    <row r="6541" spans="2:6">
      <c r="B6541">
        <v>2009</v>
      </c>
      <c r="C6541" t="s">
        <v>78</v>
      </c>
      <c r="D6541" t="s">
        <v>182</v>
      </c>
      <c r="E6541" t="s">
        <v>14</v>
      </c>
      <c r="F6541">
        <v>0.771342933177948</v>
      </c>
    </row>
    <row r="6542" spans="2:6">
      <c r="B6542">
        <v>2009</v>
      </c>
      <c r="C6542" t="s">
        <v>78</v>
      </c>
      <c r="D6542" t="s">
        <v>182</v>
      </c>
      <c r="E6542" t="s">
        <v>15</v>
      </c>
      <c r="F6542">
        <v>0.30062133073806763</v>
      </c>
    </row>
    <row r="6543" spans="2:6">
      <c r="B6543">
        <v>2010</v>
      </c>
      <c r="C6543" t="s">
        <v>78</v>
      </c>
      <c r="D6543" t="s">
        <v>182</v>
      </c>
      <c r="E6543" t="s">
        <v>7</v>
      </c>
      <c r="F6543">
        <v>4.9892773628234863</v>
      </c>
    </row>
    <row r="6544" spans="2:6">
      <c r="B6544">
        <v>2010</v>
      </c>
      <c r="C6544" t="s">
        <v>78</v>
      </c>
      <c r="D6544" t="s">
        <v>182</v>
      </c>
      <c r="E6544" t="s">
        <v>8</v>
      </c>
      <c r="F6544">
        <v>8.3492937088012695</v>
      </c>
    </row>
    <row r="6545" spans="2:6">
      <c r="B6545">
        <v>2010</v>
      </c>
      <c r="C6545" t="s">
        <v>78</v>
      </c>
      <c r="D6545" t="s">
        <v>182</v>
      </c>
      <c r="E6545" t="s">
        <v>9</v>
      </c>
      <c r="F6545">
        <v>0.60480976104736328</v>
      </c>
    </row>
    <row r="6546" spans="2:6">
      <c r="B6546">
        <v>2010</v>
      </c>
      <c r="C6546" t="s">
        <v>78</v>
      </c>
      <c r="D6546" t="s">
        <v>182</v>
      </c>
      <c r="E6546" t="s">
        <v>10</v>
      </c>
      <c r="F6546">
        <v>57.400001525878906</v>
      </c>
    </row>
    <row r="6547" spans="2:6">
      <c r="B6547">
        <v>2010</v>
      </c>
      <c r="C6547" t="s">
        <v>78</v>
      </c>
      <c r="D6547" t="s">
        <v>182</v>
      </c>
      <c r="E6547" t="s">
        <v>11</v>
      </c>
      <c r="F6547">
        <v>0.78306037187576294</v>
      </c>
    </row>
    <row r="6548" spans="2:6">
      <c r="B6548">
        <v>2010</v>
      </c>
      <c r="C6548" t="s">
        <v>78</v>
      </c>
      <c r="D6548" t="s">
        <v>182</v>
      </c>
      <c r="E6548" t="s">
        <v>12</v>
      </c>
      <c r="F6548">
        <v>5.790228396654129E-2</v>
      </c>
    </row>
    <row r="6549" spans="2:6">
      <c r="B6549">
        <v>2010</v>
      </c>
      <c r="C6549" t="s">
        <v>78</v>
      </c>
      <c r="D6549" t="s">
        <v>182</v>
      </c>
      <c r="E6549" t="s">
        <v>13</v>
      </c>
      <c r="F6549">
        <v>0.86254805326461792</v>
      </c>
    </row>
    <row r="6550" spans="2:6">
      <c r="B6550">
        <v>2010</v>
      </c>
      <c r="C6550" t="s">
        <v>78</v>
      </c>
      <c r="D6550" t="s">
        <v>182</v>
      </c>
      <c r="E6550" t="s">
        <v>14</v>
      </c>
      <c r="F6550">
        <v>0.69651234149932861</v>
      </c>
    </row>
    <row r="6551" spans="2:6">
      <c r="B6551">
        <v>2010</v>
      </c>
      <c r="C6551" t="s">
        <v>78</v>
      </c>
      <c r="D6551" t="s">
        <v>182</v>
      </c>
      <c r="E6551" t="s">
        <v>15</v>
      </c>
      <c r="F6551">
        <v>0.2665020227432251</v>
      </c>
    </row>
    <row r="6552" spans="2:6">
      <c r="B6552">
        <v>2011</v>
      </c>
      <c r="C6552" t="s">
        <v>78</v>
      </c>
      <c r="D6552" t="s">
        <v>182</v>
      </c>
      <c r="E6552" t="s">
        <v>7</v>
      </c>
      <c r="F6552">
        <v>4.6348714828491211</v>
      </c>
    </row>
    <row r="6553" spans="2:6">
      <c r="B6553">
        <v>2011</v>
      </c>
      <c r="C6553" t="s">
        <v>78</v>
      </c>
      <c r="D6553" t="s">
        <v>182</v>
      </c>
      <c r="E6553" t="s">
        <v>8</v>
      </c>
      <c r="F6553">
        <v>8.3874940872192383</v>
      </c>
    </row>
    <row r="6554" spans="2:6">
      <c r="B6554">
        <v>2011</v>
      </c>
      <c r="C6554" t="s">
        <v>78</v>
      </c>
      <c r="D6554" t="s">
        <v>182</v>
      </c>
      <c r="E6554" t="s">
        <v>9</v>
      </c>
      <c r="F6554">
        <v>0.55259311199188232</v>
      </c>
    </row>
    <row r="6555" spans="2:6">
      <c r="B6555">
        <v>2011</v>
      </c>
      <c r="C6555" t="s">
        <v>78</v>
      </c>
      <c r="D6555" t="s">
        <v>182</v>
      </c>
      <c r="E6555" t="s">
        <v>10</v>
      </c>
      <c r="F6555">
        <v>57.700000762939453</v>
      </c>
    </row>
    <row r="6556" spans="2:6">
      <c r="B6556">
        <v>2011</v>
      </c>
      <c r="C6556" t="s">
        <v>78</v>
      </c>
      <c r="D6556" t="s">
        <v>182</v>
      </c>
      <c r="E6556" t="s">
        <v>11</v>
      </c>
      <c r="F6556">
        <v>0.83755165338516235</v>
      </c>
    </row>
    <row r="6557" spans="2:6">
      <c r="B6557">
        <v>2011</v>
      </c>
      <c r="C6557" t="s">
        <v>78</v>
      </c>
      <c r="D6557" t="s">
        <v>182</v>
      </c>
      <c r="E6557" t="s">
        <v>12</v>
      </c>
      <c r="F6557">
        <v>-3.7766598165035248E-2</v>
      </c>
    </row>
    <row r="6558" spans="2:6">
      <c r="B6558">
        <v>2011</v>
      </c>
      <c r="C6558" t="s">
        <v>78</v>
      </c>
      <c r="D6558" t="s">
        <v>182</v>
      </c>
      <c r="E6558" t="s">
        <v>13</v>
      </c>
      <c r="F6558">
        <v>0.90779352188110352</v>
      </c>
    </row>
    <row r="6559" spans="2:6">
      <c r="B6559">
        <v>2011</v>
      </c>
      <c r="C6559" t="s">
        <v>78</v>
      </c>
      <c r="D6559" t="s">
        <v>182</v>
      </c>
      <c r="E6559" t="s">
        <v>14</v>
      </c>
      <c r="F6559">
        <v>0.6481671929359436</v>
      </c>
    </row>
    <row r="6560" spans="2:6">
      <c r="B6560">
        <v>2011</v>
      </c>
      <c r="C6560" t="s">
        <v>78</v>
      </c>
      <c r="D6560" t="s">
        <v>182</v>
      </c>
      <c r="E6560" t="s">
        <v>15</v>
      </c>
      <c r="F6560">
        <v>0.23159448802471161</v>
      </c>
    </row>
    <row r="6561" spans="2:6">
      <c r="B6561">
        <v>2012</v>
      </c>
      <c r="C6561" t="s">
        <v>78</v>
      </c>
      <c r="D6561" t="s">
        <v>182</v>
      </c>
      <c r="E6561" t="s">
        <v>7</v>
      </c>
      <c r="F6561">
        <v>4.720146656036377</v>
      </c>
    </row>
    <row r="6562" spans="2:6">
      <c r="B6562">
        <v>2012</v>
      </c>
      <c r="C6562" t="s">
        <v>78</v>
      </c>
      <c r="D6562" t="s">
        <v>182</v>
      </c>
      <c r="E6562" t="s">
        <v>8</v>
      </c>
      <c r="F6562">
        <v>8.4283046722412109</v>
      </c>
    </row>
    <row r="6563" spans="2:6">
      <c r="B6563">
        <v>2012</v>
      </c>
      <c r="C6563" t="s">
        <v>78</v>
      </c>
      <c r="D6563" t="s">
        <v>182</v>
      </c>
      <c r="E6563" t="s">
        <v>9</v>
      </c>
      <c r="F6563">
        <v>0.5105745792388916</v>
      </c>
    </row>
    <row r="6564" spans="2:6">
      <c r="B6564">
        <v>2012</v>
      </c>
      <c r="C6564" t="s">
        <v>78</v>
      </c>
      <c r="D6564" t="s">
        <v>182</v>
      </c>
      <c r="E6564" t="s">
        <v>10</v>
      </c>
      <c r="F6564">
        <v>58</v>
      </c>
    </row>
    <row r="6565" spans="2:6">
      <c r="B6565">
        <v>2012</v>
      </c>
      <c r="C6565" t="s">
        <v>78</v>
      </c>
      <c r="D6565" t="s">
        <v>182</v>
      </c>
      <c r="E6565" t="s">
        <v>11</v>
      </c>
      <c r="F6565">
        <v>0.60932010412216187</v>
      </c>
    </row>
    <row r="6566" spans="2:6">
      <c r="B6566">
        <v>2012</v>
      </c>
      <c r="C6566" t="s">
        <v>78</v>
      </c>
      <c r="D6566" t="s">
        <v>182</v>
      </c>
      <c r="E6566" t="s">
        <v>12</v>
      </c>
      <c r="F6566">
        <v>6.7322134971618652E-2</v>
      </c>
    </row>
    <row r="6567" spans="2:6">
      <c r="B6567">
        <v>2012</v>
      </c>
      <c r="C6567" t="s">
        <v>78</v>
      </c>
      <c r="D6567" t="s">
        <v>182</v>
      </c>
      <c r="E6567" t="s">
        <v>13</v>
      </c>
      <c r="F6567">
        <v>0.82961475849151611</v>
      </c>
    </row>
    <row r="6568" spans="2:6">
      <c r="B6568">
        <v>2012</v>
      </c>
      <c r="C6568" t="s">
        <v>78</v>
      </c>
      <c r="D6568" t="s">
        <v>182</v>
      </c>
      <c r="E6568" t="s">
        <v>14</v>
      </c>
      <c r="F6568">
        <v>0.62873435020446777</v>
      </c>
    </row>
    <row r="6569" spans="2:6">
      <c r="B6569">
        <v>2012</v>
      </c>
      <c r="C6569" t="s">
        <v>78</v>
      </c>
      <c r="D6569" t="s">
        <v>182</v>
      </c>
      <c r="E6569" t="s">
        <v>15</v>
      </c>
      <c r="F6569">
        <v>0.29484102129936218</v>
      </c>
    </row>
    <row r="6570" spans="2:6">
      <c r="B6570">
        <v>2013</v>
      </c>
      <c r="C6570" t="s">
        <v>78</v>
      </c>
      <c r="D6570" t="s">
        <v>182</v>
      </c>
      <c r="E6570" t="s">
        <v>7</v>
      </c>
      <c r="F6570">
        <v>4.4277887344360352</v>
      </c>
    </row>
    <row r="6571" spans="2:6">
      <c r="B6571">
        <v>2013</v>
      </c>
      <c r="C6571" t="s">
        <v>78</v>
      </c>
      <c r="D6571" t="s">
        <v>182</v>
      </c>
      <c r="E6571" t="s">
        <v>8</v>
      </c>
      <c r="F6571">
        <v>8.4783792495727539</v>
      </c>
    </row>
    <row r="6572" spans="2:6">
      <c r="B6572">
        <v>2013</v>
      </c>
      <c r="C6572" t="s">
        <v>78</v>
      </c>
      <c r="D6572" t="s">
        <v>182</v>
      </c>
      <c r="E6572" t="s">
        <v>9</v>
      </c>
      <c r="F6572">
        <v>0.55282634496688843</v>
      </c>
    </row>
    <row r="6573" spans="2:6">
      <c r="B6573">
        <v>2013</v>
      </c>
      <c r="C6573" t="s">
        <v>78</v>
      </c>
      <c r="D6573" t="s">
        <v>182</v>
      </c>
      <c r="E6573" t="s">
        <v>10</v>
      </c>
      <c r="F6573">
        <v>58.299999237060547</v>
      </c>
    </row>
    <row r="6574" spans="2:6">
      <c r="B6574">
        <v>2013</v>
      </c>
      <c r="C6574" t="s">
        <v>78</v>
      </c>
      <c r="D6574" t="s">
        <v>182</v>
      </c>
      <c r="E6574" t="s">
        <v>11</v>
      </c>
      <c r="F6574">
        <v>0.74017661809921265</v>
      </c>
    </row>
    <row r="6575" spans="2:6">
      <c r="B6575">
        <v>2013</v>
      </c>
      <c r="C6575" t="s">
        <v>78</v>
      </c>
      <c r="D6575" t="s">
        <v>182</v>
      </c>
      <c r="E6575" t="s">
        <v>12</v>
      </c>
      <c r="F6575">
        <v>8.4250509738922119E-2</v>
      </c>
    </row>
    <row r="6576" spans="2:6">
      <c r="B6576">
        <v>2013</v>
      </c>
      <c r="C6576" t="s">
        <v>78</v>
      </c>
      <c r="D6576" t="s">
        <v>182</v>
      </c>
      <c r="E6576" t="s">
        <v>13</v>
      </c>
      <c r="F6576">
        <v>0.83235633373260498</v>
      </c>
    </row>
    <row r="6577" spans="2:6">
      <c r="B6577">
        <v>2013</v>
      </c>
      <c r="C6577" t="s">
        <v>78</v>
      </c>
      <c r="D6577" t="s">
        <v>182</v>
      </c>
      <c r="E6577" t="s">
        <v>14</v>
      </c>
      <c r="F6577">
        <v>0.67995774745941162</v>
      </c>
    </row>
    <row r="6578" spans="2:6">
      <c r="B6578">
        <v>2013</v>
      </c>
      <c r="C6578" t="s">
        <v>78</v>
      </c>
      <c r="D6578" t="s">
        <v>182</v>
      </c>
      <c r="E6578" t="s">
        <v>15</v>
      </c>
      <c r="F6578">
        <v>0.33043736219406128</v>
      </c>
    </row>
    <row r="6579" spans="2:6">
      <c r="B6579">
        <v>2014</v>
      </c>
      <c r="C6579" t="s">
        <v>78</v>
      </c>
      <c r="D6579" t="s">
        <v>182</v>
      </c>
      <c r="E6579" t="s">
        <v>7</v>
      </c>
      <c r="F6579">
        <v>4.4243793487548828</v>
      </c>
    </row>
    <row r="6580" spans="2:6">
      <c r="B6580">
        <v>2014</v>
      </c>
      <c r="C6580" t="s">
        <v>78</v>
      </c>
      <c r="D6580" t="s">
        <v>182</v>
      </c>
      <c r="E6580" t="s">
        <v>8</v>
      </c>
      <c r="F6580">
        <v>8.5384082794189453</v>
      </c>
    </row>
    <row r="6581" spans="2:6">
      <c r="B6581">
        <v>2014</v>
      </c>
      <c r="C6581" t="s">
        <v>78</v>
      </c>
      <c r="D6581" t="s">
        <v>182</v>
      </c>
      <c r="E6581" t="s">
        <v>9</v>
      </c>
      <c r="F6581">
        <v>0.62146663665771484</v>
      </c>
    </row>
    <row r="6582" spans="2:6">
      <c r="B6582">
        <v>2014</v>
      </c>
      <c r="C6582" t="s">
        <v>78</v>
      </c>
      <c r="D6582" t="s">
        <v>182</v>
      </c>
      <c r="E6582" t="s">
        <v>10</v>
      </c>
      <c r="F6582">
        <v>58.599998474121094</v>
      </c>
    </row>
    <row r="6583" spans="2:6">
      <c r="B6583">
        <v>2014</v>
      </c>
      <c r="C6583" t="s">
        <v>78</v>
      </c>
      <c r="D6583" t="s">
        <v>182</v>
      </c>
      <c r="E6583" t="s">
        <v>11</v>
      </c>
      <c r="F6583">
        <v>0.80938291549682617</v>
      </c>
    </row>
    <row r="6584" spans="2:6">
      <c r="B6584">
        <v>2014</v>
      </c>
      <c r="C6584" t="s">
        <v>78</v>
      </c>
      <c r="D6584" t="s">
        <v>182</v>
      </c>
      <c r="E6584" t="s">
        <v>12</v>
      </c>
      <c r="F6584">
        <v>-2.5796255096793175E-2</v>
      </c>
    </row>
    <row r="6585" spans="2:6">
      <c r="B6585">
        <v>2014</v>
      </c>
      <c r="C6585" t="s">
        <v>78</v>
      </c>
      <c r="D6585" t="s">
        <v>182</v>
      </c>
      <c r="E6585" t="s">
        <v>13</v>
      </c>
      <c r="F6585">
        <v>0.83214199542999268</v>
      </c>
    </row>
    <row r="6586" spans="2:6">
      <c r="B6586">
        <v>2014</v>
      </c>
      <c r="C6586" t="s">
        <v>78</v>
      </c>
      <c r="D6586" t="s">
        <v>182</v>
      </c>
      <c r="E6586" t="s">
        <v>14</v>
      </c>
      <c r="F6586">
        <v>0.71102350950241089</v>
      </c>
    </row>
    <row r="6587" spans="2:6">
      <c r="B6587">
        <v>2014</v>
      </c>
      <c r="C6587" t="s">
        <v>78</v>
      </c>
      <c r="D6587" t="s">
        <v>182</v>
      </c>
      <c r="E6587" t="s">
        <v>15</v>
      </c>
      <c r="F6587">
        <v>0.28458204865455627</v>
      </c>
    </row>
    <row r="6588" spans="2:6">
      <c r="B6588">
        <v>2015</v>
      </c>
      <c r="C6588" t="s">
        <v>78</v>
      </c>
      <c r="D6588" t="s">
        <v>182</v>
      </c>
      <c r="E6588" t="s">
        <v>7</v>
      </c>
      <c r="F6588">
        <v>4.3420791625976563</v>
      </c>
    </row>
    <row r="6589" spans="2:6">
      <c r="B6589">
        <v>2015</v>
      </c>
      <c r="C6589" t="s">
        <v>78</v>
      </c>
      <c r="D6589" t="s">
        <v>182</v>
      </c>
      <c r="E6589" t="s">
        <v>8</v>
      </c>
      <c r="F6589">
        <v>8.6041679382324219</v>
      </c>
    </row>
    <row r="6590" spans="2:6">
      <c r="B6590">
        <v>2015</v>
      </c>
      <c r="C6590" t="s">
        <v>78</v>
      </c>
      <c r="D6590" t="s">
        <v>182</v>
      </c>
      <c r="E6590" t="s">
        <v>9</v>
      </c>
      <c r="F6590">
        <v>0.61013329029083252</v>
      </c>
    </row>
    <row r="6591" spans="2:6">
      <c r="B6591">
        <v>2015</v>
      </c>
      <c r="C6591" t="s">
        <v>78</v>
      </c>
      <c r="D6591" t="s">
        <v>182</v>
      </c>
      <c r="E6591" t="s">
        <v>10</v>
      </c>
      <c r="F6591">
        <v>58.900001525878906</v>
      </c>
    </row>
    <row r="6592" spans="2:6">
      <c r="B6592">
        <v>2015</v>
      </c>
      <c r="C6592" t="s">
        <v>78</v>
      </c>
      <c r="D6592" t="s">
        <v>182</v>
      </c>
      <c r="E6592" t="s">
        <v>11</v>
      </c>
      <c r="F6592">
        <v>0.77722525596618652</v>
      </c>
    </row>
    <row r="6593" spans="2:6">
      <c r="B6593">
        <v>2015</v>
      </c>
      <c r="C6593" t="s">
        <v>78</v>
      </c>
      <c r="D6593" t="s">
        <v>182</v>
      </c>
      <c r="E6593" t="s">
        <v>12</v>
      </c>
      <c r="F6593">
        <v>-5.1462855190038681E-3</v>
      </c>
    </row>
    <row r="6594" spans="2:6">
      <c r="B6594">
        <v>2015</v>
      </c>
      <c r="C6594" t="s">
        <v>78</v>
      </c>
      <c r="D6594" t="s">
        <v>182</v>
      </c>
      <c r="E6594" t="s">
        <v>13</v>
      </c>
      <c r="F6594">
        <v>0.77643495798110962</v>
      </c>
    </row>
    <row r="6595" spans="2:6">
      <c r="B6595">
        <v>2015</v>
      </c>
      <c r="C6595" t="s">
        <v>78</v>
      </c>
      <c r="D6595" t="s">
        <v>182</v>
      </c>
      <c r="E6595" t="s">
        <v>14</v>
      </c>
      <c r="F6595">
        <v>0.70067667961120605</v>
      </c>
    </row>
    <row r="6596" spans="2:6">
      <c r="B6596">
        <v>2015</v>
      </c>
      <c r="C6596" t="s">
        <v>78</v>
      </c>
      <c r="D6596" t="s">
        <v>182</v>
      </c>
      <c r="E6596" t="s">
        <v>15</v>
      </c>
      <c r="F6596">
        <v>0.32182943820953369</v>
      </c>
    </row>
    <row r="6597" spans="2:6">
      <c r="B6597">
        <v>2016</v>
      </c>
      <c r="C6597" t="s">
        <v>78</v>
      </c>
      <c r="D6597" t="s">
        <v>182</v>
      </c>
      <c r="E6597" t="s">
        <v>7</v>
      </c>
      <c r="F6597">
        <v>4.1791772842407227</v>
      </c>
    </row>
    <row r="6598" spans="2:6">
      <c r="B6598">
        <v>2016</v>
      </c>
      <c r="C6598" t="s">
        <v>78</v>
      </c>
      <c r="D6598" t="s">
        <v>182</v>
      </c>
      <c r="E6598" t="s">
        <v>8</v>
      </c>
      <c r="F6598">
        <v>8.6726007461547852</v>
      </c>
    </row>
    <row r="6599" spans="2:6">
      <c r="B6599">
        <v>2016</v>
      </c>
      <c r="C6599" t="s">
        <v>78</v>
      </c>
      <c r="D6599" t="s">
        <v>182</v>
      </c>
      <c r="E6599" t="s">
        <v>9</v>
      </c>
      <c r="F6599">
        <v>0.61352938413619995</v>
      </c>
    </row>
    <row r="6600" spans="2:6">
      <c r="B6600">
        <v>2016</v>
      </c>
      <c r="C6600" t="s">
        <v>78</v>
      </c>
      <c r="D6600" t="s">
        <v>182</v>
      </c>
      <c r="E6600" t="s">
        <v>10</v>
      </c>
      <c r="F6600">
        <v>59.299999237060547</v>
      </c>
    </row>
    <row r="6601" spans="2:6">
      <c r="B6601">
        <v>2016</v>
      </c>
      <c r="C6601" t="s">
        <v>78</v>
      </c>
      <c r="D6601" t="s">
        <v>182</v>
      </c>
      <c r="E6601" t="s">
        <v>11</v>
      </c>
      <c r="F6601">
        <v>0.82006877660751343</v>
      </c>
    </row>
    <row r="6602" spans="2:6">
      <c r="B6602">
        <v>2016</v>
      </c>
      <c r="C6602" t="s">
        <v>78</v>
      </c>
      <c r="D6602" t="s">
        <v>182</v>
      </c>
      <c r="E6602" t="s">
        <v>12</v>
      </c>
      <c r="F6602">
        <v>4.5909877866506577E-2</v>
      </c>
    </row>
    <row r="6603" spans="2:6">
      <c r="B6603">
        <v>2016</v>
      </c>
      <c r="C6603" t="s">
        <v>78</v>
      </c>
      <c r="D6603" t="s">
        <v>182</v>
      </c>
      <c r="E6603" t="s">
        <v>13</v>
      </c>
      <c r="F6603">
        <v>0.76472210884094238</v>
      </c>
    </row>
    <row r="6604" spans="2:6">
      <c r="B6604">
        <v>2016</v>
      </c>
      <c r="C6604" t="s">
        <v>78</v>
      </c>
      <c r="D6604" t="s">
        <v>182</v>
      </c>
      <c r="E6604" t="s">
        <v>14</v>
      </c>
      <c r="F6604">
        <v>0.69450443983078003</v>
      </c>
    </row>
    <row r="6605" spans="2:6">
      <c r="B6605">
        <v>2016</v>
      </c>
      <c r="C6605" t="s">
        <v>78</v>
      </c>
      <c r="D6605" t="s">
        <v>182</v>
      </c>
      <c r="E6605" t="s">
        <v>15</v>
      </c>
      <c r="F6605">
        <v>0.34568145871162415</v>
      </c>
    </row>
    <row r="6606" spans="2:6">
      <c r="B6606">
        <v>2017</v>
      </c>
      <c r="C6606" t="s">
        <v>78</v>
      </c>
      <c r="D6606" t="s">
        <v>182</v>
      </c>
      <c r="E6606" t="s">
        <v>7</v>
      </c>
      <c r="F6606">
        <v>4.0461111068725586</v>
      </c>
    </row>
    <row r="6607" spans="2:6">
      <c r="B6607">
        <v>2017</v>
      </c>
      <c r="C6607" t="s">
        <v>78</v>
      </c>
      <c r="D6607" t="s">
        <v>182</v>
      </c>
      <c r="E6607" t="s">
        <v>8</v>
      </c>
      <c r="F6607">
        <v>8.7300424575805664</v>
      </c>
    </row>
    <row r="6608" spans="2:6">
      <c r="B6608">
        <v>2017</v>
      </c>
      <c r="C6608" t="s">
        <v>78</v>
      </c>
      <c r="D6608" t="s">
        <v>182</v>
      </c>
      <c r="E6608" t="s">
        <v>9</v>
      </c>
      <c r="F6608">
        <v>0.60676747560501099</v>
      </c>
    </row>
    <row r="6609" spans="2:6">
      <c r="B6609">
        <v>2017</v>
      </c>
      <c r="C6609" t="s">
        <v>78</v>
      </c>
      <c r="D6609" t="s">
        <v>182</v>
      </c>
      <c r="E6609" t="s">
        <v>10</v>
      </c>
      <c r="F6609">
        <v>59.700000762939453</v>
      </c>
    </row>
    <row r="6610" spans="2:6">
      <c r="B6610">
        <v>2017</v>
      </c>
      <c r="C6610" t="s">
        <v>78</v>
      </c>
      <c r="D6610" t="s">
        <v>182</v>
      </c>
      <c r="E6610" t="s">
        <v>11</v>
      </c>
      <c r="F6610">
        <v>0.88585042953491211</v>
      </c>
    </row>
    <row r="6611" spans="2:6">
      <c r="B6611">
        <v>2017</v>
      </c>
      <c r="C6611" t="s">
        <v>78</v>
      </c>
      <c r="D6611" t="s">
        <v>182</v>
      </c>
      <c r="E6611" t="s">
        <v>12</v>
      </c>
      <c r="F6611">
        <v>-4.1828092187643051E-2</v>
      </c>
    </row>
    <row r="6612" spans="2:6">
      <c r="B6612">
        <v>2017</v>
      </c>
      <c r="C6612" t="s">
        <v>78</v>
      </c>
      <c r="D6612" t="s">
        <v>182</v>
      </c>
      <c r="E6612" t="s">
        <v>13</v>
      </c>
      <c r="F6612">
        <v>0.78080278635025024</v>
      </c>
    </row>
    <row r="6613" spans="2:6">
      <c r="B6613">
        <v>2017</v>
      </c>
      <c r="C6613" t="s">
        <v>78</v>
      </c>
      <c r="D6613" t="s">
        <v>182</v>
      </c>
      <c r="E6613" t="s">
        <v>14</v>
      </c>
      <c r="F6613">
        <v>0.68209099769592285</v>
      </c>
    </row>
    <row r="6614" spans="2:6">
      <c r="B6614">
        <v>2017</v>
      </c>
      <c r="C6614" t="s">
        <v>78</v>
      </c>
      <c r="D6614" t="s">
        <v>182</v>
      </c>
      <c r="E6614" t="s">
        <v>15</v>
      </c>
      <c r="F6614">
        <v>0.31793677806854248</v>
      </c>
    </row>
    <row r="6615" spans="2:6">
      <c r="B6615">
        <v>2018</v>
      </c>
      <c r="C6615" t="s">
        <v>78</v>
      </c>
      <c r="D6615" t="s">
        <v>182</v>
      </c>
      <c r="E6615" t="s">
        <v>7</v>
      </c>
      <c r="F6615">
        <v>3.8180687427520752</v>
      </c>
    </row>
    <row r="6616" spans="2:6">
      <c r="B6616">
        <v>2018</v>
      </c>
      <c r="C6616" t="s">
        <v>78</v>
      </c>
      <c r="D6616" t="s">
        <v>182</v>
      </c>
      <c r="E6616" t="s">
        <v>8</v>
      </c>
      <c r="F6616">
        <v>8.7790660858154297</v>
      </c>
    </row>
    <row r="6617" spans="2:6">
      <c r="B6617">
        <v>2018</v>
      </c>
      <c r="C6617" t="s">
        <v>78</v>
      </c>
      <c r="D6617" t="s">
        <v>182</v>
      </c>
      <c r="E6617" t="s">
        <v>9</v>
      </c>
      <c r="F6617">
        <v>0.63805198669433594</v>
      </c>
    </row>
    <row r="6618" spans="2:6">
      <c r="B6618">
        <v>2018</v>
      </c>
      <c r="C6618" t="s">
        <v>78</v>
      </c>
      <c r="D6618" t="s">
        <v>182</v>
      </c>
      <c r="E6618" t="s">
        <v>10</v>
      </c>
      <c r="F6618">
        <v>60.099998474121094</v>
      </c>
    </row>
    <row r="6619" spans="2:6">
      <c r="B6619">
        <v>2018</v>
      </c>
      <c r="C6619" t="s">
        <v>78</v>
      </c>
      <c r="D6619" t="s">
        <v>182</v>
      </c>
      <c r="E6619" t="s">
        <v>11</v>
      </c>
      <c r="F6619">
        <v>0.89044338464736938</v>
      </c>
    </row>
    <row r="6620" spans="2:6">
      <c r="B6620">
        <v>2018</v>
      </c>
      <c r="C6620" t="s">
        <v>78</v>
      </c>
      <c r="D6620" t="s">
        <v>182</v>
      </c>
      <c r="E6620" t="s">
        <v>12</v>
      </c>
      <c r="F6620">
        <v>8.4721475839614868E-2</v>
      </c>
    </row>
    <row r="6621" spans="2:6">
      <c r="B6621">
        <v>2018</v>
      </c>
      <c r="C6621" t="s">
        <v>78</v>
      </c>
      <c r="D6621" t="s">
        <v>182</v>
      </c>
      <c r="E6621" t="s">
        <v>13</v>
      </c>
      <c r="F6621">
        <v>0.80526334047317505</v>
      </c>
    </row>
    <row r="6622" spans="2:6">
      <c r="B6622">
        <v>2018</v>
      </c>
      <c r="C6622" t="s">
        <v>78</v>
      </c>
      <c r="D6622" t="s">
        <v>182</v>
      </c>
      <c r="E6622" t="s">
        <v>14</v>
      </c>
      <c r="F6622">
        <v>0.65728718042373657</v>
      </c>
    </row>
    <row r="6623" spans="2:6">
      <c r="B6623">
        <v>2018</v>
      </c>
      <c r="C6623" t="s">
        <v>78</v>
      </c>
      <c r="D6623" t="s">
        <v>182</v>
      </c>
      <c r="E6623" t="s">
        <v>15</v>
      </c>
      <c r="F6623">
        <v>0.35745808482170105</v>
      </c>
    </row>
    <row r="6624" spans="2:6">
      <c r="B6624">
        <v>2019</v>
      </c>
      <c r="C6624" t="s">
        <v>78</v>
      </c>
      <c r="D6624" t="s">
        <v>182</v>
      </c>
      <c r="E6624" t="s">
        <v>7</v>
      </c>
      <c r="F6624">
        <v>3.2487697601318359</v>
      </c>
    </row>
    <row r="6625" spans="2:6">
      <c r="B6625">
        <v>2019</v>
      </c>
      <c r="C6625" t="s">
        <v>78</v>
      </c>
      <c r="D6625" t="s">
        <v>182</v>
      </c>
      <c r="E6625" t="s">
        <v>8</v>
      </c>
      <c r="F6625">
        <v>8.8179330825805664</v>
      </c>
    </row>
    <row r="6626" spans="2:6">
      <c r="B6626">
        <v>2019</v>
      </c>
      <c r="C6626" t="s">
        <v>78</v>
      </c>
      <c r="D6626" t="s">
        <v>182</v>
      </c>
      <c r="E6626" t="s">
        <v>9</v>
      </c>
      <c r="F6626">
        <v>0.56078076362609863</v>
      </c>
    </row>
    <row r="6627" spans="2:6">
      <c r="B6627">
        <v>2019</v>
      </c>
      <c r="C6627" t="s">
        <v>78</v>
      </c>
      <c r="D6627" t="s">
        <v>182</v>
      </c>
      <c r="E6627" t="s">
        <v>10</v>
      </c>
      <c r="F6627">
        <v>60.5</v>
      </c>
    </row>
    <row r="6628" spans="2:6">
      <c r="B6628">
        <v>2019</v>
      </c>
      <c r="C6628" t="s">
        <v>78</v>
      </c>
      <c r="D6628" t="s">
        <v>182</v>
      </c>
      <c r="E6628" t="s">
        <v>11</v>
      </c>
      <c r="F6628">
        <v>0.87554031610488892</v>
      </c>
    </row>
    <row r="6629" spans="2:6">
      <c r="B6629">
        <v>2019</v>
      </c>
      <c r="C6629" t="s">
        <v>78</v>
      </c>
      <c r="D6629" t="s">
        <v>182</v>
      </c>
      <c r="E6629" t="s">
        <v>12</v>
      </c>
      <c r="F6629">
        <v>0.11177936196327209</v>
      </c>
    </row>
    <row r="6630" spans="2:6">
      <c r="B6630">
        <v>2019</v>
      </c>
      <c r="C6630" t="s">
        <v>78</v>
      </c>
      <c r="D6630" t="s">
        <v>182</v>
      </c>
      <c r="E6630" t="s">
        <v>13</v>
      </c>
      <c r="F6630">
        <v>0.75197941064834595</v>
      </c>
    </row>
    <row r="6631" spans="2:6">
      <c r="B6631">
        <v>2019</v>
      </c>
      <c r="C6631" t="s">
        <v>78</v>
      </c>
      <c r="D6631" t="s">
        <v>182</v>
      </c>
      <c r="E6631" t="s">
        <v>14</v>
      </c>
      <c r="F6631">
        <v>0.64775222539901733</v>
      </c>
    </row>
    <row r="6632" spans="2:6">
      <c r="B6632">
        <v>2019</v>
      </c>
      <c r="C6632" t="s">
        <v>78</v>
      </c>
      <c r="D6632" t="s">
        <v>182</v>
      </c>
      <c r="E6632" t="s">
        <v>15</v>
      </c>
      <c r="F6632">
        <v>0.46633562445640564</v>
      </c>
    </row>
    <row r="6633" spans="2:6">
      <c r="B6633">
        <v>2020</v>
      </c>
      <c r="C6633" t="s">
        <v>78</v>
      </c>
      <c r="D6633" t="s">
        <v>182</v>
      </c>
      <c r="E6633" t="s">
        <v>7</v>
      </c>
      <c r="F6633">
        <v>4.2252812385559082</v>
      </c>
    </row>
    <row r="6634" spans="2:6">
      <c r="B6634">
        <v>2020</v>
      </c>
      <c r="C6634" t="s">
        <v>78</v>
      </c>
      <c r="D6634" t="s">
        <v>182</v>
      </c>
      <c r="E6634" t="s">
        <v>8</v>
      </c>
      <c r="F6634">
        <v>8.7027721405029297</v>
      </c>
    </row>
    <row r="6635" spans="2:6">
      <c r="B6635">
        <v>2020</v>
      </c>
      <c r="C6635" t="s">
        <v>78</v>
      </c>
      <c r="D6635" t="s">
        <v>182</v>
      </c>
      <c r="E6635" t="s">
        <v>9</v>
      </c>
      <c r="F6635">
        <v>0.61663925647735596</v>
      </c>
    </row>
    <row r="6636" spans="2:6">
      <c r="B6636">
        <v>2020</v>
      </c>
      <c r="C6636" t="s">
        <v>78</v>
      </c>
      <c r="D6636" t="s">
        <v>182</v>
      </c>
      <c r="E6636" t="s">
        <v>10</v>
      </c>
      <c r="F6636">
        <v>60.900001525878906</v>
      </c>
    </row>
    <row r="6637" spans="2:6">
      <c r="B6637">
        <v>2020</v>
      </c>
      <c r="C6637" t="s">
        <v>78</v>
      </c>
      <c r="D6637" t="s">
        <v>182</v>
      </c>
      <c r="E6637" t="s">
        <v>11</v>
      </c>
      <c r="F6637">
        <v>0.90639132261276245</v>
      </c>
    </row>
    <row r="6638" spans="2:6">
      <c r="B6638">
        <v>2020</v>
      </c>
      <c r="C6638" t="s">
        <v>78</v>
      </c>
      <c r="D6638" t="s">
        <v>182</v>
      </c>
      <c r="E6638" t="s">
        <v>12</v>
      </c>
      <c r="F6638">
        <v>7.482379674911499E-2</v>
      </c>
    </row>
    <row r="6639" spans="2:6">
      <c r="B6639">
        <v>2020</v>
      </c>
      <c r="C6639" t="s">
        <v>78</v>
      </c>
      <c r="D6639" t="s">
        <v>182</v>
      </c>
      <c r="E6639" t="s">
        <v>13</v>
      </c>
      <c r="F6639">
        <v>0.7801240086555481</v>
      </c>
    </row>
    <row r="6640" spans="2:6">
      <c r="B6640">
        <v>2020</v>
      </c>
      <c r="C6640" t="s">
        <v>78</v>
      </c>
      <c r="D6640" t="s">
        <v>182</v>
      </c>
      <c r="E6640" t="s">
        <v>14</v>
      </c>
      <c r="F6640">
        <v>0.75243395566940308</v>
      </c>
    </row>
    <row r="6641" spans="2:6">
      <c r="B6641">
        <v>2020</v>
      </c>
      <c r="C6641" t="s">
        <v>78</v>
      </c>
      <c r="D6641" t="s">
        <v>182</v>
      </c>
      <c r="E6641" t="s">
        <v>15</v>
      </c>
      <c r="F6641">
        <v>0.38316252827644348</v>
      </c>
    </row>
    <row r="6642" spans="2:6">
      <c r="B6642">
        <v>2006</v>
      </c>
      <c r="C6642" t="s">
        <v>79</v>
      </c>
      <c r="D6642" t="s">
        <v>182</v>
      </c>
      <c r="E6642" t="s">
        <v>7</v>
      </c>
      <c r="F6642">
        <v>4.9469780921936035</v>
      </c>
    </row>
    <row r="6643" spans="2:6">
      <c r="B6643">
        <v>2006</v>
      </c>
      <c r="C6643" t="s">
        <v>79</v>
      </c>
      <c r="D6643" t="s">
        <v>182</v>
      </c>
      <c r="E6643" t="s">
        <v>8</v>
      </c>
      <c r="F6643">
        <v>8.8500080108642578</v>
      </c>
    </row>
    <row r="6644" spans="2:6">
      <c r="B6644">
        <v>2006</v>
      </c>
      <c r="C6644" t="s">
        <v>79</v>
      </c>
      <c r="D6644" t="s">
        <v>182</v>
      </c>
      <c r="E6644" t="s">
        <v>9</v>
      </c>
      <c r="F6644">
        <v>0.77095085382461548</v>
      </c>
    </row>
    <row r="6645" spans="2:6">
      <c r="B6645">
        <v>2006</v>
      </c>
      <c r="C6645" t="s">
        <v>79</v>
      </c>
      <c r="D6645" t="s">
        <v>182</v>
      </c>
      <c r="E6645" t="s">
        <v>10</v>
      </c>
      <c r="F6645">
        <v>59.840000152587891</v>
      </c>
    </row>
    <row r="6646" spans="2:6">
      <c r="B6646">
        <v>2006</v>
      </c>
      <c r="C6646" t="s">
        <v>79</v>
      </c>
      <c r="D6646" t="s">
        <v>182</v>
      </c>
      <c r="E6646" t="s">
        <v>11</v>
      </c>
      <c r="F6646">
        <v>0.71317112445831299</v>
      </c>
    </row>
    <row r="6647" spans="2:6">
      <c r="B6647">
        <v>2006</v>
      </c>
      <c r="C6647" t="s">
        <v>79</v>
      </c>
      <c r="D6647" t="s">
        <v>182</v>
      </c>
      <c r="E6647" t="s">
        <v>12</v>
      </c>
      <c r="F6647">
        <v>0.34746059775352478</v>
      </c>
    </row>
    <row r="6648" spans="2:6">
      <c r="B6648">
        <v>2006</v>
      </c>
      <c r="C6648" t="s">
        <v>79</v>
      </c>
      <c r="D6648" t="s">
        <v>182</v>
      </c>
      <c r="E6648" t="s">
        <v>13</v>
      </c>
      <c r="F6648">
        <v>0.91512006521224976</v>
      </c>
    </row>
    <row r="6649" spans="2:6">
      <c r="B6649">
        <v>2006</v>
      </c>
      <c r="C6649" t="s">
        <v>79</v>
      </c>
      <c r="D6649" t="s">
        <v>182</v>
      </c>
      <c r="E6649" t="s">
        <v>14</v>
      </c>
      <c r="F6649">
        <v>0.82465595006942749</v>
      </c>
    </row>
    <row r="6650" spans="2:6">
      <c r="B6650">
        <v>2006</v>
      </c>
      <c r="C6650" t="s">
        <v>79</v>
      </c>
      <c r="D6650" t="s">
        <v>182</v>
      </c>
      <c r="E6650" t="s">
        <v>15</v>
      </c>
      <c r="F6650">
        <v>0.26553720235824585</v>
      </c>
    </row>
    <row r="6651" spans="2:6">
      <c r="B6651">
        <v>2007</v>
      </c>
      <c r="C6651" t="s">
        <v>79</v>
      </c>
      <c r="D6651" t="s">
        <v>182</v>
      </c>
      <c r="E6651" t="s">
        <v>7</v>
      </c>
      <c r="F6651">
        <v>5.1012139320373535</v>
      </c>
    </row>
    <row r="6652" spans="2:6">
      <c r="B6652">
        <v>2007</v>
      </c>
      <c r="C6652" t="s">
        <v>79</v>
      </c>
      <c r="D6652" t="s">
        <v>182</v>
      </c>
      <c r="E6652" t="s">
        <v>8</v>
      </c>
      <c r="F6652">
        <v>8.8982887268066406</v>
      </c>
    </row>
    <row r="6653" spans="2:6">
      <c r="B6653">
        <v>2007</v>
      </c>
      <c r="C6653" t="s">
        <v>79</v>
      </c>
      <c r="D6653" t="s">
        <v>182</v>
      </c>
      <c r="E6653" t="s">
        <v>9</v>
      </c>
      <c r="F6653">
        <v>0.70378810167312622</v>
      </c>
    </row>
    <row r="6654" spans="2:6">
      <c r="B6654">
        <v>2007</v>
      </c>
      <c r="C6654" t="s">
        <v>79</v>
      </c>
      <c r="D6654" t="s">
        <v>182</v>
      </c>
      <c r="E6654" t="s">
        <v>10</v>
      </c>
      <c r="F6654">
        <v>59.979999542236328</v>
      </c>
    </row>
    <row r="6655" spans="2:6">
      <c r="B6655">
        <v>2007</v>
      </c>
      <c r="C6655" t="s">
        <v>79</v>
      </c>
      <c r="D6655" t="s">
        <v>182</v>
      </c>
      <c r="E6655" t="s">
        <v>11</v>
      </c>
      <c r="F6655">
        <v>0.603260338306427</v>
      </c>
    </row>
    <row r="6656" spans="2:6">
      <c r="B6656">
        <v>2007</v>
      </c>
      <c r="C6656" t="s">
        <v>79</v>
      </c>
      <c r="D6656" t="s">
        <v>182</v>
      </c>
      <c r="E6656" t="s">
        <v>12</v>
      </c>
      <c r="F6656">
        <v>0.31146970391273499</v>
      </c>
    </row>
    <row r="6657" spans="2:6">
      <c r="B6657">
        <v>2007</v>
      </c>
      <c r="C6657" t="s">
        <v>79</v>
      </c>
      <c r="D6657" t="s">
        <v>182</v>
      </c>
      <c r="E6657" t="s">
        <v>13</v>
      </c>
      <c r="F6657">
        <v>0.95986700057983398</v>
      </c>
    </row>
    <row r="6658" spans="2:6">
      <c r="B6658">
        <v>2007</v>
      </c>
      <c r="C6658" t="s">
        <v>79</v>
      </c>
      <c r="D6658" t="s">
        <v>182</v>
      </c>
      <c r="E6658" t="s">
        <v>14</v>
      </c>
      <c r="F6658">
        <v>0.81174904108047485</v>
      </c>
    </row>
    <row r="6659" spans="2:6">
      <c r="B6659">
        <v>2007</v>
      </c>
      <c r="C6659" t="s">
        <v>79</v>
      </c>
      <c r="D6659" t="s">
        <v>182</v>
      </c>
      <c r="E6659" t="s">
        <v>15</v>
      </c>
      <c r="F6659">
        <v>0.24161319434642792</v>
      </c>
    </row>
    <row r="6660" spans="2:6">
      <c r="B6660">
        <v>2008</v>
      </c>
      <c r="C6660" t="s">
        <v>79</v>
      </c>
      <c r="D6660" t="s">
        <v>182</v>
      </c>
      <c r="E6660" t="s">
        <v>7</v>
      </c>
      <c r="F6660">
        <v>4.8153095245361328</v>
      </c>
    </row>
    <row r="6661" spans="2:6">
      <c r="B6661">
        <v>2008</v>
      </c>
      <c r="C6661" t="s">
        <v>79</v>
      </c>
      <c r="D6661" t="s">
        <v>182</v>
      </c>
      <c r="E6661" t="s">
        <v>8</v>
      </c>
      <c r="F6661">
        <v>8.9434528350830078</v>
      </c>
    </row>
    <row r="6662" spans="2:6">
      <c r="B6662">
        <v>2008</v>
      </c>
      <c r="C6662" t="s">
        <v>79</v>
      </c>
      <c r="D6662" t="s">
        <v>182</v>
      </c>
      <c r="E6662" t="s">
        <v>9</v>
      </c>
      <c r="F6662">
        <v>0.67507541179656982</v>
      </c>
    </row>
    <row r="6663" spans="2:6">
      <c r="B6663">
        <v>2008</v>
      </c>
      <c r="C6663" t="s">
        <v>79</v>
      </c>
      <c r="D6663" t="s">
        <v>182</v>
      </c>
      <c r="E6663" t="s">
        <v>10</v>
      </c>
      <c r="F6663">
        <v>60.119998931884766</v>
      </c>
    </row>
    <row r="6664" spans="2:6">
      <c r="B6664">
        <v>2008</v>
      </c>
      <c r="C6664" t="s">
        <v>79</v>
      </c>
      <c r="D6664" t="s">
        <v>182</v>
      </c>
      <c r="E6664" t="s">
        <v>11</v>
      </c>
      <c r="F6664">
        <v>0.59563338756561279</v>
      </c>
    </row>
    <row r="6665" spans="2:6">
      <c r="B6665">
        <v>2008</v>
      </c>
      <c r="C6665" t="s">
        <v>79</v>
      </c>
      <c r="D6665" t="s">
        <v>182</v>
      </c>
      <c r="E6665" t="s">
        <v>12</v>
      </c>
      <c r="F6665">
        <v>0.16423560678958893</v>
      </c>
    </row>
    <row r="6666" spans="2:6">
      <c r="B6666">
        <v>2008</v>
      </c>
      <c r="C6666" t="s">
        <v>79</v>
      </c>
      <c r="D6666" t="s">
        <v>182</v>
      </c>
      <c r="E6666" t="s">
        <v>13</v>
      </c>
      <c r="F6666">
        <v>0.968211829662323</v>
      </c>
    </row>
    <row r="6667" spans="2:6">
      <c r="B6667">
        <v>2008</v>
      </c>
      <c r="C6667" t="s">
        <v>79</v>
      </c>
      <c r="D6667" t="s">
        <v>182</v>
      </c>
      <c r="E6667" t="s">
        <v>14</v>
      </c>
      <c r="F6667">
        <v>0.77384120225906372</v>
      </c>
    </row>
    <row r="6668" spans="2:6">
      <c r="B6668">
        <v>2008</v>
      </c>
      <c r="C6668" t="s">
        <v>79</v>
      </c>
      <c r="D6668" t="s">
        <v>182</v>
      </c>
      <c r="E6668" t="s">
        <v>15</v>
      </c>
      <c r="F6668">
        <v>0.23927058279514313</v>
      </c>
    </row>
    <row r="6669" spans="2:6">
      <c r="B6669">
        <v>2009</v>
      </c>
      <c r="C6669" t="s">
        <v>79</v>
      </c>
      <c r="D6669" t="s">
        <v>182</v>
      </c>
      <c r="E6669" t="s">
        <v>7</v>
      </c>
      <c r="F6669">
        <v>5.4723610877990723</v>
      </c>
    </row>
    <row r="6670" spans="2:6">
      <c r="B6670">
        <v>2009</v>
      </c>
      <c r="C6670" t="s">
        <v>79</v>
      </c>
      <c r="D6670" t="s">
        <v>182</v>
      </c>
      <c r="E6670" t="s">
        <v>8</v>
      </c>
      <c r="F6670">
        <v>8.9754104614257813</v>
      </c>
    </row>
    <row r="6671" spans="2:6">
      <c r="B6671">
        <v>2009</v>
      </c>
      <c r="C6671" t="s">
        <v>79</v>
      </c>
      <c r="D6671" t="s">
        <v>182</v>
      </c>
      <c r="E6671" t="s">
        <v>9</v>
      </c>
      <c r="F6671">
        <v>0.77936804294586182</v>
      </c>
    </row>
    <row r="6672" spans="2:6">
      <c r="B6672">
        <v>2009</v>
      </c>
      <c r="C6672" t="s">
        <v>79</v>
      </c>
      <c r="D6672" t="s">
        <v>182</v>
      </c>
      <c r="E6672" t="s">
        <v>10</v>
      </c>
      <c r="F6672">
        <v>60.259998321533203</v>
      </c>
    </row>
    <row r="6673" spans="2:6">
      <c r="B6673">
        <v>2009</v>
      </c>
      <c r="C6673" t="s">
        <v>79</v>
      </c>
      <c r="D6673" t="s">
        <v>182</v>
      </c>
      <c r="E6673" t="s">
        <v>11</v>
      </c>
      <c r="F6673">
        <v>0.78379285335540771</v>
      </c>
    </row>
    <row r="6674" spans="2:6">
      <c r="B6674">
        <v>2009</v>
      </c>
      <c r="C6674" t="s">
        <v>79</v>
      </c>
      <c r="D6674" t="s">
        <v>182</v>
      </c>
      <c r="E6674" t="s">
        <v>12</v>
      </c>
      <c r="F6674">
        <v>0.19077058136463165</v>
      </c>
    </row>
    <row r="6675" spans="2:6">
      <c r="B6675">
        <v>2009</v>
      </c>
      <c r="C6675" t="s">
        <v>79</v>
      </c>
      <c r="D6675" t="s">
        <v>182</v>
      </c>
      <c r="E6675" t="s">
        <v>13</v>
      </c>
      <c r="F6675">
        <v>0.91094130277633667</v>
      </c>
    </row>
    <row r="6676" spans="2:6">
      <c r="B6676">
        <v>2009</v>
      </c>
      <c r="C6676" t="s">
        <v>79</v>
      </c>
      <c r="D6676" t="s">
        <v>182</v>
      </c>
      <c r="E6676" t="s">
        <v>14</v>
      </c>
      <c r="F6676">
        <v>0.86488759517669678</v>
      </c>
    </row>
    <row r="6677" spans="2:6">
      <c r="B6677">
        <v>2009</v>
      </c>
      <c r="C6677" t="s">
        <v>79</v>
      </c>
      <c r="D6677" t="s">
        <v>182</v>
      </c>
      <c r="E6677" t="s">
        <v>15</v>
      </c>
      <c r="F6677">
        <v>0.19270385801792145</v>
      </c>
    </row>
    <row r="6678" spans="2:6">
      <c r="B6678">
        <v>2010</v>
      </c>
      <c r="C6678" t="s">
        <v>79</v>
      </c>
      <c r="D6678" t="s">
        <v>182</v>
      </c>
      <c r="E6678" t="s">
        <v>7</v>
      </c>
      <c r="F6678">
        <v>5.4572992324829102</v>
      </c>
    </row>
    <row r="6679" spans="2:6">
      <c r="B6679">
        <v>2010</v>
      </c>
      <c r="C6679" t="s">
        <v>79</v>
      </c>
      <c r="D6679" t="s">
        <v>182</v>
      </c>
      <c r="E6679" t="s">
        <v>8</v>
      </c>
      <c r="F6679">
        <v>9.0224113464355469</v>
      </c>
    </row>
    <row r="6680" spans="2:6">
      <c r="B6680">
        <v>2010</v>
      </c>
      <c r="C6680" t="s">
        <v>79</v>
      </c>
      <c r="D6680" t="s">
        <v>182</v>
      </c>
      <c r="E6680" t="s">
        <v>9</v>
      </c>
      <c r="F6680">
        <v>0.81602150201797485</v>
      </c>
    </row>
    <row r="6681" spans="2:6">
      <c r="B6681">
        <v>2010</v>
      </c>
      <c r="C6681" t="s">
        <v>79</v>
      </c>
      <c r="D6681" t="s">
        <v>182</v>
      </c>
      <c r="E6681" t="s">
        <v>10</v>
      </c>
      <c r="F6681">
        <v>60.400001525878906</v>
      </c>
    </row>
    <row r="6682" spans="2:6">
      <c r="B6682">
        <v>2010</v>
      </c>
      <c r="C6682" t="s">
        <v>79</v>
      </c>
      <c r="D6682" t="s">
        <v>182</v>
      </c>
      <c r="E6682" t="s">
        <v>11</v>
      </c>
      <c r="F6682">
        <v>0.69965755939483643</v>
      </c>
    </row>
    <row r="6683" spans="2:6">
      <c r="B6683">
        <v>2010</v>
      </c>
      <c r="C6683" t="s">
        <v>79</v>
      </c>
      <c r="D6683" t="s">
        <v>182</v>
      </c>
      <c r="E6683" t="s">
        <v>12</v>
      </c>
      <c r="F6683">
        <v>0.44751515984535217</v>
      </c>
    </row>
    <row r="6684" spans="2:6">
      <c r="B6684">
        <v>2010</v>
      </c>
      <c r="C6684" t="s">
        <v>79</v>
      </c>
      <c r="D6684" t="s">
        <v>182</v>
      </c>
      <c r="E6684" t="s">
        <v>13</v>
      </c>
      <c r="F6684">
        <v>0.95404958724975586</v>
      </c>
    </row>
    <row r="6685" spans="2:6">
      <c r="B6685">
        <v>2010</v>
      </c>
      <c r="C6685" t="s">
        <v>79</v>
      </c>
      <c r="D6685" t="s">
        <v>182</v>
      </c>
      <c r="E6685" t="s">
        <v>14</v>
      </c>
      <c r="F6685">
        <v>0.83667486906051636</v>
      </c>
    </row>
    <row r="6686" spans="2:6">
      <c r="B6686">
        <v>2010</v>
      </c>
      <c r="C6686" t="s">
        <v>79</v>
      </c>
      <c r="D6686" t="s">
        <v>182</v>
      </c>
      <c r="E6686" t="s">
        <v>15</v>
      </c>
      <c r="F6686">
        <v>0.21790799498558044</v>
      </c>
    </row>
    <row r="6687" spans="2:6">
      <c r="B6687">
        <v>2011</v>
      </c>
      <c r="C6687" t="s">
        <v>79</v>
      </c>
      <c r="D6687" t="s">
        <v>182</v>
      </c>
      <c r="E6687" t="s">
        <v>7</v>
      </c>
      <c r="F6687">
        <v>5.1726083755493164</v>
      </c>
    </row>
    <row r="6688" spans="2:6">
      <c r="B6688">
        <v>2011</v>
      </c>
      <c r="C6688" t="s">
        <v>79</v>
      </c>
      <c r="D6688" t="s">
        <v>182</v>
      </c>
      <c r="E6688" t="s">
        <v>8</v>
      </c>
      <c r="F6688">
        <v>9.0688009262084961</v>
      </c>
    </row>
    <row r="6689" spans="2:6">
      <c r="B6689">
        <v>2011</v>
      </c>
      <c r="C6689" t="s">
        <v>79</v>
      </c>
      <c r="D6689" t="s">
        <v>182</v>
      </c>
      <c r="E6689" t="s">
        <v>9</v>
      </c>
      <c r="F6689">
        <v>0.82497704029083252</v>
      </c>
    </row>
    <row r="6690" spans="2:6">
      <c r="B6690">
        <v>2011</v>
      </c>
      <c r="C6690" t="s">
        <v>79</v>
      </c>
      <c r="D6690" t="s">
        <v>182</v>
      </c>
      <c r="E6690" t="s">
        <v>10</v>
      </c>
      <c r="F6690">
        <v>60.619998931884766</v>
      </c>
    </row>
    <row r="6691" spans="2:6">
      <c r="B6691">
        <v>2011</v>
      </c>
      <c r="C6691" t="s">
        <v>79</v>
      </c>
      <c r="D6691" t="s">
        <v>182</v>
      </c>
      <c r="E6691" t="s">
        <v>11</v>
      </c>
      <c r="F6691">
        <v>0.87828719615936279</v>
      </c>
    </row>
    <row r="6692" spans="2:6">
      <c r="B6692">
        <v>2011</v>
      </c>
      <c r="C6692" t="s">
        <v>79</v>
      </c>
      <c r="D6692" t="s">
        <v>182</v>
      </c>
      <c r="E6692" t="s">
        <v>12</v>
      </c>
      <c r="F6692">
        <v>0.43794113397598267</v>
      </c>
    </row>
    <row r="6693" spans="2:6">
      <c r="B6693">
        <v>2011</v>
      </c>
      <c r="C6693" t="s">
        <v>79</v>
      </c>
      <c r="D6693" t="s">
        <v>182</v>
      </c>
      <c r="E6693" t="s">
        <v>13</v>
      </c>
      <c r="F6693">
        <v>0.96229487657546997</v>
      </c>
    </row>
    <row r="6694" spans="2:6">
      <c r="B6694">
        <v>2011</v>
      </c>
      <c r="C6694" t="s">
        <v>79</v>
      </c>
      <c r="D6694" t="s">
        <v>182</v>
      </c>
      <c r="E6694" t="s">
        <v>14</v>
      </c>
      <c r="F6694">
        <v>0.8638148307800293</v>
      </c>
    </row>
    <row r="6695" spans="2:6">
      <c r="B6695">
        <v>2011</v>
      </c>
      <c r="C6695" t="s">
        <v>79</v>
      </c>
      <c r="D6695" t="s">
        <v>182</v>
      </c>
      <c r="E6695" t="s">
        <v>15</v>
      </c>
      <c r="F6695">
        <v>0.27341604232788086</v>
      </c>
    </row>
    <row r="6696" spans="2:6">
      <c r="B6696">
        <v>2012</v>
      </c>
      <c r="C6696" t="s">
        <v>79</v>
      </c>
      <c r="D6696" t="s">
        <v>182</v>
      </c>
      <c r="E6696" t="s">
        <v>7</v>
      </c>
      <c r="F6696">
        <v>5.3677740097045898</v>
      </c>
    </row>
    <row r="6697" spans="2:6">
      <c r="B6697">
        <v>2012</v>
      </c>
      <c r="C6697" t="s">
        <v>79</v>
      </c>
      <c r="D6697" t="s">
        <v>182</v>
      </c>
      <c r="E6697" t="s">
        <v>8</v>
      </c>
      <c r="F6697">
        <v>9.1138343811035156</v>
      </c>
    </row>
    <row r="6698" spans="2:6">
      <c r="B6698">
        <v>2012</v>
      </c>
      <c r="C6698" t="s">
        <v>79</v>
      </c>
      <c r="D6698" t="s">
        <v>182</v>
      </c>
      <c r="E6698" t="s">
        <v>9</v>
      </c>
      <c r="F6698">
        <v>0.83362114429473877</v>
      </c>
    </row>
    <row r="6699" spans="2:6">
      <c r="B6699">
        <v>2012</v>
      </c>
      <c r="C6699" t="s">
        <v>79</v>
      </c>
      <c r="D6699" t="s">
        <v>182</v>
      </c>
      <c r="E6699" t="s">
        <v>10</v>
      </c>
      <c r="F6699">
        <v>60.840000152587891</v>
      </c>
    </row>
    <row r="6700" spans="2:6">
      <c r="B6700">
        <v>2012</v>
      </c>
      <c r="C6700" t="s">
        <v>79</v>
      </c>
      <c r="D6700" t="s">
        <v>182</v>
      </c>
      <c r="E6700" t="s">
        <v>11</v>
      </c>
      <c r="F6700">
        <v>0.77031934261322021</v>
      </c>
    </row>
    <row r="6701" spans="2:6">
      <c r="B6701">
        <v>2012</v>
      </c>
      <c r="C6701" t="s">
        <v>79</v>
      </c>
      <c r="D6701" t="s">
        <v>182</v>
      </c>
      <c r="E6701" t="s">
        <v>12</v>
      </c>
      <c r="F6701">
        <v>0.35408464074134827</v>
      </c>
    </row>
    <row r="6702" spans="2:6">
      <c r="B6702">
        <v>2012</v>
      </c>
      <c r="C6702" t="s">
        <v>79</v>
      </c>
      <c r="D6702" t="s">
        <v>182</v>
      </c>
      <c r="E6702" t="s">
        <v>13</v>
      </c>
      <c r="F6702">
        <v>0.96158885955810547</v>
      </c>
    </row>
    <row r="6703" spans="2:6">
      <c r="B6703">
        <v>2012</v>
      </c>
      <c r="C6703" t="s">
        <v>79</v>
      </c>
      <c r="D6703" t="s">
        <v>182</v>
      </c>
      <c r="E6703" t="s">
        <v>14</v>
      </c>
      <c r="F6703">
        <v>0.89692741632461548</v>
      </c>
    </row>
    <row r="6704" spans="2:6">
      <c r="B6704">
        <v>2012</v>
      </c>
      <c r="C6704" t="s">
        <v>79</v>
      </c>
      <c r="D6704" t="s">
        <v>182</v>
      </c>
      <c r="E6704" t="s">
        <v>15</v>
      </c>
      <c r="F6704">
        <v>0.22897960245609283</v>
      </c>
    </row>
    <row r="6705" spans="2:6">
      <c r="B6705">
        <v>2013</v>
      </c>
      <c r="C6705" t="s">
        <v>79</v>
      </c>
      <c r="D6705" t="s">
        <v>182</v>
      </c>
      <c r="E6705" t="s">
        <v>7</v>
      </c>
      <c r="F6705">
        <v>5.2922377586364746</v>
      </c>
    </row>
    <row r="6706" spans="2:6">
      <c r="B6706">
        <v>2013</v>
      </c>
      <c r="C6706" t="s">
        <v>79</v>
      </c>
      <c r="D6706" t="s">
        <v>182</v>
      </c>
      <c r="E6706" t="s">
        <v>8</v>
      </c>
      <c r="F6706">
        <v>9.1545076370239258</v>
      </c>
    </row>
    <row r="6707" spans="2:6">
      <c r="B6707">
        <v>2013</v>
      </c>
      <c r="C6707" t="s">
        <v>79</v>
      </c>
      <c r="D6707" t="s">
        <v>182</v>
      </c>
      <c r="E6707" t="s">
        <v>9</v>
      </c>
      <c r="F6707">
        <v>0.79376083612442017</v>
      </c>
    </row>
    <row r="6708" spans="2:6">
      <c r="B6708">
        <v>2013</v>
      </c>
      <c r="C6708" t="s">
        <v>79</v>
      </c>
      <c r="D6708" t="s">
        <v>182</v>
      </c>
      <c r="E6708" t="s">
        <v>10</v>
      </c>
      <c r="F6708">
        <v>61.060001373291016</v>
      </c>
    </row>
    <row r="6709" spans="2:6">
      <c r="B6709">
        <v>2013</v>
      </c>
      <c r="C6709" t="s">
        <v>79</v>
      </c>
      <c r="D6709" t="s">
        <v>182</v>
      </c>
      <c r="E6709" t="s">
        <v>11</v>
      </c>
      <c r="F6709">
        <v>0.78069078922271729</v>
      </c>
    </row>
    <row r="6710" spans="2:6">
      <c r="B6710">
        <v>2013</v>
      </c>
      <c r="C6710" t="s">
        <v>79</v>
      </c>
      <c r="D6710" t="s">
        <v>182</v>
      </c>
      <c r="E6710" t="s">
        <v>12</v>
      </c>
      <c r="F6710">
        <v>0.37600570917129517</v>
      </c>
    </row>
    <row r="6711" spans="2:6">
      <c r="B6711">
        <v>2013</v>
      </c>
      <c r="C6711" t="s">
        <v>79</v>
      </c>
      <c r="D6711" t="s">
        <v>182</v>
      </c>
      <c r="E6711" t="s">
        <v>13</v>
      </c>
      <c r="F6711">
        <v>0.97266858816146851</v>
      </c>
    </row>
    <row r="6712" spans="2:6">
      <c r="B6712">
        <v>2013</v>
      </c>
      <c r="C6712" t="s">
        <v>79</v>
      </c>
      <c r="D6712" t="s">
        <v>182</v>
      </c>
      <c r="E6712" t="s">
        <v>14</v>
      </c>
      <c r="F6712">
        <v>0.89294207096099854</v>
      </c>
    </row>
    <row r="6713" spans="2:6">
      <c r="B6713">
        <v>2013</v>
      </c>
      <c r="C6713" t="s">
        <v>79</v>
      </c>
      <c r="D6713" t="s">
        <v>182</v>
      </c>
      <c r="E6713" t="s">
        <v>15</v>
      </c>
      <c r="F6713">
        <v>0.24914635717868805</v>
      </c>
    </row>
    <row r="6714" spans="2:6">
      <c r="B6714">
        <v>2014</v>
      </c>
      <c r="C6714" t="s">
        <v>79</v>
      </c>
      <c r="D6714" t="s">
        <v>182</v>
      </c>
      <c r="E6714" t="s">
        <v>7</v>
      </c>
      <c r="F6714">
        <v>5.5973753929138184</v>
      </c>
    </row>
    <row r="6715" spans="2:6">
      <c r="B6715">
        <v>2014</v>
      </c>
      <c r="C6715" t="s">
        <v>79</v>
      </c>
      <c r="D6715" t="s">
        <v>182</v>
      </c>
      <c r="E6715" t="s">
        <v>8</v>
      </c>
      <c r="F6715">
        <v>9.1902532577514648</v>
      </c>
    </row>
    <row r="6716" spans="2:6">
      <c r="B6716">
        <v>2014</v>
      </c>
      <c r="C6716" t="s">
        <v>79</v>
      </c>
      <c r="D6716" t="s">
        <v>182</v>
      </c>
      <c r="E6716" t="s">
        <v>9</v>
      </c>
      <c r="F6716">
        <v>0.90482783317565918</v>
      </c>
    </row>
    <row r="6717" spans="2:6">
      <c r="B6717">
        <v>2014</v>
      </c>
      <c r="C6717" t="s">
        <v>79</v>
      </c>
      <c r="D6717" t="s">
        <v>182</v>
      </c>
      <c r="E6717" t="s">
        <v>10</v>
      </c>
      <c r="F6717">
        <v>61.279998779296875</v>
      </c>
    </row>
    <row r="6718" spans="2:6">
      <c r="B6718">
        <v>2014</v>
      </c>
      <c r="C6718" t="s">
        <v>79</v>
      </c>
      <c r="D6718" t="s">
        <v>182</v>
      </c>
      <c r="E6718" t="s">
        <v>11</v>
      </c>
      <c r="F6718">
        <v>0.71941328048706055</v>
      </c>
    </row>
    <row r="6719" spans="2:6">
      <c r="B6719">
        <v>2014</v>
      </c>
      <c r="C6719" t="s">
        <v>79</v>
      </c>
      <c r="D6719" t="s">
        <v>182</v>
      </c>
      <c r="E6719" t="s">
        <v>12</v>
      </c>
      <c r="F6719">
        <v>0.40795588493347168</v>
      </c>
    </row>
    <row r="6720" spans="2:6">
      <c r="B6720">
        <v>2014</v>
      </c>
      <c r="C6720" t="s">
        <v>79</v>
      </c>
      <c r="D6720" t="s">
        <v>182</v>
      </c>
      <c r="E6720" t="s">
        <v>13</v>
      </c>
      <c r="F6720">
        <v>0.97014421224594116</v>
      </c>
    </row>
    <row r="6721" spans="2:6">
      <c r="B6721">
        <v>2014</v>
      </c>
      <c r="C6721" t="s">
        <v>79</v>
      </c>
      <c r="D6721" t="s">
        <v>182</v>
      </c>
      <c r="E6721" t="s">
        <v>14</v>
      </c>
      <c r="F6721">
        <v>0.85241895914077759</v>
      </c>
    </row>
    <row r="6722" spans="2:6">
      <c r="B6722">
        <v>2014</v>
      </c>
      <c r="C6722" t="s">
        <v>79</v>
      </c>
      <c r="D6722" t="s">
        <v>182</v>
      </c>
      <c r="E6722" t="s">
        <v>15</v>
      </c>
      <c r="F6722">
        <v>0.24167820811271667</v>
      </c>
    </row>
    <row r="6723" spans="2:6">
      <c r="B6723">
        <v>2015</v>
      </c>
      <c r="C6723" t="s">
        <v>79</v>
      </c>
      <c r="D6723" t="s">
        <v>182</v>
      </c>
      <c r="E6723" t="s">
        <v>7</v>
      </c>
      <c r="F6723">
        <v>5.0427999496459961</v>
      </c>
    </row>
    <row r="6724" spans="2:6">
      <c r="B6724">
        <v>2015</v>
      </c>
      <c r="C6724" t="s">
        <v>79</v>
      </c>
      <c r="D6724" t="s">
        <v>182</v>
      </c>
      <c r="E6724" t="s">
        <v>8</v>
      </c>
      <c r="F6724">
        <v>9.2251901626586914</v>
      </c>
    </row>
    <row r="6725" spans="2:6">
      <c r="B6725">
        <v>2015</v>
      </c>
      <c r="C6725" t="s">
        <v>79</v>
      </c>
      <c r="D6725" t="s">
        <v>182</v>
      </c>
      <c r="E6725" t="s">
        <v>9</v>
      </c>
      <c r="F6725">
        <v>0.80947810411453247</v>
      </c>
    </row>
    <row r="6726" spans="2:6">
      <c r="B6726">
        <v>2015</v>
      </c>
      <c r="C6726" t="s">
        <v>79</v>
      </c>
      <c r="D6726" t="s">
        <v>182</v>
      </c>
      <c r="E6726" t="s">
        <v>10</v>
      </c>
      <c r="F6726">
        <v>61.5</v>
      </c>
    </row>
    <row r="6727" spans="2:6">
      <c r="B6727">
        <v>2015</v>
      </c>
      <c r="C6727" t="s">
        <v>79</v>
      </c>
      <c r="D6727" t="s">
        <v>182</v>
      </c>
      <c r="E6727" t="s">
        <v>11</v>
      </c>
      <c r="F6727">
        <v>0.77941834926605225</v>
      </c>
    </row>
    <row r="6728" spans="2:6">
      <c r="B6728">
        <v>2015</v>
      </c>
      <c r="C6728" t="s">
        <v>79</v>
      </c>
      <c r="D6728" t="s">
        <v>182</v>
      </c>
      <c r="E6728" t="s">
        <v>12</v>
      </c>
      <c r="F6728">
        <v>0.47133046388626099</v>
      </c>
    </row>
    <row r="6729" spans="2:6">
      <c r="B6729">
        <v>2015</v>
      </c>
      <c r="C6729" t="s">
        <v>79</v>
      </c>
      <c r="D6729" t="s">
        <v>182</v>
      </c>
      <c r="E6729" t="s">
        <v>13</v>
      </c>
      <c r="F6729">
        <v>0.94596725702285767</v>
      </c>
    </row>
    <row r="6730" spans="2:6">
      <c r="B6730">
        <v>2015</v>
      </c>
      <c r="C6730" t="s">
        <v>79</v>
      </c>
      <c r="D6730" t="s">
        <v>182</v>
      </c>
      <c r="E6730" t="s">
        <v>14</v>
      </c>
      <c r="F6730">
        <v>0.87623274326324463</v>
      </c>
    </row>
    <row r="6731" spans="2:6">
      <c r="B6731">
        <v>2015</v>
      </c>
      <c r="C6731" t="s">
        <v>79</v>
      </c>
      <c r="D6731" t="s">
        <v>182</v>
      </c>
      <c r="E6731" t="s">
        <v>15</v>
      </c>
      <c r="F6731">
        <v>0.27429220080375671</v>
      </c>
    </row>
    <row r="6732" spans="2:6">
      <c r="B6732">
        <v>2016</v>
      </c>
      <c r="C6732" t="s">
        <v>79</v>
      </c>
      <c r="D6732" t="s">
        <v>182</v>
      </c>
      <c r="E6732" t="s">
        <v>7</v>
      </c>
      <c r="F6732">
        <v>5.1363253593444824</v>
      </c>
    </row>
    <row r="6733" spans="2:6">
      <c r="B6733">
        <v>2016</v>
      </c>
      <c r="C6733" t="s">
        <v>79</v>
      </c>
      <c r="D6733" t="s">
        <v>182</v>
      </c>
      <c r="E6733" t="s">
        <v>8</v>
      </c>
      <c r="F6733">
        <v>9.2620973587036133</v>
      </c>
    </row>
    <row r="6734" spans="2:6">
      <c r="B6734">
        <v>2016</v>
      </c>
      <c r="C6734" t="s">
        <v>79</v>
      </c>
      <c r="D6734" t="s">
        <v>182</v>
      </c>
      <c r="E6734" t="s">
        <v>9</v>
      </c>
      <c r="F6734">
        <v>0.79183059930801392</v>
      </c>
    </row>
    <row r="6735" spans="2:6">
      <c r="B6735">
        <v>2016</v>
      </c>
      <c r="C6735" t="s">
        <v>79</v>
      </c>
      <c r="D6735" t="s">
        <v>182</v>
      </c>
      <c r="E6735" t="s">
        <v>10</v>
      </c>
      <c r="F6735">
        <v>61.700000762939453</v>
      </c>
    </row>
    <row r="6736" spans="2:6">
      <c r="B6736">
        <v>2016</v>
      </c>
      <c r="C6736" t="s">
        <v>79</v>
      </c>
      <c r="D6736" t="s">
        <v>182</v>
      </c>
      <c r="E6736" t="s">
        <v>11</v>
      </c>
      <c r="F6736">
        <v>0.82994163036346436</v>
      </c>
    </row>
    <row r="6737" spans="2:6">
      <c r="B6737">
        <v>2016</v>
      </c>
      <c r="C6737" t="s">
        <v>79</v>
      </c>
      <c r="D6737" t="s">
        <v>182</v>
      </c>
      <c r="E6737" t="s">
        <v>12</v>
      </c>
      <c r="F6737">
        <v>0.49978023767471313</v>
      </c>
    </row>
    <row r="6738" spans="2:6">
      <c r="B6738">
        <v>2016</v>
      </c>
      <c r="C6738" t="s">
        <v>79</v>
      </c>
      <c r="D6738" t="s">
        <v>182</v>
      </c>
      <c r="E6738" t="s">
        <v>13</v>
      </c>
      <c r="F6738">
        <v>0.88967740535736084</v>
      </c>
    </row>
    <row r="6739" spans="2:6">
      <c r="B6739">
        <v>2016</v>
      </c>
      <c r="C6739" t="s">
        <v>79</v>
      </c>
      <c r="D6739" t="s">
        <v>182</v>
      </c>
      <c r="E6739" t="s">
        <v>14</v>
      </c>
      <c r="F6739">
        <v>0.83281195163726807</v>
      </c>
    </row>
    <row r="6740" spans="2:6">
      <c r="B6740">
        <v>2016</v>
      </c>
      <c r="C6740" t="s">
        <v>79</v>
      </c>
      <c r="D6740" t="s">
        <v>182</v>
      </c>
      <c r="E6740" t="s">
        <v>15</v>
      </c>
      <c r="F6740">
        <v>0.34157359600067139</v>
      </c>
    </row>
    <row r="6741" spans="2:6">
      <c r="B6741">
        <v>2017</v>
      </c>
      <c r="C6741" t="s">
        <v>79</v>
      </c>
      <c r="D6741" t="s">
        <v>182</v>
      </c>
      <c r="E6741" t="s">
        <v>7</v>
      </c>
      <c r="F6741">
        <v>5.0984015464782715</v>
      </c>
    </row>
    <row r="6742" spans="2:6">
      <c r="B6742">
        <v>2017</v>
      </c>
      <c r="C6742" t="s">
        <v>79</v>
      </c>
      <c r="D6742" t="s">
        <v>182</v>
      </c>
      <c r="E6742" t="s">
        <v>8</v>
      </c>
      <c r="F6742">
        <v>9.2998008728027344</v>
      </c>
    </row>
    <row r="6743" spans="2:6">
      <c r="B6743">
        <v>2017</v>
      </c>
      <c r="C6743" t="s">
        <v>79</v>
      </c>
      <c r="D6743" t="s">
        <v>182</v>
      </c>
      <c r="E6743" t="s">
        <v>9</v>
      </c>
      <c r="F6743">
        <v>0.79558920860290527</v>
      </c>
    </row>
    <row r="6744" spans="2:6">
      <c r="B6744">
        <v>2017</v>
      </c>
      <c r="C6744" t="s">
        <v>79</v>
      </c>
      <c r="D6744" t="s">
        <v>182</v>
      </c>
      <c r="E6744" t="s">
        <v>10</v>
      </c>
      <c r="F6744">
        <v>61.900001525878906</v>
      </c>
    </row>
    <row r="6745" spans="2:6">
      <c r="B6745">
        <v>2017</v>
      </c>
      <c r="C6745" t="s">
        <v>79</v>
      </c>
      <c r="D6745" t="s">
        <v>182</v>
      </c>
      <c r="E6745" t="s">
        <v>11</v>
      </c>
      <c r="F6745">
        <v>0.86502629518508911</v>
      </c>
    </row>
    <row r="6746" spans="2:6">
      <c r="B6746">
        <v>2017</v>
      </c>
      <c r="C6746" t="s">
        <v>79</v>
      </c>
      <c r="D6746" t="s">
        <v>182</v>
      </c>
      <c r="E6746" t="s">
        <v>12</v>
      </c>
      <c r="F6746">
        <v>0.487873375415802</v>
      </c>
    </row>
    <row r="6747" spans="2:6">
      <c r="B6747">
        <v>2017</v>
      </c>
      <c r="C6747" t="s">
        <v>79</v>
      </c>
      <c r="D6747" t="s">
        <v>182</v>
      </c>
      <c r="E6747" t="s">
        <v>13</v>
      </c>
      <c r="F6747">
        <v>0.90041643381118774</v>
      </c>
    </row>
    <row r="6748" spans="2:6">
      <c r="B6748">
        <v>2017</v>
      </c>
      <c r="C6748" t="s">
        <v>79</v>
      </c>
      <c r="D6748" t="s">
        <v>182</v>
      </c>
      <c r="E6748" t="s">
        <v>14</v>
      </c>
      <c r="F6748">
        <v>0.86258417367935181</v>
      </c>
    </row>
    <row r="6749" spans="2:6">
      <c r="B6749">
        <v>2017</v>
      </c>
      <c r="C6749" t="s">
        <v>79</v>
      </c>
      <c r="D6749" t="s">
        <v>182</v>
      </c>
      <c r="E6749" t="s">
        <v>15</v>
      </c>
      <c r="F6749">
        <v>0.31917157769203186</v>
      </c>
    </row>
    <row r="6750" spans="2:6">
      <c r="B6750">
        <v>2018</v>
      </c>
      <c r="C6750" t="s">
        <v>79</v>
      </c>
      <c r="D6750" t="s">
        <v>182</v>
      </c>
      <c r="E6750" t="s">
        <v>7</v>
      </c>
      <c r="F6750">
        <v>5.3402957916259766</v>
      </c>
    </row>
    <row r="6751" spans="2:6">
      <c r="B6751">
        <v>2018</v>
      </c>
      <c r="C6751" t="s">
        <v>79</v>
      </c>
      <c r="D6751" t="s">
        <v>182</v>
      </c>
      <c r="E6751" t="s">
        <v>8</v>
      </c>
      <c r="F6751">
        <v>9.3388681411743164</v>
      </c>
    </row>
    <row r="6752" spans="2:6">
      <c r="B6752">
        <v>2018</v>
      </c>
      <c r="C6752" t="s">
        <v>79</v>
      </c>
      <c r="D6752" t="s">
        <v>182</v>
      </c>
      <c r="E6752" t="s">
        <v>9</v>
      </c>
      <c r="F6752">
        <v>0.80937886238098145</v>
      </c>
    </row>
    <row r="6753" spans="2:6">
      <c r="B6753">
        <v>2018</v>
      </c>
      <c r="C6753" t="s">
        <v>79</v>
      </c>
      <c r="D6753" t="s">
        <v>182</v>
      </c>
      <c r="E6753" t="s">
        <v>10</v>
      </c>
      <c r="F6753">
        <v>62.099998474121094</v>
      </c>
    </row>
    <row r="6754" spans="2:6">
      <c r="B6754">
        <v>2018</v>
      </c>
      <c r="C6754" t="s">
        <v>79</v>
      </c>
      <c r="D6754" t="s">
        <v>182</v>
      </c>
      <c r="E6754" t="s">
        <v>11</v>
      </c>
      <c r="F6754">
        <v>0.87937438488006592</v>
      </c>
    </row>
    <row r="6755" spans="2:6">
      <c r="B6755">
        <v>2018</v>
      </c>
      <c r="C6755" t="s">
        <v>79</v>
      </c>
      <c r="D6755" t="s">
        <v>182</v>
      </c>
      <c r="E6755" t="s">
        <v>12</v>
      </c>
      <c r="F6755">
        <v>0.51199287176132202</v>
      </c>
    </row>
    <row r="6756" spans="2:6">
      <c r="B6756">
        <v>2018</v>
      </c>
      <c r="C6756" t="s">
        <v>79</v>
      </c>
      <c r="D6756" t="s">
        <v>182</v>
      </c>
      <c r="E6756" t="s">
        <v>13</v>
      </c>
      <c r="F6756">
        <v>0.86772942543029785</v>
      </c>
    </row>
    <row r="6757" spans="2:6">
      <c r="B6757">
        <v>2018</v>
      </c>
      <c r="C6757" t="s">
        <v>79</v>
      </c>
      <c r="D6757" t="s">
        <v>182</v>
      </c>
      <c r="E6757" t="s">
        <v>14</v>
      </c>
      <c r="F6757">
        <v>0.86371785402297974</v>
      </c>
    </row>
    <row r="6758" spans="2:6">
      <c r="B6758">
        <v>2018</v>
      </c>
      <c r="C6758" t="s">
        <v>79</v>
      </c>
      <c r="D6758" t="s">
        <v>182</v>
      </c>
      <c r="E6758" t="s">
        <v>15</v>
      </c>
      <c r="F6758">
        <v>0.29598680138587952</v>
      </c>
    </row>
    <row r="6759" spans="2:6">
      <c r="B6759">
        <v>2019</v>
      </c>
      <c r="C6759" t="s">
        <v>79</v>
      </c>
      <c r="D6759" t="s">
        <v>182</v>
      </c>
      <c r="E6759" t="s">
        <v>7</v>
      </c>
      <c r="F6759">
        <v>5.3465127944946289</v>
      </c>
    </row>
    <row r="6760" spans="2:6">
      <c r="B6760">
        <v>2019</v>
      </c>
      <c r="C6760" t="s">
        <v>79</v>
      </c>
      <c r="D6760" t="s">
        <v>182</v>
      </c>
      <c r="E6760" t="s">
        <v>8</v>
      </c>
      <c r="F6760">
        <v>9.3768882751464844</v>
      </c>
    </row>
    <row r="6761" spans="2:6">
      <c r="B6761">
        <v>2019</v>
      </c>
      <c r="C6761" t="s">
        <v>79</v>
      </c>
      <c r="D6761" t="s">
        <v>182</v>
      </c>
      <c r="E6761" t="s">
        <v>9</v>
      </c>
      <c r="F6761">
        <v>0.80191802978515625</v>
      </c>
    </row>
    <row r="6762" spans="2:6">
      <c r="B6762">
        <v>2019</v>
      </c>
      <c r="C6762" t="s">
        <v>79</v>
      </c>
      <c r="D6762" t="s">
        <v>182</v>
      </c>
      <c r="E6762" t="s">
        <v>10</v>
      </c>
      <c r="F6762">
        <v>62.299999237060547</v>
      </c>
    </row>
    <row r="6763" spans="2:6">
      <c r="B6763">
        <v>2019</v>
      </c>
      <c r="C6763" t="s">
        <v>79</v>
      </c>
      <c r="D6763" t="s">
        <v>182</v>
      </c>
      <c r="E6763" t="s">
        <v>11</v>
      </c>
      <c r="F6763">
        <v>0.86585915088653564</v>
      </c>
    </row>
    <row r="6764" spans="2:6">
      <c r="B6764">
        <v>2019</v>
      </c>
      <c r="C6764" t="s">
        <v>79</v>
      </c>
      <c r="D6764" t="s">
        <v>182</v>
      </c>
      <c r="E6764" t="s">
        <v>12</v>
      </c>
      <c r="F6764">
        <v>0.55534803867340088</v>
      </c>
    </row>
    <row r="6765" spans="2:6">
      <c r="B6765">
        <v>2019</v>
      </c>
      <c r="C6765" t="s">
        <v>79</v>
      </c>
      <c r="D6765" t="s">
        <v>182</v>
      </c>
      <c r="E6765" t="s">
        <v>13</v>
      </c>
      <c r="F6765">
        <v>0.86078476905822754</v>
      </c>
    </row>
    <row r="6766" spans="2:6">
      <c r="B6766">
        <v>2019</v>
      </c>
      <c r="C6766" t="s">
        <v>79</v>
      </c>
      <c r="D6766" t="s">
        <v>182</v>
      </c>
      <c r="E6766" t="s">
        <v>14</v>
      </c>
      <c r="F6766">
        <v>0.87671405076980591</v>
      </c>
    </row>
    <row r="6767" spans="2:6">
      <c r="B6767">
        <v>2019</v>
      </c>
      <c r="C6767" t="s">
        <v>79</v>
      </c>
      <c r="D6767" t="s">
        <v>182</v>
      </c>
      <c r="E6767" t="s">
        <v>15</v>
      </c>
      <c r="F6767">
        <v>0.30170279741287231</v>
      </c>
    </row>
    <row r="6768" spans="2:6">
      <c r="B6768">
        <v>2005</v>
      </c>
      <c r="C6768" t="s">
        <v>80</v>
      </c>
      <c r="D6768" t="s">
        <v>182</v>
      </c>
      <c r="E6768" t="s">
        <v>7</v>
      </c>
      <c r="F6768">
        <v>5.3081903457641602</v>
      </c>
    </row>
    <row r="6769" spans="2:6">
      <c r="B6769">
        <v>2005</v>
      </c>
      <c r="C6769" t="s">
        <v>80</v>
      </c>
      <c r="D6769" t="s">
        <v>182</v>
      </c>
      <c r="E6769" t="s">
        <v>8</v>
      </c>
      <c r="F6769">
        <v>9.3925132751464844</v>
      </c>
    </row>
    <row r="6770" spans="2:6">
      <c r="B6770">
        <v>2005</v>
      </c>
      <c r="C6770" t="s">
        <v>80</v>
      </c>
      <c r="D6770" t="s">
        <v>182</v>
      </c>
      <c r="E6770" t="s">
        <v>9</v>
      </c>
      <c r="F6770">
        <v>0.76597803831100464</v>
      </c>
    </row>
    <row r="6771" spans="2:6">
      <c r="B6771">
        <v>2005</v>
      </c>
      <c r="C6771" t="s">
        <v>80</v>
      </c>
      <c r="D6771" t="s">
        <v>182</v>
      </c>
      <c r="E6771" t="s">
        <v>10</v>
      </c>
      <c r="F6771">
        <v>62</v>
      </c>
    </row>
    <row r="6772" spans="2:6">
      <c r="B6772">
        <v>2005</v>
      </c>
      <c r="C6772" t="s">
        <v>80</v>
      </c>
      <c r="D6772" t="s">
        <v>182</v>
      </c>
      <c r="E6772" t="s">
        <v>11</v>
      </c>
      <c r="F6772">
        <v>0.65116769075393677</v>
      </c>
    </row>
    <row r="6773" spans="2:6">
      <c r="B6773">
        <v>2005</v>
      </c>
      <c r="C6773" t="s">
        <v>80</v>
      </c>
      <c r="D6773" t="s">
        <v>182</v>
      </c>
      <c r="E6773" t="s">
        <v>13</v>
      </c>
      <c r="F6773">
        <v>0.6364903450012207</v>
      </c>
    </row>
    <row r="6774" spans="2:6">
      <c r="B6774">
        <v>2005</v>
      </c>
      <c r="C6774" t="s">
        <v>80</v>
      </c>
      <c r="D6774" t="s">
        <v>182</v>
      </c>
      <c r="E6774" t="s">
        <v>14</v>
      </c>
      <c r="F6774">
        <v>0.60822618007659912</v>
      </c>
    </row>
    <row r="6775" spans="2:6">
      <c r="B6775">
        <v>2005</v>
      </c>
      <c r="C6775" t="s">
        <v>80</v>
      </c>
      <c r="D6775" t="s">
        <v>182</v>
      </c>
      <c r="E6775" t="s">
        <v>15</v>
      </c>
      <c r="F6775">
        <v>0.45610940456390381</v>
      </c>
    </row>
    <row r="6776" spans="2:6">
      <c r="B6776">
        <v>2007</v>
      </c>
      <c r="C6776" t="s">
        <v>80</v>
      </c>
      <c r="D6776" t="s">
        <v>182</v>
      </c>
      <c r="E6776" t="s">
        <v>7</v>
      </c>
      <c r="F6776">
        <v>5.3363714218139648</v>
      </c>
    </row>
    <row r="6777" spans="2:6">
      <c r="B6777">
        <v>2007</v>
      </c>
      <c r="C6777" t="s">
        <v>80</v>
      </c>
      <c r="D6777" t="s">
        <v>182</v>
      </c>
      <c r="E6777" t="s">
        <v>8</v>
      </c>
      <c r="F6777">
        <v>9.4973907470703125</v>
      </c>
    </row>
    <row r="6778" spans="2:6">
      <c r="B6778">
        <v>2007</v>
      </c>
      <c r="C6778" t="s">
        <v>80</v>
      </c>
      <c r="D6778" t="s">
        <v>182</v>
      </c>
      <c r="E6778" t="s">
        <v>9</v>
      </c>
      <c r="F6778">
        <v>0.71759212017059326</v>
      </c>
    </row>
    <row r="6779" spans="2:6">
      <c r="B6779">
        <v>2007</v>
      </c>
      <c r="C6779" t="s">
        <v>80</v>
      </c>
      <c r="D6779" t="s">
        <v>182</v>
      </c>
      <c r="E6779" t="s">
        <v>10</v>
      </c>
      <c r="F6779">
        <v>62.759998321533203</v>
      </c>
    </row>
    <row r="6780" spans="2:6">
      <c r="B6780">
        <v>2007</v>
      </c>
      <c r="C6780" t="s">
        <v>80</v>
      </c>
      <c r="D6780" t="s">
        <v>182</v>
      </c>
      <c r="E6780" t="s">
        <v>11</v>
      </c>
      <c r="F6780">
        <v>0.5326198935508728</v>
      </c>
    </row>
    <row r="6781" spans="2:6">
      <c r="B6781">
        <v>2007</v>
      </c>
      <c r="C6781" t="s">
        <v>80</v>
      </c>
      <c r="D6781" t="s">
        <v>182</v>
      </c>
      <c r="E6781" t="s">
        <v>12</v>
      </c>
      <c r="F6781">
        <v>5.5538315325975418E-2</v>
      </c>
    </row>
    <row r="6782" spans="2:6">
      <c r="B6782">
        <v>2007</v>
      </c>
      <c r="C6782" t="s">
        <v>80</v>
      </c>
      <c r="D6782" t="s">
        <v>182</v>
      </c>
      <c r="E6782" t="s">
        <v>13</v>
      </c>
      <c r="F6782">
        <v>0.87164396047592163</v>
      </c>
    </row>
    <row r="6783" spans="2:6">
      <c r="B6783">
        <v>2007</v>
      </c>
      <c r="C6783" t="s">
        <v>80</v>
      </c>
      <c r="D6783" t="s">
        <v>182</v>
      </c>
      <c r="E6783" t="s">
        <v>14</v>
      </c>
      <c r="F6783">
        <v>0.62550675868988037</v>
      </c>
    </row>
    <row r="6784" spans="2:6">
      <c r="B6784">
        <v>2007</v>
      </c>
      <c r="C6784" t="s">
        <v>80</v>
      </c>
      <c r="D6784" t="s">
        <v>182</v>
      </c>
      <c r="E6784" t="s">
        <v>15</v>
      </c>
      <c r="F6784">
        <v>0.36132028698921204</v>
      </c>
    </row>
    <row r="6785" spans="2:6">
      <c r="B6785">
        <v>2008</v>
      </c>
      <c r="C6785" t="s">
        <v>80</v>
      </c>
      <c r="D6785" t="s">
        <v>182</v>
      </c>
      <c r="E6785" t="s">
        <v>7</v>
      </c>
      <c r="F6785">
        <v>5.1289882659912109</v>
      </c>
    </row>
    <row r="6786" spans="2:6">
      <c r="B6786">
        <v>2008</v>
      </c>
      <c r="C6786" t="s">
        <v>80</v>
      </c>
      <c r="D6786" t="s">
        <v>182</v>
      </c>
      <c r="E6786" t="s">
        <v>8</v>
      </c>
      <c r="F6786">
        <v>9.4889640808105469</v>
      </c>
    </row>
    <row r="6787" spans="2:6">
      <c r="B6787">
        <v>2008</v>
      </c>
      <c r="C6787" t="s">
        <v>80</v>
      </c>
      <c r="D6787" t="s">
        <v>182</v>
      </c>
      <c r="E6787" t="s">
        <v>9</v>
      </c>
      <c r="F6787">
        <v>0.63262873888015747</v>
      </c>
    </row>
    <row r="6788" spans="2:6">
      <c r="B6788">
        <v>2008</v>
      </c>
      <c r="C6788" t="s">
        <v>80</v>
      </c>
      <c r="D6788" t="s">
        <v>182</v>
      </c>
      <c r="E6788" t="s">
        <v>10</v>
      </c>
      <c r="F6788">
        <v>63.139999389648438</v>
      </c>
    </row>
    <row r="6789" spans="2:6">
      <c r="B6789">
        <v>2008</v>
      </c>
      <c r="C6789" t="s">
        <v>80</v>
      </c>
      <c r="D6789" t="s">
        <v>182</v>
      </c>
      <c r="E6789" t="s">
        <v>11</v>
      </c>
      <c r="F6789">
        <v>0.60122209787368774</v>
      </c>
    </row>
    <row r="6790" spans="2:6">
      <c r="B6790">
        <v>2008</v>
      </c>
      <c r="C6790" t="s">
        <v>80</v>
      </c>
      <c r="D6790" t="s">
        <v>182</v>
      </c>
      <c r="E6790" t="s">
        <v>12</v>
      </c>
      <c r="F6790">
        <v>5.2280507981777191E-2</v>
      </c>
    </row>
    <row r="6791" spans="2:6">
      <c r="B6791">
        <v>2008</v>
      </c>
      <c r="C6791" t="s">
        <v>80</v>
      </c>
      <c r="D6791" t="s">
        <v>182</v>
      </c>
      <c r="E6791" t="s">
        <v>13</v>
      </c>
      <c r="F6791">
        <v>0.86834347248077393</v>
      </c>
    </row>
    <row r="6792" spans="2:6">
      <c r="B6792">
        <v>2008</v>
      </c>
      <c r="C6792" t="s">
        <v>80</v>
      </c>
      <c r="D6792" t="s">
        <v>182</v>
      </c>
      <c r="E6792" t="s">
        <v>14</v>
      </c>
      <c r="F6792">
        <v>0.62416106462478638</v>
      </c>
    </row>
    <row r="6793" spans="2:6">
      <c r="B6793">
        <v>2008</v>
      </c>
      <c r="C6793" t="s">
        <v>80</v>
      </c>
      <c r="D6793" t="s">
        <v>182</v>
      </c>
      <c r="E6793" t="s">
        <v>15</v>
      </c>
      <c r="F6793">
        <v>0.34518244862556458</v>
      </c>
    </row>
    <row r="6794" spans="2:6">
      <c r="B6794">
        <v>2011</v>
      </c>
      <c r="C6794" t="s">
        <v>80</v>
      </c>
      <c r="D6794" t="s">
        <v>182</v>
      </c>
      <c r="E6794" t="s">
        <v>7</v>
      </c>
      <c r="F6794">
        <v>4.7675070762634277</v>
      </c>
    </row>
    <row r="6795" spans="2:6">
      <c r="B6795">
        <v>2011</v>
      </c>
      <c r="C6795" t="s">
        <v>80</v>
      </c>
      <c r="D6795" t="s">
        <v>182</v>
      </c>
      <c r="E6795" t="s">
        <v>8</v>
      </c>
      <c r="F6795">
        <v>9.5471925735473633</v>
      </c>
    </row>
    <row r="6796" spans="2:6">
      <c r="B6796">
        <v>2011</v>
      </c>
      <c r="C6796" t="s">
        <v>80</v>
      </c>
      <c r="D6796" t="s">
        <v>182</v>
      </c>
      <c r="E6796" t="s">
        <v>9</v>
      </c>
      <c r="F6796">
        <v>0.58223706483840942</v>
      </c>
    </row>
    <row r="6797" spans="2:6">
      <c r="B6797">
        <v>2011</v>
      </c>
      <c r="C6797" t="s">
        <v>80</v>
      </c>
      <c r="D6797" t="s">
        <v>182</v>
      </c>
      <c r="E6797" t="s">
        <v>10</v>
      </c>
      <c r="F6797">
        <v>64.139999389648438</v>
      </c>
    </row>
    <row r="6798" spans="2:6">
      <c r="B6798">
        <v>2011</v>
      </c>
      <c r="C6798" t="s">
        <v>80</v>
      </c>
      <c r="D6798" t="s">
        <v>182</v>
      </c>
      <c r="E6798" t="s">
        <v>11</v>
      </c>
      <c r="F6798">
        <v>0.79757368564605713</v>
      </c>
    </row>
    <row r="6799" spans="2:6">
      <c r="B6799">
        <v>2011</v>
      </c>
      <c r="C6799" t="s">
        <v>80</v>
      </c>
      <c r="D6799" t="s">
        <v>182</v>
      </c>
      <c r="E6799" t="s">
        <v>12</v>
      </c>
      <c r="F6799">
        <v>0.20039220154285431</v>
      </c>
    </row>
    <row r="6800" spans="2:6">
      <c r="B6800">
        <v>2011</v>
      </c>
      <c r="C6800" t="s">
        <v>80</v>
      </c>
      <c r="D6800" t="s">
        <v>182</v>
      </c>
      <c r="E6800" t="s">
        <v>13</v>
      </c>
      <c r="F6800">
        <v>0.6645815372467041</v>
      </c>
    </row>
    <row r="6801" spans="2:6">
      <c r="B6801">
        <v>2011</v>
      </c>
      <c r="C6801" t="s">
        <v>80</v>
      </c>
      <c r="D6801" t="s">
        <v>182</v>
      </c>
      <c r="E6801" t="s">
        <v>14</v>
      </c>
      <c r="F6801">
        <v>0.57811367511749268</v>
      </c>
    </row>
    <row r="6802" spans="2:6">
      <c r="B6802">
        <v>2011</v>
      </c>
      <c r="C6802" t="s">
        <v>80</v>
      </c>
      <c r="D6802" t="s">
        <v>182</v>
      </c>
      <c r="E6802" t="s">
        <v>15</v>
      </c>
      <c r="F6802">
        <v>0.35906797647476196</v>
      </c>
    </row>
    <row r="6803" spans="2:6">
      <c r="B6803">
        <v>2012</v>
      </c>
      <c r="C6803" t="s">
        <v>80</v>
      </c>
      <c r="D6803" t="s">
        <v>182</v>
      </c>
      <c r="E6803" t="s">
        <v>7</v>
      </c>
      <c r="F6803">
        <v>4.6089277267456055</v>
      </c>
    </row>
    <row r="6804" spans="2:6">
      <c r="B6804">
        <v>2012</v>
      </c>
      <c r="C6804" t="s">
        <v>80</v>
      </c>
      <c r="D6804" t="s">
        <v>182</v>
      </c>
      <c r="E6804" t="s">
        <v>8</v>
      </c>
      <c r="F6804">
        <v>9.4577779769897461</v>
      </c>
    </row>
    <row r="6805" spans="2:6">
      <c r="B6805">
        <v>2012</v>
      </c>
      <c r="C6805" t="s">
        <v>80</v>
      </c>
      <c r="D6805" t="s">
        <v>182</v>
      </c>
      <c r="E6805" t="s">
        <v>9</v>
      </c>
      <c r="F6805">
        <v>0.59954261779785156</v>
      </c>
    </row>
    <row r="6806" spans="2:6">
      <c r="B6806">
        <v>2012</v>
      </c>
      <c r="C6806" t="s">
        <v>80</v>
      </c>
      <c r="D6806" t="s">
        <v>182</v>
      </c>
      <c r="E6806" t="s">
        <v>10</v>
      </c>
      <c r="F6806">
        <v>64.379997253417969</v>
      </c>
    </row>
    <row r="6807" spans="2:6">
      <c r="B6807">
        <v>2012</v>
      </c>
      <c r="C6807" t="s">
        <v>80</v>
      </c>
      <c r="D6807" t="s">
        <v>182</v>
      </c>
      <c r="E6807" t="s">
        <v>11</v>
      </c>
      <c r="F6807">
        <v>0.76441842317581177</v>
      </c>
    </row>
    <row r="6808" spans="2:6">
      <c r="B6808">
        <v>2012</v>
      </c>
      <c r="C6808" t="s">
        <v>80</v>
      </c>
      <c r="D6808" t="s">
        <v>182</v>
      </c>
      <c r="E6808" t="s">
        <v>13</v>
      </c>
      <c r="F6808">
        <v>0.67770713567733765</v>
      </c>
    </row>
    <row r="6809" spans="2:6">
      <c r="B6809">
        <v>2012</v>
      </c>
      <c r="C6809" t="s">
        <v>80</v>
      </c>
      <c r="D6809" t="s">
        <v>182</v>
      </c>
      <c r="E6809" t="s">
        <v>14</v>
      </c>
      <c r="F6809">
        <v>0.60859793424606323</v>
      </c>
    </row>
    <row r="6810" spans="2:6">
      <c r="B6810">
        <v>2012</v>
      </c>
      <c r="C6810" t="s">
        <v>80</v>
      </c>
      <c r="D6810" t="s">
        <v>182</v>
      </c>
      <c r="E6810" t="s">
        <v>15</v>
      </c>
      <c r="F6810">
        <v>0.52496874332427979</v>
      </c>
    </row>
    <row r="6811" spans="2:6">
      <c r="B6811">
        <v>2013</v>
      </c>
      <c r="C6811" t="s">
        <v>80</v>
      </c>
      <c r="D6811" t="s">
        <v>182</v>
      </c>
      <c r="E6811" t="s">
        <v>7</v>
      </c>
      <c r="F6811">
        <v>5.1395792961120605</v>
      </c>
    </row>
    <row r="6812" spans="2:6">
      <c r="B6812">
        <v>2013</v>
      </c>
      <c r="C6812" t="s">
        <v>80</v>
      </c>
      <c r="D6812" t="s">
        <v>182</v>
      </c>
      <c r="E6812" t="s">
        <v>8</v>
      </c>
      <c r="F6812">
        <v>9.4434413909912109</v>
      </c>
    </row>
    <row r="6813" spans="2:6">
      <c r="B6813">
        <v>2013</v>
      </c>
      <c r="C6813" t="s">
        <v>80</v>
      </c>
      <c r="D6813" t="s">
        <v>182</v>
      </c>
      <c r="E6813" t="s">
        <v>9</v>
      </c>
      <c r="F6813">
        <v>0.66370671987533569</v>
      </c>
    </row>
    <row r="6814" spans="2:6">
      <c r="B6814">
        <v>2013</v>
      </c>
      <c r="C6814" t="s">
        <v>80</v>
      </c>
      <c r="D6814" t="s">
        <v>182</v>
      </c>
      <c r="E6814" t="s">
        <v>10</v>
      </c>
      <c r="F6814">
        <v>64.620002746582031</v>
      </c>
    </row>
    <row r="6815" spans="2:6">
      <c r="B6815">
        <v>2013</v>
      </c>
      <c r="C6815" t="s">
        <v>80</v>
      </c>
      <c r="D6815" t="s">
        <v>182</v>
      </c>
      <c r="E6815" t="s">
        <v>11</v>
      </c>
      <c r="F6815">
        <v>0.73021471500396729</v>
      </c>
    </row>
    <row r="6816" spans="2:6">
      <c r="B6816">
        <v>2013</v>
      </c>
      <c r="C6816" t="s">
        <v>80</v>
      </c>
      <c r="D6816" t="s">
        <v>182</v>
      </c>
      <c r="E6816" t="s">
        <v>12</v>
      </c>
      <c r="F6816">
        <v>0.21555738151073456</v>
      </c>
    </row>
    <row r="6817" spans="2:6">
      <c r="B6817">
        <v>2013</v>
      </c>
      <c r="C6817" t="s">
        <v>80</v>
      </c>
      <c r="D6817" t="s">
        <v>182</v>
      </c>
      <c r="E6817" t="s">
        <v>13</v>
      </c>
      <c r="F6817">
        <v>0.68503814935684204</v>
      </c>
    </row>
    <row r="6818" spans="2:6">
      <c r="B6818">
        <v>2013</v>
      </c>
      <c r="C6818" t="s">
        <v>80</v>
      </c>
      <c r="D6818" t="s">
        <v>182</v>
      </c>
      <c r="E6818" t="s">
        <v>14</v>
      </c>
      <c r="F6818">
        <v>0.65908777713775635</v>
      </c>
    </row>
    <row r="6819" spans="2:6">
      <c r="B6819">
        <v>2013</v>
      </c>
      <c r="C6819" t="s">
        <v>80</v>
      </c>
      <c r="D6819" t="s">
        <v>182</v>
      </c>
      <c r="E6819" t="s">
        <v>15</v>
      </c>
      <c r="F6819">
        <v>0.55183970928192139</v>
      </c>
    </row>
    <row r="6820" spans="2:6">
      <c r="B6820">
        <v>2014</v>
      </c>
      <c r="C6820" t="s">
        <v>80</v>
      </c>
      <c r="D6820" t="s">
        <v>182</v>
      </c>
      <c r="E6820" t="s">
        <v>7</v>
      </c>
      <c r="F6820">
        <v>4.6822242736816406</v>
      </c>
    </row>
    <row r="6821" spans="2:6">
      <c r="B6821">
        <v>2014</v>
      </c>
      <c r="C6821" t="s">
        <v>80</v>
      </c>
      <c r="D6821" t="s">
        <v>182</v>
      </c>
      <c r="E6821" t="s">
        <v>8</v>
      </c>
      <c r="F6821">
        <v>9.4756660461425781</v>
      </c>
    </row>
    <row r="6822" spans="2:6">
      <c r="B6822">
        <v>2014</v>
      </c>
      <c r="C6822" t="s">
        <v>80</v>
      </c>
      <c r="D6822" t="s">
        <v>182</v>
      </c>
      <c r="E6822" t="s">
        <v>9</v>
      </c>
      <c r="F6822">
        <v>0.64406377077102661</v>
      </c>
    </row>
    <row r="6823" spans="2:6">
      <c r="B6823">
        <v>2014</v>
      </c>
      <c r="C6823" t="s">
        <v>80</v>
      </c>
      <c r="D6823" t="s">
        <v>182</v>
      </c>
      <c r="E6823" t="s">
        <v>10</v>
      </c>
      <c r="F6823">
        <v>64.860000610351563</v>
      </c>
    </row>
    <row r="6824" spans="2:6">
      <c r="B6824">
        <v>2014</v>
      </c>
      <c r="C6824" t="s">
        <v>80</v>
      </c>
      <c r="D6824" t="s">
        <v>182</v>
      </c>
      <c r="E6824" t="s">
        <v>11</v>
      </c>
      <c r="F6824">
        <v>0.76682299375534058</v>
      </c>
    </row>
    <row r="6825" spans="2:6">
      <c r="B6825">
        <v>2014</v>
      </c>
      <c r="C6825" t="s">
        <v>80</v>
      </c>
      <c r="D6825" t="s">
        <v>182</v>
      </c>
      <c r="E6825" t="s">
        <v>12</v>
      </c>
      <c r="F6825">
        <v>0.2406778484582901</v>
      </c>
    </row>
    <row r="6826" spans="2:6">
      <c r="B6826">
        <v>2014</v>
      </c>
      <c r="C6826" t="s">
        <v>80</v>
      </c>
      <c r="D6826" t="s">
        <v>182</v>
      </c>
      <c r="E6826" t="s">
        <v>13</v>
      </c>
      <c r="F6826">
        <v>0.63968241214752197</v>
      </c>
    </row>
    <row r="6827" spans="2:6">
      <c r="B6827">
        <v>2014</v>
      </c>
      <c r="C6827" t="s">
        <v>80</v>
      </c>
      <c r="D6827" t="s">
        <v>182</v>
      </c>
      <c r="E6827" t="s">
        <v>14</v>
      </c>
      <c r="F6827">
        <v>0.61834520101547241</v>
      </c>
    </row>
    <row r="6828" spans="2:6">
      <c r="B6828">
        <v>2014</v>
      </c>
      <c r="C6828" t="s">
        <v>80</v>
      </c>
      <c r="D6828" t="s">
        <v>182</v>
      </c>
      <c r="E6828" t="s">
        <v>15</v>
      </c>
      <c r="F6828">
        <v>0.51156908273696899</v>
      </c>
    </row>
    <row r="6829" spans="2:6">
      <c r="B6829">
        <v>2015</v>
      </c>
      <c r="C6829" t="s">
        <v>80</v>
      </c>
      <c r="D6829" t="s">
        <v>182</v>
      </c>
      <c r="E6829" t="s">
        <v>7</v>
      </c>
      <c r="F6829">
        <v>4.7499556541442871</v>
      </c>
    </row>
    <row r="6830" spans="2:6">
      <c r="B6830">
        <v>2015</v>
      </c>
      <c r="C6830" t="s">
        <v>80</v>
      </c>
      <c r="D6830" t="s">
        <v>182</v>
      </c>
      <c r="E6830" t="s">
        <v>8</v>
      </c>
      <c r="F6830">
        <v>9.4492082595825195</v>
      </c>
    </row>
    <row r="6831" spans="2:6">
      <c r="B6831">
        <v>2015</v>
      </c>
      <c r="C6831" t="s">
        <v>80</v>
      </c>
      <c r="D6831" t="s">
        <v>182</v>
      </c>
      <c r="E6831" t="s">
        <v>9</v>
      </c>
      <c r="F6831">
        <v>0.57240688800811768</v>
      </c>
    </row>
    <row r="6832" spans="2:6">
      <c r="B6832">
        <v>2015</v>
      </c>
      <c r="C6832" t="s">
        <v>80</v>
      </c>
      <c r="D6832" t="s">
        <v>182</v>
      </c>
      <c r="E6832" t="s">
        <v>10</v>
      </c>
      <c r="F6832">
        <v>65.099998474121094</v>
      </c>
    </row>
    <row r="6833" spans="2:6">
      <c r="B6833">
        <v>2015</v>
      </c>
      <c r="C6833" t="s">
        <v>80</v>
      </c>
      <c r="D6833" t="s">
        <v>182</v>
      </c>
      <c r="E6833" t="s">
        <v>11</v>
      </c>
      <c r="F6833">
        <v>0.78038322925567627</v>
      </c>
    </row>
    <row r="6834" spans="2:6">
      <c r="B6834">
        <v>2015</v>
      </c>
      <c r="C6834" t="s">
        <v>80</v>
      </c>
      <c r="D6834" t="s">
        <v>182</v>
      </c>
      <c r="E6834" t="s">
        <v>12</v>
      </c>
      <c r="F6834">
        <v>0.17636014521121979</v>
      </c>
    </row>
    <row r="6835" spans="2:6">
      <c r="B6835">
        <v>2015</v>
      </c>
      <c r="C6835" t="s">
        <v>80</v>
      </c>
      <c r="D6835" t="s">
        <v>182</v>
      </c>
      <c r="E6835" t="s">
        <v>13</v>
      </c>
      <c r="F6835">
        <v>0.69895124435424805</v>
      </c>
    </row>
    <row r="6836" spans="2:6">
      <c r="B6836">
        <v>2015</v>
      </c>
      <c r="C6836" t="s">
        <v>80</v>
      </c>
      <c r="D6836" t="s">
        <v>182</v>
      </c>
      <c r="E6836" t="s">
        <v>14</v>
      </c>
      <c r="F6836">
        <v>0.64484876394271851</v>
      </c>
    </row>
    <row r="6837" spans="2:6">
      <c r="B6837">
        <v>2015</v>
      </c>
      <c r="C6837" t="s">
        <v>80</v>
      </c>
      <c r="D6837" t="s">
        <v>182</v>
      </c>
      <c r="E6837" t="s">
        <v>15</v>
      </c>
      <c r="F6837">
        <v>0.51985818147659302</v>
      </c>
    </row>
    <row r="6838" spans="2:6">
      <c r="B6838">
        <v>2016</v>
      </c>
      <c r="C6838" t="s">
        <v>80</v>
      </c>
      <c r="D6838" t="s">
        <v>182</v>
      </c>
      <c r="E6838" t="s">
        <v>7</v>
      </c>
      <c r="F6838">
        <v>4.6527309417724609</v>
      </c>
    </row>
    <row r="6839" spans="2:6">
      <c r="B6839">
        <v>2016</v>
      </c>
      <c r="C6839" t="s">
        <v>80</v>
      </c>
      <c r="D6839" t="s">
        <v>182</v>
      </c>
      <c r="E6839" t="s">
        <v>8</v>
      </c>
      <c r="F6839">
        <v>9.5613641738891602</v>
      </c>
    </row>
    <row r="6840" spans="2:6">
      <c r="B6840">
        <v>2016</v>
      </c>
      <c r="C6840" t="s">
        <v>80</v>
      </c>
      <c r="D6840" t="s">
        <v>182</v>
      </c>
      <c r="E6840" t="s">
        <v>9</v>
      </c>
      <c r="F6840">
        <v>0.56628119945526123</v>
      </c>
    </row>
    <row r="6841" spans="2:6">
      <c r="B6841">
        <v>2016</v>
      </c>
      <c r="C6841" t="s">
        <v>80</v>
      </c>
      <c r="D6841" t="s">
        <v>182</v>
      </c>
      <c r="E6841" t="s">
        <v>10</v>
      </c>
      <c r="F6841">
        <v>65.400001525878906</v>
      </c>
    </row>
    <row r="6842" spans="2:6">
      <c r="B6842">
        <v>2016</v>
      </c>
      <c r="C6842" t="s">
        <v>80</v>
      </c>
      <c r="D6842" t="s">
        <v>182</v>
      </c>
      <c r="E6842" t="s">
        <v>11</v>
      </c>
      <c r="F6842">
        <v>0.77330374717712402</v>
      </c>
    </row>
    <row r="6843" spans="2:6">
      <c r="B6843">
        <v>2016</v>
      </c>
      <c r="C6843" t="s">
        <v>80</v>
      </c>
      <c r="D6843" t="s">
        <v>182</v>
      </c>
      <c r="E6843" t="s">
        <v>12</v>
      </c>
      <c r="F6843">
        <v>0.18561804294586182</v>
      </c>
    </row>
    <row r="6844" spans="2:6">
      <c r="B6844">
        <v>2016</v>
      </c>
      <c r="C6844" t="s">
        <v>80</v>
      </c>
      <c r="D6844" t="s">
        <v>182</v>
      </c>
      <c r="E6844" t="s">
        <v>13</v>
      </c>
      <c r="F6844">
        <v>0.71278262138366699</v>
      </c>
    </row>
    <row r="6845" spans="2:6">
      <c r="B6845">
        <v>2016</v>
      </c>
      <c r="C6845" t="s">
        <v>80</v>
      </c>
      <c r="D6845" t="s">
        <v>182</v>
      </c>
      <c r="E6845" t="s">
        <v>14</v>
      </c>
      <c r="F6845">
        <v>0.68676495552062988</v>
      </c>
    </row>
    <row r="6846" spans="2:6">
      <c r="B6846">
        <v>2016</v>
      </c>
      <c r="C6846" t="s">
        <v>80</v>
      </c>
      <c r="D6846" t="s">
        <v>182</v>
      </c>
      <c r="E6846" t="s">
        <v>15</v>
      </c>
      <c r="F6846">
        <v>0.52587682008743286</v>
      </c>
    </row>
    <row r="6847" spans="2:6">
      <c r="B6847">
        <v>2017</v>
      </c>
      <c r="C6847" t="s">
        <v>80</v>
      </c>
      <c r="D6847" t="s">
        <v>182</v>
      </c>
      <c r="E6847" t="s">
        <v>7</v>
      </c>
      <c r="F6847">
        <v>4.7167830467224121</v>
      </c>
    </row>
    <row r="6848" spans="2:6">
      <c r="B6848">
        <v>2017</v>
      </c>
      <c r="C6848" t="s">
        <v>80</v>
      </c>
      <c r="D6848" t="s">
        <v>182</v>
      </c>
      <c r="E6848" t="s">
        <v>8</v>
      </c>
      <c r="F6848">
        <v>9.5843744277954102</v>
      </c>
    </row>
    <row r="6849" spans="2:6">
      <c r="B6849">
        <v>2017</v>
      </c>
      <c r="C6849" t="s">
        <v>80</v>
      </c>
      <c r="D6849" t="s">
        <v>182</v>
      </c>
      <c r="E6849" t="s">
        <v>9</v>
      </c>
      <c r="F6849">
        <v>0.7142329216003418</v>
      </c>
    </row>
    <row r="6850" spans="2:6">
      <c r="B6850">
        <v>2017</v>
      </c>
      <c r="C6850" t="s">
        <v>80</v>
      </c>
      <c r="D6850" t="s">
        <v>182</v>
      </c>
      <c r="E6850" t="s">
        <v>10</v>
      </c>
      <c r="F6850">
        <v>65.699996948242188</v>
      </c>
    </row>
    <row r="6851" spans="2:6">
      <c r="B6851">
        <v>2017</v>
      </c>
      <c r="C6851" t="s">
        <v>80</v>
      </c>
      <c r="D6851" t="s">
        <v>182</v>
      </c>
      <c r="E6851" t="s">
        <v>11</v>
      </c>
      <c r="F6851">
        <v>0.73063516616821289</v>
      </c>
    </row>
    <row r="6852" spans="2:6">
      <c r="B6852">
        <v>2017</v>
      </c>
      <c r="C6852" t="s">
        <v>80</v>
      </c>
      <c r="D6852" t="s">
        <v>182</v>
      </c>
      <c r="E6852" t="s">
        <v>12</v>
      </c>
      <c r="F6852">
        <v>0.21847681701183319</v>
      </c>
    </row>
    <row r="6853" spans="2:6">
      <c r="B6853">
        <v>2017</v>
      </c>
      <c r="C6853" t="s">
        <v>80</v>
      </c>
      <c r="D6853" t="s">
        <v>182</v>
      </c>
      <c r="E6853" t="s">
        <v>13</v>
      </c>
      <c r="F6853">
        <v>0.71494132280349731</v>
      </c>
    </row>
    <row r="6854" spans="2:6">
      <c r="B6854">
        <v>2017</v>
      </c>
      <c r="C6854" t="s">
        <v>80</v>
      </c>
      <c r="D6854" t="s">
        <v>182</v>
      </c>
      <c r="E6854" t="s">
        <v>14</v>
      </c>
      <c r="F6854">
        <v>0.69366604089736938</v>
      </c>
    </row>
    <row r="6855" spans="2:6">
      <c r="B6855">
        <v>2017</v>
      </c>
      <c r="C6855" t="s">
        <v>80</v>
      </c>
      <c r="D6855" t="s">
        <v>182</v>
      </c>
      <c r="E6855" t="s">
        <v>15</v>
      </c>
      <c r="F6855">
        <v>0.43853390216827393</v>
      </c>
    </row>
    <row r="6856" spans="2:6">
      <c r="B6856">
        <v>2018</v>
      </c>
      <c r="C6856" t="s">
        <v>80</v>
      </c>
      <c r="D6856" t="s">
        <v>182</v>
      </c>
      <c r="E6856" t="s">
        <v>7</v>
      </c>
      <c r="F6856">
        <v>4.2781176567077637</v>
      </c>
    </row>
    <row r="6857" spans="2:6">
      <c r="B6857">
        <v>2018</v>
      </c>
      <c r="C6857" t="s">
        <v>80</v>
      </c>
      <c r="D6857" t="s">
        <v>182</v>
      </c>
      <c r="E6857" t="s">
        <v>9</v>
      </c>
      <c r="F6857">
        <v>0.67376470565795898</v>
      </c>
    </row>
    <row r="6858" spans="2:6">
      <c r="B6858">
        <v>2018</v>
      </c>
      <c r="C6858" t="s">
        <v>80</v>
      </c>
      <c r="D6858" t="s">
        <v>182</v>
      </c>
      <c r="E6858" t="s">
        <v>10</v>
      </c>
      <c r="F6858">
        <v>66</v>
      </c>
    </row>
    <row r="6859" spans="2:6">
      <c r="B6859">
        <v>2018</v>
      </c>
      <c r="C6859" t="s">
        <v>80</v>
      </c>
      <c r="D6859" t="s">
        <v>182</v>
      </c>
      <c r="E6859" t="s">
        <v>11</v>
      </c>
      <c r="F6859">
        <v>0.60331988334655762</v>
      </c>
    </row>
    <row r="6860" spans="2:6">
      <c r="B6860">
        <v>2018</v>
      </c>
      <c r="C6860" t="s">
        <v>80</v>
      </c>
      <c r="D6860" t="s">
        <v>182</v>
      </c>
      <c r="E6860" t="s">
        <v>13</v>
      </c>
      <c r="F6860">
        <v>0.70343977212905884</v>
      </c>
    </row>
    <row r="6861" spans="2:6">
      <c r="B6861">
        <v>2018</v>
      </c>
      <c r="C6861" t="s">
        <v>80</v>
      </c>
      <c r="D6861" t="s">
        <v>182</v>
      </c>
      <c r="E6861" t="s">
        <v>14</v>
      </c>
      <c r="F6861">
        <v>0.55319660902023315</v>
      </c>
    </row>
    <row r="6862" spans="2:6">
      <c r="B6862">
        <v>2018</v>
      </c>
      <c r="C6862" t="s">
        <v>80</v>
      </c>
      <c r="D6862" t="s">
        <v>182</v>
      </c>
      <c r="E6862" t="s">
        <v>15</v>
      </c>
      <c r="F6862">
        <v>0.49314889311790466</v>
      </c>
    </row>
    <row r="6863" spans="2:6">
      <c r="B6863">
        <v>2019</v>
      </c>
      <c r="C6863" t="s">
        <v>80</v>
      </c>
      <c r="D6863" t="s">
        <v>182</v>
      </c>
      <c r="E6863" t="s">
        <v>7</v>
      </c>
      <c r="F6863">
        <v>5.0061459541320801</v>
      </c>
    </row>
    <row r="6864" spans="2:6">
      <c r="B6864">
        <v>2019</v>
      </c>
      <c r="C6864" t="s">
        <v>80</v>
      </c>
      <c r="D6864" t="s">
        <v>182</v>
      </c>
      <c r="E6864" t="s">
        <v>9</v>
      </c>
      <c r="F6864">
        <v>0.69829314947128296</v>
      </c>
    </row>
    <row r="6865" spans="2:6">
      <c r="B6865">
        <v>2019</v>
      </c>
      <c r="C6865" t="s">
        <v>80</v>
      </c>
      <c r="D6865" t="s">
        <v>182</v>
      </c>
      <c r="E6865" t="s">
        <v>10</v>
      </c>
      <c r="F6865">
        <v>66.300003051757813</v>
      </c>
    </row>
    <row r="6866" spans="2:6">
      <c r="B6866">
        <v>2019</v>
      </c>
      <c r="C6866" t="s">
        <v>80</v>
      </c>
      <c r="D6866" t="s">
        <v>182</v>
      </c>
      <c r="E6866" t="s">
        <v>11</v>
      </c>
      <c r="F6866">
        <v>0.62328207492828369</v>
      </c>
    </row>
    <row r="6867" spans="2:6">
      <c r="B6867">
        <v>2019</v>
      </c>
      <c r="C6867" t="s">
        <v>80</v>
      </c>
      <c r="D6867" t="s">
        <v>182</v>
      </c>
      <c r="E6867" t="s">
        <v>13</v>
      </c>
      <c r="F6867">
        <v>0.72830653190612793</v>
      </c>
    </row>
    <row r="6868" spans="2:6">
      <c r="B6868">
        <v>2019</v>
      </c>
      <c r="C6868" t="s">
        <v>80</v>
      </c>
      <c r="D6868" t="s">
        <v>182</v>
      </c>
      <c r="E6868" t="s">
        <v>14</v>
      </c>
      <c r="F6868">
        <v>0.60048568248748779</v>
      </c>
    </row>
    <row r="6869" spans="2:6">
      <c r="B6869">
        <v>2019</v>
      </c>
      <c r="C6869" t="s">
        <v>80</v>
      </c>
      <c r="D6869" t="s">
        <v>182</v>
      </c>
      <c r="E6869" t="s">
        <v>15</v>
      </c>
      <c r="F6869">
        <v>0.44852566719055176</v>
      </c>
    </row>
    <row r="6870" spans="2:6">
      <c r="B6870">
        <v>2020</v>
      </c>
      <c r="C6870" t="s">
        <v>80</v>
      </c>
      <c r="D6870" t="s">
        <v>182</v>
      </c>
      <c r="E6870" t="s">
        <v>7</v>
      </c>
      <c r="F6870">
        <v>4.8645281791687012</v>
      </c>
    </row>
    <row r="6871" spans="2:6">
      <c r="B6871">
        <v>2020</v>
      </c>
      <c r="C6871" t="s">
        <v>80</v>
      </c>
      <c r="D6871" t="s">
        <v>182</v>
      </c>
      <c r="E6871" t="s">
        <v>9</v>
      </c>
      <c r="F6871">
        <v>0.75721865892410278</v>
      </c>
    </row>
    <row r="6872" spans="2:6">
      <c r="B6872">
        <v>2020</v>
      </c>
      <c r="C6872" t="s">
        <v>80</v>
      </c>
      <c r="D6872" t="s">
        <v>182</v>
      </c>
      <c r="E6872" t="s">
        <v>10</v>
      </c>
      <c r="F6872">
        <v>66.599998474121094</v>
      </c>
    </row>
    <row r="6873" spans="2:6">
      <c r="B6873">
        <v>2020</v>
      </c>
      <c r="C6873" t="s">
        <v>80</v>
      </c>
      <c r="D6873" t="s">
        <v>182</v>
      </c>
      <c r="E6873" t="s">
        <v>11</v>
      </c>
      <c r="F6873">
        <v>0.59959447383880615</v>
      </c>
    </row>
    <row r="6874" spans="2:6">
      <c r="B6874">
        <v>2020</v>
      </c>
      <c r="C6874" t="s">
        <v>80</v>
      </c>
      <c r="D6874" t="s">
        <v>182</v>
      </c>
      <c r="E6874" t="s">
        <v>13</v>
      </c>
      <c r="F6874">
        <v>0.70990169048309326</v>
      </c>
    </row>
    <row r="6875" spans="2:6">
      <c r="B6875">
        <v>2020</v>
      </c>
      <c r="C6875" t="s">
        <v>80</v>
      </c>
      <c r="D6875" t="s">
        <v>182</v>
      </c>
      <c r="E6875" t="s">
        <v>14</v>
      </c>
      <c r="F6875">
        <v>0.58242052793502808</v>
      </c>
    </row>
    <row r="6876" spans="2:6">
      <c r="B6876">
        <v>2020</v>
      </c>
      <c r="C6876" t="s">
        <v>80</v>
      </c>
      <c r="D6876" t="s">
        <v>182</v>
      </c>
      <c r="E6876" t="s">
        <v>15</v>
      </c>
      <c r="F6876">
        <v>0.47024500370025635</v>
      </c>
    </row>
    <row r="6877" spans="2:6">
      <c r="B6877">
        <v>2008</v>
      </c>
      <c r="C6877" t="s">
        <v>81</v>
      </c>
      <c r="D6877" t="s">
        <v>182</v>
      </c>
      <c r="E6877" t="s">
        <v>7</v>
      </c>
      <c r="F6877">
        <v>4.5898447036743164</v>
      </c>
    </row>
    <row r="6878" spans="2:6">
      <c r="B6878">
        <v>2008</v>
      </c>
      <c r="C6878" t="s">
        <v>81</v>
      </c>
      <c r="D6878" t="s">
        <v>182</v>
      </c>
      <c r="E6878" t="s">
        <v>8</v>
      </c>
      <c r="F6878">
        <v>9.0633964538574219</v>
      </c>
    </row>
    <row r="6879" spans="2:6">
      <c r="B6879">
        <v>2008</v>
      </c>
      <c r="C6879" t="s">
        <v>81</v>
      </c>
      <c r="D6879" t="s">
        <v>182</v>
      </c>
      <c r="E6879" t="s">
        <v>9</v>
      </c>
      <c r="F6879">
        <v>0.74436628818511963</v>
      </c>
    </row>
    <row r="6880" spans="2:6">
      <c r="B6880">
        <v>2008</v>
      </c>
      <c r="C6880" t="s">
        <v>81</v>
      </c>
      <c r="D6880" t="s">
        <v>182</v>
      </c>
      <c r="E6880" t="s">
        <v>10</v>
      </c>
      <c r="F6880">
        <v>58.319999694824219</v>
      </c>
    </row>
    <row r="6881" spans="2:6">
      <c r="B6881">
        <v>2008</v>
      </c>
      <c r="C6881" t="s">
        <v>81</v>
      </c>
      <c r="D6881" t="s">
        <v>182</v>
      </c>
      <c r="E6881" t="s">
        <v>11</v>
      </c>
      <c r="F6881">
        <v>0.38576936721801758</v>
      </c>
    </row>
    <row r="6882" spans="2:6">
      <c r="B6882">
        <v>2008</v>
      </c>
      <c r="C6882" t="s">
        <v>81</v>
      </c>
      <c r="D6882" t="s">
        <v>182</v>
      </c>
      <c r="E6882" t="s">
        <v>12</v>
      </c>
      <c r="F6882">
        <v>-6.1305087059736252E-2</v>
      </c>
    </row>
    <row r="6883" spans="2:6">
      <c r="B6883">
        <v>2008</v>
      </c>
      <c r="C6883" t="s">
        <v>81</v>
      </c>
      <c r="D6883" t="s">
        <v>182</v>
      </c>
      <c r="E6883" t="s">
        <v>13</v>
      </c>
      <c r="F6883">
        <v>0.90988165140151978</v>
      </c>
    </row>
    <row r="6884" spans="2:6">
      <c r="B6884">
        <v>2008</v>
      </c>
      <c r="C6884" t="s">
        <v>81</v>
      </c>
      <c r="D6884" t="s">
        <v>182</v>
      </c>
      <c r="E6884" t="s">
        <v>14</v>
      </c>
      <c r="F6884">
        <v>0.52500224113464355</v>
      </c>
    </row>
    <row r="6885" spans="2:6">
      <c r="B6885">
        <v>2008</v>
      </c>
      <c r="C6885" t="s">
        <v>81</v>
      </c>
      <c r="D6885" t="s">
        <v>182</v>
      </c>
      <c r="E6885" t="s">
        <v>15</v>
      </c>
      <c r="F6885">
        <v>0.44816878437995911</v>
      </c>
    </row>
    <row r="6886" spans="2:6">
      <c r="B6886">
        <v>2009</v>
      </c>
      <c r="C6886" t="s">
        <v>81</v>
      </c>
      <c r="D6886" t="s">
        <v>182</v>
      </c>
      <c r="E6886" t="s">
        <v>7</v>
      </c>
      <c r="F6886">
        <v>4.7753167152404785</v>
      </c>
    </row>
    <row r="6887" spans="2:6">
      <c r="B6887">
        <v>2009</v>
      </c>
      <c r="C6887" t="s">
        <v>81</v>
      </c>
      <c r="D6887" t="s">
        <v>182</v>
      </c>
      <c r="E6887" t="s">
        <v>8</v>
      </c>
      <c r="F6887">
        <v>9.0761480331420898</v>
      </c>
    </row>
    <row r="6888" spans="2:6">
      <c r="B6888">
        <v>2009</v>
      </c>
      <c r="C6888" t="s">
        <v>81</v>
      </c>
      <c r="D6888" t="s">
        <v>182</v>
      </c>
      <c r="E6888" t="s">
        <v>9</v>
      </c>
      <c r="F6888">
        <v>0.86174613237380981</v>
      </c>
    </row>
    <row r="6889" spans="2:6">
      <c r="B6889">
        <v>2009</v>
      </c>
      <c r="C6889" t="s">
        <v>81</v>
      </c>
      <c r="D6889" t="s">
        <v>182</v>
      </c>
      <c r="E6889" t="s">
        <v>10</v>
      </c>
      <c r="F6889">
        <v>58.959999084472656</v>
      </c>
    </row>
    <row r="6890" spans="2:6">
      <c r="B6890">
        <v>2009</v>
      </c>
      <c r="C6890" t="s">
        <v>81</v>
      </c>
      <c r="D6890" t="s">
        <v>182</v>
      </c>
      <c r="E6890" t="s">
        <v>11</v>
      </c>
      <c r="F6890">
        <v>0.43146762251853943</v>
      </c>
    </row>
    <row r="6891" spans="2:6">
      <c r="B6891">
        <v>2009</v>
      </c>
      <c r="C6891" t="s">
        <v>81</v>
      </c>
      <c r="D6891" t="s">
        <v>182</v>
      </c>
      <c r="E6891" t="s">
        <v>12</v>
      </c>
      <c r="F6891">
        <v>-0.19941368699073792</v>
      </c>
    </row>
    <row r="6892" spans="2:6">
      <c r="B6892">
        <v>2009</v>
      </c>
      <c r="C6892" t="s">
        <v>81</v>
      </c>
      <c r="D6892" t="s">
        <v>182</v>
      </c>
      <c r="E6892" t="s">
        <v>13</v>
      </c>
      <c r="F6892">
        <v>0.85434025526046753</v>
      </c>
    </row>
    <row r="6893" spans="2:6">
      <c r="B6893">
        <v>2009</v>
      </c>
      <c r="C6893" t="s">
        <v>81</v>
      </c>
      <c r="D6893" t="s">
        <v>182</v>
      </c>
      <c r="E6893" t="s">
        <v>14</v>
      </c>
      <c r="F6893">
        <v>0.52280604839324951</v>
      </c>
    </row>
    <row r="6894" spans="2:6">
      <c r="B6894">
        <v>2009</v>
      </c>
      <c r="C6894" t="s">
        <v>81</v>
      </c>
      <c r="D6894" t="s">
        <v>182</v>
      </c>
      <c r="E6894" t="s">
        <v>15</v>
      </c>
      <c r="F6894">
        <v>0.40381982922554016</v>
      </c>
    </row>
    <row r="6895" spans="2:6">
      <c r="B6895">
        <v>2010</v>
      </c>
      <c r="C6895" t="s">
        <v>81</v>
      </c>
      <c r="D6895" t="s">
        <v>182</v>
      </c>
      <c r="E6895" t="s">
        <v>7</v>
      </c>
      <c r="F6895">
        <v>5.0654621124267578</v>
      </c>
    </row>
    <row r="6896" spans="2:6">
      <c r="B6896">
        <v>2010</v>
      </c>
      <c r="C6896" t="s">
        <v>81</v>
      </c>
      <c r="D6896" t="s">
        <v>182</v>
      </c>
      <c r="E6896" t="s">
        <v>8</v>
      </c>
      <c r="F6896">
        <v>9.1120185852050781</v>
      </c>
    </row>
    <row r="6897" spans="2:6">
      <c r="B6897">
        <v>2010</v>
      </c>
      <c r="C6897" t="s">
        <v>81</v>
      </c>
      <c r="D6897" t="s">
        <v>182</v>
      </c>
      <c r="E6897" t="s">
        <v>9</v>
      </c>
      <c r="F6897">
        <v>0.85411781072616577</v>
      </c>
    </row>
    <row r="6898" spans="2:6">
      <c r="B6898">
        <v>2010</v>
      </c>
      <c r="C6898" t="s">
        <v>81</v>
      </c>
      <c r="D6898" t="s">
        <v>182</v>
      </c>
      <c r="E6898" t="s">
        <v>10</v>
      </c>
      <c r="F6898">
        <v>59.599998474121094</v>
      </c>
    </row>
    <row r="6899" spans="2:6">
      <c r="B6899">
        <v>2010</v>
      </c>
      <c r="C6899" t="s">
        <v>81</v>
      </c>
      <c r="D6899" t="s">
        <v>182</v>
      </c>
      <c r="E6899" t="s">
        <v>11</v>
      </c>
      <c r="F6899">
        <v>0.41906410455703735</v>
      </c>
    </row>
    <row r="6900" spans="2:6">
      <c r="B6900">
        <v>2010</v>
      </c>
      <c r="C6900" t="s">
        <v>81</v>
      </c>
      <c r="D6900" t="s">
        <v>182</v>
      </c>
      <c r="E6900" t="s">
        <v>12</v>
      </c>
      <c r="F6900">
        <v>-0.12462075054645538</v>
      </c>
    </row>
    <row r="6901" spans="2:6">
      <c r="B6901">
        <v>2010</v>
      </c>
      <c r="C6901" t="s">
        <v>81</v>
      </c>
      <c r="D6901" t="s">
        <v>182</v>
      </c>
      <c r="E6901" t="s">
        <v>13</v>
      </c>
      <c r="F6901">
        <v>0.85873466730117798</v>
      </c>
    </row>
    <row r="6902" spans="2:6">
      <c r="B6902">
        <v>2010</v>
      </c>
      <c r="C6902" t="s">
        <v>81</v>
      </c>
      <c r="D6902" t="s">
        <v>182</v>
      </c>
      <c r="E6902" t="s">
        <v>14</v>
      </c>
      <c r="F6902">
        <v>0.54177510738372803</v>
      </c>
    </row>
    <row r="6903" spans="2:6">
      <c r="B6903">
        <v>2010</v>
      </c>
      <c r="C6903" t="s">
        <v>81</v>
      </c>
      <c r="D6903" t="s">
        <v>182</v>
      </c>
      <c r="E6903" t="s">
        <v>15</v>
      </c>
      <c r="F6903">
        <v>0.43093439936637878</v>
      </c>
    </row>
    <row r="6904" spans="2:6">
      <c r="B6904">
        <v>2011</v>
      </c>
      <c r="C6904" t="s">
        <v>81</v>
      </c>
      <c r="D6904" t="s">
        <v>182</v>
      </c>
      <c r="E6904" t="s">
        <v>7</v>
      </c>
      <c r="F6904">
        <v>4.7253661155700684</v>
      </c>
    </row>
    <row r="6905" spans="2:6">
      <c r="B6905">
        <v>2011</v>
      </c>
      <c r="C6905" t="s">
        <v>81</v>
      </c>
      <c r="D6905" t="s">
        <v>182</v>
      </c>
      <c r="E6905" t="s">
        <v>8</v>
      </c>
      <c r="F6905">
        <v>9.1522436141967773</v>
      </c>
    </row>
    <row r="6906" spans="2:6">
      <c r="B6906">
        <v>2011</v>
      </c>
      <c r="C6906" t="s">
        <v>81</v>
      </c>
      <c r="D6906" t="s">
        <v>182</v>
      </c>
      <c r="E6906" t="s">
        <v>9</v>
      </c>
      <c r="F6906">
        <v>0.75074863433837891</v>
      </c>
    </row>
    <row r="6907" spans="2:6">
      <c r="B6907">
        <v>2011</v>
      </c>
      <c r="C6907" t="s">
        <v>81</v>
      </c>
      <c r="D6907" t="s">
        <v>182</v>
      </c>
      <c r="E6907" t="s">
        <v>10</v>
      </c>
      <c r="F6907">
        <v>59.360000610351563</v>
      </c>
    </row>
    <row r="6908" spans="2:6">
      <c r="B6908">
        <v>2011</v>
      </c>
      <c r="C6908" t="s">
        <v>81</v>
      </c>
      <c r="D6908" t="s">
        <v>182</v>
      </c>
      <c r="E6908" t="s">
        <v>11</v>
      </c>
      <c r="F6908">
        <v>0.3474140465259552</v>
      </c>
    </row>
    <row r="6909" spans="2:6">
      <c r="B6909">
        <v>2011</v>
      </c>
      <c r="C6909" t="s">
        <v>81</v>
      </c>
      <c r="D6909" t="s">
        <v>182</v>
      </c>
      <c r="E6909" t="s">
        <v>12</v>
      </c>
      <c r="F6909">
        <v>-6.9557853043079376E-2</v>
      </c>
    </row>
    <row r="6910" spans="2:6">
      <c r="B6910">
        <v>2011</v>
      </c>
      <c r="C6910" t="s">
        <v>81</v>
      </c>
      <c r="D6910" t="s">
        <v>182</v>
      </c>
      <c r="E6910" t="s">
        <v>13</v>
      </c>
      <c r="F6910">
        <v>0.78002721071243286</v>
      </c>
    </row>
    <row r="6911" spans="2:6">
      <c r="B6911">
        <v>2011</v>
      </c>
      <c r="C6911" t="s">
        <v>81</v>
      </c>
      <c r="D6911" t="s">
        <v>182</v>
      </c>
      <c r="E6911" t="s">
        <v>14</v>
      </c>
      <c r="F6911">
        <v>0.48761853575706482</v>
      </c>
    </row>
    <row r="6912" spans="2:6">
      <c r="B6912">
        <v>2011</v>
      </c>
      <c r="C6912" t="s">
        <v>81</v>
      </c>
      <c r="D6912" t="s">
        <v>182</v>
      </c>
      <c r="E6912" t="s">
        <v>15</v>
      </c>
      <c r="F6912">
        <v>0.55709868669509888</v>
      </c>
    </row>
    <row r="6913" spans="2:6">
      <c r="B6913">
        <v>2012</v>
      </c>
      <c r="C6913" t="s">
        <v>81</v>
      </c>
      <c r="D6913" t="s">
        <v>182</v>
      </c>
      <c r="E6913" t="s">
        <v>7</v>
      </c>
      <c r="F6913">
        <v>4.6595087051391602</v>
      </c>
    </row>
    <row r="6914" spans="2:6">
      <c r="B6914">
        <v>2012</v>
      </c>
      <c r="C6914" t="s">
        <v>81</v>
      </c>
      <c r="D6914" t="s">
        <v>182</v>
      </c>
      <c r="E6914" t="s">
        <v>8</v>
      </c>
      <c r="F6914">
        <v>9.2455081939697266</v>
      </c>
    </row>
    <row r="6915" spans="2:6">
      <c r="B6915">
        <v>2012</v>
      </c>
      <c r="C6915" t="s">
        <v>81</v>
      </c>
      <c r="D6915" t="s">
        <v>182</v>
      </c>
      <c r="E6915" t="s">
        <v>9</v>
      </c>
      <c r="F6915">
        <v>0.73011821508407593</v>
      </c>
    </row>
    <row r="6916" spans="2:6">
      <c r="B6916">
        <v>2012</v>
      </c>
      <c r="C6916" t="s">
        <v>81</v>
      </c>
      <c r="D6916" t="s">
        <v>182</v>
      </c>
      <c r="E6916" t="s">
        <v>10</v>
      </c>
      <c r="F6916">
        <v>59.119998931884766</v>
      </c>
    </row>
    <row r="6917" spans="2:6">
      <c r="B6917">
        <v>2012</v>
      </c>
      <c r="C6917" t="s">
        <v>81</v>
      </c>
      <c r="D6917" t="s">
        <v>182</v>
      </c>
      <c r="E6917" t="s">
        <v>11</v>
      </c>
      <c r="F6917">
        <v>0.31456461548805237</v>
      </c>
    </row>
    <row r="6918" spans="2:6">
      <c r="B6918">
        <v>2012</v>
      </c>
      <c r="C6918" t="s">
        <v>81</v>
      </c>
      <c r="D6918" t="s">
        <v>182</v>
      </c>
      <c r="E6918" t="s">
        <v>12</v>
      </c>
      <c r="F6918">
        <v>-2.0206993445754051E-2</v>
      </c>
    </row>
    <row r="6919" spans="2:6">
      <c r="B6919">
        <v>2012</v>
      </c>
      <c r="C6919" t="s">
        <v>81</v>
      </c>
      <c r="D6919" t="s">
        <v>182</v>
      </c>
      <c r="E6919" t="s">
        <v>13</v>
      </c>
      <c r="F6919">
        <v>0.78919064998626709</v>
      </c>
    </row>
    <row r="6920" spans="2:6">
      <c r="B6920">
        <v>2012</v>
      </c>
      <c r="C6920" t="s">
        <v>81</v>
      </c>
      <c r="D6920" t="s">
        <v>182</v>
      </c>
      <c r="E6920" t="s">
        <v>14</v>
      </c>
      <c r="F6920">
        <v>0.42292764782905579</v>
      </c>
    </row>
    <row r="6921" spans="2:6">
      <c r="B6921">
        <v>2012</v>
      </c>
      <c r="C6921" t="s">
        <v>81</v>
      </c>
      <c r="D6921" t="s">
        <v>182</v>
      </c>
      <c r="E6921" t="s">
        <v>15</v>
      </c>
      <c r="F6921">
        <v>0.4490588903427124</v>
      </c>
    </row>
    <row r="6922" spans="2:6">
      <c r="B6922">
        <v>2013</v>
      </c>
      <c r="C6922" t="s">
        <v>81</v>
      </c>
      <c r="D6922" t="s">
        <v>182</v>
      </c>
      <c r="E6922" t="s">
        <v>7</v>
      </c>
      <c r="F6922">
        <v>4.7250170707702637</v>
      </c>
    </row>
    <row r="6923" spans="2:6">
      <c r="B6923">
        <v>2013</v>
      </c>
      <c r="C6923" t="s">
        <v>81</v>
      </c>
      <c r="D6923" t="s">
        <v>182</v>
      </c>
      <c r="E6923" t="s">
        <v>8</v>
      </c>
      <c r="F6923">
        <v>9.2797956466674805</v>
      </c>
    </row>
    <row r="6924" spans="2:6">
      <c r="B6924">
        <v>2013</v>
      </c>
      <c r="C6924" t="s">
        <v>81</v>
      </c>
      <c r="D6924" t="s">
        <v>182</v>
      </c>
      <c r="E6924" t="s">
        <v>9</v>
      </c>
      <c r="F6924">
        <v>0.72828543186187744</v>
      </c>
    </row>
    <row r="6925" spans="2:6">
      <c r="B6925">
        <v>2013</v>
      </c>
      <c r="C6925" t="s">
        <v>81</v>
      </c>
      <c r="D6925" t="s">
        <v>182</v>
      </c>
      <c r="E6925" t="s">
        <v>10</v>
      </c>
      <c r="F6925">
        <v>58.880001068115234</v>
      </c>
    </row>
    <row r="6926" spans="2:6">
      <c r="B6926">
        <v>2013</v>
      </c>
      <c r="C6926" t="s">
        <v>81</v>
      </c>
      <c r="D6926" t="s">
        <v>182</v>
      </c>
      <c r="E6926" t="s">
        <v>12</v>
      </c>
      <c r="F6926">
        <v>-4.9836426973342896E-2</v>
      </c>
    </row>
    <row r="6927" spans="2:6">
      <c r="B6927">
        <v>2013</v>
      </c>
      <c r="C6927" t="s">
        <v>81</v>
      </c>
      <c r="D6927" t="s">
        <v>182</v>
      </c>
      <c r="E6927" t="s">
        <v>13</v>
      </c>
      <c r="F6927">
        <v>0.70972615480422974</v>
      </c>
    </row>
    <row r="6928" spans="2:6">
      <c r="B6928">
        <v>2013</v>
      </c>
      <c r="C6928" t="s">
        <v>81</v>
      </c>
      <c r="D6928" t="s">
        <v>182</v>
      </c>
      <c r="E6928" t="s">
        <v>15</v>
      </c>
      <c r="F6928">
        <v>0.55427873134613037</v>
      </c>
    </row>
    <row r="6929" spans="2:6">
      <c r="B6929">
        <v>2014</v>
      </c>
      <c r="C6929" t="s">
        <v>81</v>
      </c>
      <c r="D6929" t="s">
        <v>182</v>
      </c>
      <c r="E6929" t="s">
        <v>7</v>
      </c>
      <c r="F6929">
        <v>4.5415024757385254</v>
      </c>
    </row>
    <row r="6930" spans="2:6">
      <c r="B6930">
        <v>2014</v>
      </c>
      <c r="C6930" t="s">
        <v>81</v>
      </c>
      <c r="D6930" t="s">
        <v>182</v>
      </c>
      <c r="E6930" t="s">
        <v>8</v>
      </c>
      <c r="F6930">
        <v>9.2496232986450195</v>
      </c>
    </row>
    <row r="6931" spans="2:6">
      <c r="B6931">
        <v>2014</v>
      </c>
      <c r="C6931" t="s">
        <v>81</v>
      </c>
      <c r="D6931" t="s">
        <v>182</v>
      </c>
      <c r="E6931" t="s">
        <v>9</v>
      </c>
      <c r="F6931">
        <v>0.7251507043838501</v>
      </c>
    </row>
    <row r="6932" spans="2:6">
      <c r="B6932">
        <v>2014</v>
      </c>
      <c r="C6932" t="s">
        <v>81</v>
      </c>
      <c r="D6932" t="s">
        <v>182</v>
      </c>
      <c r="E6932" t="s">
        <v>10</v>
      </c>
      <c r="F6932">
        <v>58.639999389648438</v>
      </c>
    </row>
    <row r="6933" spans="2:6">
      <c r="B6933">
        <v>2014</v>
      </c>
      <c r="C6933" t="s">
        <v>81</v>
      </c>
      <c r="D6933" t="s">
        <v>182</v>
      </c>
      <c r="E6933" t="s">
        <v>11</v>
      </c>
      <c r="F6933">
        <v>0.64600658416748047</v>
      </c>
    </row>
    <row r="6934" spans="2:6">
      <c r="B6934">
        <v>2014</v>
      </c>
      <c r="C6934" t="s">
        <v>81</v>
      </c>
      <c r="D6934" t="s">
        <v>182</v>
      </c>
      <c r="E6934" t="s">
        <v>12</v>
      </c>
      <c r="F6934">
        <v>-1.0216975351795554E-3</v>
      </c>
    </row>
    <row r="6935" spans="2:6">
      <c r="B6935">
        <v>2014</v>
      </c>
      <c r="C6935" t="s">
        <v>81</v>
      </c>
      <c r="D6935" t="s">
        <v>182</v>
      </c>
      <c r="E6935" t="s">
        <v>13</v>
      </c>
      <c r="F6935">
        <v>0.72600811719894409</v>
      </c>
    </row>
    <row r="6936" spans="2:6">
      <c r="B6936">
        <v>2014</v>
      </c>
      <c r="C6936" t="s">
        <v>81</v>
      </c>
      <c r="D6936" t="s">
        <v>182</v>
      </c>
      <c r="E6936" t="s">
        <v>14</v>
      </c>
      <c r="F6936">
        <v>0.57367110252380371</v>
      </c>
    </row>
    <row r="6937" spans="2:6">
      <c r="B6937">
        <v>2014</v>
      </c>
      <c r="C6937" t="s">
        <v>81</v>
      </c>
      <c r="D6937" t="s">
        <v>182</v>
      </c>
      <c r="E6937" t="s">
        <v>15</v>
      </c>
      <c r="F6937">
        <v>0.56363111734390259</v>
      </c>
    </row>
    <row r="6938" spans="2:6">
      <c r="B6938">
        <v>2015</v>
      </c>
      <c r="C6938" t="s">
        <v>81</v>
      </c>
      <c r="D6938" t="s">
        <v>182</v>
      </c>
      <c r="E6938" t="s">
        <v>7</v>
      </c>
      <c r="F6938">
        <v>4.4933772087097168</v>
      </c>
    </row>
    <row r="6939" spans="2:6">
      <c r="B6939">
        <v>2015</v>
      </c>
      <c r="C6939" t="s">
        <v>81</v>
      </c>
      <c r="D6939" t="s">
        <v>182</v>
      </c>
      <c r="E6939" t="s">
        <v>8</v>
      </c>
      <c r="F6939">
        <v>9.2409353256225586</v>
      </c>
    </row>
    <row r="6940" spans="2:6">
      <c r="B6940">
        <v>2015</v>
      </c>
      <c r="C6940" t="s">
        <v>81</v>
      </c>
      <c r="D6940" t="s">
        <v>182</v>
      </c>
      <c r="E6940" t="s">
        <v>9</v>
      </c>
      <c r="F6940">
        <v>0.68443483114242554</v>
      </c>
    </row>
    <row r="6941" spans="2:6">
      <c r="B6941">
        <v>2015</v>
      </c>
      <c r="C6941" t="s">
        <v>81</v>
      </c>
      <c r="D6941" t="s">
        <v>182</v>
      </c>
      <c r="E6941" t="s">
        <v>10</v>
      </c>
      <c r="F6941">
        <v>58.400001525878906</v>
      </c>
    </row>
    <row r="6942" spans="2:6">
      <c r="B6942">
        <v>2015</v>
      </c>
      <c r="C6942" t="s">
        <v>81</v>
      </c>
      <c r="D6942" t="s">
        <v>182</v>
      </c>
      <c r="E6942" t="s">
        <v>11</v>
      </c>
      <c r="F6942">
        <v>0.5994599461555481</v>
      </c>
    </row>
    <row r="6943" spans="2:6">
      <c r="B6943">
        <v>2015</v>
      </c>
      <c r="C6943" t="s">
        <v>81</v>
      </c>
      <c r="D6943" t="s">
        <v>182</v>
      </c>
      <c r="E6943" t="s">
        <v>12</v>
      </c>
      <c r="F6943">
        <v>1.9454522058367729E-2</v>
      </c>
    </row>
    <row r="6944" spans="2:6">
      <c r="B6944">
        <v>2015</v>
      </c>
      <c r="C6944" t="s">
        <v>81</v>
      </c>
      <c r="D6944" t="s">
        <v>182</v>
      </c>
      <c r="E6944" t="s">
        <v>13</v>
      </c>
      <c r="F6944">
        <v>0.76216715574264526</v>
      </c>
    </row>
    <row r="6945" spans="2:6">
      <c r="B6945">
        <v>2015</v>
      </c>
      <c r="C6945" t="s">
        <v>81</v>
      </c>
      <c r="D6945" t="s">
        <v>182</v>
      </c>
      <c r="E6945" t="s">
        <v>14</v>
      </c>
      <c r="F6945">
        <v>0.49003255367279053</v>
      </c>
    </row>
    <row r="6946" spans="2:6">
      <c r="B6946">
        <v>2015</v>
      </c>
      <c r="C6946" t="s">
        <v>81</v>
      </c>
      <c r="D6946" t="s">
        <v>182</v>
      </c>
      <c r="E6946" t="s">
        <v>15</v>
      </c>
      <c r="F6946">
        <v>0.58126693964004517</v>
      </c>
    </row>
    <row r="6947" spans="2:6">
      <c r="B6947">
        <v>2016</v>
      </c>
      <c r="C6947" t="s">
        <v>81</v>
      </c>
      <c r="D6947" t="s">
        <v>182</v>
      </c>
      <c r="E6947" t="s">
        <v>7</v>
      </c>
      <c r="F6947">
        <v>4.4125370979309082</v>
      </c>
    </row>
    <row r="6948" spans="2:6">
      <c r="B6948">
        <v>2016</v>
      </c>
      <c r="C6948" t="s">
        <v>81</v>
      </c>
      <c r="D6948" t="s">
        <v>182</v>
      </c>
      <c r="E6948" t="s">
        <v>8</v>
      </c>
      <c r="F6948">
        <v>9.3537712097167969</v>
      </c>
    </row>
    <row r="6949" spans="2:6">
      <c r="B6949">
        <v>2016</v>
      </c>
      <c r="C6949" t="s">
        <v>81</v>
      </c>
      <c r="D6949" t="s">
        <v>182</v>
      </c>
      <c r="E6949" t="s">
        <v>9</v>
      </c>
      <c r="F6949">
        <v>0.71895670890808105</v>
      </c>
    </row>
    <row r="6950" spans="2:6">
      <c r="B6950">
        <v>2016</v>
      </c>
      <c r="C6950" t="s">
        <v>81</v>
      </c>
      <c r="D6950" t="s">
        <v>182</v>
      </c>
      <c r="E6950" t="s">
        <v>10</v>
      </c>
      <c r="F6950">
        <v>59</v>
      </c>
    </row>
    <row r="6951" spans="2:6">
      <c r="B6951">
        <v>2016</v>
      </c>
      <c r="C6951" t="s">
        <v>81</v>
      </c>
      <c r="D6951" t="s">
        <v>182</v>
      </c>
      <c r="E6951" t="s">
        <v>11</v>
      </c>
      <c r="F6951">
        <v>0.66616016626358032</v>
      </c>
    </row>
    <row r="6952" spans="2:6">
      <c r="B6952">
        <v>2016</v>
      </c>
      <c r="C6952" t="s">
        <v>81</v>
      </c>
      <c r="D6952" t="s">
        <v>182</v>
      </c>
      <c r="E6952" t="s">
        <v>12</v>
      </c>
      <c r="F6952">
        <v>-5.2077453583478928E-2</v>
      </c>
    </row>
    <row r="6953" spans="2:6">
      <c r="B6953">
        <v>2016</v>
      </c>
      <c r="C6953" t="s">
        <v>81</v>
      </c>
      <c r="D6953" t="s">
        <v>182</v>
      </c>
      <c r="E6953" t="s">
        <v>13</v>
      </c>
      <c r="F6953">
        <v>0.79886645078659058</v>
      </c>
    </row>
    <row r="6954" spans="2:6">
      <c r="B6954">
        <v>2016</v>
      </c>
      <c r="C6954" t="s">
        <v>81</v>
      </c>
      <c r="D6954" t="s">
        <v>182</v>
      </c>
      <c r="E6954" t="s">
        <v>14</v>
      </c>
      <c r="F6954">
        <v>0.4886920154094696</v>
      </c>
    </row>
    <row r="6955" spans="2:6">
      <c r="B6955">
        <v>2016</v>
      </c>
      <c r="C6955" t="s">
        <v>81</v>
      </c>
      <c r="D6955" t="s">
        <v>182</v>
      </c>
      <c r="E6955" t="s">
        <v>15</v>
      </c>
      <c r="F6955">
        <v>0.56975805759429932</v>
      </c>
    </row>
    <row r="6956" spans="2:6">
      <c r="B6956">
        <v>2017</v>
      </c>
      <c r="C6956" t="s">
        <v>81</v>
      </c>
      <c r="D6956" t="s">
        <v>182</v>
      </c>
      <c r="E6956" t="s">
        <v>7</v>
      </c>
      <c r="F6956">
        <v>4.4623990058898926</v>
      </c>
    </row>
    <row r="6957" spans="2:6">
      <c r="B6957">
        <v>2017</v>
      </c>
      <c r="C6957" t="s">
        <v>81</v>
      </c>
      <c r="D6957" t="s">
        <v>182</v>
      </c>
      <c r="E6957" t="s">
        <v>8</v>
      </c>
      <c r="F6957">
        <v>9.3030986785888672</v>
      </c>
    </row>
    <row r="6958" spans="2:6">
      <c r="B6958">
        <v>2017</v>
      </c>
      <c r="C6958" t="s">
        <v>81</v>
      </c>
      <c r="D6958" t="s">
        <v>182</v>
      </c>
      <c r="E6958" t="s">
        <v>9</v>
      </c>
      <c r="F6958">
        <v>0.69510936737060547</v>
      </c>
    </row>
    <row r="6959" spans="2:6">
      <c r="B6959">
        <v>2017</v>
      </c>
      <c r="C6959" t="s">
        <v>81</v>
      </c>
      <c r="D6959" t="s">
        <v>182</v>
      </c>
      <c r="E6959" t="s">
        <v>10</v>
      </c>
      <c r="F6959">
        <v>59.599998474121094</v>
      </c>
    </row>
    <row r="6960" spans="2:6">
      <c r="B6960">
        <v>2017</v>
      </c>
      <c r="C6960" t="s">
        <v>81</v>
      </c>
      <c r="D6960" t="s">
        <v>182</v>
      </c>
      <c r="E6960" t="s">
        <v>11</v>
      </c>
      <c r="F6960">
        <v>0.62772202491760254</v>
      </c>
    </row>
    <row r="6961" spans="2:6">
      <c r="B6961">
        <v>2017</v>
      </c>
      <c r="C6961" t="s">
        <v>81</v>
      </c>
      <c r="D6961" t="s">
        <v>182</v>
      </c>
      <c r="E6961" t="s">
        <v>12</v>
      </c>
      <c r="F6961">
        <v>-4.8396666534245014E-4</v>
      </c>
    </row>
    <row r="6962" spans="2:6">
      <c r="B6962">
        <v>2017</v>
      </c>
      <c r="C6962" t="s">
        <v>81</v>
      </c>
      <c r="D6962" t="s">
        <v>182</v>
      </c>
      <c r="E6962" t="s">
        <v>13</v>
      </c>
      <c r="F6962">
        <v>0.75710880756378174</v>
      </c>
    </row>
    <row r="6963" spans="2:6">
      <c r="B6963">
        <v>2017</v>
      </c>
      <c r="C6963" t="s">
        <v>81</v>
      </c>
      <c r="D6963" t="s">
        <v>182</v>
      </c>
      <c r="E6963" t="s">
        <v>14</v>
      </c>
      <c r="F6963">
        <v>0.50528854131698608</v>
      </c>
    </row>
    <row r="6964" spans="2:6">
      <c r="B6964">
        <v>2017</v>
      </c>
      <c r="C6964" t="s">
        <v>81</v>
      </c>
      <c r="D6964" t="s">
        <v>182</v>
      </c>
      <c r="E6964" t="s">
        <v>15</v>
      </c>
      <c r="F6964">
        <v>0.59053874015808105</v>
      </c>
    </row>
    <row r="6965" spans="2:6">
      <c r="B6965">
        <v>2018</v>
      </c>
      <c r="C6965" t="s">
        <v>81</v>
      </c>
      <c r="D6965" t="s">
        <v>182</v>
      </c>
      <c r="E6965" t="s">
        <v>7</v>
      </c>
      <c r="F6965">
        <v>4.8864006996154785</v>
      </c>
    </row>
    <row r="6966" spans="2:6">
      <c r="B6966">
        <v>2018</v>
      </c>
      <c r="C6966" t="s">
        <v>81</v>
      </c>
      <c r="D6966" t="s">
        <v>182</v>
      </c>
      <c r="E6966" t="s">
        <v>8</v>
      </c>
      <c r="F6966">
        <v>9.2742624282836914</v>
      </c>
    </row>
    <row r="6967" spans="2:6">
      <c r="B6967">
        <v>2018</v>
      </c>
      <c r="C6967" t="s">
        <v>81</v>
      </c>
      <c r="D6967" t="s">
        <v>182</v>
      </c>
      <c r="E6967" t="s">
        <v>9</v>
      </c>
      <c r="F6967">
        <v>0.76350891590118408</v>
      </c>
    </row>
    <row r="6968" spans="2:6">
      <c r="B6968">
        <v>2018</v>
      </c>
      <c r="C6968" t="s">
        <v>81</v>
      </c>
      <c r="D6968" t="s">
        <v>182</v>
      </c>
      <c r="E6968" t="s">
        <v>10</v>
      </c>
      <c r="F6968">
        <v>60.200000762939453</v>
      </c>
    </row>
    <row r="6969" spans="2:6">
      <c r="B6969">
        <v>2018</v>
      </c>
      <c r="C6969" t="s">
        <v>81</v>
      </c>
      <c r="D6969" t="s">
        <v>182</v>
      </c>
      <c r="E6969" t="s">
        <v>11</v>
      </c>
      <c r="F6969">
        <v>0.59782278537750244</v>
      </c>
    </row>
    <row r="6970" spans="2:6">
      <c r="B6970">
        <v>2018</v>
      </c>
      <c r="C6970" t="s">
        <v>81</v>
      </c>
      <c r="D6970" t="s">
        <v>182</v>
      </c>
      <c r="E6970" t="s">
        <v>12</v>
      </c>
      <c r="F6970">
        <v>-6.8258374929428101E-2</v>
      </c>
    </row>
    <row r="6971" spans="2:6">
      <c r="B6971">
        <v>2018</v>
      </c>
      <c r="C6971" t="s">
        <v>81</v>
      </c>
      <c r="D6971" t="s">
        <v>182</v>
      </c>
      <c r="E6971" t="s">
        <v>13</v>
      </c>
      <c r="F6971">
        <v>0.8866996169090271</v>
      </c>
    </row>
    <row r="6972" spans="2:6">
      <c r="B6972">
        <v>2018</v>
      </c>
      <c r="C6972" t="s">
        <v>81</v>
      </c>
      <c r="D6972" t="s">
        <v>182</v>
      </c>
      <c r="E6972" t="s">
        <v>14</v>
      </c>
      <c r="F6972">
        <v>0.60532325506210327</v>
      </c>
    </row>
    <row r="6973" spans="2:6">
      <c r="B6973">
        <v>2018</v>
      </c>
      <c r="C6973" t="s">
        <v>81</v>
      </c>
      <c r="D6973" t="s">
        <v>182</v>
      </c>
      <c r="E6973" t="s">
        <v>15</v>
      </c>
      <c r="F6973">
        <v>0.48202678561210632</v>
      </c>
    </row>
    <row r="6974" spans="2:6">
      <c r="B6974">
        <v>2020</v>
      </c>
      <c r="C6974" t="s">
        <v>81</v>
      </c>
      <c r="D6974" t="s">
        <v>182</v>
      </c>
      <c r="E6974" t="s">
        <v>7</v>
      </c>
      <c r="F6974">
        <v>4.7851653099060059</v>
      </c>
    </row>
    <row r="6975" spans="2:6">
      <c r="B6975">
        <v>2020</v>
      </c>
      <c r="C6975" t="s">
        <v>81</v>
      </c>
      <c r="D6975" t="s">
        <v>182</v>
      </c>
      <c r="E6975" t="s">
        <v>8</v>
      </c>
      <c r="F6975">
        <v>9.1671857833862305</v>
      </c>
    </row>
    <row r="6976" spans="2:6">
      <c r="B6976">
        <v>2020</v>
      </c>
      <c r="C6976" t="s">
        <v>81</v>
      </c>
      <c r="D6976" t="s">
        <v>182</v>
      </c>
      <c r="E6976" t="s">
        <v>9</v>
      </c>
      <c r="F6976">
        <v>0.7078474760055542</v>
      </c>
    </row>
    <row r="6977" spans="2:6">
      <c r="B6977">
        <v>2020</v>
      </c>
      <c r="C6977" t="s">
        <v>81</v>
      </c>
      <c r="D6977" t="s">
        <v>182</v>
      </c>
      <c r="E6977" t="s">
        <v>10</v>
      </c>
      <c r="F6977">
        <v>61.400001525878906</v>
      </c>
    </row>
    <row r="6978" spans="2:6">
      <c r="B6978">
        <v>2020</v>
      </c>
      <c r="C6978" t="s">
        <v>81</v>
      </c>
      <c r="D6978" t="s">
        <v>182</v>
      </c>
      <c r="E6978" t="s">
        <v>11</v>
      </c>
      <c r="F6978">
        <v>0.70021456480026245</v>
      </c>
    </row>
    <row r="6979" spans="2:6">
      <c r="B6979">
        <v>2020</v>
      </c>
      <c r="C6979" t="s">
        <v>81</v>
      </c>
      <c r="D6979" t="s">
        <v>182</v>
      </c>
      <c r="E6979" t="s">
        <v>12</v>
      </c>
      <c r="F6979">
        <v>-2.0748287439346313E-2</v>
      </c>
    </row>
    <row r="6980" spans="2:6">
      <c r="B6980">
        <v>2020</v>
      </c>
      <c r="C6980" t="s">
        <v>81</v>
      </c>
      <c r="D6980" t="s">
        <v>182</v>
      </c>
      <c r="E6980" t="s">
        <v>13</v>
      </c>
      <c r="F6980">
        <v>0.84910875558853149</v>
      </c>
    </row>
    <row r="6981" spans="2:6">
      <c r="B6981">
        <v>2020</v>
      </c>
      <c r="C6981" t="s">
        <v>81</v>
      </c>
      <c r="D6981" t="s">
        <v>182</v>
      </c>
      <c r="E6981" t="s">
        <v>14</v>
      </c>
      <c r="F6981">
        <v>0.64446425437927246</v>
      </c>
    </row>
    <row r="6982" spans="2:6">
      <c r="B6982">
        <v>2020</v>
      </c>
      <c r="C6982" t="s">
        <v>81</v>
      </c>
      <c r="D6982" t="s">
        <v>182</v>
      </c>
      <c r="E6982" t="s">
        <v>15</v>
      </c>
      <c r="F6982">
        <v>0.53153890371322632</v>
      </c>
    </row>
    <row r="6983" spans="2:6">
      <c r="B6983">
        <v>2006</v>
      </c>
      <c r="C6983" t="s">
        <v>82</v>
      </c>
      <c r="D6983" t="s">
        <v>183</v>
      </c>
      <c r="E6983" t="s">
        <v>7</v>
      </c>
      <c r="F6983">
        <v>7.1442465782165527</v>
      </c>
    </row>
    <row r="6984" spans="2:6">
      <c r="B6984">
        <v>2006</v>
      </c>
      <c r="C6984" t="s">
        <v>82</v>
      </c>
      <c r="D6984" t="s">
        <v>183</v>
      </c>
      <c r="E6984" t="s">
        <v>8</v>
      </c>
      <c r="F6984">
        <v>10.971881866455078</v>
      </c>
    </row>
    <row r="6985" spans="2:6">
      <c r="B6985">
        <v>2006</v>
      </c>
      <c r="C6985" t="s">
        <v>82</v>
      </c>
      <c r="D6985" t="s">
        <v>183</v>
      </c>
      <c r="E6985" t="s">
        <v>9</v>
      </c>
      <c r="F6985">
        <v>0.96704113483428955</v>
      </c>
    </row>
    <row r="6986" spans="2:6">
      <c r="B6986">
        <v>2006</v>
      </c>
      <c r="C6986" t="s">
        <v>82</v>
      </c>
      <c r="D6986" t="s">
        <v>183</v>
      </c>
      <c r="E6986" t="s">
        <v>10</v>
      </c>
      <c r="F6986">
        <v>70.139999389648438</v>
      </c>
    </row>
    <row r="6987" spans="2:6">
      <c r="B6987">
        <v>2006</v>
      </c>
      <c r="C6987" t="s">
        <v>82</v>
      </c>
      <c r="D6987" t="s">
        <v>183</v>
      </c>
      <c r="E6987" t="s">
        <v>11</v>
      </c>
      <c r="F6987">
        <v>0.94327473640441895</v>
      </c>
    </row>
    <row r="6988" spans="2:6">
      <c r="B6988">
        <v>2006</v>
      </c>
      <c r="C6988" t="s">
        <v>82</v>
      </c>
      <c r="D6988" t="s">
        <v>183</v>
      </c>
      <c r="E6988" t="s">
        <v>12</v>
      </c>
      <c r="F6988">
        <v>0.24191658198833466</v>
      </c>
    </row>
    <row r="6989" spans="2:6">
      <c r="B6989">
        <v>2006</v>
      </c>
      <c r="C6989" t="s">
        <v>82</v>
      </c>
      <c r="D6989" t="s">
        <v>183</v>
      </c>
      <c r="E6989" t="s">
        <v>13</v>
      </c>
      <c r="F6989">
        <v>0.4728485643863678</v>
      </c>
    </row>
    <row r="6990" spans="2:6">
      <c r="B6990">
        <v>2006</v>
      </c>
      <c r="C6990" t="s">
        <v>82</v>
      </c>
      <c r="D6990" t="s">
        <v>183</v>
      </c>
      <c r="E6990" t="s">
        <v>14</v>
      </c>
      <c r="F6990">
        <v>0.87825554609298706</v>
      </c>
    </row>
    <row r="6991" spans="2:6">
      <c r="B6991">
        <v>2006</v>
      </c>
      <c r="C6991" t="s">
        <v>82</v>
      </c>
      <c r="D6991" t="s">
        <v>183</v>
      </c>
      <c r="E6991" t="s">
        <v>15</v>
      </c>
      <c r="F6991">
        <v>0.20863375067710876</v>
      </c>
    </row>
    <row r="6992" spans="2:6">
      <c r="B6992">
        <v>2008</v>
      </c>
      <c r="C6992" t="s">
        <v>82</v>
      </c>
      <c r="D6992" t="s">
        <v>183</v>
      </c>
      <c r="E6992" t="s">
        <v>7</v>
      </c>
      <c r="F6992">
        <v>7.5680298805236816</v>
      </c>
    </row>
    <row r="6993" spans="2:6">
      <c r="B6993">
        <v>2008</v>
      </c>
      <c r="C6993" t="s">
        <v>82</v>
      </c>
      <c r="D6993" t="s">
        <v>183</v>
      </c>
      <c r="E6993" t="s">
        <v>8</v>
      </c>
      <c r="F6993">
        <v>10.928620338439941</v>
      </c>
    </row>
    <row r="6994" spans="2:6">
      <c r="B6994">
        <v>2008</v>
      </c>
      <c r="C6994" t="s">
        <v>82</v>
      </c>
      <c r="D6994" t="s">
        <v>183</v>
      </c>
      <c r="E6994" t="s">
        <v>9</v>
      </c>
      <c r="F6994">
        <v>0.98252171277999878</v>
      </c>
    </row>
    <row r="6995" spans="2:6">
      <c r="B6995">
        <v>2008</v>
      </c>
      <c r="C6995" t="s">
        <v>82</v>
      </c>
      <c r="D6995" t="s">
        <v>183</v>
      </c>
      <c r="E6995" t="s">
        <v>10</v>
      </c>
      <c r="F6995">
        <v>70.819999694824219</v>
      </c>
    </row>
    <row r="6996" spans="2:6">
      <c r="B6996">
        <v>2008</v>
      </c>
      <c r="C6996" t="s">
        <v>82</v>
      </c>
      <c r="D6996" t="s">
        <v>183</v>
      </c>
      <c r="E6996" t="s">
        <v>11</v>
      </c>
      <c r="F6996">
        <v>0.89410871267318726</v>
      </c>
    </row>
    <row r="6997" spans="2:6">
      <c r="B6997">
        <v>2008</v>
      </c>
      <c r="C6997" t="s">
        <v>82</v>
      </c>
      <c r="D6997" t="s">
        <v>183</v>
      </c>
      <c r="E6997" t="s">
        <v>12</v>
      </c>
      <c r="F6997">
        <v>0.32194498181343079</v>
      </c>
    </row>
    <row r="6998" spans="2:6">
      <c r="B6998">
        <v>2008</v>
      </c>
      <c r="C6998" t="s">
        <v>82</v>
      </c>
      <c r="D6998" t="s">
        <v>183</v>
      </c>
      <c r="E6998" t="s">
        <v>13</v>
      </c>
      <c r="F6998">
        <v>0.48699465394020081</v>
      </c>
    </row>
    <row r="6999" spans="2:6">
      <c r="B6999">
        <v>2008</v>
      </c>
      <c r="C6999" t="s">
        <v>82</v>
      </c>
      <c r="D6999" t="s">
        <v>183</v>
      </c>
      <c r="E6999" t="s">
        <v>14</v>
      </c>
      <c r="F6999">
        <v>0.87538361549377441</v>
      </c>
    </row>
    <row r="7000" spans="2:6">
      <c r="B7000">
        <v>2008</v>
      </c>
      <c r="C7000" t="s">
        <v>82</v>
      </c>
      <c r="D7000" t="s">
        <v>183</v>
      </c>
      <c r="E7000" t="s">
        <v>15</v>
      </c>
      <c r="F7000">
        <v>0.14775924384593964</v>
      </c>
    </row>
    <row r="7001" spans="2:6">
      <c r="B7001">
        <v>2009</v>
      </c>
      <c r="C7001" t="s">
        <v>82</v>
      </c>
      <c r="D7001" t="s">
        <v>183</v>
      </c>
      <c r="E7001" t="s">
        <v>7</v>
      </c>
      <c r="F7001">
        <v>7.0459113121032715</v>
      </c>
    </row>
    <row r="7002" spans="2:6">
      <c r="B7002">
        <v>2009</v>
      </c>
      <c r="C7002" t="s">
        <v>82</v>
      </c>
      <c r="D7002" t="s">
        <v>183</v>
      </c>
      <c r="E7002" t="s">
        <v>8</v>
      </c>
      <c r="F7002">
        <v>10.866336822509766</v>
      </c>
    </row>
    <row r="7003" spans="2:6">
      <c r="B7003">
        <v>2009</v>
      </c>
      <c r="C7003" t="s">
        <v>82</v>
      </c>
      <c r="D7003" t="s">
        <v>183</v>
      </c>
      <c r="E7003" t="s">
        <v>9</v>
      </c>
      <c r="F7003">
        <v>0.9587024450302124</v>
      </c>
    </row>
    <row r="7004" spans="2:6">
      <c r="B7004">
        <v>2009</v>
      </c>
      <c r="C7004" t="s">
        <v>82</v>
      </c>
      <c r="D7004" t="s">
        <v>183</v>
      </c>
      <c r="E7004" t="s">
        <v>10</v>
      </c>
      <c r="F7004">
        <v>71.160003662109375</v>
      </c>
    </row>
    <row r="7005" spans="2:6">
      <c r="B7005">
        <v>2009</v>
      </c>
      <c r="C7005" t="s">
        <v>82</v>
      </c>
      <c r="D7005" t="s">
        <v>183</v>
      </c>
      <c r="E7005" t="s">
        <v>11</v>
      </c>
      <c r="F7005">
        <v>0.83472967147827148</v>
      </c>
    </row>
    <row r="7006" spans="2:6">
      <c r="B7006">
        <v>2009</v>
      </c>
      <c r="C7006" t="s">
        <v>82</v>
      </c>
      <c r="D7006" t="s">
        <v>183</v>
      </c>
      <c r="E7006" t="s">
        <v>12</v>
      </c>
      <c r="F7006">
        <v>0.31523746252059937</v>
      </c>
    </row>
    <row r="7007" spans="2:6">
      <c r="B7007">
        <v>2009</v>
      </c>
      <c r="C7007" t="s">
        <v>82</v>
      </c>
      <c r="D7007" t="s">
        <v>183</v>
      </c>
      <c r="E7007" t="s">
        <v>13</v>
      </c>
      <c r="F7007">
        <v>0.57960015535354614</v>
      </c>
    </row>
    <row r="7008" spans="2:6">
      <c r="B7008">
        <v>2009</v>
      </c>
      <c r="C7008" t="s">
        <v>82</v>
      </c>
      <c r="D7008" t="s">
        <v>183</v>
      </c>
      <c r="E7008" t="s">
        <v>14</v>
      </c>
      <c r="F7008">
        <v>0.86212402582168579</v>
      </c>
    </row>
    <row r="7009" spans="2:6">
      <c r="B7009">
        <v>2009</v>
      </c>
      <c r="C7009" t="s">
        <v>82</v>
      </c>
      <c r="D7009" t="s">
        <v>183</v>
      </c>
      <c r="E7009" t="s">
        <v>15</v>
      </c>
      <c r="F7009">
        <v>0.23269876837730408</v>
      </c>
    </row>
    <row r="7010" spans="2:6">
      <c r="B7010">
        <v>2010</v>
      </c>
      <c r="C7010" t="s">
        <v>82</v>
      </c>
      <c r="D7010" t="s">
        <v>183</v>
      </c>
      <c r="E7010" t="s">
        <v>7</v>
      </c>
      <c r="F7010">
        <v>7.2573895454406738</v>
      </c>
    </row>
    <row r="7011" spans="2:6">
      <c r="B7011">
        <v>2010</v>
      </c>
      <c r="C7011" t="s">
        <v>82</v>
      </c>
      <c r="D7011" t="s">
        <v>183</v>
      </c>
      <c r="E7011" t="s">
        <v>8</v>
      </c>
      <c r="F7011">
        <v>10.878826141357422</v>
      </c>
    </row>
    <row r="7012" spans="2:6">
      <c r="B7012">
        <v>2010</v>
      </c>
      <c r="C7012" t="s">
        <v>82</v>
      </c>
      <c r="D7012" t="s">
        <v>183</v>
      </c>
      <c r="E7012" t="s">
        <v>9</v>
      </c>
      <c r="F7012">
        <v>0.97288590669631958</v>
      </c>
    </row>
    <row r="7013" spans="2:6">
      <c r="B7013">
        <v>2010</v>
      </c>
      <c r="C7013" t="s">
        <v>82</v>
      </c>
      <c r="D7013" t="s">
        <v>183</v>
      </c>
      <c r="E7013" t="s">
        <v>10</v>
      </c>
      <c r="F7013">
        <v>71.5</v>
      </c>
    </row>
    <row r="7014" spans="2:6">
      <c r="B7014">
        <v>2010</v>
      </c>
      <c r="C7014" t="s">
        <v>82</v>
      </c>
      <c r="D7014" t="s">
        <v>183</v>
      </c>
      <c r="E7014" t="s">
        <v>11</v>
      </c>
      <c r="F7014">
        <v>0.85602957010269165</v>
      </c>
    </row>
    <row r="7015" spans="2:6">
      <c r="B7015">
        <v>2010</v>
      </c>
      <c r="C7015" t="s">
        <v>82</v>
      </c>
      <c r="D7015" t="s">
        <v>183</v>
      </c>
      <c r="E7015" t="s">
        <v>12</v>
      </c>
      <c r="F7015">
        <v>0.34799849987030029</v>
      </c>
    </row>
    <row r="7016" spans="2:6">
      <c r="B7016">
        <v>2010</v>
      </c>
      <c r="C7016" t="s">
        <v>82</v>
      </c>
      <c r="D7016" t="s">
        <v>183</v>
      </c>
      <c r="E7016" t="s">
        <v>13</v>
      </c>
      <c r="F7016">
        <v>0.61802411079406738</v>
      </c>
    </row>
    <row r="7017" spans="2:6">
      <c r="B7017">
        <v>2010</v>
      </c>
      <c r="C7017" t="s">
        <v>82</v>
      </c>
      <c r="D7017" t="s">
        <v>183</v>
      </c>
      <c r="E7017" t="s">
        <v>14</v>
      </c>
      <c r="F7017">
        <v>0.87598264217376709</v>
      </c>
    </row>
    <row r="7018" spans="2:6">
      <c r="B7018">
        <v>2010</v>
      </c>
      <c r="C7018" t="s">
        <v>82</v>
      </c>
      <c r="D7018" t="s">
        <v>183</v>
      </c>
      <c r="E7018" t="s">
        <v>15</v>
      </c>
      <c r="F7018">
        <v>0.20065541565418243</v>
      </c>
    </row>
    <row r="7019" spans="2:6">
      <c r="B7019">
        <v>2011</v>
      </c>
      <c r="C7019" t="s">
        <v>82</v>
      </c>
      <c r="D7019" t="s">
        <v>183</v>
      </c>
      <c r="E7019" t="s">
        <v>7</v>
      </c>
      <c r="F7019">
        <v>7.006904125213623</v>
      </c>
    </row>
    <row r="7020" spans="2:6">
      <c r="B7020">
        <v>2011</v>
      </c>
      <c r="C7020" t="s">
        <v>82</v>
      </c>
      <c r="D7020" t="s">
        <v>183</v>
      </c>
      <c r="E7020" t="s">
        <v>8</v>
      </c>
      <c r="F7020">
        <v>10.877893447875977</v>
      </c>
    </row>
    <row r="7021" spans="2:6">
      <c r="B7021">
        <v>2011</v>
      </c>
      <c r="C7021" t="s">
        <v>82</v>
      </c>
      <c r="D7021" t="s">
        <v>183</v>
      </c>
      <c r="E7021" t="s">
        <v>9</v>
      </c>
      <c r="F7021">
        <v>0.97737759351730347</v>
      </c>
    </row>
    <row r="7022" spans="2:6">
      <c r="B7022">
        <v>2011</v>
      </c>
      <c r="C7022" t="s">
        <v>82</v>
      </c>
      <c r="D7022" t="s">
        <v>183</v>
      </c>
      <c r="E7022" t="s">
        <v>10</v>
      </c>
      <c r="F7022">
        <v>71.599998474121094</v>
      </c>
    </row>
    <row r="7023" spans="2:6">
      <c r="B7023">
        <v>2011</v>
      </c>
      <c r="C7023" t="s">
        <v>82</v>
      </c>
      <c r="D7023" t="s">
        <v>183</v>
      </c>
      <c r="E7023" t="s">
        <v>11</v>
      </c>
      <c r="F7023">
        <v>0.9520343542098999</v>
      </c>
    </row>
    <row r="7024" spans="2:6">
      <c r="B7024">
        <v>2011</v>
      </c>
      <c r="C7024" t="s">
        <v>82</v>
      </c>
      <c r="D7024" t="s">
        <v>183</v>
      </c>
      <c r="E7024" t="s">
        <v>12</v>
      </c>
      <c r="F7024">
        <v>0.38344922661781311</v>
      </c>
    </row>
    <row r="7025" spans="2:6">
      <c r="B7025">
        <v>2011</v>
      </c>
      <c r="C7025" t="s">
        <v>82</v>
      </c>
      <c r="D7025" t="s">
        <v>183</v>
      </c>
      <c r="E7025" t="s">
        <v>13</v>
      </c>
      <c r="F7025">
        <v>0.58991265296936035</v>
      </c>
    </row>
    <row r="7026" spans="2:6">
      <c r="B7026">
        <v>2011</v>
      </c>
      <c r="C7026" t="s">
        <v>82</v>
      </c>
      <c r="D7026" t="s">
        <v>183</v>
      </c>
      <c r="E7026" t="s">
        <v>14</v>
      </c>
      <c r="F7026">
        <v>0.86522454023361206</v>
      </c>
    </row>
    <row r="7027" spans="2:6">
      <c r="B7027">
        <v>2011</v>
      </c>
      <c r="C7027" t="s">
        <v>82</v>
      </c>
      <c r="D7027" t="s">
        <v>183</v>
      </c>
      <c r="E7027" t="s">
        <v>15</v>
      </c>
      <c r="F7027">
        <v>0.19030945003032684</v>
      </c>
    </row>
    <row r="7028" spans="2:6">
      <c r="B7028">
        <v>2012</v>
      </c>
      <c r="C7028" t="s">
        <v>82</v>
      </c>
      <c r="D7028" t="s">
        <v>183</v>
      </c>
      <c r="E7028" t="s">
        <v>7</v>
      </c>
      <c r="F7028">
        <v>6.9646453857421875</v>
      </c>
    </row>
    <row r="7029" spans="2:6">
      <c r="B7029">
        <v>2012</v>
      </c>
      <c r="C7029" t="s">
        <v>82</v>
      </c>
      <c r="D7029" t="s">
        <v>183</v>
      </c>
      <c r="E7029" t="s">
        <v>8</v>
      </c>
      <c r="F7029">
        <v>10.875910758972168</v>
      </c>
    </row>
    <row r="7030" spans="2:6">
      <c r="B7030">
        <v>2012</v>
      </c>
      <c r="C7030" t="s">
        <v>82</v>
      </c>
      <c r="D7030" t="s">
        <v>183</v>
      </c>
      <c r="E7030" t="s">
        <v>9</v>
      </c>
      <c r="F7030">
        <v>0.96178591251373291</v>
      </c>
    </row>
    <row r="7031" spans="2:6">
      <c r="B7031">
        <v>2012</v>
      </c>
      <c r="C7031" t="s">
        <v>82</v>
      </c>
      <c r="D7031" t="s">
        <v>183</v>
      </c>
      <c r="E7031" t="s">
        <v>10</v>
      </c>
      <c r="F7031">
        <v>71.699996948242188</v>
      </c>
    </row>
    <row r="7032" spans="2:6">
      <c r="B7032">
        <v>2012</v>
      </c>
      <c r="C7032" t="s">
        <v>82</v>
      </c>
      <c r="D7032" t="s">
        <v>183</v>
      </c>
      <c r="E7032" t="s">
        <v>11</v>
      </c>
      <c r="F7032">
        <v>0.9021945595741272</v>
      </c>
    </row>
    <row r="7033" spans="2:6">
      <c r="B7033">
        <v>2012</v>
      </c>
      <c r="C7033" t="s">
        <v>82</v>
      </c>
      <c r="D7033" t="s">
        <v>183</v>
      </c>
      <c r="E7033" t="s">
        <v>12</v>
      </c>
      <c r="F7033">
        <v>0.30225098133087158</v>
      </c>
    </row>
    <row r="7034" spans="2:6">
      <c r="B7034">
        <v>2012</v>
      </c>
      <c r="C7034" t="s">
        <v>82</v>
      </c>
      <c r="D7034" t="s">
        <v>183</v>
      </c>
      <c r="E7034" t="s">
        <v>13</v>
      </c>
      <c r="F7034">
        <v>0.57263225317001343</v>
      </c>
    </row>
    <row r="7035" spans="2:6">
      <c r="B7035">
        <v>2012</v>
      </c>
      <c r="C7035" t="s">
        <v>82</v>
      </c>
      <c r="D7035" t="s">
        <v>183</v>
      </c>
      <c r="E7035" t="s">
        <v>14</v>
      </c>
      <c r="F7035">
        <v>0.83520197868347168</v>
      </c>
    </row>
    <row r="7036" spans="2:6">
      <c r="B7036">
        <v>2012</v>
      </c>
      <c r="C7036" t="s">
        <v>82</v>
      </c>
      <c r="D7036" t="s">
        <v>183</v>
      </c>
      <c r="E7036" t="s">
        <v>15</v>
      </c>
      <c r="F7036">
        <v>0.23666156828403473</v>
      </c>
    </row>
    <row r="7037" spans="2:6">
      <c r="B7037">
        <v>2013</v>
      </c>
      <c r="C7037" t="s">
        <v>82</v>
      </c>
      <c r="D7037" t="s">
        <v>183</v>
      </c>
      <c r="E7037" t="s">
        <v>7</v>
      </c>
      <c r="F7037">
        <v>6.7600851058959961</v>
      </c>
    </row>
    <row r="7038" spans="2:6">
      <c r="B7038">
        <v>2013</v>
      </c>
      <c r="C7038" t="s">
        <v>82</v>
      </c>
      <c r="D7038" t="s">
        <v>183</v>
      </c>
      <c r="E7038" t="s">
        <v>8</v>
      </c>
      <c r="F7038">
        <v>10.884071350097656</v>
      </c>
    </row>
    <row r="7039" spans="2:6">
      <c r="B7039">
        <v>2013</v>
      </c>
      <c r="C7039" t="s">
        <v>82</v>
      </c>
      <c r="D7039" t="s">
        <v>183</v>
      </c>
      <c r="E7039" t="s">
        <v>9</v>
      </c>
      <c r="F7039">
        <v>0.9551883339881897</v>
      </c>
    </row>
    <row r="7040" spans="2:6">
      <c r="B7040">
        <v>2013</v>
      </c>
      <c r="C7040" t="s">
        <v>82</v>
      </c>
      <c r="D7040" t="s">
        <v>183</v>
      </c>
      <c r="E7040" t="s">
        <v>10</v>
      </c>
      <c r="F7040">
        <v>71.800003051757813</v>
      </c>
    </row>
    <row r="7041" spans="2:6">
      <c r="B7041">
        <v>2013</v>
      </c>
      <c r="C7041" t="s">
        <v>82</v>
      </c>
      <c r="D7041" t="s">
        <v>183</v>
      </c>
      <c r="E7041" t="s">
        <v>11</v>
      </c>
      <c r="F7041">
        <v>0.88377201557159424</v>
      </c>
    </row>
    <row r="7042" spans="2:6">
      <c r="B7042">
        <v>2013</v>
      </c>
      <c r="C7042" t="s">
        <v>82</v>
      </c>
      <c r="D7042" t="s">
        <v>183</v>
      </c>
      <c r="E7042" t="s">
        <v>12</v>
      </c>
      <c r="F7042">
        <v>0.33142447471618652</v>
      </c>
    </row>
    <row r="7043" spans="2:6">
      <c r="B7043">
        <v>2013</v>
      </c>
      <c r="C7043" t="s">
        <v>82</v>
      </c>
      <c r="D7043" t="s">
        <v>183</v>
      </c>
      <c r="E7043" t="s">
        <v>13</v>
      </c>
      <c r="F7043">
        <v>0.55839419364929199</v>
      </c>
    </row>
    <row r="7044" spans="2:6">
      <c r="B7044">
        <v>2013</v>
      </c>
      <c r="C7044" t="s">
        <v>82</v>
      </c>
      <c r="D7044" t="s">
        <v>183</v>
      </c>
      <c r="E7044" t="s">
        <v>14</v>
      </c>
      <c r="F7044">
        <v>0.81434458494186401</v>
      </c>
    </row>
    <row r="7045" spans="2:6">
      <c r="B7045">
        <v>2013</v>
      </c>
      <c r="C7045" t="s">
        <v>82</v>
      </c>
      <c r="D7045" t="s">
        <v>183</v>
      </c>
      <c r="E7045" t="s">
        <v>15</v>
      </c>
      <c r="F7045">
        <v>0.24526782333850861</v>
      </c>
    </row>
    <row r="7046" spans="2:6">
      <c r="B7046">
        <v>2014</v>
      </c>
      <c r="C7046" t="s">
        <v>82</v>
      </c>
      <c r="D7046" t="s">
        <v>183</v>
      </c>
      <c r="E7046" t="s">
        <v>7</v>
      </c>
      <c r="F7046">
        <v>7.0183792114257813</v>
      </c>
    </row>
    <row r="7047" spans="2:6">
      <c r="B7047">
        <v>2014</v>
      </c>
      <c r="C7047" t="s">
        <v>82</v>
      </c>
      <c r="D7047" t="s">
        <v>183</v>
      </c>
      <c r="E7047" t="s">
        <v>8</v>
      </c>
      <c r="F7047">
        <v>10.958863258361816</v>
      </c>
    </row>
    <row r="7048" spans="2:6">
      <c r="B7048">
        <v>2014</v>
      </c>
      <c r="C7048" t="s">
        <v>82</v>
      </c>
      <c r="D7048" t="s">
        <v>183</v>
      </c>
      <c r="E7048" t="s">
        <v>9</v>
      </c>
      <c r="F7048">
        <v>0.96774464845657349</v>
      </c>
    </row>
    <row r="7049" spans="2:6">
      <c r="B7049">
        <v>2014</v>
      </c>
      <c r="C7049" t="s">
        <v>82</v>
      </c>
      <c r="D7049" t="s">
        <v>183</v>
      </c>
      <c r="E7049" t="s">
        <v>10</v>
      </c>
      <c r="F7049">
        <v>71.900001525878906</v>
      </c>
    </row>
    <row r="7050" spans="2:6">
      <c r="B7050">
        <v>2014</v>
      </c>
      <c r="C7050" t="s">
        <v>82</v>
      </c>
      <c r="D7050" t="s">
        <v>183</v>
      </c>
      <c r="E7050" t="s">
        <v>11</v>
      </c>
      <c r="F7050">
        <v>0.92162954807281494</v>
      </c>
    </row>
    <row r="7051" spans="2:6">
      <c r="B7051">
        <v>2014</v>
      </c>
      <c r="C7051" t="s">
        <v>82</v>
      </c>
      <c r="D7051" t="s">
        <v>183</v>
      </c>
      <c r="E7051" t="s">
        <v>12</v>
      </c>
      <c r="F7051">
        <v>0.2636418342590332</v>
      </c>
    </row>
    <row r="7052" spans="2:6">
      <c r="B7052">
        <v>2014</v>
      </c>
      <c r="C7052" t="s">
        <v>82</v>
      </c>
      <c r="D7052" t="s">
        <v>183</v>
      </c>
      <c r="E7052" t="s">
        <v>13</v>
      </c>
      <c r="F7052">
        <v>0.40603625774383545</v>
      </c>
    </row>
    <row r="7053" spans="2:6">
      <c r="B7053">
        <v>2014</v>
      </c>
      <c r="C7053" t="s">
        <v>82</v>
      </c>
      <c r="D7053" t="s">
        <v>183</v>
      </c>
      <c r="E7053" t="s">
        <v>14</v>
      </c>
      <c r="F7053">
        <v>0.78433483839035034</v>
      </c>
    </row>
    <row r="7054" spans="2:6">
      <c r="B7054">
        <v>2014</v>
      </c>
      <c r="C7054" t="s">
        <v>82</v>
      </c>
      <c r="D7054" t="s">
        <v>183</v>
      </c>
      <c r="E7054" t="s">
        <v>15</v>
      </c>
      <c r="F7054">
        <v>0.22872304916381836</v>
      </c>
    </row>
    <row r="7055" spans="2:6">
      <c r="B7055">
        <v>2015</v>
      </c>
      <c r="C7055" t="s">
        <v>82</v>
      </c>
      <c r="D7055" t="s">
        <v>183</v>
      </c>
      <c r="E7055" t="s">
        <v>7</v>
      </c>
      <c r="F7055">
        <v>6.8301253318786621</v>
      </c>
    </row>
    <row r="7056" spans="2:6">
      <c r="B7056">
        <v>2015</v>
      </c>
      <c r="C7056" t="s">
        <v>82</v>
      </c>
      <c r="D7056" t="s">
        <v>183</v>
      </c>
      <c r="E7056" t="s">
        <v>8</v>
      </c>
      <c r="F7056">
        <v>11.173857688903809</v>
      </c>
    </row>
    <row r="7057" spans="2:6">
      <c r="B7057">
        <v>2015</v>
      </c>
      <c r="C7057" t="s">
        <v>82</v>
      </c>
      <c r="D7057" t="s">
        <v>183</v>
      </c>
      <c r="E7057" t="s">
        <v>9</v>
      </c>
      <c r="F7057">
        <v>0.95294255018234253</v>
      </c>
    </row>
    <row r="7058" spans="2:6">
      <c r="B7058">
        <v>2015</v>
      </c>
      <c r="C7058" t="s">
        <v>82</v>
      </c>
      <c r="D7058" t="s">
        <v>183</v>
      </c>
      <c r="E7058" t="s">
        <v>10</v>
      </c>
      <c r="F7058">
        <v>72</v>
      </c>
    </row>
    <row r="7059" spans="2:6">
      <c r="B7059">
        <v>2015</v>
      </c>
      <c r="C7059" t="s">
        <v>82</v>
      </c>
      <c r="D7059" t="s">
        <v>183</v>
      </c>
      <c r="E7059" t="s">
        <v>11</v>
      </c>
      <c r="F7059">
        <v>0.89227694272994995</v>
      </c>
    </row>
    <row r="7060" spans="2:6">
      <c r="B7060">
        <v>2015</v>
      </c>
      <c r="C7060" t="s">
        <v>82</v>
      </c>
      <c r="D7060" t="s">
        <v>183</v>
      </c>
      <c r="E7060" t="s">
        <v>12</v>
      </c>
      <c r="F7060">
        <v>0.23260109126567841</v>
      </c>
    </row>
    <row r="7061" spans="2:6">
      <c r="B7061">
        <v>2015</v>
      </c>
      <c r="C7061" t="s">
        <v>82</v>
      </c>
      <c r="D7061" t="s">
        <v>183</v>
      </c>
      <c r="E7061" t="s">
        <v>13</v>
      </c>
      <c r="F7061">
        <v>0.40875691175460815</v>
      </c>
    </row>
    <row r="7062" spans="2:6">
      <c r="B7062">
        <v>2015</v>
      </c>
      <c r="C7062" t="s">
        <v>82</v>
      </c>
      <c r="D7062" t="s">
        <v>183</v>
      </c>
      <c r="E7062" t="s">
        <v>14</v>
      </c>
      <c r="F7062">
        <v>0.79932039976119995</v>
      </c>
    </row>
    <row r="7063" spans="2:6">
      <c r="B7063">
        <v>2015</v>
      </c>
      <c r="C7063" t="s">
        <v>82</v>
      </c>
      <c r="D7063" t="s">
        <v>183</v>
      </c>
      <c r="E7063" t="s">
        <v>15</v>
      </c>
      <c r="F7063">
        <v>0.22534924745559692</v>
      </c>
    </row>
    <row r="7064" spans="2:6">
      <c r="B7064">
        <v>2016</v>
      </c>
      <c r="C7064" t="s">
        <v>82</v>
      </c>
      <c r="D7064" t="s">
        <v>183</v>
      </c>
      <c r="E7064" t="s">
        <v>7</v>
      </c>
      <c r="F7064">
        <v>7.0407314300537109</v>
      </c>
    </row>
    <row r="7065" spans="2:6">
      <c r="B7065">
        <v>2016</v>
      </c>
      <c r="C7065" t="s">
        <v>82</v>
      </c>
      <c r="D7065" t="s">
        <v>183</v>
      </c>
      <c r="E7065" t="s">
        <v>8</v>
      </c>
      <c r="F7065">
        <v>11.198687553405762</v>
      </c>
    </row>
    <row r="7066" spans="2:6">
      <c r="B7066">
        <v>2016</v>
      </c>
      <c r="C7066" t="s">
        <v>82</v>
      </c>
      <c r="D7066" t="s">
        <v>183</v>
      </c>
      <c r="E7066" t="s">
        <v>9</v>
      </c>
      <c r="F7066">
        <v>0.95814400911331177</v>
      </c>
    </row>
    <row r="7067" spans="2:6">
      <c r="B7067">
        <v>2016</v>
      </c>
      <c r="C7067" t="s">
        <v>82</v>
      </c>
      <c r="D7067" t="s">
        <v>183</v>
      </c>
      <c r="E7067" t="s">
        <v>10</v>
      </c>
      <c r="F7067">
        <v>72.099998474121094</v>
      </c>
    </row>
    <row r="7068" spans="2:6">
      <c r="B7068">
        <v>2016</v>
      </c>
      <c r="C7068" t="s">
        <v>82</v>
      </c>
      <c r="D7068" t="s">
        <v>183</v>
      </c>
      <c r="E7068" t="s">
        <v>11</v>
      </c>
      <c r="F7068">
        <v>0.87458914518356323</v>
      </c>
    </row>
    <row r="7069" spans="2:6">
      <c r="B7069">
        <v>2016</v>
      </c>
      <c r="C7069" t="s">
        <v>82</v>
      </c>
      <c r="D7069" t="s">
        <v>183</v>
      </c>
      <c r="E7069" t="s">
        <v>12</v>
      </c>
      <c r="F7069">
        <v>0.1742699146270752</v>
      </c>
    </row>
    <row r="7070" spans="2:6">
      <c r="B7070">
        <v>2016</v>
      </c>
      <c r="C7070" t="s">
        <v>82</v>
      </c>
      <c r="D7070" t="s">
        <v>183</v>
      </c>
      <c r="E7070" t="s">
        <v>13</v>
      </c>
      <c r="F7070">
        <v>0.3985443115234375</v>
      </c>
    </row>
    <row r="7071" spans="2:6">
      <c r="B7071">
        <v>2016</v>
      </c>
      <c r="C7071" t="s">
        <v>82</v>
      </c>
      <c r="D7071" t="s">
        <v>183</v>
      </c>
      <c r="E7071" t="s">
        <v>14</v>
      </c>
      <c r="F7071">
        <v>0.80920302867889404</v>
      </c>
    </row>
    <row r="7072" spans="2:6">
      <c r="B7072">
        <v>2016</v>
      </c>
      <c r="C7072" t="s">
        <v>82</v>
      </c>
      <c r="D7072" t="s">
        <v>183</v>
      </c>
      <c r="E7072" t="s">
        <v>15</v>
      </c>
      <c r="F7072">
        <v>0.21106331050395966</v>
      </c>
    </row>
    <row r="7073" spans="2:6">
      <c r="B7073">
        <v>2017</v>
      </c>
      <c r="C7073" t="s">
        <v>82</v>
      </c>
      <c r="D7073" t="s">
        <v>183</v>
      </c>
      <c r="E7073" t="s">
        <v>7</v>
      </c>
      <c r="F7073">
        <v>7.0601553916931152</v>
      </c>
    </row>
    <row r="7074" spans="2:6">
      <c r="B7074">
        <v>2017</v>
      </c>
      <c r="C7074" t="s">
        <v>82</v>
      </c>
      <c r="D7074" t="s">
        <v>183</v>
      </c>
      <c r="E7074" t="s">
        <v>8</v>
      </c>
      <c r="F7074">
        <v>11.266105651855469</v>
      </c>
    </row>
    <row r="7075" spans="2:6">
      <c r="B7075">
        <v>2017</v>
      </c>
      <c r="C7075" t="s">
        <v>82</v>
      </c>
      <c r="D7075" t="s">
        <v>183</v>
      </c>
      <c r="E7075" t="s">
        <v>9</v>
      </c>
      <c r="F7075">
        <v>0.94348198175430298</v>
      </c>
    </row>
    <row r="7076" spans="2:6">
      <c r="B7076">
        <v>2017</v>
      </c>
      <c r="C7076" t="s">
        <v>82</v>
      </c>
      <c r="D7076" t="s">
        <v>183</v>
      </c>
      <c r="E7076" t="s">
        <v>10</v>
      </c>
      <c r="F7076">
        <v>72.199996948242188</v>
      </c>
    </row>
    <row r="7077" spans="2:6">
      <c r="B7077">
        <v>2017</v>
      </c>
      <c r="C7077" t="s">
        <v>82</v>
      </c>
      <c r="D7077" t="s">
        <v>183</v>
      </c>
      <c r="E7077" t="s">
        <v>11</v>
      </c>
      <c r="F7077">
        <v>0.90534114837646484</v>
      </c>
    </row>
    <row r="7078" spans="2:6">
      <c r="B7078">
        <v>2017</v>
      </c>
      <c r="C7078" t="s">
        <v>82</v>
      </c>
      <c r="D7078" t="s">
        <v>183</v>
      </c>
      <c r="E7078" t="s">
        <v>12</v>
      </c>
      <c r="F7078">
        <v>0.21647423505783081</v>
      </c>
    </row>
    <row r="7079" spans="2:6">
      <c r="B7079">
        <v>2017</v>
      </c>
      <c r="C7079" t="s">
        <v>82</v>
      </c>
      <c r="D7079" t="s">
        <v>183</v>
      </c>
      <c r="E7079" t="s">
        <v>13</v>
      </c>
      <c r="F7079">
        <v>0.33708474040031433</v>
      </c>
    </row>
    <row r="7080" spans="2:6">
      <c r="B7080">
        <v>2017</v>
      </c>
      <c r="C7080" t="s">
        <v>82</v>
      </c>
      <c r="D7080" t="s">
        <v>183</v>
      </c>
      <c r="E7080" t="s">
        <v>14</v>
      </c>
      <c r="F7080">
        <v>0.83338892459869385</v>
      </c>
    </row>
    <row r="7081" spans="2:6">
      <c r="B7081">
        <v>2017</v>
      </c>
      <c r="C7081" t="s">
        <v>82</v>
      </c>
      <c r="D7081" t="s">
        <v>183</v>
      </c>
      <c r="E7081" t="s">
        <v>15</v>
      </c>
      <c r="F7081">
        <v>0.21278412640094757</v>
      </c>
    </row>
    <row r="7082" spans="2:6">
      <c r="B7082">
        <v>2018</v>
      </c>
      <c r="C7082" t="s">
        <v>82</v>
      </c>
      <c r="D7082" t="s">
        <v>183</v>
      </c>
      <c r="E7082" t="s">
        <v>7</v>
      </c>
      <c r="F7082">
        <v>6.9623355865478516</v>
      </c>
    </row>
    <row r="7083" spans="2:6">
      <c r="B7083">
        <v>2018</v>
      </c>
      <c r="C7083" t="s">
        <v>82</v>
      </c>
      <c r="D7083" t="s">
        <v>183</v>
      </c>
      <c r="E7083" t="s">
        <v>8</v>
      </c>
      <c r="F7083">
        <v>11.332249641418457</v>
      </c>
    </row>
    <row r="7084" spans="2:6">
      <c r="B7084">
        <v>2018</v>
      </c>
      <c r="C7084" t="s">
        <v>82</v>
      </c>
      <c r="D7084" t="s">
        <v>183</v>
      </c>
      <c r="E7084" t="s">
        <v>9</v>
      </c>
      <c r="F7084">
        <v>0.93786239624023438</v>
      </c>
    </row>
    <row r="7085" spans="2:6">
      <c r="B7085">
        <v>2018</v>
      </c>
      <c r="C7085" t="s">
        <v>82</v>
      </c>
      <c r="D7085" t="s">
        <v>183</v>
      </c>
      <c r="E7085" t="s">
        <v>10</v>
      </c>
      <c r="F7085">
        <v>72.300003051757813</v>
      </c>
    </row>
    <row r="7086" spans="2:6">
      <c r="B7086">
        <v>2018</v>
      </c>
      <c r="C7086" t="s">
        <v>82</v>
      </c>
      <c r="D7086" t="s">
        <v>183</v>
      </c>
      <c r="E7086" t="s">
        <v>11</v>
      </c>
      <c r="F7086">
        <v>0.86147159337997437</v>
      </c>
    </row>
    <row r="7087" spans="2:6">
      <c r="B7087">
        <v>2018</v>
      </c>
      <c r="C7087" t="s">
        <v>82</v>
      </c>
      <c r="D7087" t="s">
        <v>183</v>
      </c>
      <c r="E7087" t="s">
        <v>12</v>
      </c>
      <c r="F7087">
        <v>0.14419397711753845</v>
      </c>
    </row>
    <row r="7088" spans="2:6">
      <c r="B7088">
        <v>2018</v>
      </c>
      <c r="C7088" t="s">
        <v>82</v>
      </c>
      <c r="D7088" t="s">
        <v>183</v>
      </c>
      <c r="E7088" t="s">
        <v>13</v>
      </c>
      <c r="F7088">
        <v>0.36221024394035339</v>
      </c>
    </row>
    <row r="7089" spans="2:6">
      <c r="B7089">
        <v>2018</v>
      </c>
      <c r="C7089" t="s">
        <v>82</v>
      </c>
      <c r="D7089" t="s">
        <v>183</v>
      </c>
      <c r="E7089" t="s">
        <v>14</v>
      </c>
      <c r="F7089">
        <v>0.81085723638534546</v>
      </c>
    </row>
    <row r="7090" spans="2:6">
      <c r="B7090">
        <v>2018</v>
      </c>
      <c r="C7090" t="s">
        <v>82</v>
      </c>
      <c r="D7090" t="s">
        <v>183</v>
      </c>
      <c r="E7090" t="s">
        <v>15</v>
      </c>
      <c r="F7090">
        <v>0.21305006742477417</v>
      </c>
    </row>
    <row r="7091" spans="2:6">
      <c r="B7091">
        <v>2019</v>
      </c>
      <c r="C7091" t="s">
        <v>82</v>
      </c>
      <c r="D7091" t="s">
        <v>183</v>
      </c>
      <c r="E7091" t="s">
        <v>7</v>
      </c>
      <c r="F7091">
        <v>7.2548413276672363</v>
      </c>
    </row>
    <row r="7092" spans="2:6">
      <c r="B7092">
        <v>2019</v>
      </c>
      <c r="C7092" t="s">
        <v>82</v>
      </c>
      <c r="D7092" t="s">
        <v>183</v>
      </c>
      <c r="E7092" t="s">
        <v>8</v>
      </c>
      <c r="F7092">
        <v>11.371147155761719</v>
      </c>
    </row>
    <row r="7093" spans="2:6">
      <c r="B7093">
        <v>2019</v>
      </c>
      <c r="C7093" t="s">
        <v>82</v>
      </c>
      <c r="D7093" t="s">
        <v>183</v>
      </c>
      <c r="E7093" t="s">
        <v>9</v>
      </c>
      <c r="F7093">
        <v>0.94372636079788208</v>
      </c>
    </row>
    <row r="7094" spans="2:6">
      <c r="B7094">
        <v>2019</v>
      </c>
      <c r="C7094" t="s">
        <v>82</v>
      </c>
      <c r="D7094" t="s">
        <v>183</v>
      </c>
      <c r="E7094" t="s">
        <v>10</v>
      </c>
      <c r="F7094">
        <v>72.400001525878906</v>
      </c>
    </row>
    <row r="7095" spans="2:6">
      <c r="B7095">
        <v>2019</v>
      </c>
      <c r="C7095" t="s">
        <v>82</v>
      </c>
      <c r="D7095" t="s">
        <v>183</v>
      </c>
      <c r="E7095" t="s">
        <v>11</v>
      </c>
      <c r="F7095">
        <v>0.89245867729187012</v>
      </c>
    </row>
    <row r="7096" spans="2:6">
      <c r="B7096">
        <v>2019</v>
      </c>
      <c r="C7096" t="s">
        <v>82</v>
      </c>
      <c r="D7096" t="s">
        <v>183</v>
      </c>
      <c r="E7096" t="s">
        <v>12</v>
      </c>
      <c r="F7096">
        <v>7.3612771928310394E-2</v>
      </c>
    </row>
    <row r="7097" spans="2:6">
      <c r="B7097">
        <v>2019</v>
      </c>
      <c r="C7097" t="s">
        <v>82</v>
      </c>
      <c r="D7097" t="s">
        <v>183</v>
      </c>
      <c r="E7097" t="s">
        <v>13</v>
      </c>
      <c r="F7097">
        <v>0.37280356884002686</v>
      </c>
    </row>
    <row r="7098" spans="2:6">
      <c r="B7098">
        <v>2019</v>
      </c>
      <c r="C7098" t="s">
        <v>82</v>
      </c>
      <c r="D7098" t="s">
        <v>183</v>
      </c>
      <c r="E7098" t="s">
        <v>14</v>
      </c>
      <c r="F7098">
        <v>0.80701488256454468</v>
      </c>
    </row>
    <row r="7099" spans="2:6">
      <c r="B7099">
        <v>2019</v>
      </c>
      <c r="C7099" t="s">
        <v>82</v>
      </c>
      <c r="D7099" t="s">
        <v>183</v>
      </c>
      <c r="E7099" t="s">
        <v>15</v>
      </c>
      <c r="F7099">
        <v>0.22329986095428467</v>
      </c>
    </row>
    <row r="7100" spans="2:6">
      <c r="B7100">
        <v>2020</v>
      </c>
      <c r="C7100" t="s">
        <v>82</v>
      </c>
      <c r="D7100" t="s">
        <v>183</v>
      </c>
      <c r="E7100" t="s">
        <v>7</v>
      </c>
      <c r="F7100">
        <v>7.0349307060241699</v>
      </c>
    </row>
    <row r="7101" spans="2:6">
      <c r="B7101">
        <v>2020</v>
      </c>
      <c r="C7101" t="s">
        <v>82</v>
      </c>
      <c r="D7101" t="s">
        <v>183</v>
      </c>
      <c r="E7101" t="s">
        <v>8</v>
      </c>
      <c r="F7101">
        <v>11.322803497314453</v>
      </c>
    </row>
    <row r="7102" spans="2:6">
      <c r="B7102">
        <v>2020</v>
      </c>
      <c r="C7102" t="s">
        <v>82</v>
      </c>
      <c r="D7102" t="s">
        <v>183</v>
      </c>
      <c r="E7102" t="s">
        <v>9</v>
      </c>
      <c r="F7102">
        <v>0.96031105518341064</v>
      </c>
    </row>
    <row r="7103" spans="2:6">
      <c r="B7103">
        <v>2020</v>
      </c>
      <c r="C7103" t="s">
        <v>82</v>
      </c>
      <c r="D7103" t="s">
        <v>183</v>
      </c>
      <c r="E7103" t="s">
        <v>10</v>
      </c>
      <c r="F7103">
        <v>72.5</v>
      </c>
    </row>
    <row r="7104" spans="2:6">
      <c r="B7104">
        <v>2020</v>
      </c>
      <c r="C7104" t="s">
        <v>82</v>
      </c>
      <c r="D7104" t="s">
        <v>183</v>
      </c>
      <c r="E7104" t="s">
        <v>11</v>
      </c>
      <c r="F7104">
        <v>0.88209825754165649</v>
      </c>
    </row>
    <row r="7105" spans="2:6">
      <c r="B7105">
        <v>2020</v>
      </c>
      <c r="C7105" t="s">
        <v>82</v>
      </c>
      <c r="D7105" t="s">
        <v>183</v>
      </c>
      <c r="E7105" t="s">
        <v>12</v>
      </c>
      <c r="F7105">
        <v>1.3816552236676216E-2</v>
      </c>
    </row>
    <row r="7106" spans="2:6">
      <c r="B7106">
        <v>2020</v>
      </c>
      <c r="C7106" t="s">
        <v>82</v>
      </c>
      <c r="D7106" t="s">
        <v>183</v>
      </c>
      <c r="E7106" t="s">
        <v>13</v>
      </c>
      <c r="F7106">
        <v>0.3556327223777771</v>
      </c>
    </row>
    <row r="7107" spans="2:6">
      <c r="B7107">
        <v>2020</v>
      </c>
      <c r="C7107" t="s">
        <v>82</v>
      </c>
      <c r="D7107" t="s">
        <v>183</v>
      </c>
      <c r="E7107" t="s">
        <v>14</v>
      </c>
      <c r="F7107">
        <v>0.79666101932525635</v>
      </c>
    </row>
    <row r="7108" spans="2:6">
      <c r="B7108">
        <v>2020</v>
      </c>
      <c r="C7108" t="s">
        <v>82</v>
      </c>
      <c r="D7108" t="s">
        <v>183</v>
      </c>
      <c r="E7108" t="s">
        <v>15</v>
      </c>
      <c r="F7108">
        <v>0.24644726514816284</v>
      </c>
    </row>
    <row r="7109" spans="2:6">
      <c r="B7109">
        <v>2006</v>
      </c>
      <c r="C7109" t="s">
        <v>83</v>
      </c>
      <c r="D7109" t="s">
        <v>182</v>
      </c>
      <c r="E7109" t="s">
        <v>7</v>
      </c>
      <c r="F7109">
        <v>7.1734170913696289</v>
      </c>
    </row>
    <row r="7110" spans="2:6">
      <c r="B7110">
        <v>2006</v>
      </c>
      <c r="C7110" t="s">
        <v>83</v>
      </c>
      <c r="D7110" t="s">
        <v>182</v>
      </c>
      <c r="E7110" t="s">
        <v>8</v>
      </c>
      <c r="F7110">
        <v>10.389375686645508</v>
      </c>
    </row>
    <row r="7111" spans="2:6">
      <c r="B7111">
        <v>2006</v>
      </c>
      <c r="C7111" t="s">
        <v>83</v>
      </c>
      <c r="D7111" t="s">
        <v>182</v>
      </c>
      <c r="E7111" t="s">
        <v>9</v>
      </c>
      <c r="F7111">
        <v>0.92707890272140503</v>
      </c>
    </row>
    <row r="7112" spans="2:6">
      <c r="B7112">
        <v>2006</v>
      </c>
      <c r="C7112" t="s">
        <v>83</v>
      </c>
      <c r="D7112" t="s">
        <v>182</v>
      </c>
      <c r="E7112" t="s">
        <v>10</v>
      </c>
      <c r="F7112">
        <v>71.120002746582031</v>
      </c>
    </row>
    <row r="7113" spans="2:6">
      <c r="B7113">
        <v>2006</v>
      </c>
      <c r="C7113" t="s">
        <v>83</v>
      </c>
      <c r="D7113" t="s">
        <v>182</v>
      </c>
      <c r="E7113" t="s">
        <v>11</v>
      </c>
      <c r="F7113">
        <v>0.81665283441543579</v>
      </c>
    </row>
    <row r="7114" spans="2:6">
      <c r="B7114">
        <v>2006</v>
      </c>
      <c r="C7114" t="s">
        <v>83</v>
      </c>
      <c r="D7114" t="s">
        <v>182</v>
      </c>
      <c r="E7114" t="s">
        <v>13</v>
      </c>
      <c r="F7114">
        <v>0.90537476539611816</v>
      </c>
    </row>
    <row r="7115" spans="2:6">
      <c r="B7115">
        <v>2006</v>
      </c>
      <c r="C7115" t="s">
        <v>83</v>
      </c>
      <c r="D7115" t="s">
        <v>182</v>
      </c>
      <c r="E7115" t="s">
        <v>14</v>
      </c>
      <c r="F7115">
        <v>0.6964384913444519</v>
      </c>
    </row>
    <row r="7116" spans="2:6">
      <c r="B7116">
        <v>2006</v>
      </c>
      <c r="C7116" t="s">
        <v>83</v>
      </c>
      <c r="D7116" t="s">
        <v>182</v>
      </c>
      <c r="E7116" t="s">
        <v>15</v>
      </c>
      <c r="F7116">
        <v>0.30849561095237732</v>
      </c>
    </row>
    <row r="7117" spans="2:6">
      <c r="B7117">
        <v>2007</v>
      </c>
      <c r="C7117" t="s">
        <v>83</v>
      </c>
      <c r="D7117" t="s">
        <v>182</v>
      </c>
      <c r="E7117" t="s">
        <v>7</v>
      </c>
      <c r="F7117">
        <v>6.8411149978637695</v>
      </c>
    </row>
    <row r="7118" spans="2:6">
      <c r="B7118">
        <v>2007</v>
      </c>
      <c r="C7118" t="s">
        <v>83</v>
      </c>
      <c r="D7118" t="s">
        <v>182</v>
      </c>
      <c r="E7118" t="s">
        <v>8</v>
      </c>
      <c r="F7118">
        <v>10.42774486541748</v>
      </c>
    </row>
    <row r="7119" spans="2:6">
      <c r="B7119">
        <v>2007</v>
      </c>
      <c r="C7119" t="s">
        <v>83</v>
      </c>
      <c r="D7119" t="s">
        <v>182</v>
      </c>
      <c r="E7119" t="s">
        <v>9</v>
      </c>
      <c r="F7119">
        <v>0.86821681261062622</v>
      </c>
    </row>
    <row r="7120" spans="2:6">
      <c r="B7120">
        <v>2007</v>
      </c>
      <c r="C7120" t="s">
        <v>83</v>
      </c>
      <c r="D7120" t="s">
        <v>182</v>
      </c>
      <c r="E7120" t="s">
        <v>10</v>
      </c>
      <c r="F7120">
        <v>71.44000244140625</v>
      </c>
    </row>
    <row r="7121" spans="2:6">
      <c r="B7121">
        <v>2007</v>
      </c>
      <c r="C7121" t="s">
        <v>83</v>
      </c>
      <c r="D7121" t="s">
        <v>182</v>
      </c>
      <c r="E7121" t="s">
        <v>11</v>
      </c>
      <c r="F7121">
        <v>0.68286406993865967</v>
      </c>
    </row>
    <row r="7122" spans="2:6">
      <c r="B7122">
        <v>2007</v>
      </c>
      <c r="C7122" t="s">
        <v>83</v>
      </c>
      <c r="D7122" t="s">
        <v>182</v>
      </c>
      <c r="E7122" t="s">
        <v>12</v>
      </c>
      <c r="F7122">
        <v>0.21923598647117615</v>
      </c>
    </row>
    <row r="7123" spans="2:6">
      <c r="B7123">
        <v>2007</v>
      </c>
      <c r="C7123" t="s">
        <v>83</v>
      </c>
      <c r="D7123" t="s">
        <v>182</v>
      </c>
      <c r="E7123" t="s">
        <v>13</v>
      </c>
      <c r="F7123">
        <v>0.86782097816467285</v>
      </c>
    </row>
    <row r="7124" spans="2:6">
      <c r="B7124">
        <v>2007</v>
      </c>
      <c r="C7124" t="s">
        <v>83</v>
      </c>
      <c r="D7124" t="s">
        <v>182</v>
      </c>
      <c r="E7124" t="s">
        <v>14</v>
      </c>
      <c r="F7124">
        <v>0.69574010372161865</v>
      </c>
    </row>
    <row r="7125" spans="2:6">
      <c r="B7125">
        <v>2007</v>
      </c>
      <c r="C7125" t="s">
        <v>83</v>
      </c>
      <c r="D7125" t="s">
        <v>182</v>
      </c>
      <c r="E7125" t="s">
        <v>15</v>
      </c>
      <c r="F7125">
        <v>0.31989359855651855</v>
      </c>
    </row>
    <row r="7126" spans="2:6">
      <c r="B7126">
        <v>2008</v>
      </c>
      <c r="C7126" t="s">
        <v>83</v>
      </c>
      <c r="D7126" t="s">
        <v>182</v>
      </c>
      <c r="E7126" t="s">
        <v>7</v>
      </c>
      <c r="F7126">
        <v>7.2612614631652832</v>
      </c>
    </row>
    <row r="7127" spans="2:6">
      <c r="B7127">
        <v>2008</v>
      </c>
      <c r="C7127" t="s">
        <v>83</v>
      </c>
      <c r="D7127" t="s">
        <v>182</v>
      </c>
      <c r="E7127" t="s">
        <v>8</v>
      </c>
      <c r="F7127">
        <v>10.43950366973877</v>
      </c>
    </row>
    <row r="7128" spans="2:6">
      <c r="B7128">
        <v>2008</v>
      </c>
      <c r="C7128" t="s">
        <v>83</v>
      </c>
      <c r="D7128" t="s">
        <v>182</v>
      </c>
      <c r="E7128" t="s">
        <v>9</v>
      </c>
      <c r="F7128">
        <v>0.85926413536071777</v>
      </c>
    </row>
    <row r="7129" spans="2:6">
      <c r="B7129">
        <v>2008</v>
      </c>
      <c r="C7129" t="s">
        <v>83</v>
      </c>
      <c r="D7129" t="s">
        <v>182</v>
      </c>
      <c r="E7129" t="s">
        <v>10</v>
      </c>
      <c r="F7129">
        <v>71.760002136230469</v>
      </c>
    </row>
    <row r="7130" spans="2:6">
      <c r="B7130">
        <v>2008</v>
      </c>
      <c r="C7130" t="s">
        <v>83</v>
      </c>
      <c r="D7130" t="s">
        <v>182</v>
      </c>
      <c r="E7130" t="s">
        <v>11</v>
      </c>
      <c r="F7130">
        <v>0.66296917200088501</v>
      </c>
    </row>
    <row r="7131" spans="2:6">
      <c r="B7131">
        <v>2008</v>
      </c>
      <c r="C7131" t="s">
        <v>83</v>
      </c>
      <c r="D7131" t="s">
        <v>182</v>
      </c>
      <c r="E7131" t="s">
        <v>12</v>
      </c>
      <c r="F7131">
        <v>0.13859961926937103</v>
      </c>
    </row>
    <row r="7132" spans="2:6">
      <c r="B7132">
        <v>2008</v>
      </c>
      <c r="C7132" t="s">
        <v>83</v>
      </c>
      <c r="D7132" t="s">
        <v>182</v>
      </c>
      <c r="E7132" t="s">
        <v>13</v>
      </c>
      <c r="F7132">
        <v>0.89819639921188354</v>
      </c>
    </row>
    <row r="7133" spans="2:6">
      <c r="B7133">
        <v>2008</v>
      </c>
      <c r="C7133" t="s">
        <v>83</v>
      </c>
      <c r="D7133" t="s">
        <v>182</v>
      </c>
      <c r="E7133" t="s">
        <v>14</v>
      </c>
      <c r="F7133">
        <v>0.70969533920288086</v>
      </c>
    </row>
    <row r="7134" spans="2:6">
      <c r="B7134">
        <v>2008</v>
      </c>
      <c r="C7134" t="s">
        <v>83</v>
      </c>
      <c r="D7134" t="s">
        <v>182</v>
      </c>
      <c r="E7134" t="s">
        <v>15</v>
      </c>
      <c r="F7134">
        <v>0.34939464926719666</v>
      </c>
    </row>
    <row r="7135" spans="2:6">
      <c r="B7135">
        <v>2009</v>
      </c>
      <c r="C7135" t="s">
        <v>83</v>
      </c>
      <c r="D7135" t="s">
        <v>182</v>
      </c>
      <c r="E7135" t="s">
        <v>7</v>
      </c>
      <c r="F7135">
        <v>7.3529791831970215</v>
      </c>
    </row>
    <row r="7136" spans="2:6">
      <c r="B7136">
        <v>2009</v>
      </c>
      <c r="C7136" t="s">
        <v>83</v>
      </c>
      <c r="D7136" t="s">
        <v>182</v>
      </c>
      <c r="E7136" t="s">
        <v>8</v>
      </c>
      <c r="F7136">
        <v>10.424801826477051</v>
      </c>
    </row>
    <row r="7137" spans="2:6">
      <c r="B7137">
        <v>2009</v>
      </c>
      <c r="C7137" t="s">
        <v>83</v>
      </c>
      <c r="D7137" t="s">
        <v>182</v>
      </c>
      <c r="E7137" t="s">
        <v>9</v>
      </c>
      <c r="F7137">
        <v>0.93657302856445313</v>
      </c>
    </row>
    <row r="7138" spans="2:6">
      <c r="B7138">
        <v>2009</v>
      </c>
      <c r="C7138" t="s">
        <v>83</v>
      </c>
      <c r="D7138" t="s">
        <v>182</v>
      </c>
      <c r="E7138" t="s">
        <v>10</v>
      </c>
      <c r="F7138">
        <v>72.080001831054688</v>
      </c>
    </row>
    <row r="7139" spans="2:6">
      <c r="B7139">
        <v>2009</v>
      </c>
      <c r="C7139" t="s">
        <v>83</v>
      </c>
      <c r="D7139" t="s">
        <v>182</v>
      </c>
      <c r="E7139" t="s">
        <v>11</v>
      </c>
      <c r="F7139">
        <v>0.5925297737121582</v>
      </c>
    </row>
    <row r="7140" spans="2:6">
      <c r="B7140">
        <v>2009</v>
      </c>
      <c r="C7140" t="s">
        <v>83</v>
      </c>
      <c r="D7140" t="s">
        <v>182</v>
      </c>
      <c r="E7140" t="s">
        <v>12</v>
      </c>
      <c r="F7140">
        <v>0.17166700959205627</v>
      </c>
    </row>
    <row r="7141" spans="2:6">
      <c r="B7141">
        <v>2009</v>
      </c>
      <c r="C7141" t="s">
        <v>83</v>
      </c>
      <c r="D7141" t="s">
        <v>182</v>
      </c>
      <c r="E7141" t="s">
        <v>13</v>
      </c>
      <c r="F7141">
        <v>0.92271840572357178</v>
      </c>
    </row>
    <row r="7142" spans="2:6">
      <c r="B7142">
        <v>2009</v>
      </c>
      <c r="C7142" t="s">
        <v>83</v>
      </c>
      <c r="D7142" t="s">
        <v>182</v>
      </c>
      <c r="E7142" t="s">
        <v>14</v>
      </c>
      <c r="F7142">
        <v>0.69539892673492432</v>
      </c>
    </row>
    <row r="7143" spans="2:6">
      <c r="B7143">
        <v>2009</v>
      </c>
      <c r="C7143" t="s">
        <v>83</v>
      </c>
      <c r="D7143" t="s">
        <v>182</v>
      </c>
      <c r="E7143" t="s">
        <v>15</v>
      </c>
      <c r="F7143">
        <v>0.3265836238861084</v>
      </c>
    </row>
    <row r="7144" spans="2:6">
      <c r="B7144">
        <v>2010</v>
      </c>
      <c r="C7144" t="s">
        <v>83</v>
      </c>
      <c r="D7144" t="s">
        <v>182</v>
      </c>
      <c r="E7144" t="s">
        <v>7</v>
      </c>
      <c r="F7144">
        <v>7.3589162826538086</v>
      </c>
    </row>
    <row r="7145" spans="2:6">
      <c r="B7145">
        <v>2010</v>
      </c>
      <c r="C7145" t="s">
        <v>83</v>
      </c>
      <c r="D7145" t="s">
        <v>182</v>
      </c>
      <c r="E7145" t="s">
        <v>8</v>
      </c>
      <c r="F7145">
        <v>10.461032867431641</v>
      </c>
    </row>
    <row r="7146" spans="2:6">
      <c r="B7146">
        <v>2010</v>
      </c>
      <c r="C7146" t="s">
        <v>83</v>
      </c>
      <c r="D7146" t="s">
        <v>182</v>
      </c>
      <c r="E7146" t="s">
        <v>9</v>
      </c>
      <c r="F7146">
        <v>0.88182985782623291</v>
      </c>
    </row>
    <row r="7147" spans="2:6">
      <c r="B7147">
        <v>2010</v>
      </c>
      <c r="C7147" t="s">
        <v>83</v>
      </c>
      <c r="D7147" t="s">
        <v>182</v>
      </c>
      <c r="E7147" t="s">
        <v>10</v>
      </c>
      <c r="F7147">
        <v>72.400001525878906</v>
      </c>
    </row>
    <row r="7148" spans="2:6">
      <c r="B7148">
        <v>2010</v>
      </c>
      <c r="C7148" t="s">
        <v>83</v>
      </c>
      <c r="D7148" t="s">
        <v>182</v>
      </c>
      <c r="E7148" t="s">
        <v>11</v>
      </c>
      <c r="F7148">
        <v>0.5614778995513916</v>
      </c>
    </row>
    <row r="7149" spans="2:6">
      <c r="B7149">
        <v>2010</v>
      </c>
      <c r="C7149" t="s">
        <v>83</v>
      </c>
      <c r="D7149" t="s">
        <v>182</v>
      </c>
      <c r="E7149" t="s">
        <v>12</v>
      </c>
      <c r="F7149">
        <v>0.14988914132118225</v>
      </c>
    </row>
    <row r="7150" spans="2:6">
      <c r="B7150">
        <v>2010</v>
      </c>
      <c r="C7150" t="s">
        <v>83</v>
      </c>
      <c r="D7150" t="s">
        <v>182</v>
      </c>
      <c r="E7150" t="s">
        <v>13</v>
      </c>
      <c r="F7150">
        <v>0.90218269824981689</v>
      </c>
    </row>
    <row r="7151" spans="2:6">
      <c r="B7151">
        <v>2010</v>
      </c>
      <c r="C7151" t="s">
        <v>83</v>
      </c>
      <c r="D7151" t="s">
        <v>182</v>
      </c>
      <c r="E7151" t="s">
        <v>14</v>
      </c>
      <c r="F7151">
        <v>0.6794583797454834</v>
      </c>
    </row>
    <row r="7152" spans="2:6">
      <c r="B7152">
        <v>2010</v>
      </c>
      <c r="C7152" t="s">
        <v>83</v>
      </c>
      <c r="D7152" t="s">
        <v>182</v>
      </c>
      <c r="E7152" t="s">
        <v>15</v>
      </c>
      <c r="F7152">
        <v>0.36239436268806458</v>
      </c>
    </row>
    <row r="7153" spans="2:6">
      <c r="B7153">
        <v>2011</v>
      </c>
      <c r="C7153" t="s">
        <v>83</v>
      </c>
      <c r="D7153" t="s">
        <v>182</v>
      </c>
      <c r="E7153" t="s">
        <v>7</v>
      </c>
      <c r="F7153">
        <v>7.4331479072570801</v>
      </c>
    </row>
    <row r="7154" spans="2:6">
      <c r="B7154">
        <v>2011</v>
      </c>
      <c r="C7154" t="s">
        <v>83</v>
      </c>
      <c r="D7154" t="s">
        <v>182</v>
      </c>
      <c r="E7154" t="s">
        <v>8</v>
      </c>
      <c r="F7154">
        <v>10.489278793334961</v>
      </c>
    </row>
    <row r="7155" spans="2:6">
      <c r="B7155">
        <v>2011</v>
      </c>
      <c r="C7155" t="s">
        <v>83</v>
      </c>
      <c r="D7155" t="s">
        <v>182</v>
      </c>
      <c r="E7155" t="s">
        <v>9</v>
      </c>
      <c r="F7155">
        <v>0.8926965594291687</v>
      </c>
    </row>
    <row r="7156" spans="2:6">
      <c r="B7156">
        <v>2011</v>
      </c>
      <c r="C7156" t="s">
        <v>83</v>
      </c>
      <c r="D7156" t="s">
        <v>182</v>
      </c>
      <c r="E7156" t="s">
        <v>10</v>
      </c>
      <c r="F7156">
        <v>72.459999084472656</v>
      </c>
    </row>
    <row r="7157" spans="2:6">
      <c r="B7157">
        <v>2011</v>
      </c>
      <c r="C7157" t="s">
        <v>83</v>
      </c>
      <c r="D7157" t="s">
        <v>182</v>
      </c>
      <c r="E7157" t="s">
        <v>11</v>
      </c>
      <c r="F7157">
        <v>0.72226923704147339</v>
      </c>
    </row>
    <row r="7158" spans="2:6">
      <c r="B7158">
        <v>2011</v>
      </c>
      <c r="C7158" t="s">
        <v>83</v>
      </c>
      <c r="D7158" t="s">
        <v>182</v>
      </c>
      <c r="E7158" t="s">
        <v>12</v>
      </c>
      <c r="F7158">
        <v>0.1408669501543045</v>
      </c>
    </row>
    <row r="7159" spans="2:6">
      <c r="B7159">
        <v>2011</v>
      </c>
      <c r="C7159" t="s">
        <v>83</v>
      </c>
      <c r="D7159" t="s">
        <v>182</v>
      </c>
      <c r="E7159" t="s">
        <v>13</v>
      </c>
      <c r="F7159">
        <v>0.89129537343978882</v>
      </c>
    </row>
    <row r="7160" spans="2:6">
      <c r="B7160">
        <v>2011</v>
      </c>
      <c r="C7160" t="s">
        <v>83</v>
      </c>
      <c r="D7160" t="s">
        <v>182</v>
      </c>
      <c r="E7160" t="s">
        <v>14</v>
      </c>
      <c r="F7160">
        <v>0.73790723085403442</v>
      </c>
    </row>
    <row r="7161" spans="2:6">
      <c r="B7161">
        <v>2011</v>
      </c>
      <c r="C7161" t="s">
        <v>83</v>
      </c>
      <c r="D7161" t="s">
        <v>182</v>
      </c>
      <c r="E7161" t="s">
        <v>15</v>
      </c>
      <c r="F7161">
        <v>0.38447502255439758</v>
      </c>
    </row>
    <row r="7162" spans="2:6">
      <c r="B7162">
        <v>2012</v>
      </c>
      <c r="C7162" t="s">
        <v>83</v>
      </c>
      <c r="D7162" t="s">
        <v>182</v>
      </c>
      <c r="E7162" t="s">
        <v>7</v>
      </c>
      <c r="F7162">
        <v>7.1108546257019043</v>
      </c>
    </row>
    <row r="7163" spans="2:6">
      <c r="B7163">
        <v>2012</v>
      </c>
      <c r="C7163" t="s">
        <v>83</v>
      </c>
      <c r="D7163" t="s">
        <v>182</v>
      </c>
      <c r="E7163" t="s">
        <v>8</v>
      </c>
      <c r="F7163">
        <v>10.493138313293457</v>
      </c>
    </row>
    <row r="7164" spans="2:6">
      <c r="B7164">
        <v>2012</v>
      </c>
      <c r="C7164" t="s">
        <v>83</v>
      </c>
      <c r="D7164" t="s">
        <v>182</v>
      </c>
      <c r="E7164" t="s">
        <v>9</v>
      </c>
      <c r="F7164">
        <v>0.9034155011177063</v>
      </c>
    </row>
    <row r="7165" spans="2:6">
      <c r="B7165">
        <v>2012</v>
      </c>
      <c r="C7165" t="s">
        <v>83</v>
      </c>
      <c r="D7165" t="s">
        <v>182</v>
      </c>
      <c r="E7165" t="s">
        <v>10</v>
      </c>
      <c r="F7165">
        <v>72.519996643066406</v>
      </c>
    </row>
    <row r="7166" spans="2:6">
      <c r="B7166">
        <v>2012</v>
      </c>
      <c r="C7166" t="s">
        <v>83</v>
      </c>
      <c r="D7166" t="s">
        <v>182</v>
      </c>
      <c r="E7166" t="s">
        <v>11</v>
      </c>
      <c r="F7166">
        <v>0.68143922090530396</v>
      </c>
    </row>
    <row r="7167" spans="2:6">
      <c r="B7167">
        <v>2012</v>
      </c>
      <c r="C7167" t="s">
        <v>83</v>
      </c>
      <c r="D7167" t="s">
        <v>182</v>
      </c>
      <c r="E7167" t="s">
        <v>12</v>
      </c>
      <c r="F7167">
        <v>0.15281347930431366</v>
      </c>
    </row>
    <row r="7168" spans="2:6">
      <c r="B7168">
        <v>2012</v>
      </c>
      <c r="C7168" t="s">
        <v>83</v>
      </c>
      <c r="D7168" t="s">
        <v>182</v>
      </c>
      <c r="E7168" t="s">
        <v>13</v>
      </c>
      <c r="F7168">
        <v>0.86232727766036987</v>
      </c>
    </row>
    <row r="7169" spans="2:6">
      <c r="B7169">
        <v>2012</v>
      </c>
      <c r="C7169" t="s">
        <v>83</v>
      </c>
      <c r="D7169" t="s">
        <v>182</v>
      </c>
      <c r="E7169" t="s">
        <v>14</v>
      </c>
      <c r="F7169">
        <v>0.66510182619094849</v>
      </c>
    </row>
    <row r="7170" spans="2:6">
      <c r="B7170">
        <v>2012</v>
      </c>
      <c r="C7170" t="s">
        <v>83</v>
      </c>
      <c r="D7170" t="s">
        <v>182</v>
      </c>
      <c r="E7170" t="s">
        <v>15</v>
      </c>
      <c r="F7170">
        <v>0.31923145055770874</v>
      </c>
    </row>
    <row r="7171" spans="2:6">
      <c r="B7171">
        <v>2013</v>
      </c>
      <c r="C7171" t="s">
        <v>83</v>
      </c>
      <c r="D7171" t="s">
        <v>182</v>
      </c>
      <c r="E7171" t="s">
        <v>7</v>
      </c>
      <c r="F7171">
        <v>7.3205633163452148</v>
      </c>
    </row>
    <row r="7172" spans="2:6">
      <c r="B7172">
        <v>2013</v>
      </c>
      <c r="C7172" t="s">
        <v>83</v>
      </c>
      <c r="D7172" t="s">
        <v>182</v>
      </c>
      <c r="E7172" t="s">
        <v>8</v>
      </c>
      <c r="F7172">
        <v>10.515121459960938</v>
      </c>
    </row>
    <row r="7173" spans="2:6">
      <c r="B7173">
        <v>2013</v>
      </c>
      <c r="C7173" t="s">
        <v>83</v>
      </c>
      <c r="D7173" t="s">
        <v>182</v>
      </c>
      <c r="E7173" t="s">
        <v>9</v>
      </c>
      <c r="F7173">
        <v>0.90851587057113647</v>
      </c>
    </row>
    <row r="7174" spans="2:6">
      <c r="B7174">
        <v>2013</v>
      </c>
      <c r="C7174" t="s">
        <v>83</v>
      </c>
      <c r="D7174" t="s">
        <v>182</v>
      </c>
      <c r="E7174" t="s">
        <v>10</v>
      </c>
      <c r="F7174">
        <v>72.580001831054688</v>
      </c>
    </row>
    <row r="7175" spans="2:6">
      <c r="B7175">
        <v>2013</v>
      </c>
      <c r="C7175" t="s">
        <v>83</v>
      </c>
      <c r="D7175" t="s">
        <v>182</v>
      </c>
      <c r="E7175" t="s">
        <v>11</v>
      </c>
      <c r="F7175">
        <v>0.73900163173675537</v>
      </c>
    </row>
    <row r="7176" spans="2:6">
      <c r="B7176">
        <v>2013</v>
      </c>
      <c r="C7176" t="s">
        <v>83</v>
      </c>
      <c r="D7176" t="s">
        <v>182</v>
      </c>
      <c r="E7176" t="s">
        <v>12</v>
      </c>
      <c r="F7176">
        <v>0.15038429200649261</v>
      </c>
    </row>
    <row r="7177" spans="2:6">
      <c r="B7177">
        <v>2013</v>
      </c>
      <c r="C7177" t="s">
        <v>83</v>
      </c>
      <c r="D7177" t="s">
        <v>182</v>
      </c>
      <c r="E7177" t="s">
        <v>13</v>
      </c>
      <c r="F7177">
        <v>0.8485378623008728</v>
      </c>
    </row>
    <row r="7178" spans="2:6">
      <c r="B7178">
        <v>2013</v>
      </c>
      <c r="C7178" t="s">
        <v>83</v>
      </c>
      <c r="D7178" t="s">
        <v>182</v>
      </c>
      <c r="E7178" t="s">
        <v>14</v>
      </c>
      <c r="F7178">
        <v>0.69794595241546631</v>
      </c>
    </row>
    <row r="7179" spans="2:6">
      <c r="B7179">
        <v>2013</v>
      </c>
      <c r="C7179" t="s">
        <v>83</v>
      </c>
      <c r="D7179" t="s">
        <v>182</v>
      </c>
      <c r="E7179" t="s">
        <v>15</v>
      </c>
      <c r="F7179">
        <v>0.40857616066932678</v>
      </c>
    </row>
    <row r="7180" spans="2:6">
      <c r="B7180">
        <v>2014</v>
      </c>
      <c r="C7180" t="s">
        <v>83</v>
      </c>
      <c r="D7180" t="s">
        <v>182</v>
      </c>
      <c r="E7180" t="s">
        <v>7</v>
      </c>
      <c r="F7180">
        <v>7.4005703926086426</v>
      </c>
    </row>
    <row r="7181" spans="2:6">
      <c r="B7181">
        <v>2014</v>
      </c>
      <c r="C7181" t="s">
        <v>83</v>
      </c>
      <c r="D7181" t="s">
        <v>182</v>
      </c>
      <c r="E7181" t="s">
        <v>8</v>
      </c>
      <c r="F7181">
        <v>10.532818794250488</v>
      </c>
    </row>
    <row r="7182" spans="2:6">
      <c r="B7182">
        <v>2014</v>
      </c>
      <c r="C7182" t="s">
        <v>83</v>
      </c>
      <c r="D7182" t="s">
        <v>182</v>
      </c>
      <c r="E7182" t="s">
        <v>9</v>
      </c>
      <c r="F7182">
        <v>0.88906973600387573</v>
      </c>
    </row>
    <row r="7183" spans="2:6">
      <c r="B7183">
        <v>2014</v>
      </c>
      <c r="C7183" t="s">
        <v>83</v>
      </c>
      <c r="D7183" t="s">
        <v>182</v>
      </c>
      <c r="E7183" t="s">
        <v>10</v>
      </c>
      <c r="F7183">
        <v>72.639999389648438</v>
      </c>
    </row>
    <row r="7184" spans="2:6">
      <c r="B7184">
        <v>2014</v>
      </c>
      <c r="C7184" t="s">
        <v>83</v>
      </c>
      <c r="D7184" t="s">
        <v>182</v>
      </c>
      <c r="E7184" t="s">
        <v>11</v>
      </c>
      <c r="F7184">
        <v>0.70697462558746338</v>
      </c>
    </row>
    <row r="7185" spans="2:6">
      <c r="B7185">
        <v>2014</v>
      </c>
      <c r="C7185" t="s">
        <v>83</v>
      </c>
      <c r="D7185" t="s">
        <v>182</v>
      </c>
      <c r="E7185" t="s">
        <v>12</v>
      </c>
      <c r="F7185">
        <v>9.3551404774188995E-2</v>
      </c>
    </row>
    <row r="7186" spans="2:6">
      <c r="B7186">
        <v>2014</v>
      </c>
      <c r="C7186" t="s">
        <v>83</v>
      </c>
      <c r="D7186" t="s">
        <v>182</v>
      </c>
      <c r="E7186" t="s">
        <v>13</v>
      </c>
      <c r="F7186">
        <v>0.81803995370864868</v>
      </c>
    </row>
    <row r="7187" spans="2:6">
      <c r="B7187">
        <v>2014</v>
      </c>
      <c r="C7187" t="s">
        <v>83</v>
      </c>
      <c r="D7187" t="s">
        <v>182</v>
      </c>
      <c r="E7187" t="s">
        <v>14</v>
      </c>
      <c r="F7187">
        <v>0.6042931079864502</v>
      </c>
    </row>
    <row r="7188" spans="2:6">
      <c r="B7188">
        <v>2014</v>
      </c>
      <c r="C7188" t="s">
        <v>83</v>
      </c>
      <c r="D7188" t="s">
        <v>182</v>
      </c>
      <c r="E7188" t="s">
        <v>15</v>
      </c>
      <c r="F7188">
        <v>0.27125570178031921</v>
      </c>
    </row>
    <row r="7189" spans="2:6">
      <c r="B7189">
        <v>2015</v>
      </c>
      <c r="C7189" t="s">
        <v>83</v>
      </c>
      <c r="D7189" t="s">
        <v>182</v>
      </c>
      <c r="E7189" t="s">
        <v>7</v>
      </c>
      <c r="F7189">
        <v>7.0794110298156738</v>
      </c>
    </row>
    <row r="7190" spans="2:6">
      <c r="B7190">
        <v>2015</v>
      </c>
      <c r="C7190" t="s">
        <v>83</v>
      </c>
      <c r="D7190" t="s">
        <v>182</v>
      </c>
      <c r="E7190" t="s">
        <v>8</v>
      </c>
      <c r="F7190">
        <v>10.535648345947266</v>
      </c>
    </row>
    <row r="7191" spans="2:6">
      <c r="B7191">
        <v>2015</v>
      </c>
      <c r="C7191" t="s">
        <v>83</v>
      </c>
      <c r="D7191" t="s">
        <v>182</v>
      </c>
      <c r="E7191" t="s">
        <v>9</v>
      </c>
      <c r="F7191">
        <v>0.86413019895553589</v>
      </c>
    </row>
    <row r="7192" spans="2:6">
      <c r="B7192">
        <v>2015</v>
      </c>
      <c r="C7192" t="s">
        <v>83</v>
      </c>
      <c r="D7192" t="s">
        <v>182</v>
      </c>
      <c r="E7192" t="s">
        <v>10</v>
      </c>
      <c r="F7192">
        <v>72.699996948242188</v>
      </c>
    </row>
    <row r="7193" spans="2:6">
      <c r="B7193">
        <v>2015</v>
      </c>
      <c r="C7193" t="s">
        <v>83</v>
      </c>
      <c r="D7193" t="s">
        <v>182</v>
      </c>
      <c r="E7193" t="s">
        <v>11</v>
      </c>
      <c r="F7193">
        <v>0.75278395414352417</v>
      </c>
    </row>
    <row r="7194" spans="2:6">
      <c r="B7194">
        <v>2015</v>
      </c>
      <c r="C7194" t="s">
        <v>83</v>
      </c>
      <c r="D7194" t="s">
        <v>182</v>
      </c>
      <c r="E7194" t="s">
        <v>12</v>
      </c>
      <c r="F7194">
        <v>0.10847609490156174</v>
      </c>
    </row>
    <row r="7195" spans="2:6">
      <c r="B7195">
        <v>2015</v>
      </c>
      <c r="C7195" t="s">
        <v>83</v>
      </c>
      <c r="D7195" t="s">
        <v>182</v>
      </c>
      <c r="E7195" t="s">
        <v>13</v>
      </c>
      <c r="F7195">
        <v>0.78942990303039551</v>
      </c>
    </row>
    <row r="7196" spans="2:6">
      <c r="B7196">
        <v>2015</v>
      </c>
      <c r="C7196" t="s">
        <v>83</v>
      </c>
      <c r="D7196" t="s">
        <v>182</v>
      </c>
      <c r="E7196" t="s">
        <v>14</v>
      </c>
      <c r="F7196">
        <v>0.69654768705368042</v>
      </c>
    </row>
    <row r="7197" spans="2:6">
      <c r="B7197">
        <v>2015</v>
      </c>
      <c r="C7197" t="s">
        <v>83</v>
      </c>
      <c r="D7197" t="s">
        <v>182</v>
      </c>
      <c r="E7197" t="s">
        <v>15</v>
      </c>
      <c r="F7197">
        <v>0.25625824928283691</v>
      </c>
    </row>
    <row r="7198" spans="2:6">
      <c r="B7198">
        <v>2016</v>
      </c>
      <c r="C7198" t="s">
        <v>83</v>
      </c>
      <c r="D7198" t="s">
        <v>182</v>
      </c>
      <c r="E7198" t="s">
        <v>7</v>
      </c>
      <c r="F7198">
        <v>7.1590108871459961</v>
      </c>
    </row>
    <row r="7199" spans="2:6">
      <c r="B7199">
        <v>2016</v>
      </c>
      <c r="C7199" t="s">
        <v>83</v>
      </c>
      <c r="D7199" t="s">
        <v>182</v>
      </c>
      <c r="E7199" t="s">
        <v>8</v>
      </c>
      <c r="F7199">
        <v>10.555092811584473</v>
      </c>
    </row>
    <row r="7200" spans="2:6">
      <c r="B7200">
        <v>2016</v>
      </c>
      <c r="C7200" t="s">
        <v>83</v>
      </c>
      <c r="D7200" t="s">
        <v>182</v>
      </c>
      <c r="E7200" t="s">
        <v>9</v>
      </c>
      <c r="F7200">
        <v>0.88966077566146851</v>
      </c>
    </row>
    <row r="7201" spans="2:6">
      <c r="B7201">
        <v>2016</v>
      </c>
      <c r="C7201" t="s">
        <v>83</v>
      </c>
      <c r="D7201" t="s">
        <v>182</v>
      </c>
      <c r="E7201" t="s">
        <v>10</v>
      </c>
      <c r="F7201">
        <v>72.900001525878906</v>
      </c>
    </row>
    <row r="7202" spans="2:6">
      <c r="B7202">
        <v>2016</v>
      </c>
      <c r="C7202" t="s">
        <v>83</v>
      </c>
      <c r="D7202" t="s">
        <v>182</v>
      </c>
      <c r="E7202" t="s">
        <v>11</v>
      </c>
      <c r="F7202">
        <v>0.77229732275009155</v>
      </c>
    </row>
    <row r="7203" spans="2:6">
      <c r="B7203">
        <v>2016</v>
      </c>
      <c r="C7203" t="s">
        <v>83</v>
      </c>
      <c r="D7203" t="s">
        <v>182</v>
      </c>
      <c r="E7203" t="s">
        <v>12</v>
      </c>
      <c r="F7203">
        <v>0.1531602144241333</v>
      </c>
    </row>
    <row r="7204" spans="2:6">
      <c r="B7204">
        <v>2016</v>
      </c>
      <c r="C7204" t="s">
        <v>83</v>
      </c>
      <c r="D7204" t="s">
        <v>182</v>
      </c>
      <c r="E7204" t="s">
        <v>13</v>
      </c>
      <c r="F7204">
        <v>0.80405658483505249</v>
      </c>
    </row>
    <row r="7205" spans="2:6">
      <c r="B7205">
        <v>2016</v>
      </c>
      <c r="C7205" t="s">
        <v>83</v>
      </c>
      <c r="D7205" t="s">
        <v>182</v>
      </c>
      <c r="E7205" t="s">
        <v>14</v>
      </c>
      <c r="F7205">
        <v>0.62918937206268311</v>
      </c>
    </row>
    <row r="7206" spans="2:6">
      <c r="B7206">
        <v>2016</v>
      </c>
      <c r="C7206" t="s">
        <v>83</v>
      </c>
      <c r="D7206" t="s">
        <v>182</v>
      </c>
      <c r="E7206" t="s">
        <v>15</v>
      </c>
      <c r="F7206">
        <v>0.26309022307395935</v>
      </c>
    </row>
    <row r="7207" spans="2:6">
      <c r="B7207">
        <v>2017</v>
      </c>
      <c r="C7207" t="s">
        <v>83</v>
      </c>
      <c r="D7207" t="s">
        <v>182</v>
      </c>
      <c r="E7207" t="s">
        <v>7</v>
      </c>
      <c r="F7207">
        <v>7.3310360908508301</v>
      </c>
    </row>
    <row r="7208" spans="2:6">
      <c r="B7208">
        <v>2017</v>
      </c>
      <c r="C7208" t="s">
        <v>83</v>
      </c>
      <c r="D7208" t="s">
        <v>182</v>
      </c>
      <c r="E7208" t="s">
        <v>8</v>
      </c>
      <c r="F7208">
        <v>10.570462226867676</v>
      </c>
    </row>
    <row r="7209" spans="2:6">
      <c r="B7209">
        <v>2017</v>
      </c>
      <c r="C7209" t="s">
        <v>83</v>
      </c>
      <c r="D7209" t="s">
        <v>182</v>
      </c>
      <c r="E7209" t="s">
        <v>9</v>
      </c>
      <c r="F7209">
        <v>0.91644084453582764</v>
      </c>
    </row>
    <row r="7210" spans="2:6">
      <c r="B7210">
        <v>2017</v>
      </c>
      <c r="C7210" t="s">
        <v>83</v>
      </c>
      <c r="D7210" t="s">
        <v>182</v>
      </c>
      <c r="E7210" t="s">
        <v>10</v>
      </c>
      <c r="F7210">
        <v>73.099998474121094</v>
      </c>
    </row>
    <row r="7211" spans="2:6">
      <c r="B7211">
        <v>2017</v>
      </c>
      <c r="C7211" t="s">
        <v>83</v>
      </c>
      <c r="D7211" t="s">
        <v>182</v>
      </c>
      <c r="E7211" t="s">
        <v>11</v>
      </c>
      <c r="F7211">
        <v>0.76807630062103271</v>
      </c>
    </row>
    <row r="7212" spans="2:6">
      <c r="B7212">
        <v>2017</v>
      </c>
      <c r="C7212" t="s">
        <v>83</v>
      </c>
      <c r="D7212" t="s">
        <v>182</v>
      </c>
      <c r="E7212" t="s">
        <v>12</v>
      </c>
      <c r="F7212">
        <v>0.14533035457134247</v>
      </c>
    </row>
    <row r="7213" spans="2:6">
      <c r="B7213">
        <v>2017</v>
      </c>
      <c r="C7213" t="s">
        <v>83</v>
      </c>
      <c r="D7213" t="s">
        <v>182</v>
      </c>
      <c r="E7213" t="s">
        <v>13</v>
      </c>
      <c r="F7213">
        <v>0.79265224933624268</v>
      </c>
    </row>
    <row r="7214" spans="2:6">
      <c r="B7214">
        <v>2017</v>
      </c>
      <c r="C7214" t="s">
        <v>83</v>
      </c>
      <c r="D7214" t="s">
        <v>182</v>
      </c>
      <c r="E7214" t="s">
        <v>14</v>
      </c>
      <c r="F7214">
        <v>0.67359131574630737</v>
      </c>
    </row>
    <row r="7215" spans="2:6">
      <c r="B7215">
        <v>2017</v>
      </c>
      <c r="C7215" t="s">
        <v>83</v>
      </c>
      <c r="D7215" t="s">
        <v>182</v>
      </c>
      <c r="E7215" t="s">
        <v>15</v>
      </c>
      <c r="F7215">
        <v>0.27644315361976624</v>
      </c>
    </row>
    <row r="7216" spans="2:6">
      <c r="B7216">
        <v>2018</v>
      </c>
      <c r="C7216" t="s">
        <v>83</v>
      </c>
      <c r="D7216" t="s">
        <v>182</v>
      </c>
      <c r="E7216" t="s">
        <v>7</v>
      </c>
      <c r="F7216">
        <v>6.9271788597106934</v>
      </c>
    </row>
    <row r="7217" spans="2:6">
      <c r="B7217">
        <v>2018</v>
      </c>
      <c r="C7217" t="s">
        <v>83</v>
      </c>
      <c r="D7217" t="s">
        <v>182</v>
      </c>
      <c r="E7217" t="s">
        <v>8</v>
      </c>
      <c r="F7217">
        <v>10.585149765014648</v>
      </c>
    </row>
    <row r="7218" spans="2:6">
      <c r="B7218">
        <v>2018</v>
      </c>
      <c r="C7218" t="s">
        <v>83</v>
      </c>
      <c r="D7218" t="s">
        <v>182</v>
      </c>
      <c r="E7218" t="s">
        <v>9</v>
      </c>
      <c r="F7218">
        <v>0.90959542989730835</v>
      </c>
    </row>
    <row r="7219" spans="2:6">
      <c r="B7219">
        <v>2018</v>
      </c>
      <c r="C7219" t="s">
        <v>83</v>
      </c>
      <c r="D7219" t="s">
        <v>182</v>
      </c>
      <c r="E7219" t="s">
        <v>10</v>
      </c>
      <c r="F7219">
        <v>73.300003051757813</v>
      </c>
    </row>
    <row r="7220" spans="2:6">
      <c r="B7220">
        <v>2018</v>
      </c>
      <c r="C7220" t="s">
        <v>83</v>
      </c>
      <c r="D7220" t="s">
        <v>182</v>
      </c>
      <c r="E7220" t="s">
        <v>11</v>
      </c>
      <c r="F7220">
        <v>0.72466230392456055</v>
      </c>
    </row>
    <row r="7221" spans="2:6">
      <c r="B7221">
        <v>2018</v>
      </c>
      <c r="C7221" t="s">
        <v>83</v>
      </c>
      <c r="D7221" t="s">
        <v>182</v>
      </c>
      <c r="E7221" t="s">
        <v>12</v>
      </c>
      <c r="F7221">
        <v>5.5273987352848053E-2</v>
      </c>
    </row>
    <row r="7222" spans="2:6">
      <c r="B7222">
        <v>2018</v>
      </c>
      <c r="C7222" t="s">
        <v>83</v>
      </c>
      <c r="D7222" t="s">
        <v>182</v>
      </c>
      <c r="E7222" t="s">
        <v>13</v>
      </c>
      <c r="F7222">
        <v>0.77013480663299561</v>
      </c>
    </row>
    <row r="7223" spans="2:6">
      <c r="B7223">
        <v>2018</v>
      </c>
      <c r="C7223" t="s">
        <v>83</v>
      </c>
      <c r="D7223" t="s">
        <v>182</v>
      </c>
      <c r="E7223" t="s">
        <v>14</v>
      </c>
      <c r="F7223">
        <v>0.66348963975906372</v>
      </c>
    </row>
    <row r="7224" spans="2:6">
      <c r="B7224">
        <v>2018</v>
      </c>
      <c r="C7224" t="s">
        <v>83</v>
      </c>
      <c r="D7224" t="s">
        <v>182</v>
      </c>
      <c r="E7224" t="s">
        <v>15</v>
      </c>
      <c r="F7224">
        <v>0.28206256031990051</v>
      </c>
    </row>
    <row r="7225" spans="2:6">
      <c r="B7225">
        <v>2019</v>
      </c>
      <c r="C7225" t="s">
        <v>83</v>
      </c>
      <c r="D7225" t="s">
        <v>182</v>
      </c>
      <c r="E7225" t="s">
        <v>7</v>
      </c>
      <c r="F7225">
        <v>7.331779956817627</v>
      </c>
    </row>
    <row r="7226" spans="2:6">
      <c r="B7226">
        <v>2019</v>
      </c>
      <c r="C7226" t="s">
        <v>83</v>
      </c>
      <c r="D7226" t="s">
        <v>182</v>
      </c>
      <c r="E7226" t="s">
        <v>8</v>
      </c>
      <c r="F7226">
        <v>10.600674629211426</v>
      </c>
    </row>
    <row r="7227" spans="2:6">
      <c r="B7227">
        <v>2019</v>
      </c>
      <c r="C7227" t="s">
        <v>83</v>
      </c>
      <c r="D7227" t="s">
        <v>182</v>
      </c>
      <c r="E7227" t="s">
        <v>9</v>
      </c>
      <c r="F7227">
        <v>0.94601064920425415</v>
      </c>
    </row>
    <row r="7228" spans="2:6">
      <c r="B7228">
        <v>2019</v>
      </c>
      <c r="C7228" t="s">
        <v>83</v>
      </c>
      <c r="D7228" t="s">
        <v>182</v>
      </c>
      <c r="E7228" t="s">
        <v>10</v>
      </c>
      <c r="F7228">
        <v>73.5</v>
      </c>
    </row>
    <row r="7229" spans="2:6">
      <c r="B7229">
        <v>2019</v>
      </c>
      <c r="C7229" t="s">
        <v>83</v>
      </c>
      <c r="D7229" t="s">
        <v>182</v>
      </c>
      <c r="E7229" t="s">
        <v>11</v>
      </c>
      <c r="F7229">
        <v>0.83449190855026245</v>
      </c>
    </row>
    <row r="7230" spans="2:6">
      <c r="B7230">
        <v>2019</v>
      </c>
      <c r="C7230" t="s">
        <v>83</v>
      </c>
      <c r="D7230" t="s">
        <v>182</v>
      </c>
      <c r="E7230" t="s">
        <v>12</v>
      </c>
      <c r="F7230">
        <v>8.543713390827179E-2</v>
      </c>
    </row>
    <row r="7231" spans="2:6">
      <c r="B7231">
        <v>2019</v>
      </c>
      <c r="C7231" t="s">
        <v>83</v>
      </c>
      <c r="D7231" t="s">
        <v>182</v>
      </c>
      <c r="E7231" t="s">
        <v>13</v>
      </c>
      <c r="F7231">
        <v>0.74286776781082153</v>
      </c>
    </row>
    <row r="7232" spans="2:6">
      <c r="B7232">
        <v>2019</v>
      </c>
      <c r="C7232" t="s">
        <v>83</v>
      </c>
      <c r="D7232" t="s">
        <v>182</v>
      </c>
      <c r="E7232" t="s">
        <v>14</v>
      </c>
      <c r="F7232">
        <v>0.63459259271621704</v>
      </c>
    </row>
    <row r="7233" spans="2:6">
      <c r="B7233">
        <v>2019</v>
      </c>
      <c r="C7233" t="s">
        <v>83</v>
      </c>
      <c r="D7233" t="s">
        <v>182</v>
      </c>
      <c r="E7233" t="s">
        <v>15</v>
      </c>
      <c r="F7233">
        <v>0.2658916711807251</v>
      </c>
    </row>
    <row r="7234" spans="2:6">
      <c r="B7234">
        <v>2020</v>
      </c>
      <c r="C7234" t="s">
        <v>83</v>
      </c>
      <c r="D7234" t="s">
        <v>182</v>
      </c>
      <c r="E7234" t="s">
        <v>7</v>
      </c>
      <c r="F7234">
        <v>7.1949281692504883</v>
      </c>
    </row>
    <row r="7235" spans="2:6">
      <c r="B7235">
        <v>2020</v>
      </c>
      <c r="C7235" t="s">
        <v>83</v>
      </c>
      <c r="D7235" t="s">
        <v>182</v>
      </c>
      <c r="E7235" t="s">
        <v>8</v>
      </c>
      <c r="F7235">
        <v>10.538053512573242</v>
      </c>
    </row>
    <row r="7236" spans="2:6">
      <c r="B7236">
        <v>2020</v>
      </c>
      <c r="C7236" t="s">
        <v>83</v>
      </c>
      <c r="D7236" t="s">
        <v>182</v>
      </c>
      <c r="E7236" t="s">
        <v>9</v>
      </c>
      <c r="F7236">
        <v>0.95907217264175415</v>
      </c>
    </row>
    <row r="7237" spans="2:6">
      <c r="B7237">
        <v>2020</v>
      </c>
      <c r="C7237" t="s">
        <v>83</v>
      </c>
      <c r="D7237" t="s">
        <v>182</v>
      </c>
      <c r="E7237" t="s">
        <v>10</v>
      </c>
      <c r="F7237">
        <v>73.699996948242188</v>
      </c>
    </row>
    <row r="7238" spans="2:6">
      <c r="B7238">
        <v>2020</v>
      </c>
      <c r="C7238" t="s">
        <v>83</v>
      </c>
      <c r="D7238" t="s">
        <v>182</v>
      </c>
      <c r="E7238" t="s">
        <v>11</v>
      </c>
      <c r="F7238">
        <v>0.83131581544876099</v>
      </c>
    </row>
    <row r="7239" spans="2:6">
      <c r="B7239">
        <v>2020</v>
      </c>
      <c r="C7239" t="s">
        <v>83</v>
      </c>
      <c r="D7239" t="s">
        <v>182</v>
      </c>
      <c r="E7239" t="s">
        <v>12</v>
      </c>
      <c r="F7239">
        <v>-4.9371674656867981E-2</v>
      </c>
    </row>
    <row r="7240" spans="2:6">
      <c r="B7240">
        <v>2020</v>
      </c>
      <c r="C7240" t="s">
        <v>83</v>
      </c>
      <c r="D7240" t="s">
        <v>182</v>
      </c>
      <c r="E7240" t="s">
        <v>13</v>
      </c>
      <c r="F7240">
        <v>0.74763906002044678</v>
      </c>
    </row>
    <row r="7241" spans="2:6">
      <c r="B7241">
        <v>2020</v>
      </c>
      <c r="C7241" t="s">
        <v>83</v>
      </c>
      <c r="D7241" t="s">
        <v>182</v>
      </c>
      <c r="E7241" t="s">
        <v>14</v>
      </c>
      <c r="F7241">
        <v>0.62139832973480225</v>
      </c>
    </row>
    <row r="7242" spans="2:6">
      <c r="B7242">
        <v>2020</v>
      </c>
      <c r="C7242" t="s">
        <v>83</v>
      </c>
      <c r="D7242" t="s">
        <v>182</v>
      </c>
      <c r="E7242" t="s">
        <v>15</v>
      </c>
      <c r="F7242">
        <v>0.24282573163509369</v>
      </c>
    </row>
    <row r="7243" spans="2:6">
      <c r="B7243">
        <v>2005</v>
      </c>
      <c r="C7243" t="s">
        <v>84</v>
      </c>
      <c r="D7243" t="s">
        <v>183</v>
      </c>
      <c r="E7243" t="s">
        <v>7</v>
      </c>
      <c r="F7243">
        <v>6.8537836074829102</v>
      </c>
    </row>
    <row r="7244" spans="2:6">
      <c r="B7244">
        <v>2005</v>
      </c>
      <c r="C7244" t="s">
        <v>84</v>
      </c>
      <c r="D7244" t="s">
        <v>183</v>
      </c>
      <c r="E7244" t="s">
        <v>8</v>
      </c>
      <c r="F7244">
        <v>10.702737808227539</v>
      </c>
    </row>
    <row r="7245" spans="2:6">
      <c r="B7245">
        <v>2005</v>
      </c>
      <c r="C7245" t="s">
        <v>84</v>
      </c>
      <c r="D7245" t="s">
        <v>183</v>
      </c>
      <c r="E7245" t="s">
        <v>9</v>
      </c>
      <c r="F7245">
        <v>0.92800068855285645</v>
      </c>
    </row>
    <row r="7246" spans="2:6">
      <c r="B7246">
        <v>2005</v>
      </c>
      <c r="C7246" t="s">
        <v>84</v>
      </c>
      <c r="D7246" t="s">
        <v>183</v>
      </c>
      <c r="E7246" t="s">
        <v>10</v>
      </c>
      <c r="F7246">
        <v>71.900001525878906</v>
      </c>
    </row>
    <row r="7247" spans="2:6">
      <c r="B7247">
        <v>2005</v>
      </c>
      <c r="C7247" t="s">
        <v>84</v>
      </c>
      <c r="D7247" t="s">
        <v>183</v>
      </c>
      <c r="E7247" t="s">
        <v>11</v>
      </c>
      <c r="F7247">
        <v>0.80219495296478271</v>
      </c>
    </row>
    <row r="7248" spans="2:6">
      <c r="B7248">
        <v>2005</v>
      </c>
      <c r="C7248" t="s">
        <v>84</v>
      </c>
      <c r="D7248" t="s">
        <v>183</v>
      </c>
      <c r="E7248" t="s">
        <v>13</v>
      </c>
      <c r="F7248">
        <v>0.9439123272895813</v>
      </c>
    </row>
    <row r="7249" spans="2:6">
      <c r="B7249">
        <v>2005</v>
      </c>
      <c r="C7249" t="s">
        <v>84</v>
      </c>
      <c r="D7249" t="s">
        <v>183</v>
      </c>
      <c r="E7249" t="s">
        <v>14</v>
      </c>
      <c r="F7249">
        <v>0.67883729934692383</v>
      </c>
    </row>
    <row r="7250" spans="2:6">
      <c r="B7250">
        <v>2005</v>
      </c>
      <c r="C7250" t="s">
        <v>84</v>
      </c>
      <c r="D7250" t="s">
        <v>183</v>
      </c>
      <c r="E7250" t="s">
        <v>15</v>
      </c>
      <c r="F7250">
        <v>0.29469814896583557</v>
      </c>
    </row>
    <row r="7251" spans="2:6">
      <c r="B7251">
        <v>2007</v>
      </c>
      <c r="C7251" t="s">
        <v>84</v>
      </c>
      <c r="D7251" t="s">
        <v>183</v>
      </c>
      <c r="E7251" t="s">
        <v>7</v>
      </c>
      <c r="F7251">
        <v>6.5744123458862305</v>
      </c>
    </row>
    <row r="7252" spans="2:6">
      <c r="B7252">
        <v>2007</v>
      </c>
      <c r="C7252" t="s">
        <v>84</v>
      </c>
      <c r="D7252" t="s">
        <v>183</v>
      </c>
      <c r="E7252" t="s">
        <v>8</v>
      </c>
      <c r="F7252">
        <v>10.727191925048828</v>
      </c>
    </row>
    <row r="7253" spans="2:6">
      <c r="B7253">
        <v>2007</v>
      </c>
      <c r="C7253" t="s">
        <v>84</v>
      </c>
      <c r="D7253" t="s">
        <v>183</v>
      </c>
      <c r="E7253" t="s">
        <v>9</v>
      </c>
      <c r="F7253">
        <v>0.91229242086410522</v>
      </c>
    </row>
    <row r="7254" spans="2:6">
      <c r="B7254">
        <v>2007</v>
      </c>
      <c r="C7254" t="s">
        <v>84</v>
      </c>
      <c r="D7254" t="s">
        <v>183</v>
      </c>
      <c r="E7254" t="s">
        <v>10</v>
      </c>
      <c r="F7254">
        <v>72.260002136230469</v>
      </c>
    </row>
    <row r="7255" spans="2:6">
      <c r="B7255">
        <v>2007</v>
      </c>
      <c r="C7255" t="s">
        <v>84</v>
      </c>
      <c r="D7255" t="s">
        <v>183</v>
      </c>
      <c r="E7255" t="s">
        <v>11</v>
      </c>
      <c r="F7255">
        <v>0.68429702520370483</v>
      </c>
    </row>
    <row r="7256" spans="2:6">
      <c r="B7256">
        <v>2007</v>
      </c>
      <c r="C7256" t="s">
        <v>84</v>
      </c>
      <c r="D7256" t="s">
        <v>183</v>
      </c>
      <c r="E7256" t="s">
        <v>12</v>
      </c>
      <c r="F7256">
        <v>0.11349433660507202</v>
      </c>
    </row>
    <row r="7257" spans="2:6">
      <c r="B7257">
        <v>2007</v>
      </c>
      <c r="C7257" t="s">
        <v>84</v>
      </c>
      <c r="D7257" t="s">
        <v>183</v>
      </c>
      <c r="E7257" t="s">
        <v>13</v>
      </c>
      <c r="F7257">
        <v>0.92219656705856323</v>
      </c>
    </row>
    <row r="7258" spans="2:6">
      <c r="B7258">
        <v>2007</v>
      </c>
      <c r="C7258" t="s">
        <v>84</v>
      </c>
      <c r="D7258" t="s">
        <v>183</v>
      </c>
      <c r="E7258" t="s">
        <v>14</v>
      </c>
      <c r="F7258">
        <v>0.71564608812332153</v>
      </c>
    </row>
    <row r="7259" spans="2:6">
      <c r="B7259">
        <v>2007</v>
      </c>
      <c r="C7259" t="s">
        <v>84</v>
      </c>
      <c r="D7259" t="s">
        <v>183</v>
      </c>
      <c r="E7259" t="s">
        <v>15</v>
      </c>
      <c r="F7259">
        <v>0.30344563722610474</v>
      </c>
    </row>
    <row r="7260" spans="2:6">
      <c r="B7260">
        <v>2008</v>
      </c>
      <c r="C7260" t="s">
        <v>84</v>
      </c>
      <c r="D7260" t="s">
        <v>183</v>
      </c>
      <c r="E7260" t="s">
        <v>7</v>
      </c>
      <c r="F7260">
        <v>6.7797741889953613</v>
      </c>
    </row>
    <row r="7261" spans="2:6">
      <c r="B7261">
        <v>2008</v>
      </c>
      <c r="C7261" t="s">
        <v>84</v>
      </c>
      <c r="D7261" t="s">
        <v>183</v>
      </c>
      <c r="E7261" t="s">
        <v>8</v>
      </c>
      <c r="F7261">
        <v>10.71090030670166</v>
      </c>
    </row>
    <row r="7262" spans="2:6">
      <c r="B7262">
        <v>2008</v>
      </c>
      <c r="C7262" t="s">
        <v>84</v>
      </c>
      <c r="D7262" t="s">
        <v>183</v>
      </c>
      <c r="E7262" t="s">
        <v>9</v>
      </c>
      <c r="F7262">
        <v>0.87966310977935791</v>
      </c>
    </row>
    <row r="7263" spans="2:6">
      <c r="B7263">
        <v>2008</v>
      </c>
      <c r="C7263" t="s">
        <v>84</v>
      </c>
      <c r="D7263" t="s">
        <v>183</v>
      </c>
      <c r="E7263" t="s">
        <v>10</v>
      </c>
      <c r="F7263">
        <v>72.44000244140625</v>
      </c>
    </row>
    <row r="7264" spans="2:6">
      <c r="B7264">
        <v>2008</v>
      </c>
      <c r="C7264" t="s">
        <v>84</v>
      </c>
      <c r="D7264" t="s">
        <v>183</v>
      </c>
      <c r="E7264" t="s">
        <v>11</v>
      </c>
      <c r="F7264">
        <v>0.54307687282562256</v>
      </c>
    </row>
    <row r="7265" spans="2:6">
      <c r="B7265">
        <v>2008</v>
      </c>
      <c r="C7265" t="s">
        <v>84</v>
      </c>
      <c r="D7265" t="s">
        <v>183</v>
      </c>
      <c r="E7265" t="s">
        <v>12</v>
      </c>
      <c r="F7265">
        <v>4.9270924180746078E-2</v>
      </c>
    </row>
    <row r="7266" spans="2:6">
      <c r="B7266">
        <v>2008</v>
      </c>
      <c r="C7266" t="s">
        <v>84</v>
      </c>
      <c r="D7266" t="s">
        <v>183</v>
      </c>
      <c r="E7266" t="s">
        <v>13</v>
      </c>
      <c r="F7266">
        <v>0.94562506675720215</v>
      </c>
    </row>
    <row r="7267" spans="2:6">
      <c r="B7267">
        <v>2008</v>
      </c>
      <c r="C7267" t="s">
        <v>84</v>
      </c>
      <c r="D7267" t="s">
        <v>183</v>
      </c>
      <c r="E7267" t="s">
        <v>14</v>
      </c>
      <c r="F7267">
        <v>0.63666915893554688</v>
      </c>
    </row>
    <row r="7268" spans="2:6">
      <c r="B7268">
        <v>2008</v>
      </c>
      <c r="C7268" t="s">
        <v>84</v>
      </c>
      <c r="D7268" t="s">
        <v>183</v>
      </c>
      <c r="E7268" t="s">
        <v>15</v>
      </c>
      <c r="F7268">
        <v>0.26758059859275818</v>
      </c>
    </row>
    <row r="7269" spans="2:6">
      <c r="B7269">
        <v>2009</v>
      </c>
      <c r="C7269" t="s">
        <v>84</v>
      </c>
      <c r="D7269" t="s">
        <v>183</v>
      </c>
      <c r="E7269" t="s">
        <v>7</v>
      </c>
      <c r="F7269">
        <v>6.3338003158569336</v>
      </c>
    </row>
    <row r="7270" spans="2:6">
      <c r="B7270">
        <v>2009</v>
      </c>
      <c r="C7270" t="s">
        <v>84</v>
      </c>
      <c r="D7270" t="s">
        <v>183</v>
      </c>
      <c r="E7270" t="s">
        <v>8</v>
      </c>
      <c r="F7270">
        <v>10.65208911895752</v>
      </c>
    </row>
    <row r="7271" spans="2:6">
      <c r="B7271">
        <v>2009</v>
      </c>
      <c r="C7271" t="s">
        <v>84</v>
      </c>
      <c r="D7271" t="s">
        <v>183</v>
      </c>
      <c r="E7271" t="s">
        <v>9</v>
      </c>
      <c r="F7271">
        <v>0.88031250238418579</v>
      </c>
    </row>
    <row r="7272" spans="2:6">
      <c r="B7272">
        <v>2009</v>
      </c>
      <c r="C7272" t="s">
        <v>84</v>
      </c>
      <c r="D7272" t="s">
        <v>183</v>
      </c>
      <c r="E7272" t="s">
        <v>10</v>
      </c>
      <c r="F7272">
        <v>72.620002746582031</v>
      </c>
    </row>
    <row r="7273" spans="2:6">
      <c r="B7273">
        <v>2009</v>
      </c>
      <c r="C7273" t="s">
        <v>84</v>
      </c>
      <c r="D7273" t="s">
        <v>183</v>
      </c>
      <c r="E7273" t="s">
        <v>11</v>
      </c>
      <c r="F7273">
        <v>0.70055049657821655</v>
      </c>
    </row>
    <row r="7274" spans="2:6">
      <c r="B7274">
        <v>2009</v>
      </c>
      <c r="C7274" t="s">
        <v>84</v>
      </c>
      <c r="D7274" t="s">
        <v>183</v>
      </c>
      <c r="E7274" t="s">
        <v>12</v>
      </c>
      <c r="F7274">
        <v>0.24043513834476471</v>
      </c>
    </row>
    <row r="7275" spans="2:6">
      <c r="B7275">
        <v>2009</v>
      </c>
      <c r="C7275" t="s">
        <v>84</v>
      </c>
      <c r="D7275" t="s">
        <v>183</v>
      </c>
      <c r="E7275" t="s">
        <v>13</v>
      </c>
      <c r="F7275">
        <v>0.88998466730117798</v>
      </c>
    </row>
    <row r="7276" spans="2:6">
      <c r="B7276">
        <v>2009</v>
      </c>
      <c r="C7276" t="s">
        <v>84</v>
      </c>
      <c r="D7276" t="s">
        <v>183</v>
      </c>
      <c r="E7276" t="s">
        <v>14</v>
      </c>
      <c r="F7276">
        <v>0.77545714378356934</v>
      </c>
    </row>
    <row r="7277" spans="2:6">
      <c r="B7277">
        <v>2009</v>
      </c>
      <c r="C7277" t="s">
        <v>84</v>
      </c>
      <c r="D7277" t="s">
        <v>183</v>
      </c>
      <c r="E7277" t="s">
        <v>15</v>
      </c>
      <c r="F7277">
        <v>0.27937772870063782</v>
      </c>
    </row>
    <row r="7278" spans="2:6">
      <c r="B7278">
        <v>2010</v>
      </c>
      <c r="C7278" t="s">
        <v>84</v>
      </c>
      <c r="D7278" t="s">
        <v>183</v>
      </c>
      <c r="E7278" t="s">
        <v>7</v>
      </c>
      <c r="F7278">
        <v>6.3542380332946777</v>
      </c>
    </row>
    <row r="7279" spans="2:6">
      <c r="B7279">
        <v>2010</v>
      </c>
      <c r="C7279" t="s">
        <v>84</v>
      </c>
      <c r="D7279" t="s">
        <v>183</v>
      </c>
      <c r="E7279" t="s">
        <v>8</v>
      </c>
      <c r="F7279">
        <v>10.666001319885254</v>
      </c>
    </row>
    <row r="7280" spans="2:6">
      <c r="B7280">
        <v>2010</v>
      </c>
      <c r="C7280" t="s">
        <v>84</v>
      </c>
      <c r="D7280" t="s">
        <v>183</v>
      </c>
      <c r="E7280" t="s">
        <v>9</v>
      </c>
      <c r="F7280">
        <v>0.87238413095474243</v>
      </c>
    </row>
    <row r="7281" spans="2:6">
      <c r="B7281">
        <v>2010</v>
      </c>
      <c r="C7281" t="s">
        <v>84</v>
      </c>
      <c r="D7281" t="s">
        <v>183</v>
      </c>
      <c r="E7281" t="s">
        <v>10</v>
      </c>
      <c r="F7281">
        <v>72.800003051757813</v>
      </c>
    </row>
    <row r="7282" spans="2:6">
      <c r="B7282">
        <v>2010</v>
      </c>
      <c r="C7282" t="s">
        <v>84</v>
      </c>
      <c r="D7282" t="s">
        <v>183</v>
      </c>
      <c r="E7282" t="s">
        <v>11</v>
      </c>
      <c r="F7282">
        <v>0.73773890733718872</v>
      </c>
    </row>
    <row r="7283" spans="2:6">
      <c r="B7283">
        <v>2010</v>
      </c>
      <c r="C7283" t="s">
        <v>84</v>
      </c>
      <c r="D7283" t="s">
        <v>183</v>
      </c>
      <c r="E7283" t="s">
        <v>12</v>
      </c>
      <c r="F7283">
        <v>-5.9522271156311035E-2</v>
      </c>
    </row>
    <row r="7284" spans="2:6">
      <c r="B7284">
        <v>2010</v>
      </c>
      <c r="C7284" t="s">
        <v>84</v>
      </c>
      <c r="D7284" t="s">
        <v>183</v>
      </c>
      <c r="E7284" t="s">
        <v>13</v>
      </c>
      <c r="F7284">
        <v>0.92107516527175903</v>
      </c>
    </row>
    <row r="7285" spans="2:6">
      <c r="B7285">
        <v>2010</v>
      </c>
      <c r="C7285" t="s">
        <v>84</v>
      </c>
      <c r="D7285" t="s">
        <v>183</v>
      </c>
      <c r="E7285" t="s">
        <v>14</v>
      </c>
      <c r="F7285">
        <v>0.59638071060180664</v>
      </c>
    </row>
    <row r="7286" spans="2:6">
      <c r="B7286">
        <v>2010</v>
      </c>
      <c r="C7286" t="s">
        <v>84</v>
      </c>
      <c r="D7286" t="s">
        <v>183</v>
      </c>
      <c r="E7286" t="s">
        <v>15</v>
      </c>
      <c r="F7286">
        <v>0.23587994277477264</v>
      </c>
    </row>
    <row r="7287" spans="2:6">
      <c r="B7287">
        <v>2011</v>
      </c>
      <c r="C7287" t="s">
        <v>84</v>
      </c>
      <c r="D7287" t="s">
        <v>183</v>
      </c>
      <c r="E7287" t="s">
        <v>7</v>
      </c>
      <c r="F7287">
        <v>6.0570864677429199</v>
      </c>
    </row>
    <row r="7288" spans="2:6">
      <c r="B7288">
        <v>2011</v>
      </c>
      <c r="C7288" t="s">
        <v>84</v>
      </c>
      <c r="D7288" t="s">
        <v>183</v>
      </c>
      <c r="E7288" t="s">
        <v>8</v>
      </c>
      <c r="F7288">
        <v>10.671329498291016</v>
      </c>
    </row>
    <row r="7289" spans="2:6">
      <c r="B7289">
        <v>2011</v>
      </c>
      <c r="C7289" t="s">
        <v>84</v>
      </c>
      <c r="D7289" t="s">
        <v>183</v>
      </c>
      <c r="E7289" t="s">
        <v>9</v>
      </c>
      <c r="F7289">
        <v>0.91330933570861816</v>
      </c>
    </row>
    <row r="7290" spans="2:6">
      <c r="B7290">
        <v>2011</v>
      </c>
      <c r="C7290" t="s">
        <v>84</v>
      </c>
      <c r="D7290" t="s">
        <v>183</v>
      </c>
      <c r="E7290" t="s">
        <v>10</v>
      </c>
      <c r="F7290">
        <v>72.839996337890625</v>
      </c>
    </row>
    <row r="7291" spans="2:6">
      <c r="B7291">
        <v>2011</v>
      </c>
      <c r="C7291" t="s">
        <v>84</v>
      </c>
      <c r="D7291" t="s">
        <v>183</v>
      </c>
      <c r="E7291" t="s">
        <v>11</v>
      </c>
      <c r="F7291">
        <v>0.56773841381072998</v>
      </c>
    </row>
    <row r="7292" spans="2:6">
      <c r="B7292">
        <v>2011</v>
      </c>
      <c r="C7292" t="s">
        <v>84</v>
      </c>
      <c r="D7292" t="s">
        <v>183</v>
      </c>
      <c r="E7292" t="s">
        <v>12</v>
      </c>
      <c r="F7292">
        <v>-1.7810987308621407E-2</v>
      </c>
    </row>
    <row r="7293" spans="2:6">
      <c r="B7293">
        <v>2011</v>
      </c>
      <c r="C7293" t="s">
        <v>84</v>
      </c>
      <c r="D7293" t="s">
        <v>183</v>
      </c>
      <c r="E7293" t="s">
        <v>13</v>
      </c>
      <c r="F7293">
        <v>0.93346095085144043</v>
      </c>
    </row>
    <row r="7294" spans="2:6">
      <c r="B7294">
        <v>2011</v>
      </c>
      <c r="C7294" t="s">
        <v>84</v>
      </c>
      <c r="D7294" t="s">
        <v>183</v>
      </c>
      <c r="E7294" t="s">
        <v>14</v>
      </c>
      <c r="F7294">
        <v>0.65839427709579468</v>
      </c>
    </row>
    <row r="7295" spans="2:6">
      <c r="B7295">
        <v>2011</v>
      </c>
      <c r="C7295" t="s">
        <v>84</v>
      </c>
      <c r="D7295" t="s">
        <v>183</v>
      </c>
      <c r="E7295" t="s">
        <v>15</v>
      </c>
      <c r="F7295">
        <v>0.26556792855262756</v>
      </c>
    </row>
    <row r="7296" spans="2:6">
      <c r="B7296">
        <v>2012</v>
      </c>
      <c r="C7296" t="s">
        <v>84</v>
      </c>
      <c r="D7296" t="s">
        <v>183</v>
      </c>
      <c r="E7296" t="s">
        <v>7</v>
      </c>
      <c r="F7296">
        <v>5.8393139839172363</v>
      </c>
    </row>
    <row r="7297" spans="2:6">
      <c r="B7297">
        <v>2012</v>
      </c>
      <c r="C7297" t="s">
        <v>84</v>
      </c>
      <c r="D7297" t="s">
        <v>183</v>
      </c>
      <c r="E7297" t="s">
        <v>8</v>
      </c>
      <c r="F7297">
        <v>10.638372421264648</v>
      </c>
    </row>
    <row r="7298" spans="2:6">
      <c r="B7298">
        <v>2012</v>
      </c>
      <c r="C7298" t="s">
        <v>84</v>
      </c>
      <c r="D7298" t="s">
        <v>183</v>
      </c>
      <c r="E7298" t="s">
        <v>9</v>
      </c>
      <c r="F7298">
        <v>0.86948662996292114</v>
      </c>
    </row>
    <row r="7299" spans="2:6">
      <c r="B7299">
        <v>2012</v>
      </c>
      <c r="C7299" t="s">
        <v>84</v>
      </c>
      <c r="D7299" t="s">
        <v>183</v>
      </c>
      <c r="E7299" t="s">
        <v>10</v>
      </c>
      <c r="F7299">
        <v>72.879997253417969</v>
      </c>
    </row>
    <row r="7300" spans="2:6">
      <c r="B7300">
        <v>2012</v>
      </c>
      <c r="C7300" t="s">
        <v>84</v>
      </c>
      <c r="D7300" t="s">
        <v>183</v>
      </c>
      <c r="E7300" t="s">
        <v>11</v>
      </c>
      <c r="F7300">
        <v>0.57009494304656982</v>
      </c>
    </row>
    <row r="7301" spans="2:6">
      <c r="B7301">
        <v>2012</v>
      </c>
      <c r="C7301" t="s">
        <v>84</v>
      </c>
      <c r="D7301" t="s">
        <v>183</v>
      </c>
      <c r="E7301" t="s">
        <v>12</v>
      </c>
      <c r="F7301">
        <v>0.11283233016729355</v>
      </c>
    </row>
    <row r="7302" spans="2:6">
      <c r="B7302">
        <v>2012</v>
      </c>
      <c r="C7302" t="s">
        <v>84</v>
      </c>
      <c r="D7302" t="s">
        <v>183</v>
      </c>
      <c r="E7302" t="s">
        <v>13</v>
      </c>
      <c r="F7302">
        <v>0.90832364559173584</v>
      </c>
    </row>
    <row r="7303" spans="2:6">
      <c r="B7303">
        <v>2012</v>
      </c>
      <c r="C7303" t="s">
        <v>84</v>
      </c>
      <c r="D7303" t="s">
        <v>183</v>
      </c>
      <c r="E7303" t="s">
        <v>14</v>
      </c>
      <c r="F7303">
        <v>0.66976124048233032</v>
      </c>
    </row>
    <row r="7304" spans="2:6">
      <c r="B7304">
        <v>2012</v>
      </c>
      <c r="C7304" t="s">
        <v>84</v>
      </c>
      <c r="D7304" t="s">
        <v>183</v>
      </c>
      <c r="E7304" t="s">
        <v>15</v>
      </c>
      <c r="F7304">
        <v>0.38765224814414978</v>
      </c>
    </row>
    <row r="7305" spans="2:6">
      <c r="B7305">
        <v>2013</v>
      </c>
      <c r="C7305" t="s">
        <v>84</v>
      </c>
      <c r="D7305" t="s">
        <v>183</v>
      </c>
      <c r="E7305" t="s">
        <v>7</v>
      </c>
      <c r="F7305">
        <v>6.009373664855957</v>
      </c>
    </row>
    <row r="7306" spans="2:6">
      <c r="B7306">
        <v>2013</v>
      </c>
      <c r="C7306" t="s">
        <v>84</v>
      </c>
      <c r="D7306" t="s">
        <v>183</v>
      </c>
      <c r="E7306" t="s">
        <v>8</v>
      </c>
      <c r="F7306">
        <v>10.608197212219238</v>
      </c>
    </row>
    <row r="7307" spans="2:6">
      <c r="B7307">
        <v>2013</v>
      </c>
      <c r="C7307" t="s">
        <v>84</v>
      </c>
      <c r="D7307" t="s">
        <v>183</v>
      </c>
      <c r="E7307" t="s">
        <v>9</v>
      </c>
      <c r="F7307">
        <v>0.91629606485366821</v>
      </c>
    </row>
    <row r="7308" spans="2:6">
      <c r="B7308">
        <v>2013</v>
      </c>
      <c r="C7308" t="s">
        <v>84</v>
      </c>
      <c r="D7308" t="s">
        <v>183</v>
      </c>
      <c r="E7308" t="s">
        <v>10</v>
      </c>
      <c r="F7308">
        <v>72.919998168945313</v>
      </c>
    </row>
    <row r="7309" spans="2:6">
      <c r="B7309">
        <v>2013</v>
      </c>
      <c r="C7309" t="s">
        <v>84</v>
      </c>
      <c r="D7309" t="s">
        <v>183</v>
      </c>
      <c r="E7309" t="s">
        <v>11</v>
      </c>
      <c r="F7309">
        <v>0.4991687536239624</v>
      </c>
    </row>
    <row r="7310" spans="2:6">
      <c r="B7310">
        <v>2013</v>
      </c>
      <c r="C7310" t="s">
        <v>84</v>
      </c>
      <c r="D7310" t="s">
        <v>183</v>
      </c>
      <c r="E7310" t="s">
        <v>12</v>
      </c>
      <c r="F7310">
        <v>-0.10229650884866714</v>
      </c>
    </row>
    <row r="7311" spans="2:6">
      <c r="B7311">
        <v>2013</v>
      </c>
      <c r="C7311" t="s">
        <v>84</v>
      </c>
      <c r="D7311" t="s">
        <v>183</v>
      </c>
      <c r="E7311" t="s">
        <v>13</v>
      </c>
      <c r="F7311">
        <v>0.94263929128646851</v>
      </c>
    </row>
    <row r="7312" spans="2:6">
      <c r="B7312">
        <v>2013</v>
      </c>
      <c r="C7312" t="s">
        <v>84</v>
      </c>
      <c r="D7312" t="s">
        <v>183</v>
      </c>
      <c r="E7312" t="s">
        <v>14</v>
      </c>
      <c r="F7312">
        <v>0.77882742881774902</v>
      </c>
    </row>
    <row r="7313" spans="2:6">
      <c r="B7313">
        <v>2013</v>
      </c>
      <c r="C7313" t="s">
        <v>84</v>
      </c>
      <c r="D7313" t="s">
        <v>183</v>
      </c>
      <c r="E7313" t="s">
        <v>15</v>
      </c>
      <c r="F7313">
        <v>0.35661619901657104</v>
      </c>
    </row>
    <row r="7314" spans="2:6">
      <c r="B7314">
        <v>2014</v>
      </c>
      <c r="C7314" t="s">
        <v>84</v>
      </c>
      <c r="D7314" t="s">
        <v>183</v>
      </c>
      <c r="E7314" t="s">
        <v>7</v>
      </c>
      <c r="F7314">
        <v>6.0265851020812988</v>
      </c>
    </row>
    <row r="7315" spans="2:6">
      <c r="B7315">
        <v>2014</v>
      </c>
      <c r="C7315" t="s">
        <v>84</v>
      </c>
      <c r="D7315" t="s">
        <v>183</v>
      </c>
      <c r="E7315" t="s">
        <v>8</v>
      </c>
      <c r="F7315">
        <v>10.598977088928223</v>
      </c>
    </row>
    <row r="7316" spans="2:6">
      <c r="B7316">
        <v>2014</v>
      </c>
      <c r="C7316" t="s">
        <v>84</v>
      </c>
      <c r="D7316" t="s">
        <v>183</v>
      </c>
      <c r="E7316" t="s">
        <v>9</v>
      </c>
      <c r="F7316">
        <v>0.897899329662323</v>
      </c>
    </row>
    <row r="7317" spans="2:6">
      <c r="B7317">
        <v>2014</v>
      </c>
      <c r="C7317" t="s">
        <v>84</v>
      </c>
      <c r="D7317" t="s">
        <v>183</v>
      </c>
      <c r="E7317" t="s">
        <v>10</v>
      </c>
      <c r="F7317">
        <v>72.959999084472656</v>
      </c>
    </row>
    <row r="7318" spans="2:6">
      <c r="B7318">
        <v>2014</v>
      </c>
      <c r="C7318" t="s">
        <v>84</v>
      </c>
      <c r="D7318" t="s">
        <v>183</v>
      </c>
      <c r="E7318" t="s">
        <v>11</v>
      </c>
      <c r="F7318">
        <v>0.62353122234344482</v>
      </c>
    </row>
    <row r="7319" spans="2:6">
      <c r="B7319">
        <v>2014</v>
      </c>
      <c r="C7319" t="s">
        <v>84</v>
      </c>
      <c r="D7319" t="s">
        <v>183</v>
      </c>
      <c r="E7319" t="s">
        <v>12</v>
      </c>
      <c r="F7319">
        <v>-6.4877450466156006E-2</v>
      </c>
    </row>
    <row r="7320" spans="2:6">
      <c r="B7320">
        <v>2014</v>
      </c>
      <c r="C7320" t="s">
        <v>84</v>
      </c>
      <c r="D7320" t="s">
        <v>183</v>
      </c>
      <c r="E7320" t="s">
        <v>13</v>
      </c>
      <c r="F7320">
        <v>0.91995954513549805</v>
      </c>
    </row>
    <row r="7321" spans="2:6">
      <c r="B7321">
        <v>2014</v>
      </c>
      <c r="C7321" t="s">
        <v>84</v>
      </c>
      <c r="D7321" t="s">
        <v>183</v>
      </c>
      <c r="E7321" t="s">
        <v>14</v>
      </c>
      <c r="F7321">
        <v>0.71606427431106567</v>
      </c>
    </row>
    <row r="7322" spans="2:6">
      <c r="B7322">
        <v>2014</v>
      </c>
      <c r="C7322" t="s">
        <v>84</v>
      </c>
      <c r="D7322" t="s">
        <v>183</v>
      </c>
      <c r="E7322" t="s">
        <v>15</v>
      </c>
      <c r="F7322">
        <v>0.35601961612701416</v>
      </c>
    </row>
    <row r="7323" spans="2:6">
      <c r="B7323">
        <v>2015</v>
      </c>
      <c r="C7323" t="s">
        <v>84</v>
      </c>
      <c r="D7323" t="s">
        <v>183</v>
      </c>
      <c r="E7323" t="s">
        <v>7</v>
      </c>
      <c r="F7323">
        <v>5.8476839065551758</v>
      </c>
    </row>
    <row r="7324" spans="2:6">
      <c r="B7324">
        <v>2015</v>
      </c>
      <c r="C7324" t="s">
        <v>84</v>
      </c>
      <c r="D7324" t="s">
        <v>183</v>
      </c>
      <c r="E7324" t="s">
        <v>8</v>
      </c>
      <c r="F7324">
        <v>10.607693672180176</v>
      </c>
    </row>
    <row r="7325" spans="2:6">
      <c r="B7325">
        <v>2015</v>
      </c>
      <c r="C7325" t="s">
        <v>84</v>
      </c>
      <c r="D7325" t="s">
        <v>183</v>
      </c>
      <c r="E7325" t="s">
        <v>9</v>
      </c>
      <c r="F7325">
        <v>0.90898650884628296</v>
      </c>
    </row>
    <row r="7326" spans="2:6">
      <c r="B7326">
        <v>2015</v>
      </c>
      <c r="C7326" t="s">
        <v>84</v>
      </c>
      <c r="D7326" t="s">
        <v>183</v>
      </c>
      <c r="E7326" t="s">
        <v>10</v>
      </c>
      <c r="F7326">
        <v>73</v>
      </c>
    </row>
    <row r="7327" spans="2:6">
      <c r="B7327">
        <v>2015</v>
      </c>
      <c r="C7327" t="s">
        <v>84</v>
      </c>
      <c r="D7327" t="s">
        <v>183</v>
      </c>
      <c r="E7327" t="s">
        <v>11</v>
      </c>
      <c r="F7327">
        <v>0.57476574182510376</v>
      </c>
    </row>
    <row r="7328" spans="2:6">
      <c r="B7328">
        <v>2015</v>
      </c>
      <c r="C7328" t="s">
        <v>84</v>
      </c>
      <c r="D7328" t="s">
        <v>183</v>
      </c>
      <c r="E7328" t="s">
        <v>12</v>
      </c>
      <c r="F7328">
        <v>-6.4207181334495544E-2</v>
      </c>
    </row>
    <row r="7329" spans="2:6">
      <c r="B7329">
        <v>2015</v>
      </c>
      <c r="C7329" t="s">
        <v>84</v>
      </c>
      <c r="D7329" t="s">
        <v>183</v>
      </c>
      <c r="E7329" t="s">
        <v>13</v>
      </c>
      <c r="F7329">
        <v>0.91275304555892944</v>
      </c>
    </row>
    <row r="7330" spans="2:6">
      <c r="B7330">
        <v>2015</v>
      </c>
      <c r="C7330" t="s">
        <v>84</v>
      </c>
      <c r="D7330" t="s">
        <v>183</v>
      </c>
      <c r="E7330" t="s">
        <v>14</v>
      </c>
      <c r="F7330">
        <v>0.69177210330963135</v>
      </c>
    </row>
    <row r="7331" spans="2:6">
      <c r="B7331">
        <v>2015</v>
      </c>
      <c r="C7331" t="s">
        <v>84</v>
      </c>
      <c r="D7331" t="s">
        <v>183</v>
      </c>
      <c r="E7331" t="s">
        <v>15</v>
      </c>
      <c r="F7331">
        <v>0.3292090892791748</v>
      </c>
    </row>
    <row r="7332" spans="2:6">
      <c r="B7332">
        <v>2016</v>
      </c>
      <c r="C7332" t="s">
        <v>84</v>
      </c>
      <c r="D7332" t="s">
        <v>183</v>
      </c>
      <c r="E7332" t="s">
        <v>7</v>
      </c>
      <c r="F7332">
        <v>5.954524040222168</v>
      </c>
    </row>
    <row r="7333" spans="2:6">
      <c r="B7333">
        <v>2016</v>
      </c>
      <c r="C7333" t="s">
        <v>84</v>
      </c>
      <c r="D7333" t="s">
        <v>183</v>
      </c>
      <c r="E7333" t="s">
        <v>8</v>
      </c>
      <c r="F7333">
        <v>10.622243881225586</v>
      </c>
    </row>
    <row r="7334" spans="2:6">
      <c r="B7334">
        <v>2016</v>
      </c>
      <c r="C7334" t="s">
        <v>84</v>
      </c>
      <c r="D7334" t="s">
        <v>183</v>
      </c>
      <c r="E7334" t="s">
        <v>9</v>
      </c>
      <c r="F7334">
        <v>0.92721283435821533</v>
      </c>
    </row>
    <row r="7335" spans="2:6">
      <c r="B7335">
        <v>2016</v>
      </c>
      <c r="C7335" t="s">
        <v>84</v>
      </c>
      <c r="D7335" t="s">
        <v>183</v>
      </c>
      <c r="E7335" t="s">
        <v>10</v>
      </c>
      <c r="F7335">
        <v>73.199996948242188</v>
      </c>
    </row>
    <row r="7336" spans="2:6">
      <c r="B7336">
        <v>2016</v>
      </c>
      <c r="C7336" t="s">
        <v>84</v>
      </c>
      <c r="D7336" t="s">
        <v>183</v>
      </c>
      <c r="E7336" t="s">
        <v>11</v>
      </c>
      <c r="F7336">
        <v>0.62374162673950195</v>
      </c>
    </row>
    <row r="7337" spans="2:6">
      <c r="B7337">
        <v>2016</v>
      </c>
      <c r="C7337" t="s">
        <v>84</v>
      </c>
      <c r="D7337" t="s">
        <v>183</v>
      </c>
      <c r="E7337" t="s">
        <v>12</v>
      </c>
      <c r="F7337">
        <v>-8.0540955066680908E-2</v>
      </c>
    </row>
    <row r="7338" spans="2:6">
      <c r="B7338">
        <v>2016</v>
      </c>
      <c r="C7338" t="s">
        <v>84</v>
      </c>
      <c r="D7338" t="s">
        <v>183</v>
      </c>
      <c r="E7338" t="s">
        <v>13</v>
      </c>
      <c r="F7338">
        <v>0.90280121564865112</v>
      </c>
    </row>
    <row r="7339" spans="2:6">
      <c r="B7339">
        <v>2016</v>
      </c>
      <c r="C7339" t="s">
        <v>84</v>
      </c>
      <c r="D7339" t="s">
        <v>183</v>
      </c>
      <c r="E7339" t="s">
        <v>14</v>
      </c>
      <c r="F7339">
        <v>0.68542283773422241</v>
      </c>
    </row>
    <row r="7340" spans="2:6">
      <c r="B7340">
        <v>2016</v>
      </c>
      <c r="C7340" t="s">
        <v>84</v>
      </c>
      <c r="D7340" t="s">
        <v>183</v>
      </c>
      <c r="E7340" t="s">
        <v>15</v>
      </c>
      <c r="F7340">
        <v>0.3391735851764679</v>
      </c>
    </row>
    <row r="7341" spans="2:6">
      <c r="B7341">
        <v>2017</v>
      </c>
      <c r="C7341" t="s">
        <v>84</v>
      </c>
      <c r="D7341" t="s">
        <v>183</v>
      </c>
      <c r="E7341" t="s">
        <v>7</v>
      </c>
      <c r="F7341">
        <v>6.1988701820373535</v>
      </c>
    </row>
    <row r="7342" spans="2:6">
      <c r="B7342">
        <v>2017</v>
      </c>
      <c r="C7342" t="s">
        <v>84</v>
      </c>
      <c r="D7342" t="s">
        <v>183</v>
      </c>
      <c r="E7342" t="s">
        <v>8</v>
      </c>
      <c r="F7342">
        <v>10.640283584594727</v>
      </c>
    </row>
    <row r="7343" spans="2:6">
      <c r="B7343">
        <v>2017</v>
      </c>
      <c r="C7343" t="s">
        <v>84</v>
      </c>
      <c r="D7343" t="s">
        <v>183</v>
      </c>
      <c r="E7343" t="s">
        <v>9</v>
      </c>
      <c r="F7343">
        <v>0.91979122161865234</v>
      </c>
    </row>
    <row r="7344" spans="2:6">
      <c r="B7344">
        <v>2017</v>
      </c>
      <c r="C7344" t="s">
        <v>84</v>
      </c>
      <c r="D7344" t="s">
        <v>183</v>
      </c>
      <c r="E7344" t="s">
        <v>10</v>
      </c>
      <c r="F7344">
        <v>73.400001525878906</v>
      </c>
    </row>
    <row r="7345" spans="2:6">
      <c r="B7345">
        <v>2017</v>
      </c>
      <c r="C7345" t="s">
        <v>84</v>
      </c>
      <c r="D7345" t="s">
        <v>183</v>
      </c>
      <c r="E7345" t="s">
        <v>11</v>
      </c>
      <c r="F7345">
        <v>0.6328432559967041</v>
      </c>
    </row>
    <row r="7346" spans="2:6">
      <c r="B7346">
        <v>2017</v>
      </c>
      <c r="C7346" t="s">
        <v>84</v>
      </c>
      <c r="D7346" t="s">
        <v>183</v>
      </c>
      <c r="E7346" t="s">
        <v>12</v>
      </c>
      <c r="F7346">
        <v>-3.5053383558988571E-2</v>
      </c>
    </row>
    <row r="7347" spans="2:6">
      <c r="B7347">
        <v>2017</v>
      </c>
      <c r="C7347" t="s">
        <v>84</v>
      </c>
      <c r="D7347" t="s">
        <v>183</v>
      </c>
      <c r="E7347" t="s">
        <v>13</v>
      </c>
      <c r="F7347">
        <v>0.86666792631149292</v>
      </c>
    </row>
    <row r="7348" spans="2:6">
      <c r="B7348">
        <v>2017</v>
      </c>
      <c r="C7348" t="s">
        <v>84</v>
      </c>
      <c r="D7348" t="s">
        <v>183</v>
      </c>
      <c r="E7348" t="s">
        <v>14</v>
      </c>
      <c r="F7348">
        <v>0.66118073463439941</v>
      </c>
    </row>
    <row r="7349" spans="2:6">
      <c r="B7349">
        <v>2017</v>
      </c>
      <c r="C7349" t="s">
        <v>84</v>
      </c>
      <c r="D7349" t="s">
        <v>183</v>
      </c>
      <c r="E7349" t="s">
        <v>15</v>
      </c>
      <c r="F7349">
        <v>0.32284614443778992</v>
      </c>
    </row>
    <row r="7350" spans="2:6">
      <c r="B7350">
        <v>2018</v>
      </c>
      <c r="C7350" t="s">
        <v>84</v>
      </c>
      <c r="D7350" t="s">
        <v>183</v>
      </c>
      <c r="E7350" t="s">
        <v>7</v>
      </c>
      <c r="F7350">
        <v>6.5165266990661621</v>
      </c>
    </row>
    <row r="7351" spans="2:6">
      <c r="B7351">
        <v>2018</v>
      </c>
      <c r="C7351" t="s">
        <v>84</v>
      </c>
      <c r="D7351" t="s">
        <v>183</v>
      </c>
      <c r="E7351" t="s">
        <v>8</v>
      </c>
      <c r="F7351">
        <v>10.650134086608887</v>
      </c>
    </row>
    <row r="7352" spans="2:6">
      <c r="B7352">
        <v>2018</v>
      </c>
      <c r="C7352" t="s">
        <v>84</v>
      </c>
      <c r="D7352" t="s">
        <v>183</v>
      </c>
      <c r="E7352" t="s">
        <v>9</v>
      </c>
      <c r="F7352">
        <v>0.91265612840652466</v>
      </c>
    </row>
    <row r="7353" spans="2:6">
      <c r="B7353">
        <v>2018</v>
      </c>
      <c r="C7353" t="s">
        <v>84</v>
      </c>
      <c r="D7353" t="s">
        <v>183</v>
      </c>
      <c r="E7353" t="s">
        <v>10</v>
      </c>
      <c r="F7353">
        <v>73.599998474121094</v>
      </c>
    </row>
    <row r="7354" spans="2:6">
      <c r="B7354">
        <v>2018</v>
      </c>
      <c r="C7354" t="s">
        <v>84</v>
      </c>
      <c r="D7354" t="s">
        <v>183</v>
      </c>
      <c r="E7354" t="s">
        <v>11</v>
      </c>
      <c r="F7354">
        <v>0.65000927448272705</v>
      </c>
    </row>
    <row r="7355" spans="2:6">
      <c r="B7355">
        <v>2018</v>
      </c>
      <c r="C7355" t="s">
        <v>84</v>
      </c>
      <c r="D7355" t="s">
        <v>183</v>
      </c>
      <c r="E7355" t="s">
        <v>12</v>
      </c>
      <c r="F7355">
        <v>-2.1210772916674614E-2</v>
      </c>
    </row>
    <row r="7356" spans="2:6">
      <c r="B7356">
        <v>2018</v>
      </c>
      <c r="C7356" t="s">
        <v>84</v>
      </c>
      <c r="D7356" t="s">
        <v>183</v>
      </c>
      <c r="E7356" t="s">
        <v>13</v>
      </c>
      <c r="F7356">
        <v>0.88782483339309692</v>
      </c>
    </row>
    <row r="7357" spans="2:6">
      <c r="B7357">
        <v>2018</v>
      </c>
      <c r="C7357" t="s">
        <v>84</v>
      </c>
      <c r="D7357" t="s">
        <v>183</v>
      </c>
      <c r="E7357" t="s">
        <v>14</v>
      </c>
      <c r="F7357">
        <v>0.64902305603027344</v>
      </c>
    </row>
    <row r="7358" spans="2:6">
      <c r="B7358">
        <v>2018</v>
      </c>
      <c r="C7358" t="s">
        <v>84</v>
      </c>
      <c r="D7358" t="s">
        <v>183</v>
      </c>
      <c r="E7358" t="s">
        <v>15</v>
      </c>
      <c r="F7358">
        <v>0.40297535061836243</v>
      </c>
    </row>
    <row r="7359" spans="2:6">
      <c r="B7359">
        <v>2019</v>
      </c>
      <c r="C7359" t="s">
        <v>84</v>
      </c>
      <c r="D7359" t="s">
        <v>183</v>
      </c>
      <c r="E7359" t="s">
        <v>7</v>
      </c>
      <c r="F7359">
        <v>6.4454169273376465</v>
      </c>
    </row>
    <row r="7360" spans="2:6">
      <c r="B7360">
        <v>2019</v>
      </c>
      <c r="C7360" t="s">
        <v>84</v>
      </c>
      <c r="D7360" t="s">
        <v>183</v>
      </c>
      <c r="E7360" t="s">
        <v>8</v>
      </c>
      <c r="F7360">
        <v>10.65520191192627</v>
      </c>
    </row>
    <row r="7361" spans="2:6">
      <c r="B7361">
        <v>2019</v>
      </c>
      <c r="C7361" t="s">
        <v>84</v>
      </c>
      <c r="D7361" t="s">
        <v>183</v>
      </c>
      <c r="E7361" t="s">
        <v>9</v>
      </c>
      <c r="F7361">
        <v>0.83840245008468628</v>
      </c>
    </row>
    <row r="7362" spans="2:6">
      <c r="B7362">
        <v>2019</v>
      </c>
      <c r="C7362" t="s">
        <v>84</v>
      </c>
      <c r="D7362" t="s">
        <v>183</v>
      </c>
      <c r="E7362" t="s">
        <v>10</v>
      </c>
      <c r="F7362">
        <v>73.800003051757813</v>
      </c>
    </row>
    <row r="7363" spans="2:6">
      <c r="B7363">
        <v>2019</v>
      </c>
      <c r="C7363" t="s">
        <v>84</v>
      </c>
      <c r="D7363" t="s">
        <v>183</v>
      </c>
      <c r="E7363" t="s">
        <v>11</v>
      </c>
      <c r="F7363">
        <v>0.70947885513305664</v>
      </c>
    </row>
    <row r="7364" spans="2:6">
      <c r="B7364">
        <v>2019</v>
      </c>
      <c r="C7364" t="s">
        <v>84</v>
      </c>
      <c r="D7364" t="s">
        <v>183</v>
      </c>
      <c r="E7364" t="s">
        <v>12</v>
      </c>
      <c r="F7364">
        <v>-8.1560954451560974E-2</v>
      </c>
    </row>
    <row r="7365" spans="2:6">
      <c r="B7365">
        <v>2019</v>
      </c>
      <c r="C7365" t="s">
        <v>84</v>
      </c>
      <c r="D7365" t="s">
        <v>183</v>
      </c>
      <c r="E7365" t="s">
        <v>13</v>
      </c>
      <c r="F7365">
        <v>0.86552804708480835</v>
      </c>
    </row>
    <row r="7366" spans="2:6">
      <c r="B7366">
        <v>2019</v>
      </c>
      <c r="C7366" t="s">
        <v>84</v>
      </c>
      <c r="D7366" t="s">
        <v>183</v>
      </c>
      <c r="E7366" t="s">
        <v>14</v>
      </c>
      <c r="F7366">
        <v>0.63107979297637939</v>
      </c>
    </row>
    <row r="7367" spans="2:6">
      <c r="B7367">
        <v>2019</v>
      </c>
      <c r="C7367" t="s">
        <v>84</v>
      </c>
      <c r="D7367" t="s">
        <v>183</v>
      </c>
      <c r="E7367" t="s">
        <v>15</v>
      </c>
      <c r="F7367">
        <v>0.32796007394790649</v>
      </c>
    </row>
    <row r="7368" spans="2:6">
      <c r="B7368">
        <v>2020</v>
      </c>
      <c r="C7368" t="s">
        <v>84</v>
      </c>
      <c r="D7368" t="s">
        <v>183</v>
      </c>
      <c r="E7368" t="s">
        <v>7</v>
      </c>
      <c r="F7368">
        <v>6.4883561134338379</v>
      </c>
    </row>
    <row r="7369" spans="2:6">
      <c r="B7369">
        <v>2020</v>
      </c>
      <c r="C7369" t="s">
        <v>84</v>
      </c>
      <c r="D7369" t="s">
        <v>183</v>
      </c>
      <c r="E7369" t="s">
        <v>8</v>
      </c>
      <c r="F7369">
        <v>10.56257152557373</v>
      </c>
    </row>
    <row r="7370" spans="2:6">
      <c r="B7370">
        <v>2020</v>
      </c>
      <c r="C7370" t="s">
        <v>84</v>
      </c>
      <c r="D7370" t="s">
        <v>183</v>
      </c>
      <c r="E7370" t="s">
        <v>9</v>
      </c>
      <c r="F7370">
        <v>0.8898240327835083</v>
      </c>
    </row>
    <row r="7371" spans="2:6">
      <c r="B7371">
        <v>2020</v>
      </c>
      <c r="C7371" t="s">
        <v>84</v>
      </c>
      <c r="D7371" t="s">
        <v>183</v>
      </c>
      <c r="E7371" t="s">
        <v>10</v>
      </c>
      <c r="F7371">
        <v>74</v>
      </c>
    </row>
    <row r="7372" spans="2:6">
      <c r="B7372">
        <v>2020</v>
      </c>
      <c r="C7372" t="s">
        <v>84</v>
      </c>
      <c r="D7372" t="s">
        <v>183</v>
      </c>
      <c r="E7372" t="s">
        <v>11</v>
      </c>
      <c r="F7372">
        <v>0.71815544366836548</v>
      </c>
    </row>
    <row r="7373" spans="2:6">
      <c r="B7373">
        <v>2020</v>
      </c>
      <c r="C7373" t="s">
        <v>84</v>
      </c>
      <c r="D7373" t="s">
        <v>183</v>
      </c>
      <c r="E7373" t="s">
        <v>12</v>
      </c>
      <c r="F7373">
        <v>-0.14993725717067719</v>
      </c>
    </row>
    <row r="7374" spans="2:6">
      <c r="B7374">
        <v>2020</v>
      </c>
      <c r="C7374" t="s">
        <v>84</v>
      </c>
      <c r="D7374" t="s">
        <v>183</v>
      </c>
      <c r="E7374" t="s">
        <v>13</v>
      </c>
      <c r="F7374">
        <v>0.84409457445144653</v>
      </c>
    </row>
    <row r="7375" spans="2:6">
      <c r="B7375">
        <v>2020</v>
      </c>
      <c r="C7375" t="s">
        <v>84</v>
      </c>
      <c r="D7375" t="s">
        <v>183</v>
      </c>
      <c r="E7375" t="s">
        <v>14</v>
      </c>
      <c r="F7375">
        <v>0.67021334171295166</v>
      </c>
    </row>
    <row r="7376" spans="2:6">
      <c r="B7376">
        <v>2020</v>
      </c>
      <c r="C7376" t="s">
        <v>84</v>
      </c>
      <c r="D7376" t="s">
        <v>183</v>
      </c>
      <c r="E7376" t="s">
        <v>15</v>
      </c>
      <c r="F7376">
        <v>0.31100216507911682</v>
      </c>
    </row>
    <row r="7377" spans="2:6">
      <c r="B7377">
        <v>2009</v>
      </c>
      <c r="C7377" t="s">
        <v>85</v>
      </c>
      <c r="D7377" t="s">
        <v>184</v>
      </c>
      <c r="E7377" t="s">
        <v>7</v>
      </c>
      <c r="F7377">
        <v>4.1971817016601563</v>
      </c>
    </row>
    <row r="7378" spans="2:6">
      <c r="B7378">
        <v>2009</v>
      </c>
      <c r="C7378" t="s">
        <v>85</v>
      </c>
      <c r="D7378" t="s">
        <v>184</v>
      </c>
      <c r="E7378" t="s">
        <v>8</v>
      </c>
      <c r="F7378">
        <v>8.2088356018066406</v>
      </c>
    </row>
    <row r="7379" spans="2:6">
      <c r="B7379">
        <v>2009</v>
      </c>
      <c r="C7379" t="s">
        <v>85</v>
      </c>
      <c r="D7379" t="s">
        <v>184</v>
      </c>
      <c r="E7379" t="s">
        <v>9</v>
      </c>
      <c r="F7379">
        <v>0.66700869798660278</v>
      </c>
    </row>
    <row r="7380" spans="2:6">
      <c r="B7380">
        <v>2009</v>
      </c>
      <c r="C7380" t="s">
        <v>85</v>
      </c>
      <c r="D7380" t="s">
        <v>184</v>
      </c>
      <c r="E7380" t="s">
        <v>10</v>
      </c>
      <c r="F7380">
        <v>45.779998779296875</v>
      </c>
    </row>
    <row r="7381" spans="2:6">
      <c r="B7381">
        <v>2009</v>
      </c>
      <c r="C7381" t="s">
        <v>85</v>
      </c>
      <c r="D7381" t="s">
        <v>184</v>
      </c>
      <c r="E7381" t="s">
        <v>11</v>
      </c>
      <c r="F7381">
        <v>0.75986218452453613</v>
      </c>
    </row>
    <row r="7382" spans="2:6">
      <c r="B7382">
        <v>2009</v>
      </c>
      <c r="C7382" t="s">
        <v>85</v>
      </c>
      <c r="D7382" t="s">
        <v>184</v>
      </c>
      <c r="E7382" t="s">
        <v>12</v>
      </c>
      <c r="F7382">
        <v>-0.1533234715461731</v>
      </c>
    </row>
    <row r="7383" spans="2:6">
      <c r="B7383">
        <v>2009</v>
      </c>
      <c r="C7383" t="s">
        <v>85</v>
      </c>
      <c r="D7383" t="s">
        <v>184</v>
      </c>
      <c r="E7383" t="s">
        <v>13</v>
      </c>
      <c r="F7383">
        <v>0.90226203203201294</v>
      </c>
    </row>
    <row r="7384" spans="2:6">
      <c r="B7384">
        <v>2009</v>
      </c>
      <c r="C7384" t="s">
        <v>85</v>
      </c>
      <c r="D7384" t="s">
        <v>184</v>
      </c>
      <c r="E7384" t="s">
        <v>14</v>
      </c>
      <c r="F7384">
        <v>0.60394191741943359</v>
      </c>
    </row>
    <row r="7385" spans="2:6">
      <c r="B7385">
        <v>2009</v>
      </c>
      <c r="C7385" t="s">
        <v>85</v>
      </c>
      <c r="D7385" t="s">
        <v>184</v>
      </c>
      <c r="E7385" t="s">
        <v>15</v>
      </c>
      <c r="F7385">
        <v>0.18618373572826385</v>
      </c>
    </row>
    <row r="7386" spans="2:6">
      <c r="B7386">
        <v>2013</v>
      </c>
      <c r="C7386" t="s">
        <v>85</v>
      </c>
      <c r="D7386" t="s">
        <v>184</v>
      </c>
      <c r="E7386" t="s">
        <v>7</v>
      </c>
      <c r="F7386">
        <v>3.7393655776977539</v>
      </c>
    </row>
    <row r="7387" spans="2:6">
      <c r="B7387">
        <v>2013</v>
      </c>
      <c r="C7387" t="s">
        <v>85</v>
      </c>
      <c r="D7387" t="s">
        <v>184</v>
      </c>
      <c r="E7387" t="s">
        <v>8</v>
      </c>
      <c r="F7387">
        <v>8.2744951248168945</v>
      </c>
    </row>
    <row r="7388" spans="2:6">
      <c r="B7388">
        <v>2013</v>
      </c>
      <c r="C7388" t="s">
        <v>85</v>
      </c>
      <c r="D7388" t="s">
        <v>184</v>
      </c>
      <c r="E7388" t="s">
        <v>9</v>
      </c>
      <c r="F7388">
        <v>0.70857113599777222</v>
      </c>
    </row>
    <row r="7389" spans="2:6">
      <c r="B7389">
        <v>2013</v>
      </c>
      <c r="C7389" t="s">
        <v>85</v>
      </c>
      <c r="D7389" t="s">
        <v>184</v>
      </c>
      <c r="E7389" t="s">
        <v>10</v>
      </c>
      <c r="F7389">
        <v>47.099998474121094</v>
      </c>
    </row>
    <row r="7390" spans="2:6">
      <c r="B7390">
        <v>2013</v>
      </c>
      <c r="C7390" t="s">
        <v>85</v>
      </c>
      <c r="D7390" t="s">
        <v>184</v>
      </c>
      <c r="E7390" t="s">
        <v>11</v>
      </c>
      <c r="F7390">
        <v>0.73919326066970825</v>
      </c>
    </row>
    <row r="7391" spans="2:6">
      <c r="B7391">
        <v>2013</v>
      </c>
      <c r="C7391" t="s">
        <v>85</v>
      </c>
      <c r="D7391" t="s">
        <v>184</v>
      </c>
      <c r="E7391" t="s">
        <v>12</v>
      </c>
      <c r="F7391">
        <v>-3.0704895034432411E-2</v>
      </c>
    </row>
    <row r="7392" spans="2:6">
      <c r="B7392">
        <v>2013</v>
      </c>
      <c r="C7392" t="s">
        <v>85</v>
      </c>
      <c r="D7392" t="s">
        <v>184</v>
      </c>
      <c r="E7392" t="s">
        <v>13</v>
      </c>
      <c r="F7392">
        <v>0.69111758470535278</v>
      </c>
    </row>
    <row r="7393" spans="2:6">
      <c r="B7393">
        <v>2013</v>
      </c>
      <c r="C7393" t="s">
        <v>85</v>
      </c>
      <c r="D7393" t="s">
        <v>184</v>
      </c>
      <c r="E7393" t="s">
        <v>14</v>
      </c>
      <c r="F7393">
        <v>0.74297147989273071</v>
      </c>
    </row>
    <row r="7394" spans="2:6">
      <c r="B7394">
        <v>2013</v>
      </c>
      <c r="C7394" t="s">
        <v>85</v>
      </c>
      <c r="D7394" t="s">
        <v>184</v>
      </c>
      <c r="E7394" t="s">
        <v>15</v>
      </c>
      <c r="F7394">
        <v>0.30606573820114136</v>
      </c>
    </row>
    <row r="7395" spans="2:6">
      <c r="B7395">
        <v>2014</v>
      </c>
      <c r="C7395" t="s">
        <v>85</v>
      </c>
      <c r="D7395" t="s">
        <v>184</v>
      </c>
      <c r="E7395" t="s">
        <v>7</v>
      </c>
      <c r="F7395">
        <v>3.5703685283660889</v>
      </c>
    </row>
    <row r="7396" spans="2:6">
      <c r="B7396">
        <v>2014</v>
      </c>
      <c r="C7396" t="s">
        <v>85</v>
      </c>
      <c r="D7396" t="s">
        <v>184</v>
      </c>
      <c r="E7396" t="s">
        <v>8</v>
      </c>
      <c r="F7396">
        <v>8.3337364196777344</v>
      </c>
    </row>
    <row r="7397" spans="2:6">
      <c r="B7397">
        <v>2014</v>
      </c>
      <c r="C7397" t="s">
        <v>85</v>
      </c>
      <c r="D7397" t="s">
        <v>184</v>
      </c>
      <c r="E7397" t="s">
        <v>9</v>
      </c>
      <c r="F7397">
        <v>0.71099168062210083</v>
      </c>
    </row>
    <row r="7398" spans="2:6">
      <c r="B7398">
        <v>2014</v>
      </c>
      <c r="C7398" t="s">
        <v>85</v>
      </c>
      <c r="D7398" t="s">
        <v>184</v>
      </c>
      <c r="E7398" t="s">
        <v>10</v>
      </c>
      <c r="F7398">
        <v>47.400001525878906</v>
      </c>
    </row>
    <row r="7399" spans="2:6">
      <c r="B7399">
        <v>2014</v>
      </c>
      <c r="C7399" t="s">
        <v>85</v>
      </c>
      <c r="D7399" t="s">
        <v>184</v>
      </c>
      <c r="E7399" t="s">
        <v>11</v>
      </c>
      <c r="F7399">
        <v>0.7807731032371521</v>
      </c>
    </row>
    <row r="7400" spans="2:6">
      <c r="B7400">
        <v>2014</v>
      </c>
      <c r="C7400" t="s">
        <v>85</v>
      </c>
      <c r="D7400" t="s">
        <v>184</v>
      </c>
      <c r="E7400" t="s">
        <v>12</v>
      </c>
      <c r="F7400">
        <v>-8.0097198486328125E-2</v>
      </c>
    </row>
    <row r="7401" spans="2:6">
      <c r="B7401">
        <v>2014</v>
      </c>
      <c r="C7401" t="s">
        <v>85</v>
      </c>
      <c r="D7401" t="s">
        <v>184</v>
      </c>
      <c r="E7401" t="s">
        <v>13</v>
      </c>
      <c r="F7401">
        <v>0.67135626077651978</v>
      </c>
    </row>
    <row r="7402" spans="2:6">
      <c r="B7402">
        <v>2014</v>
      </c>
      <c r="C7402" t="s">
        <v>85</v>
      </c>
      <c r="D7402" t="s">
        <v>184</v>
      </c>
      <c r="E7402" t="s">
        <v>14</v>
      </c>
      <c r="F7402">
        <v>0.64704108238220215</v>
      </c>
    </row>
    <row r="7403" spans="2:6">
      <c r="B7403">
        <v>2014</v>
      </c>
      <c r="C7403" t="s">
        <v>85</v>
      </c>
      <c r="D7403" t="s">
        <v>184</v>
      </c>
      <c r="E7403" t="s">
        <v>15</v>
      </c>
      <c r="F7403">
        <v>0.29065054655075073</v>
      </c>
    </row>
    <row r="7404" spans="2:6">
      <c r="B7404">
        <v>2015</v>
      </c>
      <c r="C7404" t="s">
        <v>85</v>
      </c>
      <c r="D7404" t="s">
        <v>184</v>
      </c>
      <c r="E7404" t="s">
        <v>7</v>
      </c>
      <c r="F7404">
        <v>4.4450387954711914</v>
      </c>
    </row>
    <row r="7405" spans="2:6">
      <c r="B7405">
        <v>2015</v>
      </c>
      <c r="C7405" t="s">
        <v>85</v>
      </c>
      <c r="D7405" t="s">
        <v>184</v>
      </c>
      <c r="E7405" t="s">
        <v>8</v>
      </c>
      <c r="F7405">
        <v>8.3932504653930664</v>
      </c>
    </row>
    <row r="7406" spans="2:6">
      <c r="B7406">
        <v>2015</v>
      </c>
      <c r="C7406" t="s">
        <v>85</v>
      </c>
      <c r="D7406" t="s">
        <v>184</v>
      </c>
      <c r="E7406" t="s">
        <v>9</v>
      </c>
      <c r="F7406">
        <v>0.70399165153503418</v>
      </c>
    </row>
    <row r="7407" spans="2:6">
      <c r="B7407">
        <v>2015</v>
      </c>
      <c r="C7407" t="s">
        <v>85</v>
      </c>
      <c r="D7407" t="s">
        <v>184</v>
      </c>
      <c r="E7407" t="s">
        <v>10</v>
      </c>
      <c r="F7407">
        <v>47.700000762939453</v>
      </c>
    </row>
    <row r="7408" spans="2:6">
      <c r="B7408">
        <v>2015</v>
      </c>
      <c r="C7408" t="s">
        <v>85</v>
      </c>
      <c r="D7408" t="s">
        <v>184</v>
      </c>
      <c r="E7408" t="s">
        <v>11</v>
      </c>
      <c r="F7408">
        <v>0.79974550008773804</v>
      </c>
    </row>
    <row r="7409" spans="2:6">
      <c r="B7409">
        <v>2015</v>
      </c>
      <c r="C7409" t="s">
        <v>85</v>
      </c>
      <c r="D7409" t="s">
        <v>184</v>
      </c>
      <c r="E7409" t="s">
        <v>12</v>
      </c>
      <c r="F7409">
        <v>-5.3405009210109711E-2</v>
      </c>
    </row>
    <row r="7410" spans="2:6">
      <c r="B7410">
        <v>2015</v>
      </c>
      <c r="C7410" t="s">
        <v>85</v>
      </c>
      <c r="D7410" t="s">
        <v>184</v>
      </c>
      <c r="E7410" t="s">
        <v>13</v>
      </c>
      <c r="F7410">
        <v>0.74424964189529419</v>
      </c>
    </row>
    <row r="7411" spans="2:6">
      <c r="B7411">
        <v>2015</v>
      </c>
      <c r="C7411" t="s">
        <v>85</v>
      </c>
      <c r="D7411" t="s">
        <v>184</v>
      </c>
      <c r="E7411" t="s">
        <v>14</v>
      </c>
      <c r="F7411">
        <v>0.66388171911239624</v>
      </c>
    </row>
    <row r="7412" spans="2:6">
      <c r="B7412">
        <v>2015</v>
      </c>
      <c r="C7412" t="s">
        <v>85</v>
      </c>
      <c r="D7412" t="s">
        <v>184</v>
      </c>
      <c r="E7412" t="s">
        <v>15</v>
      </c>
      <c r="F7412">
        <v>0.34722867608070374</v>
      </c>
    </row>
    <row r="7413" spans="2:6">
      <c r="B7413">
        <v>2016</v>
      </c>
      <c r="C7413" t="s">
        <v>85</v>
      </c>
      <c r="D7413" t="s">
        <v>184</v>
      </c>
      <c r="E7413" t="s">
        <v>7</v>
      </c>
      <c r="F7413">
        <v>4.5425457954406738</v>
      </c>
    </row>
    <row r="7414" spans="2:6">
      <c r="B7414">
        <v>2016</v>
      </c>
      <c r="C7414" t="s">
        <v>85</v>
      </c>
      <c r="D7414" t="s">
        <v>184</v>
      </c>
      <c r="E7414" t="s">
        <v>8</v>
      </c>
      <c r="F7414">
        <v>8.4372215270996094</v>
      </c>
    </row>
    <row r="7415" spans="2:6">
      <c r="B7415">
        <v>2016</v>
      </c>
      <c r="C7415" t="s">
        <v>85</v>
      </c>
      <c r="D7415" t="s">
        <v>184</v>
      </c>
      <c r="E7415" t="s">
        <v>9</v>
      </c>
      <c r="F7415">
        <v>0.61740076541900635</v>
      </c>
    </row>
    <row r="7416" spans="2:6">
      <c r="B7416">
        <v>2016</v>
      </c>
      <c r="C7416" t="s">
        <v>85</v>
      </c>
      <c r="D7416" t="s">
        <v>184</v>
      </c>
      <c r="E7416" t="s">
        <v>10</v>
      </c>
      <c r="F7416">
        <v>48.299999237060547</v>
      </c>
    </row>
    <row r="7417" spans="2:6">
      <c r="B7417">
        <v>2016</v>
      </c>
      <c r="C7417" t="s">
        <v>85</v>
      </c>
      <c r="D7417" t="s">
        <v>184</v>
      </c>
      <c r="E7417" t="s">
        <v>11</v>
      </c>
      <c r="F7417">
        <v>0.76878935098648071</v>
      </c>
    </row>
    <row r="7418" spans="2:6">
      <c r="B7418">
        <v>2016</v>
      </c>
      <c r="C7418" t="s">
        <v>85</v>
      </c>
      <c r="D7418" t="s">
        <v>184</v>
      </c>
      <c r="E7418" t="s">
        <v>12</v>
      </c>
      <c r="F7418">
        <v>-4.2711526155471802E-2</v>
      </c>
    </row>
    <row r="7419" spans="2:6">
      <c r="B7419">
        <v>2016</v>
      </c>
      <c r="C7419" t="s">
        <v>85</v>
      </c>
      <c r="D7419" t="s">
        <v>184</v>
      </c>
      <c r="E7419" t="s">
        <v>13</v>
      </c>
      <c r="F7419">
        <v>0.75745338201522827</v>
      </c>
    </row>
    <row r="7420" spans="2:6">
      <c r="B7420">
        <v>2016</v>
      </c>
      <c r="C7420" t="s">
        <v>85</v>
      </c>
      <c r="D7420" t="s">
        <v>184</v>
      </c>
      <c r="E7420" t="s">
        <v>14</v>
      </c>
      <c r="F7420">
        <v>0.70361655950546265</v>
      </c>
    </row>
    <row r="7421" spans="2:6">
      <c r="B7421">
        <v>2016</v>
      </c>
      <c r="C7421" t="s">
        <v>85</v>
      </c>
      <c r="D7421" t="s">
        <v>184</v>
      </c>
      <c r="E7421" t="s">
        <v>15</v>
      </c>
      <c r="F7421">
        <v>0.37802940607070923</v>
      </c>
    </row>
    <row r="7422" spans="2:6">
      <c r="B7422">
        <v>2017</v>
      </c>
      <c r="C7422" t="s">
        <v>85</v>
      </c>
      <c r="D7422" t="s">
        <v>184</v>
      </c>
      <c r="E7422" t="s">
        <v>7</v>
      </c>
      <c r="F7422">
        <v>5.0377349853515625</v>
      </c>
    </row>
    <row r="7423" spans="2:6">
      <c r="B7423">
        <v>2017</v>
      </c>
      <c r="C7423" t="s">
        <v>85</v>
      </c>
      <c r="D7423" t="s">
        <v>184</v>
      </c>
      <c r="E7423" t="s">
        <v>8</v>
      </c>
      <c r="F7423">
        <v>8.482757568359375</v>
      </c>
    </row>
    <row r="7424" spans="2:6">
      <c r="B7424">
        <v>2017</v>
      </c>
      <c r="C7424" t="s">
        <v>85</v>
      </c>
      <c r="D7424" t="s">
        <v>184</v>
      </c>
      <c r="E7424" t="s">
        <v>9</v>
      </c>
      <c r="F7424">
        <v>0.66137534379959106</v>
      </c>
    </row>
    <row r="7425" spans="2:6">
      <c r="B7425">
        <v>2017</v>
      </c>
      <c r="C7425" t="s">
        <v>85</v>
      </c>
      <c r="D7425" t="s">
        <v>184</v>
      </c>
      <c r="E7425" t="s">
        <v>10</v>
      </c>
      <c r="F7425">
        <v>48.900001525878906</v>
      </c>
    </row>
    <row r="7426" spans="2:6">
      <c r="B7426">
        <v>2017</v>
      </c>
      <c r="C7426" t="s">
        <v>85</v>
      </c>
      <c r="D7426" t="s">
        <v>184</v>
      </c>
      <c r="E7426" t="s">
        <v>11</v>
      </c>
      <c r="F7426">
        <v>0.73209792375564575</v>
      </c>
    </row>
    <row r="7427" spans="2:6">
      <c r="B7427">
        <v>2017</v>
      </c>
      <c r="C7427" t="s">
        <v>85</v>
      </c>
      <c r="D7427" t="s">
        <v>184</v>
      </c>
      <c r="E7427" t="s">
        <v>12</v>
      </c>
      <c r="F7427">
        <v>-0.11053846776485443</v>
      </c>
    </row>
    <row r="7428" spans="2:6">
      <c r="B7428">
        <v>2017</v>
      </c>
      <c r="C7428" t="s">
        <v>85</v>
      </c>
      <c r="D7428" t="s">
        <v>184</v>
      </c>
      <c r="E7428" t="s">
        <v>13</v>
      </c>
      <c r="F7428">
        <v>0.77094024419784546</v>
      </c>
    </row>
    <row r="7429" spans="2:6">
      <c r="B7429">
        <v>2017</v>
      </c>
      <c r="C7429" t="s">
        <v>85</v>
      </c>
      <c r="D7429" t="s">
        <v>184</v>
      </c>
      <c r="E7429" t="s">
        <v>14</v>
      </c>
      <c r="F7429">
        <v>0.6977354884147644</v>
      </c>
    </row>
    <row r="7430" spans="2:6">
      <c r="B7430">
        <v>2017</v>
      </c>
      <c r="C7430" t="s">
        <v>85</v>
      </c>
      <c r="D7430" t="s">
        <v>184</v>
      </c>
      <c r="E7430" t="s">
        <v>15</v>
      </c>
      <c r="F7430">
        <v>0.3574557900428772</v>
      </c>
    </row>
    <row r="7431" spans="2:6">
      <c r="B7431">
        <v>2018</v>
      </c>
      <c r="C7431" t="s">
        <v>85</v>
      </c>
      <c r="D7431" t="s">
        <v>184</v>
      </c>
      <c r="E7431" t="s">
        <v>7</v>
      </c>
      <c r="F7431">
        <v>5.2683749198913574</v>
      </c>
    </row>
    <row r="7432" spans="2:6">
      <c r="B7432">
        <v>2018</v>
      </c>
      <c r="C7432" t="s">
        <v>85</v>
      </c>
      <c r="D7432" t="s">
        <v>184</v>
      </c>
      <c r="E7432" t="s">
        <v>8</v>
      </c>
      <c r="F7432">
        <v>8.5229606628417969</v>
      </c>
    </row>
    <row r="7433" spans="2:6">
      <c r="B7433">
        <v>2018</v>
      </c>
      <c r="C7433" t="s">
        <v>85</v>
      </c>
      <c r="D7433" t="s">
        <v>184</v>
      </c>
      <c r="E7433" t="s">
        <v>9</v>
      </c>
      <c r="F7433">
        <v>0.62088257074356079</v>
      </c>
    </row>
    <row r="7434" spans="2:6">
      <c r="B7434">
        <v>2018</v>
      </c>
      <c r="C7434" t="s">
        <v>85</v>
      </c>
      <c r="D7434" t="s">
        <v>184</v>
      </c>
      <c r="E7434" t="s">
        <v>10</v>
      </c>
      <c r="F7434">
        <v>49.5</v>
      </c>
    </row>
    <row r="7435" spans="2:6">
      <c r="B7435">
        <v>2018</v>
      </c>
      <c r="C7435" t="s">
        <v>85</v>
      </c>
      <c r="D7435" t="s">
        <v>184</v>
      </c>
      <c r="E7435" t="s">
        <v>11</v>
      </c>
      <c r="F7435">
        <v>0.71259003877639771</v>
      </c>
    </row>
    <row r="7436" spans="2:6">
      <c r="B7436">
        <v>2018</v>
      </c>
      <c r="C7436" t="s">
        <v>85</v>
      </c>
      <c r="D7436" t="s">
        <v>184</v>
      </c>
      <c r="E7436" t="s">
        <v>12</v>
      </c>
      <c r="F7436">
        <v>-5.0007268786430359E-2</v>
      </c>
    </row>
    <row r="7437" spans="2:6">
      <c r="B7437">
        <v>2018</v>
      </c>
      <c r="C7437" t="s">
        <v>85</v>
      </c>
      <c r="D7437" t="s">
        <v>184</v>
      </c>
      <c r="E7437" t="s">
        <v>13</v>
      </c>
      <c r="F7437">
        <v>0.79096686840057373</v>
      </c>
    </row>
    <row r="7438" spans="2:6">
      <c r="B7438">
        <v>2018</v>
      </c>
      <c r="C7438" t="s">
        <v>85</v>
      </c>
      <c r="D7438" t="s">
        <v>184</v>
      </c>
      <c r="E7438" t="s">
        <v>14</v>
      </c>
      <c r="F7438">
        <v>0.682098388671875</v>
      </c>
    </row>
    <row r="7439" spans="2:6">
      <c r="B7439">
        <v>2018</v>
      </c>
      <c r="C7439" t="s">
        <v>85</v>
      </c>
      <c r="D7439" t="s">
        <v>184</v>
      </c>
      <c r="E7439" t="s">
        <v>15</v>
      </c>
      <c r="F7439">
        <v>0.38563138246536255</v>
      </c>
    </row>
    <row r="7440" spans="2:6">
      <c r="B7440">
        <v>2019</v>
      </c>
      <c r="C7440" t="s">
        <v>85</v>
      </c>
      <c r="D7440" t="s">
        <v>184</v>
      </c>
      <c r="E7440" t="s">
        <v>7</v>
      </c>
      <c r="F7440">
        <v>5.3920121192932129</v>
      </c>
    </row>
    <row r="7441" spans="2:6">
      <c r="B7441">
        <v>2019</v>
      </c>
      <c r="C7441" t="s">
        <v>85</v>
      </c>
      <c r="D7441" t="s">
        <v>184</v>
      </c>
      <c r="E7441" t="s">
        <v>8</v>
      </c>
      <c r="F7441">
        <v>8.5637445449829102</v>
      </c>
    </row>
    <row r="7442" spans="2:6">
      <c r="B7442">
        <v>2019</v>
      </c>
      <c r="C7442" t="s">
        <v>85</v>
      </c>
      <c r="D7442" t="s">
        <v>184</v>
      </c>
      <c r="E7442" t="s">
        <v>9</v>
      </c>
      <c r="F7442">
        <v>0.67938601970672607</v>
      </c>
    </row>
    <row r="7443" spans="2:6">
      <c r="B7443">
        <v>2019</v>
      </c>
      <c r="C7443" t="s">
        <v>85</v>
      </c>
      <c r="D7443" t="s">
        <v>184</v>
      </c>
      <c r="E7443" t="s">
        <v>10</v>
      </c>
      <c r="F7443">
        <v>50.099998474121094</v>
      </c>
    </row>
    <row r="7444" spans="2:6">
      <c r="B7444">
        <v>2019</v>
      </c>
      <c r="C7444" t="s">
        <v>85</v>
      </c>
      <c r="D7444" t="s">
        <v>184</v>
      </c>
      <c r="E7444" t="s">
        <v>11</v>
      </c>
      <c r="F7444">
        <v>0.73571199178695679</v>
      </c>
    </row>
    <row r="7445" spans="2:6">
      <c r="B7445">
        <v>2019</v>
      </c>
      <c r="C7445" t="s">
        <v>85</v>
      </c>
      <c r="D7445" t="s">
        <v>184</v>
      </c>
      <c r="E7445" t="s">
        <v>12</v>
      </c>
      <c r="F7445">
        <v>-1.7261408269405365E-2</v>
      </c>
    </row>
    <row r="7446" spans="2:6">
      <c r="B7446">
        <v>2019</v>
      </c>
      <c r="C7446" t="s">
        <v>85</v>
      </c>
      <c r="D7446" t="s">
        <v>184</v>
      </c>
      <c r="E7446" t="s">
        <v>13</v>
      </c>
      <c r="F7446">
        <v>0.79927122592926025</v>
      </c>
    </row>
    <row r="7447" spans="2:6">
      <c r="B7447">
        <v>2019</v>
      </c>
      <c r="C7447" t="s">
        <v>85</v>
      </c>
      <c r="D7447" t="s">
        <v>184</v>
      </c>
      <c r="E7447" t="s">
        <v>14</v>
      </c>
      <c r="F7447">
        <v>0.67423528432846069</v>
      </c>
    </row>
    <row r="7448" spans="2:6">
      <c r="B7448">
        <v>2019</v>
      </c>
      <c r="C7448" t="s">
        <v>85</v>
      </c>
      <c r="D7448" t="s">
        <v>184</v>
      </c>
      <c r="E7448" t="s">
        <v>15</v>
      </c>
      <c r="F7448">
        <v>0.42540717124938965</v>
      </c>
    </row>
    <row r="7449" spans="2:6">
      <c r="B7449">
        <v>2020</v>
      </c>
      <c r="C7449" t="s">
        <v>85</v>
      </c>
      <c r="D7449" t="s">
        <v>184</v>
      </c>
      <c r="E7449" t="s">
        <v>7</v>
      </c>
      <c r="F7449">
        <v>5.2565035820007324</v>
      </c>
    </row>
    <row r="7450" spans="2:6">
      <c r="B7450">
        <v>2020</v>
      </c>
      <c r="C7450" t="s">
        <v>85</v>
      </c>
      <c r="D7450" t="s">
        <v>184</v>
      </c>
      <c r="E7450" t="s">
        <v>8</v>
      </c>
      <c r="F7450">
        <v>8.5649232864379883</v>
      </c>
    </row>
    <row r="7451" spans="2:6">
      <c r="B7451">
        <v>2020</v>
      </c>
      <c r="C7451" t="s">
        <v>85</v>
      </c>
      <c r="D7451" t="s">
        <v>184</v>
      </c>
      <c r="E7451" t="s">
        <v>9</v>
      </c>
      <c r="F7451">
        <v>0.61310631036758423</v>
      </c>
    </row>
    <row r="7452" spans="2:6">
      <c r="B7452">
        <v>2020</v>
      </c>
      <c r="C7452" t="s">
        <v>85</v>
      </c>
      <c r="D7452" t="s">
        <v>184</v>
      </c>
      <c r="E7452" t="s">
        <v>10</v>
      </c>
      <c r="F7452">
        <v>50.700000762939453</v>
      </c>
    </row>
    <row r="7453" spans="2:6">
      <c r="B7453">
        <v>2020</v>
      </c>
      <c r="C7453" t="s">
        <v>85</v>
      </c>
      <c r="D7453" t="s">
        <v>184</v>
      </c>
      <c r="E7453" t="s">
        <v>11</v>
      </c>
      <c r="F7453">
        <v>0.76999801397323608</v>
      </c>
    </row>
    <row r="7454" spans="2:6">
      <c r="B7454">
        <v>2020</v>
      </c>
      <c r="C7454" t="s">
        <v>85</v>
      </c>
      <c r="D7454" t="s">
        <v>184</v>
      </c>
      <c r="E7454" t="s">
        <v>12</v>
      </c>
      <c r="F7454">
        <v>1.5563689172267914E-2</v>
      </c>
    </row>
    <row r="7455" spans="2:6">
      <c r="B7455">
        <v>2020</v>
      </c>
      <c r="C7455" t="s">
        <v>85</v>
      </c>
      <c r="D7455" t="s">
        <v>184</v>
      </c>
      <c r="E7455" t="s">
        <v>13</v>
      </c>
      <c r="F7455">
        <v>0.77668726444244385</v>
      </c>
    </row>
    <row r="7456" spans="2:6">
      <c r="B7456">
        <v>2020</v>
      </c>
      <c r="C7456" t="s">
        <v>85</v>
      </c>
      <c r="D7456" t="s">
        <v>184</v>
      </c>
      <c r="E7456" t="s">
        <v>14</v>
      </c>
      <c r="F7456">
        <v>0.69264692068099976</v>
      </c>
    </row>
    <row r="7457" spans="2:6">
      <c r="B7457">
        <v>2020</v>
      </c>
      <c r="C7457" t="s">
        <v>85</v>
      </c>
      <c r="D7457" t="s">
        <v>184</v>
      </c>
      <c r="E7457" t="s">
        <v>15</v>
      </c>
      <c r="F7457">
        <v>0.33991909027099609</v>
      </c>
    </row>
    <row r="7458" spans="2:6">
      <c r="B7458">
        <v>2006</v>
      </c>
      <c r="C7458" t="s">
        <v>86</v>
      </c>
      <c r="D7458" t="s">
        <v>185</v>
      </c>
      <c r="E7458" t="s">
        <v>7</v>
      </c>
      <c r="F7458">
        <v>6.2078819274902344</v>
      </c>
    </row>
    <row r="7459" spans="2:6">
      <c r="B7459">
        <v>2006</v>
      </c>
      <c r="C7459" t="s">
        <v>86</v>
      </c>
      <c r="D7459" t="s">
        <v>185</v>
      </c>
      <c r="E7459" t="s">
        <v>8</v>
      </c>
      <c r="F7459">
        <v>9.2253332138061523</v>
      </c>
    </row>
    <row r="7460" spans="2:6">
      <c r="B7460">
        <v>2006</v>
      </c>
      <c r="C7460" t="s">
        <v>86</v>
      </c>
      <c r="D7460" t="s">
        <v>185</v>
      </c>
      <c r="E7460" t="s">
        <v>9</v>
      </c>
      <c r="F7460">
        <v>0.90908396244049072</v>
      </c>
    </row>
    <row r="7461" spans="2:6">
      <c r="B7461">
        <v>2006</v>
      </c>
      <c r="C7461" t="s">
        <v>86</v>
      </c>
      <c r="D7461" t="s">
        <v>185</v>
      </c>
      <c r="E7461" t="s">
        <v>10</v>
      </c>
      <c r="F7461">
        <v>64.900001525878906</v>
      </c>
    </row>
    <row r="7462" spans="2:6">
      <c r="B7462">
        <v>2006</v>
      </c>
      <c r="C7462" t="s">
        <v>86</v>
      </c>
      <c r="D7462" t="s">
        <v>185</v>
      </c>
      <c r="E7462" t="s">
        <v>11</v>
      </c>
      <c r="F7462">
        <v>0.73823606967926025</v>
      </c>
    </row>
    <row r="7463" spans="2:6">
      <c r="B7463">
        <v>2006</v>
      </c>
      <c r="C7463" t="s">
        <v>86</v>
      </c>
      <c r="D7463" t="s">
        <v>185</v>
      </c>
      <c r="E7463" t="s">
        <v>12</v>
      </c>
      <c r="F7463">
        <v>-3.8364201318472624E-3</v>
      </c>
    </row>
    <row r="7464" spans="2:6">
      <c r="B7464">
        <v>2006</v>
      </c>
      <c r="C7464" t="s">
        <v>86</v>
      </c>
      <c r="D7464" t="s">
        <v>185</v>
      </c>
      <c r="E7464" t="s">
        <v>13</v>
      </c>
      <c r="F7464">
        <v>0.94598788022994995</v>
      </c>
    </row>
    <row r="7465" spans="2:6">
      <c r="B7465">
        <v>2006</v>
      </c>
      <c r="C7465" t="s">
        <v>86</v>
      </c>
      <c r="D7465" t="s">
        <v>185</v>
      </c>
      <c r="E7465" t="s">
        <v>14</v>
      </c>
      <c r="F7465">
        <v>0.78847849369049072</v>
      </c>
    </row>
    <row r="7466" spans="2:6">
      <c r="B7466">
        <v>2006</v>
      </c>
      <c r="C7466" t="s">
        <v>86</v>
      </c>
      <c r="D7466" t="s">
        <v>185</v>
      </c>
      <c r="E7466" t="s">
        <v>15</v>
      </c>
      <c r="F7466">
        <v>0.20084674656391144</v>
      </c>
    </row>
    <row r="7467" spans="2:6">
      <c r="B7467">
        <v>2011</v>
      </c>
      <c r="C7467" t="s">
        <v>86</v>
      </c>
      <c r="D7467" t="s">
        <v>185</v>
      </c>
      <c r="E7467" t="s">
        <v>7</v>
      </c>
      <c r="F7467">
        <v>5.3744463920593262</v>
      </c>
    </row>
    <row r="7468" spans="2:6">
      <c r="B7468">
        <v>2011</v>
      </c>
      <c r="C7468" t="s">
        <v>86</v>
      </c>
      <c r="D7468" t="s">
        <v>185</v>
      </c>
      <c r="E7468" t="s">
        <v>8</v>
      </c>
      <c r="F7468">
        <v>9.1638174057006836</v>
      </c>
    </row>
    <row r="7469" spans="2:6">
      <c r="B7469">
        <v>2011</v>
      </c>
      <c r="C7469" t="s">
        <v>86</v>
      </c>
      <c r="D7469" t="s">
        <v>185</v>
      </c>
      <c r="E7469" t="s">
        <v>9</v>
      </c>
      <c r="F7469">
        <v>0.8545842170715332</v>
      </c>
    </row>
    <row r="7470" spans="2:6">
      <c r="B7470">
        <v>2011</v>
      </c>
      <c r="C7470" t="s">
        <v>86</v>
      </c>
      <c r="D7470" t="s">
        <v>185</v>
      </c>
      <c r="E7470" t="s">
        <v>10</v>
      </c>
      <c r="F7470">
        <v>66.220001220703125</v>
      </c>
    </row>
    <row r="7471" spans="2:6">
      <c r="B7471">
        <v>2011</v>
      </c>
      <c r="C7471" t="s">
        <v>86</v>
      </c>
      <c r="D7471" t="s">
        <v>185</v>
      </c>
      <c r="E7471" t="s">
        <v>11</v>
      </c>
      <c r="F7471">
        <v>0.79561352729797363</v>
      </c>
    </row>
    <row r="7472" spans="2:6">
      <c r="B7472">
        <v>2011</v>
      </c>
      <c r="C7472" t="s">
        <v>86</v>
      </c>
      <c r="D7472" t="s">
        <v>185</v>
      </c>
      <c r="E7472" t="s">
        <v>12</v>
      </c>
      <c r="F7472">
        <v>-6.3646122813224792E-2</v>
      </c>
    </row>
    <row r="7473" spans="2:6">
      <c r="B7473">
        <v>2011</v>
      </c>
      <c r="C7473" t="s">
        <v>86</v>
      </c>
      <c r="D7473" t="s">
        <v>185</v>
      </c>
      <c r="E7473" t="s">
        <v>13</v>
      </c>
      <c r="F7473">
        <v>0.90911614894866943</v>
      </c>
    </row>
    <row r="7474" spans="2:6">
      <c r="B7474">
        <v>2011</v>
      </c>
      <c r="C7474" t="s">
        <v>86</v>
      </c>
      <c r="D7474" t="s">
        <v>185</v>
      </c>
      <c r="E7474" t="s">
        <v>14</v>
      </c>
      <c r="F7474">
        <v>0.83587199449539185</v>
      </c>
    </row>
    <row r="7475" spans="2:6">
      <c r="B7475">
        <v>2011</v>
      </c>
      <c r="C7475" t="s">
        <v>86</v>
      </c>
      <c r="D7475" t="s">
        <v>185</v>
      </c>
      <c r="E7475" t="s">
        <v>15</v>
      </c>
      <c r="F7475">
        <v>0.23715882003307343</v>
      </c>
    </row>
    <row r="7476" spans="2:6">
      <c r="B7476">
        <v>2013</v>
      </c>
      <c r="C7476" t="s">
        <v>86</v>
      </c>
      <c r="D7476" t="s">
        <v>185</v>
      </c>
      <c r="E7476" t="s">
        <v>7</v>
      </c>
      <c r="F7476">
        <v>5.7088866233825684</v>
      </c>
    </row>
    <row r="7477" spans="2:6">
      <c r="B7477">
        <v>2013</v>
      </c>
      <c r="C7477" t="s">
        <v>86</v>
      </c>
      <c r="D7477" t="s">
        <v>185</v>
      </c>
      <c r="E7477" t="s">
        <v>8</v>
      </c>
      <c r="F7477">
        <v>9.1511325836181641</v>
      </c>
    </row>
    <row r="7478" spans="2:6">
      <c r="B7478">
        <v>2013</v>
      </c>
      <c r="C7478" t="s">
        <v>86</v>
      </c>
      <c r="D7478" t="s">
        <v>185</v>
      </c>
      <c r="E7478" t="s">
        <v>9</v>
      </c>
      <c r="F7478">
        <v>0.86494338512420654</v>
      </c>
    </row>
    <row r="7479" spans="2:6">
      <c r="B7479">
        <v>2013</v>
      </c>
      <c r="C7479" t="s">
        <v>86</v>
      </c>
      <c r="D7479" t="s">
        <v>185</v>
      </c>
      <c r="E7479" t="s">
        <v>10</v>
      </c>
      <c r="F7479">
        <v>66.459999084472656</v>
      </c>
    </row>
    <row r="7480" spans="2:6">
      <c r="B7480">
        <v>2013</v>
      </c>
      <c r="C7480" t="s">
        <v>86</v>
      </c>
      <c r="D7480" t="s">
        <v>185</v>
      </c>
      <c r="E7480" t="s">
        <v>11</v>
      </c>
      <c r="F7480">
        <v>0.79319494962692261</v>
      </c>
    </row>
    <row r="7481" spans="2:6">
      <c r="B7481">
        <v>2013</v>
      </c>
      <c r="C7481" t="s">
        <v>86</v>
      </c>
      <c r="D7481" t="s">
        <v>185</v>
      </c>
      <c r="E7481" t="s">
        <v>12</v>
      </c>
      <c r="F7481">
        <v>-2.0864339545369148E-2</v>
      </c>
    </row>
    <row r="7482" spans="2:6">
      <c r="B7482">
        <v>2013</v>
      </c>
      <c r="C7482" t="s">
        <v>86</v>
      </c>
      <c r="D7482" t="s">
        <v>185</v>
      </c>
      <c r="E7482" t="s">
        <v>13</v>
      </c>
      <c r="F7482">
        <v>0.93072229623794556</v>
      </c>
    </row>
    <row r="7483" spans="2:6">
      <c r="B7483">
        <v>2013</v>
      </c>
      <c r="C7483" t="s">
        <v>86</v>
      </c>
      <c r="D7483" t="s">
        <v>185</v>
      </c>
      <c r="E7483" t="s">
        <v>14</v>
      </c>
      <c r="F7483">
        <v>0.73361337184906006</v>
      </c>
    </row>
    <row r="7484" spans="2:6">
      <c r="B7484">
        <v>2013</v>
      </c>
      <c r="C7484" t="s">
        <v>86</v>
      </c>
      <c r="D7484" t="s">
        <v>185</v>
      </c>
      <c r="E7484" t="s">
        <v>15</v>
      </c>
      <c r="F7484">
        <v>0.31248486042022705</v>
      </c>
    </row>
    <row r="7485" spans="2:6">
      <c r="B7485">
        <v>2014</v>
      </c>
      <c r="C7485" t="s">
        <v>86</v>
      </c>
      <c r="D7485" t="s">
        <v>185</v>
      </c>
      <c r="E7485" t="s">
        <v>7</v>
      </c>
      <c r="F7485">
        <v>5.3105387687683105</v>
      </c>
    </row>
    <row r="7486" spans="2:6">
      <c r="B7486">
        <v>2014</v>
      </c>
      <c r="C7486" t="s">
        <v>86</v>
      </c>
      <c r="D7486" t="s">
        <v>185</v>
      </c>
      <c r="E7486" t="s">
        <v>8</v>
      </c>
      <c r="F7486">
        <v>9.1522932052612305</v>
      </c>
    </row>
    <row r="7487" spans="2:6">
      <c r="B7487">
        <v>2014</v>
      </c>
      <c r="C7487" t="s">
        <v>86</v>
      </c>
      <c r="D7487" t="s">
        <v>185</v>
      </c>
      <c r="E7487" t="s">
        <v>9</v>
      </c>
      <c r="F7487">
        <v>0.87423151731491089</v>
      </c>
    </row>
    <row r="7488" spans="2:6">
      <c r="B7488">
        <v>2014</v>
      </c>
      <c r="C7488" t="s">
        <v>86</v>
      </c>
      <c r="D7488" t="s">
        <v>185</v>
      </c>
      <c r="E7488" t="s">
        <v>10</v>
      </c>
      <c r="F7488">
        <v>66.580001831054688</v>
      </c>
    </row>
    <row r="7489" spans="2:6">
      <c r="B7489">
        <v>2014</v>
      </c>
      <c r="C7489" t="s">
        <v>86</v>
      </c>
      <c r="D7489" t="s">
        <v>185</v>
      </c>
      <c r="E7489" t="s">
        <v>11</v>
      </c>
      <c r="F7489">
        <v>0.80897313356399536</v>
      </c>
    </row>
    <row r="7490" spans="2:6">
      <c r="B7490">
        <v>2014</v>
      </c>
      <c r="C7490" t="s">
        <v>86</v>
      </c>
      <c r="D7490" t="s">
        <v>185</v>
      </c>
      <c r="E7490" t="s">
        <v>12</v>
      </c>
      <c r="F7490">
        <v>-5.19264314789325E-4</v>
      </c>
    </row>
    <row r="7491" spans="2:6">
      <c r="B7491">
        <v>2014</v>
      </c>
      <c r="C7491" t="s">
        <v>86</v>
      </c>
      <c r="D7491" t="s">
        <v>185</v>
      </c>
      <c r="E7491" t="s">
        <v>13</v>
      </c>
      <c r="F7491">
        <v>0.86113250255584717</v>
      </c>
    </row>
    <row r="7492" spans="2:6">
      <c r="B7492">
        <v>2014</v>
      </c>
      <c r="C7492" t="s">
        <v>86</v>
      </c>
      <c r="D7492" t="s">
        <v>185</v>
      </c>
      <c r="E7492" t="s">
        <v>14</v>
      </c>
      <c r="F7492">
        <v>0.73716086149215698</v>
      </c>
    </row>
    <row r="7493" spans="2:6">
      <c r="B7493">
        <v>2014</v>
      </c>
      <c r="C7493" t="s">
        <v>86</v>
      </c>
      <c r="D7493" t="s">
        <v>185</v>
      </c>
      <c r="E7493" t="s">
        <v>15</v>
      </c>
      <c r="F7493">
        <v>0.30998492240905762</v>
      </c>
    </row>
    <row r="7494" spans="2:6">
      <c r="B7494">
        <v>2017</v>
      </c>
      <c r="C7494" t="s">
        <v>86</v>
      </c>
      <c r="D7494" t="s">
        <v>185</v>
      </c>
      <c r="E7494" t="s">
        <v>7</v>
      </c>
      <c r="F7494">
        <v>5.8897590637207031</v>
      </c>
    </row>
    <row r="7495" spans="2:6">
      <c r="B7495">
        <v>2017</v>
      </c>
      <c r="C7495" t="s">
        <v>86</v>
      </c>
      <c r="D7495" t="s">
        <v>185</v>
      </c>
      <c r="E7495" t="s">
        <v>8</v>
      </c>
      <c r="F7495">
        <v>9.1693487167358398</v>
      </c>
    </row>
    <row r="7496" spans="2:6">
      <c r="B7496">
        <v>2017</v>
      </c>
      <c r="C7496" t="s">
        <v>86</v>
      </c>
      <c r="D7496" t="s">
        <v>185</v>
      </c>
      <c r="E7496" t="s">
        <v>9</v>
      </c>
      <c r="F7496">
        <v>0.91302984952926636</v>
      </c>
    </row>
    <row r="7497" spans="2:6">
      <c r="B7497">
        <v>2017</v>
      </c>
      <c r="C7497" t="s">
        <v>86</v>
      </c>
      <c r="D7497" t="s">
        <v>185</v>
      </c>
      <c r="E7497" t="s">
        <v>10</v>
      </c>
      <c r="F7497">
        <v>67.099998474121094</v>
      </c>
    </row>
    <row r="7498" spans="2:6">
      <c r="B7498">
        <v>2017</v>
      </c>
      <c r="C7498" t="s">
        <v>86</v>
      </c>
      <c r="D7498" t="s">
        <v>185</v>
      </c>
      <c r="E7498" t="s">
        <v>11</v>
      </c>
      <c r="F7498">
        <v>0.8606763482093811</v>
      </c>
    </row>
    <row r="7499" spans="2:6">
      <c r="B7499">
        <v>2017</v>
      </c>
      <c r="C7499" t="s">
        <v>86</v>
      </c>
      <c r="D7499" t="s">
        <v>185</v>
      </c>
      <c r="E7499" t="s">
        <v>12</v>
      </c>
      <c r="F7499">
        <v>-0.12957407534122467</v>
      </c>
    </row>
    <row r="7500" spans="2:6">
      <c r="B7500">
        <v>2017</v>
      </c>
      <c r="C7500" t="s">
        <v>86</v>
      </c>
      <c r="D7500" t="s">
        <v>185</v>
      </c>
      <c r="E7500" t="s">
        <v>13</v>
      </c>
      <c r="F7500">
        <v>0.88279616832733154</v>
      </c>
    </row>
    <row r="7501" spans="2:6">
      <c r="B7501">
        <v>2017</v>
      </c>
      <c r="C7501" t="s">
        <v>86</v>
      </c>
      <c r="D7501" t="s">
        <v>185</v>
      </c>
      <c r="E7501" t="s">
        <v>14</v>
      </c>
      <c r="F7501">
        <v>0.76928216218948364</v>
      </c>
    </row>
    <row r="7502" spans="2:6">
      <c r="B7502">
        <v>2017</v>
      </c>
      <c r="C7502" t="s">
        <v>86</v>
      </c>
      <c r="D7502" t="s">
        <v>185</v>
      </c>
      <c r="E7502" t="s">
        <v>15</v>
      </c>
      <c r="F7502">
        <v>0.24339963495731354</v>
      </c>
    </row>
    <row r="7503" spans="2:6">
      <c r="B7503">
        <v>2019</v>
      </c>
      <c r="C7503" t="s">
        <v>86</v>
      </c>
      <c r="D7503" t="s">
        <v>185</v>
      </c>
      <c r="E7503" t="s">
        <v>7</v>
      </c>
      <c r="F7503">
        <v>6.3092389106750488</v>
      </c>
    </row>
    <row r="7504" spans="2:6">
      <c r="B7504">
        <v>2019</v>
      </c>
      <c r="C7504" t="s">
        <v>86</v>
      </c>
      <c r="D7504" t="s">
        <v>185</v>
      </c>
      <c r="E7504" t="s">
        <v>8</v>
      </c>
      <c r="F7504">
        <v>9.1862010955810547</v>
      </c>
    </row>
    <row r="7505" spans="2:6">
      <c r="B7505">
        <v>2019</v>
      </c>
      <c r="C7505" t="s">
        <v>86</v>
      </c>
      <c r="D7505" t="s">
        <v>185</v>
      </c>
      <c r="E7505" t="s">
        <v>9</v>
      </c>
      <c r="F7505">
        <v>0.87781447172164917</v>
      </c>
    </row>
    <row r="7506" spans="2:6">
      <c r="B7506">
        <v>2019</v>
      </c>
      <c r="C7506" t="s">
        <v>86</v>
      </c>
      <c r="D7506" t="s">
        <v>185</v>
      </c>
      <c r="E7506" t="s">
        <v>10</v>
      </c>
      <c r="F7506">
        <v>67.5</v>
      </c>
    </row>
    <row r="7507" spans="2:6">
      <c r="B7507">
        <v>2019</v>
      </c>
      <c r="C7507" t="s">
        <v>86</v>
      </c>
      <c r="D7507" t="s">
        <v>185</v>
      </c>
      <c r="E7507" t="s">
        <v>11</v>
      </c>
      <c r="F7507">
        <v>0.89067083597183228</v>
      </c>
    </row>
    <row r="7508" spans="2:6">
      <c r="B7508">
        <v>2019</v>
      </c>
      <c r="C7508" t="s">
        <v>86</v>
      </c>
      <c r="D7508" t="s">
        <v>185</v>
      </c>
      <c r="E7508" t="s">
        <v>12</v>
      </c>
      <c r="F7508">
        <v>-0.13679705560207367</v>
      </c>
    </row>
    <row r="7509" spans="2:6">
      <c r="B7509">
        <v>2019</v>
      </c>
      <c r="C7509" t="s">
        <v>86</v>
      </c>
      <c r="D7509" t="s">
        <v>185</v>
      </c>
      <c r="E7509" t="s">
        <v>13</v>
      </c>
      <c r="F7509">
        <v>0.88533002138137817</v>
      </c>
    </row>
    <row r="7510" spans="2:6">
      <c r="B7510">
        <v>2019</v>
      </c>
      <c r="C7510" t="s">
        <v>86</v>
      </c>
      <c r="D7510" t="s">
        <v>185</v>
      </c>
      <c r="E7510" t="s">
        <v>14</v>
      </c>
      <c r="F7510">
        <v>0.75204110145568848</v>
      </c>
    </row>
    <row r="7511" spans="2:6">
      <c r="B7511">
        <v>2019</v>
      </c>
      <c r="C7511" t="s">
        <v>86</v>
      </c>
      <c r="D7511" t="s">
        <v>185</v>
      </c>
      <c r="E7511" t="s">
        <v>15</v>
      </c>
      <c r="F7511">
        <v>0.19528414309024811</v>
      </c>
    </row>
    <row r="7512" spans="2:6">
      <c r="B7512">
        <v>2005</v>
      </c>
      <c r="C7512" t="s">
        <v>87</v>
      </c>
      <c r="D7512" t="s">
        <v>182</v>
      </c>
      <c r="E7512" t="s">
        <v>7</v>
      </c>
      <c r="F7512">
        <v>6.5158171653747559</v>
      </c>
    </row>
    <row r="7513" spans="2:6">
      <c r="B7513">
        <v>2005</v>
      </c>
      <c r="C7513" t="s">
        <v>87</v>
      </c>
      <c r="D7513" t="s">
        <v>182</v>
      </c>
      <c r="E7513" t="s">
        <v>8</v>
      </c>
      <c r="F7513">
        <v>10.529192924499512</v>
      </c>
    </row>
    <row r="7514" spans="2:6">
      <c r="B7514">
        <v>2005</v>
      </c>
      <c r="C7514" t="s">
        <v>87</v>
      </c>
      <c r="D7514" t="s">
        <v>182</v>
      </c>
      <c r="E7514" t="s">
        <v>9</v>
      </c>
      <c r="F7514">
        <v>0.92771196365356445</v>
      </c>
    </row>
    <row r="7515" spans="2:6">
      <c r="B7515">
        <v>2005</v>
      </c>
      <c r="C7515" t="s">
        <v>87</v>
      </c>
      <c r="D7515" t="s">
        <v>182</v>
      </c>
      <c r="E7515" t="s">
        <v>10</v>
      </c>
      <c r="F7515">
        <v>73.199996948242188</v>
      </c>
    </row>
    <row r="7516" spans="2:6">
      <c r="B7516">
        <v>2005</v>
      </c>
      <c r="C7516" t="s">
        <v>87</v>
      </c>
      <c r="D7516" t="s">
        <v>182</v>
      </c>
      <c r="E7516" t="s">
        <v>11</v>
      </c>
      <c r="F7516">
        <v>0.86777925491333008</v>
      </c>
    </row>
    <row r="7517" spans="2:6">
      <c r="B7517">
        <v>2005</v>
      </c>
      <c r="C7517" t="s">
        <v>87</v>
      </c>
      <c r="D7517" t="s">
        <v>182</v>
      </c>
      <c r="E7517" t="s">
        <v>13</v>
      </c>
      <c r="F7517">
        <v>0.69892972707748413</v>
      </c>
    </row>
    <row r="7518" spans="2:6">
      <c r="B7518">
        <v>2005</v>
      </c>
      <c r="C7518" t="s">
        <v>87</v>
      </c>
      <c r="D7518" t="s">
        <v>182</v>
      </c>
      <c r="E7518" t="s">
        <v>14</v>
      </c>
      <c r="F7518">
        <v>0.73898041248321533</v>
      </c>
    </row>
    <row r="7519" spans="2:6">
      <c r="B7519">
        <v>2005</v>
      </c>
      <c r="C7519" t="s">
        <v>87</v>
      </c>
      <c r="D7519" t="s">
        <v>182</v>
      </c>
      <c r="E7519" t="s">
        <v>15</v>
      </c>
      <c r="F7519">
        <v>0.15315105020999908</v>
      </c>
    </row>
    <row r="7520" spans="2:6">
      <c r="B7520">
        <v>2007</v>
      </c>
      <c r="C7520" t="s">
        <v>87</v>
      </c>
      <c r="D7520" t="s">
        <v>182</v>
      </c>
      <c r="E7520" t="s">
        <v>7</v>
      </c>
      <c r="F7520">
        <v>6.2381978034973145</v>
      </c>
    </row>
    <row r="7521" spans="2:6">
      <c r="B7521">
        <v>2007</v>
      </c>
      <c r="C7521" t="s">
        <v>87</v>
      </c>
      <c r="D7521" t="s">
        <v>182</v>
      </c>
      <c r="E7521" t="s">
        <v>8</v>
      </c>
      <c r="F7521">
        <v>10.557916641235352</v>
      </c>
    </row>
    <row r="7522" spans="2:6">
      <c r="B7522">
        <v>2007</v>
      </c>
      <c r="C7522" t="s">
        <v>87</v>
      </c>
      <c r="D7522" t="s">
        <v>182</v>
      </c>
      <c r="E7522" t="s">
        <v>9</v>
      </c>
      <c r="F7522">
        <v>0.93814808130264282</v>
      </c>
    </row>
    <row r="7523" spans="2:6">
      <c r="B7523">
        <v>2007</v>
      </c>
      <c r="C7523" t="s">
        <v>87</v>
      </c>
      <c r="D7523" t="s">
        <v>182</v>
      </c>
      <c r="E7523" t="s">
        <v>10</v>
      </c>
      <c r="F7523">
        <v>73.44000244140625</v>
      </c>
    </row>
    <row r="7524" spans="2:6">
      <c r="B7524">
        <v>2007</v>
      </c>
      <c r="C7524" t="s">
        <v>87</v>
      </c>
      <c r="D7524" t="s">
        <v>182</v>
      </c>
      <c r="E7524" t="s">
        <v>11</v>
      </c>
      <c r="F7524">
        <v>0.79605412483215332</v>
      </c>
    </row>
    <row r="7525" spans="2:6">
      <c r="B7525">
        <v>2007</v>
      </c>
      <c r="C7525" t="s">
        <v>87</v>
      </c>
      <c r="D7525" t="s">
        <v>182</v>
      </c>
      <c r="E7525" t="s">
        <v>12</v>
      </c>
      <c r="F7525">
        <v>-9.0048253536224365E-2</v>
      </c>
    </row>
    <row r="7526" spans="2:6">
      <c r="B7526">
        <v>2007</v>
      </c>
      <c r="C7526" t="s">
        <v>87</v>
      </c>
      <c r="D7526" t="s">
        <v>182</v>
      </c>
      <c r="E7526" t="s">
        <v>13</v>
      </c>
      <c r="F7526">
        <v>0.80923330783843994</v>
      </c>
    </row>
    <row r="7527" spans="2:6">
      <c r="B7527">
        <v>2007</v>
      </c>
      <c r="C7527" t="s">
        <v>87</v>
      </c>
      <c r="D7527" t="s">
        <v>182</v>
      </c>
      <c r="E7527" t="s">
        <v>14</v>
      </c>
      <c r="F7527">
        <v>0.73149353265762329</v>
      </c>
    </row>
    <row r="7528" spans="2:6">
      <c r="B7528">
        <v>2007</v>
      </c>
      <c r="C7528" t="s">
        <v>87</v>
      </c>
      <c r="D7528" t="s">
        <v>182</v>
      </c>
      <c r="E7528" t="s">
        <v>15</v>
      </c>
      <c r="F7528">
        <v>0.20657981932163239</v>
      </c>
    </row>
    <row r="7529" spans="2:6">
      <c r="B7529">
        <v>2008</v>
      </c>
      <c r="C7529" t="s">
        <v>87</v>
      </c>
      <c r="D7529" t="s">
        <v>182</v>
      </c>
      <c r="E7529" t="s">
        <v>7</v>
      </c>
      <c r="F7529">
        <v>5.9106793403625488</v>
      </c>
    </row>
    <row r="7530" spans="2:6">
      <c r="B7530">
        <v>2008</v>
      </c>
      <c r="C7530" t="s">
        <v>87</v>
      </c>
      <c r="D7530" t="s">
        <v>182</v>
      </c>
      <c r="E7530" t="s">
        <v>8</v>
      </c>
      <c r="F7530">
        <v>10.54643726348877</v>
      </c>
    </row>
    <row r="7531" spans="2:6">
      <c r="B7531">
        <v>2008</v>
      </c>
      <c r="C7531" t="s">
        <v>87</v>
      </c>
      <c r="D7531" t="s">
        <v>182</v>
      </c>
      <c r="E7531" t="s">
        <v>9</v>
      </c>
      <c r="F7531">
        <v>0.88730406761169434</v>
      </c>
    </row>
    <row r="7532" spans="2:6">
      <c r="B7532">
        <v>2008</v>
      </c>
      <c r="C7532" t="s">
        <v>87</v>
      </c>
      <c r="D7532" t="s">
        <v>182</v>
      </c>
      <c r="E7532" t="s">
        <v>10</v>
      </c>
      <c r="F7532">
        <v>73.55999755859375</v>
      </c>
    </row>
    <row r="7533" spans="2:6">
      <c r="B7533">
        <v>2008</v>
      </c>
      <c r="C7533" t="s">
        <v>87</v>
      </c>
      <c r="D7533" t="s">
        <v>182</v>
      </c>
      <c r="E7533" t="s">
        <v>11</v>
      </c>
      <c r="F7533">
        <v>0.77207005023956299</v>
      </c>
    </row>
    <row r="7534" spans="2:6">
      <c r="B7534">
        <v>2008</v>
      </c>
      <c r="C7534" t="s">
        <v>87</v>
      </c>
      <c r="D7534" t="s">
        <v>182</v>
      </c>
      <c r="E7534" t="s">
        <v>12</v>
      </c>
      <c r="F7534">
        <v>-0.13506230711936951</v>
      </c>
    </row>
    <row r="7535" spans="2:6">
      <c r="B7535">
        <v>2008</v>
      </c>
      <c r="C7535" t="s">
        <v>87</v>
      </c>
      <c r="D7535" t="s">
        <v>182</v>
      </c>
      <c r="E7535" t="s">
        <v>13</v>
      </c>
      <c r="F7535">
        <v>0.81647533178329468</v>
      </c>
    </row>
    <row r="7536" spans="2:6">
      <c r="B7536">
        <v>2008</v>
      </c>
      <c r="C7536" t="s">
        <v>87</v>
      </c>
      <c r="D7536" t="s">
        <v>182</v>
      </c>
      <c r="E7536" t="s">
        <v>14</v>
      </c>
      <c r="F7536">
        <v>0.77984213829040527</v>
      </c>
    </row>
    <row r="7537" spans="2:6">
      <c r="B7537">
        <v>2008</v>
      </c>
      <c r="C7537" t="s">
        <v>87</v>
      </c>
      <c r="D7537" t="s">
        <v>182</v>
      </c>
      <c r="E7537" t="s">
        <v>15</v>
      </c>
      <c r="F7537">
        <v>0.1907740980386734</v>
      </c>
    </row>
    <row r="7538" spans="2:6">
      <c r="B7538">
        <v>2009</v>
      </c>
      <c r="C7538" t="s">
        <v>87</v>
      </c>
      <c r="D7538" t="s">
        <v>182</v>
      </c>
      <c r="E7538" t="s">
        <v>7</v>
      </c>
      <c r="F7538">
        <v>5.8449993133544922</v>
      </c>
    </row>
    <row r="7539" spans="2:6">
      <c r="B7539">
        <v>2009</v>
      </c>
      <c r="C7539" t="s">
        <v>87</v>
      </c>
      <c r="D7539" t="s">
        <v>182</v>
      </c>
      <c r="E7539" t="s">
        <v>8</v>
      </c>
      <c r="F7539">
        <v>10.490875244140625</v>
      </c>
    </row>
    <row r="7540" spans="2:6">
      <c r="B7540">
        <v>2009</v>
      </c>
      <c r="C7540" t="s">
        <v>87</v>
      </c>
      <c r="D7540" t="s">
        <v>182</v>
      </c>
      <c r="E7540" t="s">
        <v>9</v>
      </c>
      <c r="F7540">
        <v>0.88835686445236206</v>
      </c>
    </row>
    <row r="7541" spans="2:6">
      <c r="B7541">
        <v>2009</v>
      </c>
      <c r="C7541" t="s">
        <v>87</v>
      </c>
      <c r="D7541" t="s">
        <v>182</v>
      </c>
      <c r="E7541" t="s">
        <v>10</v>
      </c>
      <c r="F7541">
        <v>73.680000305175781</v>
      </c>
    </row>
    <row r="7542" spans="2:6">
      <c r="B7542">
        <v>2009</v>
      </c>
      <c r="C7542" t="s">
        <v>87</v>
      </c>
      <c r="D7542" t="s">
        <v>182</v>
      </c>
      <c r="E7542" t="s">
        <v>11</v>
      </c>
      <c r="F7542">
        <v>0.72988802194595337</v>
      </c>
    </row>
    <row r="7543" spans="2:6">
      <c r="B7543">
        <v>2009</v>
      </c>
      <c r="C7543" t="s">
        <v>87</v>
      </c>
      <c r="D7543" t="s">
        <v>182</v>
      </c>
      <c r="E7543" t="s">
        <v>12</v>
      </c>
      <c r="F7543">
        <v>-0.20990301668643951</v>
      </c>
    </row>
    <row r="7544" spans="2:6">
      <c r="B7544">
        <v>2009</v>
      </c>
      <c r="C7544" t="s">
        <v>87</v>
      </c>
      <c r="D7544" t="s">
        <v>182</v>
      </c>
      <c r="E7544" t="s">
        <v>13</v>
      </c>
      <c r="F7544">
        <v>0.7401081919670105</v>
      </c>
    </row>
    <row r="7545" spans="2:6">
      <c r="B7545">
        <v>2009</v>
      </c>
      <c r="C7545" t="s">
        <v>87</v>
      </c>
      <c r="D7545" t="s">
        <v>182</v>
      </c>
      <c r="E7545" t="s">
        <v>14</v>
      </c>
      <c r="F7545">
        <v>0.78499031066894531</v>
      </c>
    </row>
    <row r="7546" spans="2:6">
      <c r="B7546">
        <v>2009</v>
      </c>
      <c r="C7546" t="s">
        <v>87</v>
      </c>
      <c r="D7546" t="s">
        <v>182</v>
      </c>
      <c r="E7546" t="s">
        <v>15</v>
      </c>
      <c r="F7546">
        <v>0.16947788000106812</v>
      </c>
    </row>
    <row r="7547" spans="2:6">
      <c r="B7547">
        <v>2010</v>
      </c>
      <c r="C7547" t="s">
        <v>87</v>
      </c>
      <c r="D7547" t="s">
        <v>182</v>
      </c>
      <c r="E7547" t="s">
        <v>7</v>
      </c>
      <c r="F7547">
        <v>6.0567526817321777</v>
      </c>
    </row>
    <row r="7548" spans="2:6">
      <c r="B7548">
        <v>2010</v>
      </c>
      <c r="C7548" t="s">
        <v>87</v>
      </c>
      <c r="D7548" t="s">
        <v>182</v>
      </c>
      <c r="E7548" t="s">
        <v>8</v>
      </c>
      <c r="F7548">
        <v>10.531758308410645</v>
      </c>
    </row>
    <row r="7549" spans="2:6">
      <c r="B7549">
        <v>2010</v>
      </c>
      <c r="C7549" t="s">
        <v>87</v>
      </c>
      <c r="D7549" t="s">
        <v>182</v>
      </c>
      <c r="E7549" t="s">
        <v>9</v>
      </c>
      <c r="F7549">
        <v>0.90192490816116333</v>
      </c>
    </row>
    <row r="7550" spans="2:6">
      <c r="B7550">
        <v>2010</v>
      </c>
      <c r="C7550" t="s">
        <v>87</v>
      </c>
      <c r="D7550" t="s">
        <v>182</v>
      </c>
      <c r="E7550" t="s">
        <v>10</v>
      </c>
      <c r="F7550">
        <v>73.800003051757813</v>
      </c>
    </row>
    <row r="7551" spans="2:6">
      <c r="B7551">
        <v>2010</v>
      </c>
      <c r="C7551" t="s">
        <v>87</v>
      </c>
      <c r="D7551" t="s">
        <v>182</v>
      </c>
      <c r="E7551" t="s">
        <v>11</v>
      </c>
      <c r="F7551">
        <v>0.77172237634658813</v>
      </c>
    </row>
    <row r="7552" spans="2:6">
      <c r="B7552">
        <v>2010</v>
      </c>
      <c r="C7552" t="s">
        <v>87</v>
      </c>
      <c r="D7552" t="s">
        <v>182</v>
      </c>
      <c r="E7552" t="s">
        <v>12</v>
      </c>
      <c r="F7552">
        <v>-0.14023146033287048</v>
      </c>
    </row>
    <row r="7553" spans="2:6">
      <c r="B7553">
        <v>2010</v>
      </c>
      <c r="C7553" t="s">
        <v>87</v>
      </c>
      <c r="D7553" t="s">
        <v>182</v>
      </c>
      <c r="E7553" t="s">
        <v>13</v>
      </c>
      <c r="F7553">
        <v>0.76955705881118774</v>
      </c>
    </row>
    <row r="7554" spans="2:6">
      <c r="B7554">
        <v>2010</v>
      </c>
      <c r="C7554" t="s">
        <v>87</v>
      </c>
      <c r="D7554" t="s">
        <v>182</v>
      </c>
      <c r="E7554" t="s">
        <v>14</v>
      </c>
      <c r="F7554">
        <v>0.82711833715438843</v>
      </c>
    </row>
    <row r="7555" spans="2:6">
      <c r="B7555">
        <v>2010</v>
      </c>
      <c r="C7555" t="s">
        <v>87</v>
      </c>
      <c r="D7555" t="s">
        <v>182</v>
      </c>
      <c r="E7555" t="s">
        <v>15</v>
      </c>
      <c r="F7555">
        <v>0.18770307302474976</v>
      </c>
    </row>
    <row r="7556" spans="2:6">
      <c r="B7556">
        <v>2011</v>
      </c>
      <c r="C7556" t="s">
        <v>87</v>
      </c>
      <c r="D7556" t="s">
        <v>182</v>
      </c>
      <c r="E7556" t="s">
        <v>7</v>
      </c>
      <c r="F7556">
        <v>6.2627935409545898</v>
      </c>
    </row>
    <row r="7557" spans="2:6">
      <c r="B7557">
        <v>2011</v>
      </c>
      <c r="C7557" t="s">
        <v>87</v>
      </c>
      <c r="D7557" t="s">
        <v>182</v>
      </c>
      <c r="E7557" t="s">
        <v>8</v>
      </c>
      <c r="F7557">
        <v>10.532456398010254</v>
      </c>
    </row>
    <row r="7558" spans="2:6">
      <c r="B7558">
        <v>2011</v>
      </c>
      <c r="C7558" t="s">
        <v>87</v>
      </c>
      <c r="D7558" t="s">
        <v>182</v>
      </c>
      <c r="E7558" t="s">
        <v>9</v>
      </c>
      <c r="F7558">
        <v>0.91670370101928711</v>
      </c>
    </row>
    <row r="7559" spans="2:6">
      <c r="B7559">
        <v>2011</v>
      </c>
      <c r="C7559" t="s">
        <v>87</v>
      </c>
      <c r="D7559" t="s">
        <v>182</v>
      </c>
      <c r="E7559" t="s">
        <v>10</v>
      </c>
      <c r="F7559">
        <v>73.980003356933594</v>
      </c>
    </row>
    <row r="7560" spans="2:6">
      <c r="B7560">
        <v>2011</v>
      </c>
      <c r="C7560" t="s">
        <v>87</v>
      </c>
      <c r="D7560" t="s">
        <v>182</v>
      </c>
      <c r="E7560" t="s">
        <v>11</v>
      </c>
      <c r="F7560">
        <v>0.8143964409828186</v>
      </c>
    </row>
    <row r="7561" spans="2:6">
      <c r="B7561">
        <v>2011</v>
      </c>
      <c r="C7561" t="s">
        <v>87</v>
      </c>
      <c r="D7561" t="s">
        <v>182</v>
      </c>
      <c r="E7561" t="s">
        <v>12</v>
      </c>
      <c r="F7561">
        <v>-5.1788445562124252E-2</v>
      </c>
    </row>
    <row r="7562" spans="2:6">
      <c r="B7562">
        <v>2011</v>
      </c>
      <c r="C7562" t="s">
        <v>87</v>
      </c>
      <c r="D7562" t="s">
        <v>182</v>
      </c>
      <c r="E7562" t="s">
        <v>13</v>
      </c>
      <c r="F7562">
        <v>0.73379898071289063</v>
      </c>
    </row>
    <row r="7563" spans="2:6">
      <c r="B7563">
        <v>2011</v>
      </c>
      <c r="C7563" t="s">
        <v>87</v>
      </c>
      <c r="D7563" t="s">
        <v>182</v>
      </c>
      <c r="E7563" t="s">
        <v>14</v>
      </c>
      <c r="F7563">
        <v>0.77571743726730347</v>
      </c>
    </row>
    <row r="7564" spans="2:6">
      <c r="B7564">
        <v>2011</v>
      </c>
      <c r="C7564" t="s">
        <v>87</v>
      </c>
      <c r="D7564" t="s">
        <v>182</v>
      </c>
      <c r="E7564" t="s">
        <v>15</v>
      </c>
      <c r="F7564">
        <v>0.1810554713010788</v>
      </c>
    </row>
    <row r="7565" spans="2:6">
      <c r="B7565">
        <v>2012</v>
      </c>
      <c r="C7565" t="s">
        <v>87</v>
      </c>
      <c r="D7565" t="s">
        <v>182</v>
      </c>
      <c r="E7565" t="s">
        <v>7</v>
      </c>
      <c r="F7565">
        <v>5.9682164192199707</v>
      </c>
    </row>
    <row r="7566" spans="2:6">
      <c r="B7566">
        <v>2012</v>
      </c>
      <c r="C7566" t="s">
        <v>87</v>
      </c>
      <c r="D7566" t="s">
        <v>182</v>
      </c>
      <c r="E7566" t="s">
        <v>8</v>
      </c>
      <c r="F7566">
        <v>10.548892974853516</v>
      </c>
    </row>
    <row r="7567" spans="2:6">
      <c r="B7567">
        <v>2012</v>
      </c>
      <c r="C7567" t="s">
        <v>87</v>
      </c>
      <c r="D7567" t="s">
        <v>182</v>
      </c>
      <c r="E7567" t="s">
        <v>9</v>
      </c>
      <c r="F7567">
        <v>0.90529543161392212</v>
      </c>
    </row>
    <row r="7568" spans="2:6">
      <c r="B7568">
        <v>2012</v>
      </c>
      <c r="C7568" t="s">
        <v>87</v>
      </c>
      <c r="D7568" t="s">
        <v>182</v>
      </c>
      <c r="E7568" t="s">
        <v>10</v>
      </c>
      <c r="F7568">
        <v>74.160003662109375</v>
      </c>
    </row>
    <row r="7569" spans="2:6">
      <c r="B7569">
        <v>2012</v>
      </c>
      <c r="C7569" t="s">
        <v>87</v>
      </c>
      <c r="D7569" t="s">
        <v>182</v>
      </c>
      <c r="E7569" t="s">
        <v>11</v>
      </c>
      <c r="F7569">
        <v>0.75283151865005493</v>
      </c>
    </row>
    <row r="7570" spans="2:6">
      <c r="B7570">
        <v>2012</v>
      </c>
      <c r="C7570" t="s">
        <v>87</v>
      </c>
      <c r="D7570" t="s">
        <v>182</v>
      </c>
      <c r="E7570" t="s">
        <v>13</v>
      </c>
      <c r="F7570">
        <v>0.69238740205764771</v>
      </c>
    </row>
    <row r="7571" spans="2:6">
      <c r="B7571">
        <v>2012</v>
      </c>
      <c r="C7571" t="s">
        <v>87</v>
      </c>
      <c r="D7571" t="s">
        <v>182</v>
      </c>
      <c r="E7571" t="s">
        <v>14</v>
      </c>
      <c r="F7571">
        <v>0.77691084146499634</v>
      </c>
    </row>
    <row r="7572" spans="2:6">
      <c r="B7572">
        <v>2012</v>
      </c>
      <c r="C7572" t="s">
        <v>87</v>
      </c>
      <c r="D7572" t="s">
        <v>182</v>
      </c>
      <c r="E7572" t="s">
        <v>15</v>
      </c>
      <c r="F7572">
        <v>0.17147471010684967</v>
      </c>
    </row>
    <row r="7573" spans="2:6">
      <c r="B7573">
        <v>2013</v>
      </c>
      <c r="C7573" t="s">
        <v>87</v>
      </c>
      <c r="D7573" t="s">
        <v>182</v>
      </c>
      <c r="E7573" t="s">
        <v>7</v>
      </c>
      <c r="F7573">
        <v>5.9593615531921387</v>
      </c>
    </row>
    <row r="7574" spans="2:6">
      <c r="B7574">
        <v>2013</v>
      </c>
      <c r="C7574" t="s">
        <v>87</v>
      </c>
      <c r="D7574" t="s">
        <v>182</v>
      </c>
      <c r="E7574" t="s">
        <v>8</v>
      </c>
      <c r="F7574">
        <v>10.570141792297363</v>
      </c>
    </row>
    <row r="7575" spans="2:6">
      <c r="B7575">
        <v>2013</v>
      </c>
      <c r="C7575" t="s">
        <v>87</v>
      </c>
      <c r="D7575" t="s">
        <v>182</v>
      </c>
      <c r="E7575" t="s">
        <v>9</v>
      </c>
      <c r="F7575">
        <v>0.92368835210800171</v>
      </c>
    </row>
    <row r="7576" spans="2:6">
      <c r="B7576">
        <v>2013</v>
      </c>
      <c r="C7576" t="s">
        <v>87</v>
      </c>
      <c r="D7576" t="s">
        <v>182</v>
      </c>
      <c r="E7576" t="s">
        <v>10</v>
      </c>
      <c r="F7576">
        <v>74.339996337890625</v>
      </c>
    </row>
    <row r="7577" spans="2:6">
      <c r="B7577">
        <v>2013</v>
      </c>
      <c r="C7577" t="s">
        <v>87</v>
      </c>
      <c r="D7577" t="s">
        <v>182</v>
      </c>
      <c r="E7577" t="s">
        <v>11</v>
      </c>
      <c r="F7577">
        <v>0.82141655683517456</v>
      </c>
    </row>
    <row r="7578" spans="2:6">
      <c r="B7578">
        <v>2013</v>
      </c>
      <c r="C7578" t="s">
        <v>87</v>
      </c>
      <c r="D7578" t="s">
        <v>182</v>
      </c>
      <c r="E7578" t="s">
        <v>12</v>
      </c>
      <c r="F7578">
        <v>-0.14681673049926758</v>
      </c>
    </row>
    <row r="7579" spans="2:6">
      <c r="B7579">
        <v>2013</v>
      </c>
      <c r="C7579" t="s">
        <v>87</v>
      </c>
      <c r="D7579" t="s">
        <v>182</v>
      </c>
      <c r="E7579" t="s">
        <v>13</v>
      </c>
      <c r="F7579">
        <v>0.65049821138381958</v>
      </c>
    </row>
    <row r="7580" spans="2:6">
      <c r="B7580">
        <v>2013</v>
      </c>
      <c r="C7580" t="s">
        <v>87</v>
      </c>
      <c r="D7580" t="s">
        <v>182</v>
      </c>
      <c r="E7580" t="s">
        <v>14</v>
      </c>
      <c r="F7580">
        <v>0.79380881786346436</v>
      </c>
    </row>
    <row r="7581" spans="2:6">
      <c r="B7581">
        <v>2013</v>
      </c>
      <c r="C7581" t="s">
        <v>87</v>
      </c>
      <c r="D7581" t="s">
        <v>182</v>
      </c>
      <c r="E7581" t="s">
        <v>15</v>
      </c>
      <c r="F7581">
        <v>0.17462153732776642</v>
      </c>
    </row>
    <row r="7582" spans="2:6">
      <c r="B7582">
        <v>2014</v>
      </c>
      <c r="C7582" t="s">
        <v>87</v>
      </c>
      <c r="D7582" t="s">
        <v>182</v>
      </c>
      <c r="E7582" t="s">
        <v>7</v>
      </c>
      <c r="F7582">
        <v>5.9226207733154297</v>
      </c>
    </row>
    <row r="7583" spans="2:6">
      <c r="B7583">
        <v>2014</v>
      </c>
      <c r="C7583" t="s">
        <v>87</v>
      </c>
      <c r="D7583" t="s">
        <v>182</v>
      </c>
      <c r="E7583" t="s">
        <v>8</v>
      </c>
      <c r="F7583">
        <v>10.57520866394043</v>
      </c>
    </row>
    <row r="7584" spans="2:6">
      <c r="B7584">
        <v>2014</v>
      </c>
      <c r="C7584" t="s">
        <v>87</v>
      </c>
      <c r="D7584" t="s">
        <v>182</v>
      </c>
      <c r="E7584" t="s">
        <v>9</v>
      </c>
      <c r="F7584">
        <v>0.90004032850265503</v>
      </c>
    </row>
    <row r="7585" spans="2:6">
      <c r="B7585">
        <v>2014</v>
      </c>
      <c r="C7585" t="s">
        <v>87</v>
      </c>
      <c r="D7585" t="s">
        <v>182</v>
      </c>
      <c r="E7585" t="s">
        <v>10</v>
      </c>
      <c r="F7585">
        <v>74.519996643066406</v>
      </c>
    </row>
    <row r="7586" spans="2:6">
      <c r="B7586">
        <v>2014</v>
      </c>
      <c r="C7586" t="s">
        <v>87</v>
      </c>
      <c r="D7586" t="s">
        <v>182</v>
      </c>
      <c r="E7586" t="s">
        <v>11</v>
      </c>
      <c r="F7586">
        <v>0.83805173635482788</v>
      </c>
    </row>
    <row r="7587" spans="2:6">
      <c r="B7587">
        <v>2014</v>
      </c>
      <c r="C7587" t="s">
        <v>87</v>
      </c>
      <c r="D7587" t="s">
        <v>182</v>
      </c>
      <c r="E7587" t="s">
        <v>12</v>
      </c>
      <c r="F7587">
        <v>-0.13926580548286438</v>
      </c>
    </row>
    <row r="7588" spans="2:6">
      <c r="B7588">
        <v>2014</v>
      </c>
      <c r="C7588" t="s">
        <v>87</v>
      </c>
      <c r="D7588" t="s">
        <v>182</v>
      </c>
      <c r="E7588" t="s">
        <v>13</v>
      </c>
      <c r="F7588">
        <v>0.61748313903808594</v>
      </c>
    </row>
    <row r="7589" spans="2:6">
      <c r="B7589">
        <v>2014</v>
      </c>
      <c r="C7589" t="s">
        <v>87</v>
      </c>
      <c r="D7589" t="s">
        <v>182</v>
      </c>
      <c r="E7589" t="s">
        <v>14</v>
      </c>
      <c r="F7589">
        <v>0.74150800704956055</v>
      </c>
    </row>
    <row r="7590" spans="2:6">
      <c r="B7590">
        <v>2014</v>
      </c>
      <c r="C7590" t="s">
        <v>87</v>
      </c>
      <c r="D7590" t="s">
        <v>182</v>
      </c>
      <c r="E7590" t="s">
        <v>15</v>
      </c>
      <c r="F7590">
        <v>0.18943282961845398</v>
      </c>
    </row>
    <row r="7591" spans="2:6">
      <c r="B7591">
        <v>2015</v>
      </c>
      <c r="C7591" t="s">
        <v>87</v>
      </c>
      <c r="D7591" t="s">
        <v>182</v>
      </c>
      <c r="E7591" t="s">
        <v>7</v>
      </c>
      <c r="F7591">
        <v>5.8796844482421875</v>
      </c>
    </row>
    <row r="7592" spans="2:6">
      <c r="B7592">
        <v>2015</v>
      </c>
      <c r="C7592" t="s">
        <v>87</v>
      </c>
      <c r="D7592" t="s">
        <v>182</v>
      </c>
      <c r="E7592" t="s">
        <v>8</v>
      </c>
      <c r="F7592">
        <v>10.588424682617188</v>
      </c>
    </row>
    <row r="7593" spans="2:6">
      <c r="B7593">
        <v>2015</v>
      </c>
      <c r="C7593" t="s">
        <v>87</v>
      </c>
      <c r="D7593" t="s">
        <v>182</v>
      </c>
      <c r="E7593" t="s">
        <v>9</v>
      </c>
      <c r="F7593">
        <v>0.92265719175338745</v>
      </c>
    </row>
    <row r="7594" spans="2:6">
      <c r="B7594">
        <v>2015</v>
      </c>
      <c r="C7594" t="s">
        <v>87</v>
      </c>
      <c r="D7594" t="s">
        <v>182</v>
      </c>
      <c r="E7594" t="s">
        <v>10</v>
      </c>
      <c r="F7594">
        <v>74.699996948242188</v>
      </c>
    </row>
    <row r="7595" spans="2:6">
      <c r="B7595">
        <v>2015</v>
      </c>
      <c r="C7595" t="s">
        <v>87</v>
      </c>
      <c r="D7595" t="s">
        <v>182</v>
      </c>
      <c r="E7595" t="s">
        <v>11</v>
      </c>
      <c r="F7595">
        <v>0.83169418573379517</v>
      </c>
    </row>
    <row r="7596" spans="2:6">
      <c r="B7596">
        <v>2015</v>
      </c>
      <c r="C7596" t="s">
        <v>87</v>
      </c>
      <c r="D7596" t="s">
        <v>182</v>
      </c>
      <c r="E7596" t="s">
        <v>12</v>
      </c>
      <c r="F7596">
        <v>-0.15512794256210327</v>
      </c>
    </row>
    <row r="7597" spans="2:6">
      <c r="B7597">
        <v>2015</v>
      </c>
      <c r="C7597" t="s">
        <v>87</v>
      </c>
      <c r="D7597" t="s">
        <v>182</v>
      </c>
      <c r="E7597" t="s">
        <v>13</v>
      </c>
      <c r="F7597">
        <v>0.65444308519363403</v>
      </c>
    </row>
    <row r="7598" spans="2:6">
      <c r="B7598">
        <v>2015</v>
      </c>
      <c r="C7598" t="s">
        <v>87</v>
      </c>
      <c r="D7598" t="s">
        <v>182</v>
      </c>
      <c r="E7598" t="s">
        <v>14</v>
      </c>
      <c r="F7598">
        <v>0.76809060573577881</v>
      </c>
    </row>
    <row r="7599" spans="2:6">
      <c r="B7599">
        <v>2015</v>
      </c>
      <c r="C7599" t="s">
        <v>87</v>
      </c>
      <c r="D7599" t="s">
        <v>182</v>
      </c>
      <c r="E7599" t="s">
        <v>15</v>
      </c>
      <c r="F7599">
        <v>0.17640863358974457</v>
      </c>
    </row>
    <row r="7600" spans="2:6">
      <c r="B7600">
        <v>2016</v>
      </c>
      <c r="C7600" t="s">
        <v>87</v>
      </c>
      <c r="D7600" t="s">
        <v>182</v>
      </c>
      <c r="E7600" t="s">
        <v>7</v>
      </c>
      <c r="F7600">
        <v>5.95465087890625</v>
      </c>
    </row>
    <row r="7601" spans="2:6">
      <c r="B7601">
        <v>2016</v>
      </c>
      <c r="C7601" t="s">
        <v>87</v>
      </c>
      <c r="D7601" t="s">
        <v>182</v>
      </c>
      <c r="E7601" t="s">
        <v>8</v>
      </c>
      <c r="F7601">
        <v>10.594783782958984</v>
      </c>
    </row>
    <row r="7602" spans="2:6">
      <c r="B7602">
        <v>2016</v>
      </c>
      <c r="C7602" t="s">
        <v>87</v>
      </c>
      <c r="D7602" t="s">
        <v>182</v>
      </c>
      <c r="E7602" t="s">
        <v>9</v>
      </c>
      <c r="F7602">
        <v>0.89977383613586426</v>
      </c>
    </row>
    <row r="7603" spans="2:6">
      <c r="B7603">
        <v>2016</v>
      </c>
      <c r="C7603" t="s">
        <v>87</v>
      </c>
      <c r="D7603" t="s">
        <v>182</v>
      </c>
      <c r="E7603" t="s">
        <v>10</v>
      </c>
      <c r="F7603">
        <v>74.800003051757813</v>
      </c>
    </row>
    <row r="7604" spans="2:6">
      <c r="B7604">
        <v>2016</v>
      </c>
      <c r="C7604" t="s">
        <v>87</v>
      </c>
      <c r="D7604" t="s">
        <v>182</v>
      </c>
      <c r="E7604" t="s">
        <v>11</v>
      </c>
      <c r="F7604">
        <v>0.83606463670730591</v>
      </c>
    </row>
    <row r="7605" spans="2:6">
      <c r="B7605">
        <v>2016</v>
      </c>
      <c r="C7605" t="s">
        <v>87</v>
      </c>
      <c r="D7605" t="s">
        <v>182</v>
      </c>
      <c r="E7605" t="s">
        <v>12</v>
      </c>
      <c r="F7605">
        <v>-6.2039446085691452E-2</v>
      </c>
    </row>
    <row r="7606" spans="2:6">
      <c r="B7606">
        <v>2016</v>
      </c>
      <c r="C7606" t="s">
        <v>87</v>
      </c>
      <c r="D7606" t="s">
        <v>182</v>
      </c>
      <c r="E7606" t="s">
        <v>13</v>
      </c>
      <c r="F7606">
        <v>0.6976393461227417</v>
      </c>
    </row>
    <row r="7607" spans="2:6">
      <c r="B7607">
        <v>2016</v>
      </c>
      <c r="C7607" t="s">
        <v>87</v>
      </c>
      <c r="D7607" t="s">
        <v>182</v>
      </c>
      <c r="E7607" t="s">
        <v>14</v>
      </c>
      <c r="F7607">
        <v>0.7601085901260376</v>
      </c>
    </row>
    <row r="7608" spans="2:6">
      <c r="B7608">
        <v>2016</v>
      </c>
      <c r="C7608" t="s">
        <v>87</v>
      </c>
      <c r="D7608" t="s">
        <v>182</v>
      </c>
      <c r="E7608" t="s">
        <v>15</v>
      </c>
      <c r="F7608">
        <v>0.19240264594554901</v>
      </c>
    </row>
    <row r="7609" spans="2:6">
      <c r="B7609">
        <v>2017</v>
      </c>
      <c r="C7609" t="s">
        <v>87</v>
      </c>
      <c r="D7609" t="s">
        <v>182</v>
      </c>
      <c r="E7609" t="s">
        <v>7</v>
      </c>
      <c r="F7609">
        <v>5.9106764793395996</v>
      </c>
    </row>
    <row r="7610" spans="2:6">
      <c r="B7610">
        <v>2017</v>
      </c>
      <c r="C7610" t="s">
        <v>87</v>
      </c>
      <c r="D7610" t="s">
        <v>182</v>
      </c>
      <c r="E7610" t="s">
        <v>8</v>
      </c>
      <c r="F7610">
        <v>10.617879867553711</v>
      </c>
    </row>
    <row r="7611" spans="2:6">
      <c r="B7611">
        <v>2017</v>
      </c>
      <c r="C7611" t="s">
        <v>87</v>
      </c>
      <c r="D7611" t="s">
        <v>182</v>
      </c>
      <c r="E7611" t="s">
        <v>9</v>
      </c>
      <c r="F7611">
        <v>0.88196128606796265</v>
      </c>
    </row>
    <row r="7612" spans="2:6">
      <c r="B7612">
        <v>2017</v>
      </c>
      <c r="C7612" t="s">
        <v>87</v>
      </c>
      <c r="D7612" t="s">
        <v>182</v>
      </c>
      <c r="E7612" t="s">
        <v>10</v>
      </c>
      <c r="F7612">
        <v>74.900001525878906</v>
      </c>
    </row>
    <row r="7613" spans="2:6">
      <c r="B7613">
        <v>2017</v>
      </c>
      <c r="C7613" t="s">
        <v>87</v>
      </c>
      <c r="D7613" t="s">
        <v>182</v>
      </c>
      <c r="E7613" t="s">
        <v>11</v>
      </c>
      <c r="F7613">
        <v>0.84939658641815186</v>
      </c>
    </row>
    <row r="7614" spans="2:6">
      <c r="B7614">
        <v>2017</v>
      </c>
      <c r="C7614" t="s">
        <v>87</v>
      </c>
      <c r="D7614" t="s">
        <v>182</v>
      </c>
      <c r="E7614" t="s">
        <v>12</v>
      </c>
      <c r="F7614">
        <v>-0.20595788955688477</v>
      </c>
    </row>
    <row r="7615" spans="2:6">
      <c r="B7615">
        <v>2017</v>
      </c>
      <c r="C7615" t="s">
        <v>87</v>
      </c>
      <c r="D7615" t="s">
        <v>182</v>
      </c>
      <c r="E7615" t="s">
        <v>13</v>
      </c>
      <c r="F7615">
        <v>0.65919864177703857</v>
      </c>
    </row>
    <row r="7616" spans="2:6">
      <c r="B7616">
        <v>2017</v>
      </c>
      <c r="C7616" t="s">
        <v>87</v>
      </c>
      <c r="D7616" t="s">
        <v>182</v>
      </c>
      <c r="E7616" t="s">
        <v>14</v>
      </c>
      <c r="F7616">
        <v>0.74038761854171753</v>
      </c>
    </row>
    <row r="7617" spans="2:6">
      <c r="B7617">
        <v>2017</v>
      </c>
      <c r="C7617" t="s">
        <v>87</v>
      </c>
      <c r="D7617" t="s">
        <v>182</v>
      </c>
      <c r="E7617" t="s">
        <v>15</v>
      </c>
      <c r="F7617">
        <v>0.17551217973232269</v>
      </c>
    </row>
    <row r="7618" spans="2:6">
      <c r="B7618">
        <v>2018</v>
      </c>
      <c r="C7618" t="s">
        <v>87</v>
      </c>
      <c r="D7618" t="s">
        <v>182</v>
      </c>
      <c r="E7618" t="s">
        <v>7</v>
      </c>
      <c r="F7618">
        <v>5.7935752868652344</v>
      </c>
    </row>
    <row r="7619" spans="2:6">
      <c r="B7619">
        <v>2018</v>
      </c>
      <c r="C7619" t="s">
        <v>87</v>
      </c>
      <c r="D7619" t="s">
        <v>182</v>
      </c>
      <c r="E7619" t="s">
        <v>8</v>
      </c>
      <c r="F7619">
        <v>10.623132705688477</v>
      </c>
    </row>
    <row r="7620" spans="2:6">
      <c r="B7620">
        <v>2018</v>
      </c>
      <c r="C7620" t="s">
        <v>87</v>
      </c>
      <c r="D7620" t="s">
        <v>182</v>
      </c>
      <c r="E7620" t="s">
        <v>9</v>
      </c>
      <c r="F7620">
        <v>0.88643193244934082</v>
      </c>
    </row>
    <row r="7621" spans="2:6">
      <c r="B7621">
        <v>2018</v>
      </c>
      <c r="C7621" t="s">
        <v>87</v>
      </c>
      <c r="D7621" t="s">
        <v>182</v>
      </c>
      <c r="E7621" t="s">
        <v>10</v>
      </c>
      <c r="F7621">
        <v>75</v>
      </c>
    </row>
    <row r="7622" spans="2:6">
      <c r="B7622">
        <v>2018</v>
      </c>
      <c r="C7622" t="s">
        <v>87</v>
      </c>
      <c r="D7622" t="s">
        <v>182</v>
      </c>
      <c r="E7622" t="s">
        <v>11</v>
      </c>
      <c r="F7622">
        <v>0.7734721302986145</v>
      </c>
    </row>
    <row r="7623" spans="2:6">
      <c r="B7623">
        <v>2018</v>
      </c>
      <c r="C7623" t="s">
        <v>87</v>
      </c>
      <c r="D7623" t="s">
        <v>182</v>
      </c>
      <c r="E7623" t="s">
        <v>12</v>
      </c>
      <c r="F7623">
        <v>-0.26126524806022644</v>
      </c>
    </row>
    <row r="7624" spans="2:6">
      <c r="B7624">
        <v>2018</v>
      </c>
      <c r="C7624" t="s">
        <v>87</v>
      </c>
      <c r="D7624" t="s">
        <v>182</v>
      </c>
      <c r="E7624" t="s">
        <v>13</v>
      </c>
      <c r="F7624">
        <v>0.68678450584411621</v>
      </c>
    </row>
    <row r="7625" spans="2:6">
      <c r="B7625">
        <v>2018</v>
      </c>
      <c r="C7625" t="s">
        <v>87</v>
      </c>
      <c r="D7625" t="s">
        <v>182</v>
      </c>
      <c r="E7625" t="s">
        <v>14</v>
      </c>
      <c r="F7625">
        <v>0.70335501432418823</v>
      </c>
    </row>
    <row r="7626" spans="2:6">
      <c r="B7626">
        <v>2018</v>
      </c>
      <c r="C7626" t="s">
        <v>87</v>
      </c>
      <c r="D7626" t="s">
        <v>182</v>
      </c>
      <c r="E7626" t="s">
        <v>15</v>
      </c>
      <c r="F7626">
        <v>0.18530015647411346</v>
      </c>
    </row>
    <row r="7627" spans="2:6">
      <c r="B7627">
        <v>2019</v>
      </c>
      <c r="C7627" t="s">
        <v>87</v>
      </c>
      <c r="D7627" t="s">
        <v>182</v>
      </c>
      <c r="E7627" t="s">
        <v>7</v>
      </c>
      <c r="F7627">
        <v>5.9080390930175781</v>
      </c>
    </row>
    <row r="7628" spans="2:6">
      <c r="B7628">
        <v>2019</v>
      </c>
      <c r="C7628" t="s">
        <v>87</v>
      </c>
      <c r="D7628" t="s">
        <v>182</v>
      </c>
      <c r="E7628" t="s">
        <v>8</v>
      </c>
      <c r="F7628">
        <v>10.631743431091309</v>
      </c>
    </row>
    <row r="7629" spans="2:6">
      <c r="B7629">
        <v>2019</v>
      </c>
      <c r="C7629" t="s">
        <v>87</v>
      </c>
      <c r="D7629" t="s">
        <v>182</v>
      </c>
      <c r="E7629" t="s">
        <v>9</v>
      </c>
      <c r="F7629">
        <v>0.8776509165763855</v>
      </c>
    </row>
    <row r="7630" spans="2:6">
      <c r="B7630">
        <v>2019</v>
      </c>
      <c r="C7630" t="s">
        <v>87</v>
      </c>
      <c r="D7630" t="s">
        <v>182</v>
      </c>
      <c r="E7630" t="s">
        <v>10</v>
      </c>
      <c r="F7630">
        <v>75.099998474121094</v>
      </c>
    </row>
    <row r="7631" spans="2:6">
      <c r="B7631">
        <v>2019</v>
      </c>
      <c r="C7631" t="s">
        <v>87</v>
      </c>
      <c r="D7631" t="s">
        <v>182</v>
      </c>
      <c r="E7631" t="s">
        <v>11</v>
      </c>
      <c r="F7631">
        <v>0.80647152662277222</v>
      </c>
    </row>
    <row r="7632" spans="2:6">
      <c r="B7632">
        <v>2019</v>
      </c>
      <c r="C7632" t="s">
        <v>87</v>
      </c>
      <c r="D7632" t="s">
        <v>182</v>
      </c>
      <c r="E7632" t="s">
        <v>12</v>
      </c>
      <c r="F7632">
        <v>-0.25461897253990173</v>
      </c>
    </row>
    <row r="7633" spans="2:6">
      <c r="B7633">
        <v>2019</v>
      </c>
      <c r="C7633" t="s">
        <v>87</v>
      </c>
      <c r="D7633" t="s">
        <v>182</v>
      </c>
      <c r="E7633" t="s">
        <v>13</v>
      </c>
      <c r="F7633">
        <v>0.61718785762786865</v>
      </c>
    </row>
    <row r="7634" spans="2:6">
      <c r="B7634">
        <v>2019</v>
      </c>
      <c r="C7634" t="s">
        <v>87</v>
      </c>
      <c r="D7634" t="s">
        <v>182</v>
      </c>
      <c r="E7634" t="s">
        <v>14</v>
      </c>
      <c r="F7634">
        <v>0.74284440279006958</v>
      </c>
    </row>
    <row r="7635" spans="2:6">
      <c r="B7635">
        <v>2019</v>
      </c>
      <c r="C7635" t="s">
        <v>87</v>
      </c>
      <c r="D7635" t="s">
        <v>182</v>
      </c>
      <c r="E7635" t="s">
        <v>15</v>
      </c>
      <c r="F7635">
        <v>0.19441038370132446</v>
      </c>
    </row>
    <row r="7636" spans="2:6">
      <c r="B7636">
        <v>2020</v>
      </c>
      <c r="C7636" t="s">
        <v>87</v>
      </c>
      <c r="D7636" t="s">
        <v>182</v>
      </c>
      <c r="E7636" t="s">
        <v>7</v>
      </c>
      <c r="F7636">
        <v>6.1179633140563965</v>
      </c>
    </row>
    <row r="7637" spans="2:6">
      <c r="B7637">
        <v>2020</v>
      </c>
      <c r="C7637" t="s">
        <v>87</v>
      </c>
      <c r="D7637" t="s">
        <v>182</v>
      </c>
      <c r="E7637" t="s">
        <v>8</v>
      </c>
      <c r="F7637">
        <v>10.579547882080078</v>
      </c>
    </row>
    <row r="7638" spans="2:6">
      <c r="B7638">
        <v>2020</v>
      </c>
      <c r="C7638" t="s">
        <v>87</v>
      </c>
      <c r="D7638" t="s">
        <v>182</v>
      </c>
      <c r="E7638" t="s">
        <v>9</v>
      </c>
      <c r="F7638">
        <v>0.88724911212921143</v>
      </c>
    </row>
    <row r="7639" spans="2:6">
      <c r="B7639">
        <v>2020</v>
      </c>
      <c r="C7639" t="s">
        <v>87</v>
      </c>
      <c r="D7639" t="s">
        <v>182</v>
      </c>
      <c r="E7639" t="s">
        <v>10</v>
      </c>
      <c r="F7639">
        <v>75.199996948242188</v>
      </c>
    </row>
    <row r="7640" spans="2:6">
      <c r="B7640">
        <v>2020</v>
      </c>
      <c r="C7640" t="s">
        <v>87</v>
      </c>
      <c r="D7640" t="s">
        <v>182</v>
      </c>
      <c r="E7640" t="s">
        <v>11</v>
      </c>
      <c r="F7640">
        <v>0.80603611469268799</v>
      </c>
    </row>
    <row r="7641" spans="2:6">
      <c r="B7641">
        <v>2020</v>
      </c>
      <c r="C7641" t="s">
        <v>87</v>
      </c>
      <c r="D7641" t="s">
        <v>182</v>
      </c>
      <c r="E7641" t="s">
        <v>12</v>
      </c>
      <c r="F7641">
        <v>-0.25874528288841248</v>
      </c>
    </row>
    <row r="7642" spans="2:6">
      <c r="B7642">
        <v>2020</v>
      </c>
      <c r="C7642" t="s">
        <v>87</v>
      </c>
      <c r="D7642" t="s">
        <v>182</v>
      </c>
      <c r="E7642" t="s">
        <v>13</v>
      </c>
      <c r="F7642">
        <v>0.60869854688644409</v>
      </c>
    </row>
    <row r="7643" spans="2:6">
      <c r="B7643">
        <v>2020</v>
      </c>
      <c r="C7643" t="s">
        <v>87</v>
      </c>
      <c r="D7643" t="s">
        <v>182</v>
      </c>
      <c r="E7643" t="s">
        <v>14</v>
      </c>
      <c r="F7643">
        <v>0.7424694299697876</v>
      </c>
    </row>
    <row r="7644" spans="2:6">
      <c r="B7644">
        <v>2020</v>
      </c>
      <c r="C7644" t="s">
        <v>87</v>
      </c>
      <c r="D7644" t="s">
        <v>182</v>
      </c>
      <c r="E7644" t="s">
        <v>15</v>
      </c>
      <c r="F7644">
        <v>0.18646100163459778</v>
      </c>
    </row>
    <row r="7645" spans="2:6">
      <c r="B7645">
        <v>2005</v>
      </c>
      <c r="C7645" t="s">
        <v>88</v>
      </c>
      <c r="D7645" t="s">
        <v>182</v>
      </c>
      <c r="E7645" t="s">
        <v>7</v>
      </c>
      <c r="F7645">
        <v>6.2946600914001465</v>
      </c>
    </row>
    <row r="7646" spans="2:6">
      <c r="B7646">
        <v>2005</v>
      </c>
      <c r="C7646" t="s">
        <v>88</v>
      </c>
      <c r="D7646" t="s">
        <v>182</v>
      </c>
      <c r="E7646" t="s">
        <v>8</v>
      </c>
      <c r="F7646">
        <v>9.2457551956176758</v>
      </c>
    </row>
    <row r="7647" spans="2:6">
      <c r="B7647">
        <v>2005</v>
      </c>
      <c r="C7647" t="s">
        <v>88</v>
      </c>
      <c r="D7647" t="s">
        <v>182</v>
      </c>
      <c r="E7647" t="s">
        <v>9</v>
      </c>
      <c r="F7647">
        <v>0.9200129508972168</v>
      </c>
    </row>
    <row r="7648" spans="2:6">
      <c r="B7648">
        <v>2005</v>
      </c>
      <c r="C7648" t="s">
        <v>88</v>
      </c>
      <c r="D7648" t="s">
        <v>182</v>
      </c>
      <c r="E7648" t="s">
        <v>10</v>
      </c>
      <c r="F7648">
        <v>63.5</v>
      </c>
    </row>
    <row r="7649" spans="2:6">
      <c r="B7649">
        <v>2005</v>
      </c>
      <c r="C7649" t="s">
        <v>88</v>
      </c>
      <c r="D7649" t="s">
        <v>182</v>
      </c>
      <c r="E7649" t="s">
        <v>13</v>
      </c>
      <c r="F7649">
        <v>0.66972672939300537</v>
      </c>
    </row>
    <row r="7650" spans="2:6">
      <c r="B7650">
        <v>2005</v>
      </c>
      <c r="C7650" t="s">
        <v>88</v>
      </c>
      <c r="D7650" t="s">
        <v>182</v>
      </c>
      <c r="E7650" t="s">
        <v>14</v>
      </c>
      <c r="F7650">
        <v>0.695953369140625</v>
      </c>
    </row>
    <row r="7651" spans="2:6">
      <c r="B7651">
        <v>2005</v>
      </c>
      <c r="C7651" t="s">
        <v>88</v>
      </c>
      <c r="D7651" t="s">
        <v>182</v>
      </c>
      <c r="E7651" t="s">
        <v>15</v>
      </c>
      <c r="F7651">
        <v>0.23955956101417542</v>
      </c>
    </row>
    <row r="7652" spans="2:6">
      <c r="B7652">
        <v>2007</v>
      </c>
      <c r="C7652" t="s">
        <v>88</v>
      </c>
      <c r="D7652" t="s">
        <v>182</v>
      </c>
      <c r="E7652" t="s">
        <v>7</v>
      </c>
      <c r="F7652">
        <v>5.5980572700500488</v>
      </c>
    </row>
    <row r="7653" spans="2:6">
      <c r="B7653">
        <v>2007</v>
      </c>
      <c r="C7653" t="s">
        <v>88</v>
      </c>
      <c r="D7653" t="s">
        <v>182</v>
      </c>
      <c r="E7653" t="s">
        <v>8</v>
      </c>
      <c r="F7653">
        <v>9.3206558227539063</v>
      </c>
    </row>
    <row r="7654" spans="2:6">
      <c r="B7654">
        <v>2007</v>
      </c>
      <c r="C7654" t="s">
        <v>88</v>
      </c>
      <c r="D7654" t="s">
        <v>182</v>
      </c>
      <c r="E7654" t="s">
        <v>9</v>
      </c>
      <c r="F7654">
        <v>0.84060651063919067</v>
      </c>
    </row>
    <row r="7655" spans="2:6">
      <c r="B7655">
        <v>2007</v>
      </c>
      <c r="C7655" t="s">
        <v>88</v>
      </c>
      <c r="D7655" t="s">
        <v>182</v>
      </c>
      <c r="E7655" t="s">
        <v>10</v>
      </c>
      <c r="F7655">
        <v>63.979999542236328</v>
      </c>
    </row>
    <row r="7656" spans="2:6">
      <c r="B7656">
        <v>2007</v>
      </c>
      <c r="C7656" t="s">
        <v>88</v>
      </c>
      <c r="D7656" t="s">
        <v>182</v>
      </c>
      <c r="E7656" t="s">
        <v>11</v>
      </c>
      <c r="F7656">
        <v>0.64607912302017212</v>
      </c>
    </row>
    <row r="7657" spans="2:6">
      <c r="B7657">
        <v>2007</v>
      </c>
      <c r="C7657" t="s">
        <v>88</v>
      </c>
      <c r="D7657" t="s">
        <v>182</v>
      </c>
      <c r="E7657" t="s">
        <v>12</v>
      </c>
      <c r="F7657">
        <v>-0.11197322607040405</v>
      </c>
    </row>
    <row r="7658" spans="2:6">
      <c r="B7658">
        <v>2007</v>
      </c>
      <c r="C7658" t="s">
        <v>88</v>
      </c>
      <c r="D7658" t="s">
        <v>182</v>
      </c>
      <c r="E7658" t="s">
        <v>13</v>
      </c>
      <c r="F7658">
        <v>0.66364479064941406</v>
      </c>
    </row>
    <row r="7659" spans="2:6">
      <c r="B7659">
        <v>2007</v>
      </c>
      <c r="C7659" t="s">
        <v>88</v>
      </c>
      <c r="D7659" t="s">
        <v>182</v>
      </c>
      <c r="E7659" t="s">
        <v>14</v>
      </c>
      <c r="F7659">
        <v>0.68266177177429199</v>
      </c>
    </row>
    <row r="7660" spans="2:6">
      <c r="B7660">
        <v>2007</v>
      </c>
      <c r="C7660" t="s">
        <v>88</v>
      </c>
      <c r="D7660" t="s">
        <v>182</v>
      </c>
      <c r="E7660" t="s">
        <v>15</v>
      </c>
      <c r="F7660">
        <v>0.2397499680519104</v>
      </c>
    </row>
    <row r="7661" spans="2:6">
      <c r="B7661">
        <v>2008</v>
      </c>
      <c r="C7661" t="s">
        <v>88</v>
      </c>
      <c r="D7661" t="s">
        <v>182</v>
      </c>
      <c r="E7661" t="s">
        <v>7</v>
      </c>
      <c r="F7661">
        <v>4.9300580024719238</v>
      </c>
    </row>
    <row r="7662" spans="2:6">
      <c r="B7662">
        <v>2008</v>
      </c>
      <c r="C7662" t="s">
        <v>88</v>
      </c>
      <c r="D7662" t="s">
        <v>182</v>
      </c>
      <c r="E7662" t="s">
        <v>8</v>
      </c>
      <c r="F7662">
        <v>9.3434562683105469</v>
      </c>
    </row>
    <row r="7663" spans="2:6">
      <c r="B7663">
        <v>2008</v>
      </c>
      <c r="C7663" t="s">
        <v>88</v>
      </c>
      <c r="D7663" t="s">
        <v>182</v>
      </c>
      <c r="E7663" t="s">
        <v>9</v>
      </c>
      <c r="F7663">
        <v>0.766224205493927</v>
      </c>
    </row>
    <row r="7664" spans="2:6">
      <c r="B7664">
        <v>2008</v>
      </c>
      <c r="C7664" t="s">
        <v>88</v>
      </c>
      <c r="D7664" t="s">
        <v>182</v>
      </c>
      <c r="E7664" t="s">
        <v>10</v>
      </c>
      <c r="F7664">
        <v>64.220001220703125</v>
      </c>
    </row>
    <row r="7665" spans="2:6">
      <c r="B7665">
        <v>2008</v>
      </c>
      <c r="C7665" t="s">
        <v>88</v>
      </c>
      <c r="D7665" t="s">
        <v>182</v>
      </c>
      <c r="E7665" t="s">
        <v>12</v>
      </c>
      <c r="F7665">
        <v>-0.127315953373909</v>
      </c>
    </row>
    <row r="7666" spans="2:6">
      <c r="B7666">
        <v>2008</v>
      </c>
      <c r="C7666" t="s">
        <v>88</v>
      </c>
      <c r="D7666" t="s">
        <v>182</v>
      </c>
      <c r="E7666" t="s">
        <v>13</v>
      </c>
      <c r="F7666">
        <v>0.709403395652771</v>
      </c>
    </row>
    <row r="7667" spans="2:6">
      <c r="B7667">
        <v>2008</v>
      </c>
      <c r="C7667" t="s">
        <v>88</v>
      </c>
      <c r="D7667" t="s">
        <v>182</v>
      </c>
      <c r="E7667" t="s">
        <v>14</v>
      </c>
      <c r="F7667">
        <v>0.66897499561309814</v>
      </c>
    </row>
    <row r="7668" spans="2:6">
      <c r="B7668">
        <v>2008</v>
      </c>
      <c r="C7668" t="s">
        <v>88</v>
      </c>
      <c r="D7668" t="s">
        <v>182</v>
      </c>
      <c r="E7668" t="s">
        <v>15</v>
      </c>
      <c r="F7668">
        <v>0.33120116591453552</v>
      </c>
    </row>
    <row r="7669" spans="2:6">
      <c r="B7669">
        <v>2009</v>
      </c>
      <c r="C7669" t="s">
        <v>88</v>
      </c>
      <c r="D7669" t="s">
        <v>182</v>
      </c>
      <c r="E7669" t="s">
        <v>7</v>
      </c>
      <c r="F7669">
        <v>5.9998593330383301</v>
      </c>
    </row>
    <row r="7670" spans="2:6">
      <c r="B7670">
        <v>2009</v>
      </c>
      <c r="C7670" t="s">
        <v>88</v>
      </c>
      <c r="D7670" t="s">
        <v>182</v>
      </c>
      <c r="E7670" t="s">
        <v>8</v>
      </c>
      <c r="F7670">
        <v>9.346684455871582</v>
      </c>
    </row>
    <row r="7671" spans="2:6">
      <c r="B7671">
        <v>2009</v>
      </c>
      <c r="C7671" t="s">
        <v>88</v>
      </c>
      <c r="D7671" t="s">
        <v>182</v>
      </c>
      <c r="E7671" t="s">
        <v>9</v>
      </c>
      <c r="F7671">
        <v>0.89903354644775391</v>
      </c>
    </row>
    <row r="7672" spans="2:6">
      <c r="B7672">
        <v>2009</v>
      </c>
      <c r="C7672" t="s">
        <v>88</v>
      </c>
      <c r="D7672" t="s">
        <v>182</v>
      </c>
      <c r="E7672" t="s">
        <v>10</v>
      </c>
      <c r="F7672">
        <v>64.459999084472656</v>
      </c>
    </row>
    <row r="7673" spans="2:6">
      <c r="B7673">
        <v>2009</v>
      </c>
      <c r="C7673" t="s">
        <v>88</v>
      </c>
      <c r="D7673" t="s">
        <v>182</v>
      </c>
      <c r="E7673" t="s">
        <v>11</v>
      </c>
      <c r="F7673">
        <v>0.77095365524291992</v>
      </c>
    </row>
    <row r="7674" spans="2:6">
      <c r="B7674">
        <v>2009</v>
      </c>
      <c r="C7674" t="s">
        <v>88</v>
      </c>
      <c r="D7674" t="s">
        <v>182</v>
      </c>
      <c r="E7674" t="s">
        <v>12</v>
      </c>
      <c r="F7674">
        <v>-7.5280629098415375E-2</v>
      </c>
    </row>
    <row r="7675" spans="2:6">
      <c r="B7675">
        <v>2009</v>
      </c>
      <c r="C7675" t="s">
        <v>88</v>
      </c>
      <c r="D7675" t="s">
        <v>182</v>
      </c>
      <c r="E7675" t="s">
        <v>13</v>
      </c>
      <c r="F7675">
        <v>0.73946446180343628</v>
      </c>
    </row>
    <row r="7676" spans="2:6">
      <c r="B7676">
        <v>2009</v>
      </c>
      <c r="C7676" t="s">
        <v>88</v>
      </c>
      <c r="D7676" t="s">
        <v>182</v>
      </c>
      <c r="E7676" t="s">
        <v>14</v>
      </c>
      <c r="F7676">
        <v>0.6446453332901001</v>
      </c>
    </row>
    <row r="7677" spans="2:6">
      <c r="B7677">
        <v>2009</v>
      </c>
      <c r="C7677" t="s">
        <v>88</v>
      </c>
      <c r="D7677" t="s">
        <v>182</v>
      </c>
      <c r="E7677" t="s">
        <v>15</v>
      </c>
      <c r="F7677">
        <v>0.26464077830314636</v>
      </c>
    </row>
    <row r="7678" spans="2:6">
      <c r="B7678">
        <v>2010</v>
      </c>
      <c r="C7678" t="s">
        <v>88</v>
      </c>
      <c r="D7678" t="s">
        <v>182</v>
      </c>
      <c r="E7678" t="s">
        <v>7</v>
      </c>
      <c r="F7678">
        <v>5.5699424743652344</v>
      </c>
    </row>
    <row r="7679" spans="2:6">
      <c r="B7679">
        <v>2010</v>
      </c>
      <c r="C7679" t="s">
        <v>88</v>
      </c>
      <c r="D7679" t="s">
        <v>182</v>
      </c>
      <c r="E7679" t="s">
        <v>8</v>
      </c>
      <c r="F7679">
        <v>9.3174877166748047</v>
      </c>
    </row>
    <row r="7680" spans="2:6">
      <c r="B7680">
        <v>2010</v>
      </c>
      <c r="C7680" t="s">
        <v>88</v>
      </c>
      <c r="D7680" t="s">
        <v>182</v>
      </c>
      <c r="E7680" t="s">
        <v>9</v>
      </c>
      <c r="F7680">
        <v>0.91798889636993408</v>
      </c>
    </row>
    <row r="7681" spans="2:6">
      <c r="B7681">
        <v>2010</v>
      </c>
      <c r="C7681" t="s">
        <v>88</v>
      </c>
      <c r="D7681" t="s">
        <v>182</v>
      </c>
      <c r="E7681" t="s">
        <v>10</v>
      </c>
      <c r="F7681">
        <v>64.699996948242188</v>
      </c>
    </row>
    <row r="7682" spans="2:6">
      <c r="B7682">
        <v>2010</v>
      </c>
      <c r="C7682" t="s">
        <v>88</v>
      </c>
      <c r="D7682" t="s">
        <v>182</v>
      </c>
      <c r="E7682" t="s">
        <v>11</v>
      </c>
      <c r="F7682">
        <v>0.78807312250137329</v>
      </c>
    </row>
    <row r="7683" spans="2:6">
      <c r="B7683">
        <v>2010</v>
      </c>
      <c r="C7683" t="s">
        <v>88</v>
      </c>
      <c r="D7683" t="s">
        <v>182</v>
      </c>
      <c r="E7683" t="s">
        <v>12</v>
      </c>
      <c r="F7683">
        <v>-4.6458620578050613E-2</v>
      </c>
    </row>
    <row r="7684" spans="2:6">
      <c r="B7684">
        <v>2010</v>
      </c>
      <c r="C7684" t="s">
        <v>88</v>
      </c>
      <c r="D7684" t="s">
        <v>182</v>
      </c>
      <c r="E7684" t="s">
        <v>14</v>
      </c>
      <c r="F7684">
        <v>0.6430889368057251</v>
      </c>
    </row>
    <row r="7685" spans="2:6">
      <c r="B7685">
        <v>2010</v>
      </c>
      <c r="C7685" t="s">
        <v>88</v>
      </c>
      <c r="D7685" t="s">
        <v>182</v>
      </c>
      <c r="E7685" t="s">
        <v>15</v>
      </c>
      <c r="F7685">
        <v>0.34341874718666077</v>
      </c>
    </row>
    <row r="7686" spans="2:6">
      <c r="B7686">
        <v>2011</v>
      </c>
      <c r="C7686" t="s">
        <v>88</v>
      </c>
      <c r="D7686" t="s">
        <v>182</v>
      </c>
      <c r="E7686" t="s">
        <v>7</v>
      </c>
      <c r="F7686">
        <v>5.5393276214599609</v>
      </c>
    </row>
    <row r="7687" spans="2:6">
      <c r="B7687">
        <v>2011</v>
      </c>
      <c r="C7687" t="s">
        <v>88</v>
      </c>
      <c r="D7687" t="s">
        <v>182</v>
      </c>
      <c r="E7687" t="s">
        <v>8</v>
      </c>
      <c r="F7687">
        <v>9.2891979217529297</v>
      </c>
    </row>
    <row r="7688" spans="2:6">
      <c r="B7688">
        <v>2011</v>
      </c>
      <c r="C7688" t="s">
        <v>88</v>
      </c>
      <c r="D7688" t="s">
        <v>182</v>
      </c>
      <c r="E7688" t="s">
        <v>9</v>
      </c>
      <c r="F7688">
        <v>0.8779187798500061</v>
      </c>
    </row>
    <row r="7689" spans="2:6">
      <c r="B7689">
        <v>2011</v>
      </c>
      <c r="C7689" t="s">
        <v>88</v>
      </c>
      <c r="D7689" t="s">
        <v>182</v>
      </c>
      <c r="E7689" t="s">
        <v>10</v>
      </c>
      <c r="F7689">
        <v>65</v>
      </c>
    </row>
    <row r="7690" spans="2:6">
      <c r="B7690">
        <v>2011</v>
      </c>
      <c r="C7690" t="s">
        <v>88</v>
      </c>
      <c r="D7690" t="s">
        <v>182</v>
      </c>
      <c r="E7690" t="s">
        <v>11</v>
      </c>
      <c r="F7690">
        <v>0.75956451892852783</v>
      </c>
    </row>
    <row r="7691" spans="2:6">
      <c r="B7691">
        <v>2011</v>
      </c>
      <c r="C7691" t="s">
        <v>88</v>
      </c>
      <c r="D7691" t="s">
        <v>182</v>
      </c>
      <c r="E7691" t="s">
        <v>12</v>
      </c>
      <c r="F7691">
        <v>-0.14281588792800903</v>
      </c>
    </row>
    <row r="7692" spans="2:6">
      <c r="B7692">
        <v>2011</v>
      </c>
      <c r="C7692" t="s">
        <v>88</v>
      </c>
      <c r="D7692" t="s">
        <v>182</v>
      </c>
      <c r="E7692" t="s">
        <v>14</v>
      </c>
      <c r="F7692">
        <v>0.61202389001846313</v>
      </c>
    </row>
    <row r="7693" spans="2:6">
      <c r="B7693">
        <v>2011</v>
      </c>
      <c r="C7693" t="s">
        <v>88</v>
      </c>
      <c r="D7693" t="s">
        <v>182</v>
      </c>
      <c r="E7693" t="s">
        <v>15</v>
      </c>
      <c r="F7693">
        <v>0.2603241503238678</v>
      </c>
    </row>
    <row r="7694" spans="2:6">
      <c r="B7694">
        <v>2012</v>
      </c>
      <c r="C7694" t="s">
        <v>88</v>
      </c>
      <c r="D7694" t="s">
        <v>182</v>
      </c>
      <c r="E7694" t="s">
        <v>7</v>
      </c>
      <c r="F7694">
        <v>5.1319961547851563</v>
      </c>
    </row>
    <row r="7695" spans="2:6">
      <c r="B7695">
        <v>2012</v>
      </c>
      <c r="C7695" t="s">
        <v>88</v>
      </c>
      <c r="D7695" t="s">
        <v>182</v>
      </c>
      <c r="E7695" t="s">
        <v>8</v>
      </c>
      <c r="F7695">
        <v>9.2610483169555664</v>
      </c>
    </row>
    <row r="7696" spans="2:6">
      <c r="B7696">
        <v>2012</v>
      </c>
      <c r="C7696" t="s">
        <v>88</v>
      </c>
      <c r="D7696" t="s">
        <v>182</v>
      </c>
      <c r="E7696" t="s">
        <v>9</v>
      </c>
      <c r="F7696">
        <v>0.82949632406234741</v>
      </c>
    </row>
    <row r="7697" spans="2:6">
      <c r="B7697">
        <v>2012</v>
      </c>
      <c r="C7697" t="s">
        <v>88</v>
      </c>
      <c r="D7697" t="s">
        <v>182</v>
      </c>
      <c r="E7697" t="s">
        <v>10</v>
      </c>
      <c r="F7697">
        <v>65.300003051757813</v>
      </c>
    </row>
    <row r="7698" spans="2:6">
      <c r="B7698">
        <v>2012</v>
      </c>
      <c r="C7698" t="s">
        <v>88</v>
      </c>
      <c r="D7698" t="s">
        <v>182</v>
      </c>
      <c r="E7698" t="s">
        <v>11</v>
      </c>
      <c r="F7698">
        <v>0.6931421160697937</v>
      </c>
    </row>
    <row r="7699" spans="2:6">
      <c r="B7699">
        <v>2012</v>
      </c>
      <c r="C7699" t="s">
        <v>88</v>
      </c>
      <c r="D7699" t="s">
        <v>182</v>
      </c>
      <c r="E7699" t="s">
        <v>12</v>
      </c>
      <c r="F7699">
        <v>-0.16010506451129913</v>
      </c>
    </row>
    <row r="7700" spans="2:6">
      <c r="B7700">
        <v>2012</v>
      </c>
      <c r="C7700" t="s">
        <v>88</v>
      </c>
      <c r="D7700" t="s">
        <v>182</v>
      </c>
      <c r="E7700" t="s">
        <v>14</v>
      </c>
      <c r="F7700">
        <v>0.56472450494766235</v>
      </c>
    </row>
    <row r="7701" spans="2:6">
      <c r="B7701">
        <v>2012</v>
      </c>
      <c r="C7701" t="s">
        <v>88</v>
      </c>
      <c r="D7701" t="s">
        <v>182</v>
      </c>
      <c r="E7701" t="s">
        <v>15</v>
      </c>
      <c r="F7701">
        <v>0.34533640742301941</v>
      </c>
    </row>
    <row r="7702" spans="2:6">
      <c r="B7702">
        <v>2013</v>
      </c>
      <c r="C7702" t="s">
        <v>88</v>
      </c>
      <c r="D7702" t="s">
        <v>182</v>
      </c>
      <c r="E7702" t="s">
        <v>7</v>
      </c>
      <c r="F7702">
        <v>5.1719527244567871</v>
      </c>
    </row>
    <row r="7703" spans="2:6">
      <c r="B7703">
        <v>2013</v>
      </c>
      <c r="C7703" t="s">
        <v>88</v>
      </c>
      <c r="D7703" t="s">
        <v>182</v>
      </c>
      <c r="E7703" t="s">
        <v>8</v>
      </c>
      <c r="F7703">
        <v>9.2372140884399414</v>
      </c>
    </row>
    <row r="7704" spans="2:6">
      <c r="B7704">
        <v>2013</v>
      </c>
      <c r="C7704" t="s">
        <v>88</v>
      </c>
      <c r="D7704" t="s">
        <v>182</v>
      </c>
      <c r="E7704" t="s">
        <v>9</v>
      </c>
      <c r="F7704">
        <v>0.84037923812866211</v>
      </c>
    </row>
    <row r="7705" spans="2:6">
      <c r="B7705">
        <v>2013</v>
      </c>
      <c r="C7705" t="s">
        <v>88</v>
      </c>
      <c r="D7705" t="s">
        <v>182</v>
      </c>
      <c r="E7705" t="s">
        <v>10</v>
      </c>
      <c r="F7705">
        <v>65.599998474121094</v>
      </c>
    </row>
    <row r="7706" spans="2:6">
      <c r="B7706">
        <v>2013</v>
      </c>
      <c r="C7706" t="s">
        <v>88</v>
      </c>
      <c r="D7706" t="s">
        <v>182</v>
      </c>
      <c r="E7706" t="s">
        <v>11</v>
      </c>
      <c r="F7706">
        <v>0.69222700595855713</v>
      </c>
    </row>
    <row r="7707" spans="2:6">
      <c r="B7707">
        <v>2013</v>
      </c>
      <c r="C7707" t="s">
        <v>88</v>
      </c>
      <c r="D7707" t="s">
        <v>182</v>
      </c>
      <c r="E7707" t="s">
        <v>12</v>
      </c>
      <c r="F7707">
        <v>-0.11670704185962677</v>
      </c>
    </row>
    <row r="7708" spans="2:6">
      <c r="B7708">
        <v>2013</v>
      </c>
      <c r="C7708" t="s">
        <v>88</v>
      </c>
      <c r="D7708" t="s">
        <v>182</v>
      </c>
      <c r="E7708" t="s">
        <v>14</v>
      </c>
      <c r="F7708">
        <v>0.68408399820327759</v>
      </c>
    </row>
    <row r="7709" spans="2:6">
      <c r="B7709">
        <v>2013</v>
      </c>
      <c r="C7709" t="s">
        <v>88</v>
      </c>
      <c r="D7709" t="s">
        <v>182</v>
      </c>
      <c r="E7709" t="s">
        <v>15</v>
      </c>
      <c r="F7709">
        <v>0.28603330254554749</v>
      </c>
    </row>
    <row r="7710" spans="2:6">
      <c r="B7710">
        <v>2014</v>
      </c>
      <c r="C7710" t="s">
        <v>88</v>
      </c>
      <c r="D7710" t="s">
        <v>182</v>
      </c>
      <c r="E7710" t="s">
        <v>7</v>
      </c>
      <c r="F7710">
        <v>5.3330216407775879</v>
      </c>
    </row>
    <row r="7711" spans="2:6">
      <c r="B7711">
        <v>2014</v>
      </c>
      <c r="C7711" t="s">
        <v>88</v>
      </c>
      <c r="D7711" t="s">
        <v>182</v>
      </c>
      <c r="E7711" t="s">
        <v>8</v>
      </c>
      <c r="F7711">
        <v>9.2218723297119141</v>
      </c>
    </row>
    <row r="7712" spans="2:6">
      <c r="B7712">
        <v>2014</v>
      </c>
      <c r="C7712" t="s">
        <v>88</v>
      </c>
      <c r="D7712" t="s">
        <v>182</v>
      </c>
      <c r="E7712" t="s">
        <v>9</v>
      </c>
      <c r="F7712">
        <v>0.81613099575042725</v>
      </c>
    </row>
    <row r="7713" spans="2:6">
      <c r="B7713">
        <v>2014</v>
      </c>
      <c r="C7713" t="s">
        <v>88</v>
      </c>
      <c r="D7713" t="s">
        <v>182</v>
      </c>
      <c r="E7713" t="s">
        <v>10</v>
      </c>
      <c r="F7713">
        <v>65.900001525878906</v>
      </c>
    </row>
    <row r="7714" spans="2:6">
      <c r="B7714">
        <v>2014</v>
      </c>
      <c r="C7714" t="s">
        <v>88</v>
      </c>
      <c r="D7714" t="s">
        <v>182</v>
      </c>
      <c r="E7714" t="s">
        <v>11</v>
      </c>
      <c r="F7714">
        <v>0.72874319553375244</v>
      </c>
    </row>
    <row r="7715" spans="2:6">
      <c r="B7715">
        <v>2014</v>
      </c>
      <c r="C7715" t="s">
        <v>88</v>
      </c>
      <c r="D7715" t="s">
        <v>182</v>
      </c>
      <c r="E7715" t="s">
        <v>12</v>
      </c>
      <c r="F7715">
        <v>-0.10409577190876007</v>
      </c>
    </row>
    <row r="7716" spans="2:6">
      <c r="B7716">
        <v>2014</v>
      </c>
      <c r="C7716" t="s">
        <v>88</v>
      </c>
      <c r="D7716" t="s">
        <v>182</v>
      </c>
      <c r="E7716" t="s">
        <v>14</v>
      </c>
      <c r="F7716">
        <v>0.66005587577819824</v>
      </c>
    </row>
    <row r="7717" spans="2:6">
      <c r="B7717">
        <v>2014</v>
      </c>
      <c r="C7717" t="s">
        <v>88</v>
      </c>
      <c r="D7717" t="s">
        <v>182</v>
      </c>
      <c r="E7717" t="s">
        <v>15</v>
      </c>
      <c r="F7717">
        <v>0.31264609098434448</v>
      </c>
    </row>
    <row r="7718" spans="2:6">
      <c r="B7718">
        <v>2015</v>
      </c>
      <c r="C7718" t="s">
        <v>88</v>
      </c>
      <c r="D7718" t="s">
        <v>182</v>
      </c>
      <c r="E7718" t="s">
        <v>7</v>
      </c>
      <c r="F7718">
        <v>5.4045934677124023</v>
      </c>
    </row>
    <row r="7719" spans="2:6">
      <c r="B7719">
        <v>2015</v>
      </c>
      <c r="C7719" t="s">
        <v>88</v>
      </c>
      <c r="D7719" t="s">
        <v>182</v>
      </c>
      <c r="E7719" t="s">
        <v>8</v>
      </c>
      <c r="F7719">
        <v>9.2073945999145508</v>
      </c>
    </row>
    <row r="7720" spans="2:6">
      <c r="B7720">
        <v>2015</v>
      </c>
      <c r="C7720" t="s">
        <v>88</v>
      </c>
      <c r="D7720" t="s">
        <v>182</v>
      </c>
      <c r="E7720" t="s">
        <v>9</v>
      </c>
      <c r="F7720">
        <v>0.8304438591003418</v>
      </c>
    </row>
    <row r="7721" spans="2:6">
      <c r="B7721">
        <v>2015</v>
      </c>
      <c r="C7721" t="s">
        <v>88</v>
      </c>
      <c r="D7721" t="s">
        <v>182</v>
      </c>
      <c r="E7721" t="s">
        <v>10</v>
      </c>
      <c r="F7721">
        <v>66.199996948242188</v>
      </c>
    </row>
    <row r="7722" spans="2:6">
      <c r="B7722">
        <v>2015</v>
      </c>
      <c r="C7722" t="s">
        <v>88</v>
      </c>
      <c r="D7722" t="s">
        <v>182</v>
      </c>
      <c r="E7722" t="s">
        <v>11</v>
      </c>
      <c r="F7722">
        <v>0.7665170431137085</v>
      </c>
    </row>
    <row r="7723" spans="2:6">
      <c r="B7723">
        <v>2015</v>
      </c>
      <c r="C7723" t="s">
        <v>88</v>
      </c>
      <c r="D7723" t="s">
        <v>182</v>
      </c>
      <c r="E7723" t="s">
        <v>12</v>
      </c>
      <c r="F7723">
        <v>-4.5793339610099792E-2</v>
      </c>
    </row>
    <row r="7724" spans="2:6">
      <c r="B7724">
        <v>2015</v>
      </c>
      <c r="C7724" t="s">
        <v>88</v>
      </c>
      <c r="D7724" t="s">
        <v>182</v>
      </c>
      <c r="E7724" t="s">
        <v>14</v>
      </c>
      <c r="F7724">
        <v>0.68998420238494873</v>
      </c>
    </row>
    <row r="7725" spans="2:6">
      <c r="B7725">
        <v>2015</v>
      </c>
      <c r="C7725" t="s">
        <v>88</v>
      </c>
      <c r="D7725" t="s">
        <v>182</v>
      </c>
      <c r="E7725" t="s">
        <v>15</v>
      </c>
      <c r="F7725">
        <v>0.30519577860832214</v>
      </c>
    </row>
    <row r="7726" spans="2:6">
      <c r="B7726">
        <v>2016</v>
      </c>
      <c r="C7726" t="s">
        <v>88</v>
      </c>
      <c r="D7726" t="s">
        <v>182</v>
      </c>
      <c r="E7726" t="s">
        <v>7</v>
      </c>
      <c r="F7726">
        <v>5.2712845802307129</v>
      </c>
    </row>
    <row r="7727" spans="2:6">
      <c r="B7727">
        <v>2016</v>
      </c>
      <c r="C7727" t="s">
        <v>88</v>
      </c>
      <c r="D7727" t="s">
        <v>182</v>
      </c>
      <c r="E7727" t="s">
        <v>8</v>
      </c>
      <c r="F7727">
        <v>9.1969537734985352</v>
      </c>
    </row>
    <row r="7728" spans="2:6">
      <c r="B7728">
        <v>2016</v>
      </c>
      <c r="C7728" t="s">
        <v>88</v>
      </c>
      <c r="D7728" t="s">
        <v>182</v>
      </c>
      <c r="E7728" t="s">
        <v>9</v>
      </c>
      <c r="F7728">
        <v>0.81994473934173584</v>
      </c>
    </row>
    <row r="7729" spans="2:6">
      <c r="B7729">
        <v>2016</v>
      </c>
      <c r="C7729" t="s">
        <v>88</v>
      </c>
      <c r="D7729" t="s">
        <v>182</v>
      </c>
      <c r="E7729" t="s">
        <v>10</v>
      </c>
      <c r="F7729">
        <v>66.400001525878906</v>
      </c>
    </row>
    <row r="7730" spans="2:6">
      <c r="B7730">
        <v>2016</v>
      </c>
      <c r="C7730" t="s">
        <v>88</v>
      </c>
      <c r="D7730" t="s">
        <v>182</v>
      </c>
      <c r="E7730" t="s">
        <v>11</v>
      </c>
      <c r="F7730">
        <v>0.77135062217712402</v>
      </c>
    </row>
    <row r="7731" spans="2:6">
      <c r="B7731">
        <v>2016</v>
      </c>
      <c r="C7731" t="s">
        <v>88</v>
      </c>
      <c r="D7731" t="s">
        <v>182</v>
      </c>
      <c r="E7731" t="s">
        <v>12</v>
      </c>
      <c r="F7731">
        <v>-3.8174662739038467E-2</v>
      </c>
    </row>
    <row r="7732" spans="2:6">
      <c r="B7732">
        <v>2016</v>
      </c>
      <c r="C7732" t="s">
        <v>88</v>
      </c>
      <c r="D7732" t="s">
        <v>182</v>
      </c>
      <c r="E7732" t="s">
        <v>14</v>
      </c>
      <c r="F7732">
        <v>0.64065784215927124</v>
      </c>
    </row>
    <row r="7733" spans="2:6">
      <c r="B7733">
        <v>2016</v>
      </c>
      <c r="C7733" t="s">
        <v>88</v>
      </c>
      <c r="D7733" t="s">
        <v>182</v>
      </c>
      <c r="E7733" t="s">
        <v>15</v>
      </c>
      <c r="F7733">
        <v>0.31191337108612061</v>
      </c>
    </row>
    <row r="7734" spans="2:6">
      <c r="B7734">
        <v>2017</v>
      </c>
      <c r="C7734" t="s">
        <v>88</v>
      </c>
      <c r="D7734" t="s">
        <v>182</v>
      </c>
      <c r="E7734" t="s">
        <v>7</v>
      </c>
      <c r="F7734">
        <v>4.8080825805664063</v>
      </c>
    </row>
    <row r="7735" spans="2:6">
      <c r="B7735">
        <v>2017</v>
      </c>
      <c r="C7735" t="s">
        <v>88</v>
      </c>
      <c r="D7735" t="s">
        <v>182</v>
      </c>
      <c r="E7735" t="s">
        <v>8</v>
      </c>
      <c r="F7735">
        <v>9.1943302154541016</v>
      </c>
    </row>
    <row r="7736" spans="2:6">
      <c r="B7736">
        <v>2017</v>
      </c>
      <c r="C7736" t="s">
        <v>88</v>
      </c>
      <c r="D7736" t="s">
        <v>182</v>
      </c>
      <c r="E7736" t="s">
        <v>9</v>
      </c>
      <c r="F7736">
        <v>0.81466454267501831</v>
      </c>
    </row>
    <row r="7737" spans="2:6">
      <c r="B7737">
        <v>2017</v>
      </c>
      <c r="C7737" t="s">
        <v>88</v>
      </c>
      <c r="D7737" t="s">
        <v>182</v>
      </c>
      <c r="E7737" t="s">
        <v>10</v>
      </c>
      <c r="F7737">
        <v>66.599998474121094</v>
      </c>
    </row>
    <row r="7738" spans="2:6">
      <c r="B7738">
        <v>2017</v>
      </c>
      <c r="C7738" t="s">
        <v>88</v>
      </c>
      <c r="D7738" t="s">
        <v>182</v>
      </c>
      <c r="E7738" t="s">
        <v>11</v>
      </c>
      <c r="F7738">
        <v>0.7662624716758728</v>
      </c>
    </row>
    <row r="7739" spans="2:6">
      <c r="B7739">
        <v>2017</v>
      </c>
      <c r="C7739" t="s">
        <v>88</v>
      </c>
      <c r="D7739" t="s">
        <v>182</v>
      </c>
      <c r="E7739" t="s">
        <v>12</v>
      </c>
      <c r="F7739">
        <v>-0.15208838880062103</v>
      </c>
    </row>
    <row r="7740" spans="2:6">
      <c r="B7740">
        <v>2017</v>
      </c>
      <c r="C7740" t="s">
        <v>88</v>
      </c>
      <c r="D7740" t="s">
        <v>182</v>
      </c>
      <c r="E7740" t="s">
        <v>14</v>
      </c>
      <c r="F7740">
        <v>0.62779837846755981</v>
      </c>
    </row>
    <row r="7741" spans="2:6">
      <c r="B7741">
        <v>2017</v>
      </c>
      <c r="C7741" t="s">
        <v>88</v>
      </c>
      <c r="D7741" t="s">
        <v>182</v>
      </c>
      <c r="E7741" t="s">
        <v>15</v>
      </c>
      <c r="F7741">
        <v>0.39150518178939819</v>
      </c>
    </row>
    <row r="7742" spans="2:6">
      <c r="B7742">
        <v>2018</v>
      </c>
      <c r="C7742" t="s">
        <v>88</v>
      </c>
      <c r="D7742" t="s">
        <v>182</v>
      </c>
      <c r="E7742" t="s">
        <v>7</v>
      </c>
      <c r="F7742">
        <v>4.6389336585998535</v>
      </c>
    </row>
    <row r="7743" spans="2:6">
      <c r="B7743">
        <v>2018</v>
      </c>
      <c r="C7743" t="s">
        <v>88</v>
      </c>
      <c r="D7743" t="s">
        <v>182</v>
      </c>
      <c r="E7743" t="s">
        <v>8</v>
      </c>
      <c r="F7743">
        <v>9.1956253051757813</v>
      </c>
    </row>
    <row r="7744" spans="2:6">
      <c r="B7744">
        <v>2018</v>
      </c>
      <c r="C7744" t="s">
        <v>88</v>
      </c>
      <c r="D7744" t="s">
        <v>182</v>
      </c>
      <c r="E7744" t="s">
        <v>9</v>
      </c>
      <c r="F7744">
        <v>0.79954433441162109</v>
      </c>
    </row>
    <row r="7745" spans="2:6">
      <c r="B7745">
        <v>2018</v>
      </c>
      <c r="C7745" t="s">
        <v>88</v>
      </c>
      <c r="D7745" t="s">
        <v>182</v>
      </c>
      <c r="E7745" t="s">
        <v>10</v>
      </c>
      <c r="F7745">
        <v>66.800003051757813</v>
      </c>
    </row>
    <row r="7746" spans="2:6">
      <c r="B7746">
        <v>2018</v>
      </c>
      <c r="C7746" t="s">
        <v>88</v>
      </c>
      <c r="D7746" t="s">
        <v>182</v>
      </c>
      <c r="E7746" t="s">
        <v>11</v>
      </c>
      <c r="F7746">
        <v>0.76242029666900635</v>
      </c>
    </row>
    <row r="7747" spans="2:6">
      <c r="B7747">
        <v>2018</v>
      </c>
      <c r="C7747" t="s">
        <v>88</v>
      </c>
      <c r="D7747" t="s">
        <v>182</v>
      </c>
      <c r="E7747" t="s">
        <v>12</v>
      </c>
      <c r="F7747">
        <v>-0.18584860861301422</v>
      </c>
    </row>
    <row r="7748" spans="2:6">
      <c r="B7748">
        <v>2019</v>
      </c>
      <c r="C7748" t="s">
        <v>88</v>
      </c>
      <c r="D7748" t="s">
        <v>182</v>
      </c>
      <c r="E7748" t="s">
        <v>7</v>
      </c>
      <c r="F7748">
        <v>4.4525480270385742</v>
      </c>
    </row>
    <row r="7749" spans="2:6">
      <c r="B7749">
        <v>2019</v>
      </c>
      <c r="C7749" t="s">
        <v>88</v>
      </c>
      <c r="D7749" t="s">
        <v>182</v>
      </c>
      <c r="E7749" t="s">
        <v>8</v>
      </c>
      <c r="F7749">
        <v>9.2009010314941406</v>
      </c>
    </row>
    <row r="7750" spans="2:6">
      <c r="B7750">
        <v>2019</v>
      </c>
      <c r="C7750" t="s">
        <v>88</v>
      </c>
      <c r="D7750" t="s">
        <v>182</v>
      </c>
      <c r="E7750" t="s">
        <v>9</v>
      </c>
      <c r="F7750">
        <v>0.79255968332290649</v>
      </c>
    </row>
    <row r="7751" spans="2:6">
      <c r="B7751">
        <v>2019</v>
      </c>
      <c r="C7751" t="s">
        <v>88</v>
      </c>
      <c r="D7751" t="s">
        <v>182</v>
      </c>
      <c r="E7751" t="s">
        <v>10</v>
      </c>
      <c r="F7751">
        <v>67</v>
      </c>
    </row>
    <row r="7752" spans="2:6">
      <c r="B7752">
        <v>2019</v>
      </c>
      <c r="C7752" t="s">
        <v>88</v>
      </c>
      <c r="D7752" t="s">
        <v>182</v>
      </c>
      <c r="E7752" t="s">
        <v>11</v>
      </c>
      <c r="F7752">
        <v>0.72575581073760986</v>
      </c>
    </row>
    <row r="7753" spans="2:6">
      <c r="B7753">
        <v>2019</v>
      </c>
      <c r="C7753" t="s">
        <v>88</v>
      </c>
      <c r="D7753" t="s">
        <v>182</v>
      </c>
      <c r="E7753" t="s">
        <v>12</v>
      </c>
      <c r="F7753">
        <v>-0.16476482152938843</v>
      </c>
    </row>
    <row r="7754" spans="2:6">
      <c r="B7754">
        <v>2020</v>
      </c>
      <c r="C7754" t="s">
        <v>88</v>
      </c>
      <c r="D7754" t="s">
        <v>182</v>
      </c>
      <c r="E7754" t="s">
        <v>7</v>
      </c>
      <c r="F7754">
        <v>4.093991756439209</v>
      </c>
    </row>
    <row r="7755" spans="2:6">
      <c r="B7755">
        <v>2020</v>
      </c>
      <c r="C7755" t="s">
        <v>88</v>
      </c>
      <c r="D7755" t="s">
        <v>182</v>
      </c>
      <c r="E7755" t="s">
        <v>8</v>
      </c>
      <c r="F7755">
        <v>9.1499948501586914</v>
      </c>
    </row>
    <row r="7756" spans="2:6">
      <c r="B7756">
        <v>2020</v>
      </c>
      <c r="C7756" t="s">
        <v>88</v>
      </c>
      <c r="D7756" t="s">
        <v>182</v>
      </c>
      <c r="E7756" t="s">
        <v>9</v>
      </c>
      <c r="F7756">
        <v>0.70883989334106445</v>
      </c>
    </row>
    <row r="7757" spans="2:6">
      <c r="B7757">
        <v>2020</v>
      </c>
      <c r="C7757" t="s">
        <v>88</v>
      </c>
      <c r="D7757" t="s">
        <v>182</v>
      </c>
      <c r="E7757" t="s">
        <v>10</v>
      </c>
      <c r="F7757">
        <v>67.199996948242188</v>
      </c>
    </row>
    <row r="7758" spans="2:6">
      <c r="B7758">
        <v>2020</v>
      </c>
      <c r="C7758" t="s">
        <v>88</v>
      </c>
      <c r="D7758" t="s">
        <v>182</v>
      </c>
      <c r="E7758" t="s">
        <v>11</v>
      </c>
      <c r="F7758">
        <v>0.7785334587097168</v>
      </c>
    </row>
    <row r="7759" spans="2:6">
      <c r="B7759">
        <v>2020</v>
      </c>
      <c r="C7759" t="s">
        <v>88</v>
      </c>
      <c r="D7759" t="s">
        <v>182</v>
      </c>
      <c r="E7759" t="s">
        <v>12</v>
      </c>
      <c r="F7759">
        <v>-0.14982588589191437</v>
      </c>
    </row>
    <row r="7760" spans="2:6">
      <c r="B7760">
        <v>2006</v>
      </c>
      <c r="C7760" t="s">
        <v>89</v>
      </c>
      <c r="D7760" t="s">
        <v>182</v>
      </c>
      <c r="E7760" t="s">
        <v>7</v>
      </c>
      <c r="F7760">
        <v>5.4759483337402344</v>
      </c>
    </row>
    <row r="7761" spans="2:6">
      <c r="B7761">
        <v>2006</v>
      </c>
      <c r="C7761" t="s">
        <v>89</v>
      </c>
      <c r="D7761" t="s">
        <v>182</v>
      </c>
      <c r="E7761" t="s">
        <v>8</v>
      </c>
      <c r="F7761">
        <v>9.8043727874755859</v>
      </c>
    </row>
    <row r="7762" spans="2:6">
      <c r="B7762">
        <v>2006</v>
      </c>
      <c r="C7762" t="s">
        <v>89</v>
      </c>
      <c r="D7762" t="s">
        <v>182</v>
      </c>
      <c r="E7762" t="s">
        <v>9</v>
      </c>
      <c r="F7762">
        <v>0.87208884954452515</v>
      </c>
    </row>
    <row r="7763" spans="2:6">
      <c r="B7763">
        <v>2006</v>
      </c>
      <c r="C7763" t="s">
        <v>89</v>
      </c>
      <c r="D7763" t="s">
        <v>182</v>
      </c>
      <c r="E7763" t="s">
        <v>10</v>
      </c>
      <c r="F7763">
        <v>58.200000762939453</v>
      </c>
    </row>
    <row r="7764" spans="2:6">
      <c r="B7764">
        <v>2006</v>
      </c>
      <c r="C7764" t="s">
        <v>89</v>
      </c>
      <c r="D7764" t="s">
        <v>182</v>
      </c>
      <c r="E7764" t="s">
        <v>11</v>
      </c>
      <c r="F7764">
        <v>0.73054593801498413</v>
      </c>
    </row>
    <row r="7765" spans="2:6">
      <c r="B7765">
        <v>2006</v>
      </c>
      <c r="C7765" t="s">
        <v>89</v>
      </c>
      <c r="D7765" t="s">
        <v>182</v>
      </c>
      <c r="E7765" t="s">
        <v>12</v>
      </c>
      <c r="F7765">
        <v>-0.27400007843971252</v>
      </c>
    </row>
    <row r="7766" spans="2:6">
      <c r="B7766">
        <v>2006</v>
      </c>
      <c r="C7766" t="s">
        <v>89</v>
      </c>
      <c r="D7766" t="s">
        <v>182</v>
      </c>
      <c r="E7766" t="s">
        <v>13</v>
      </c>
      <c r="F7766">
        <v>0.8649824857711792</v>
      </c>
    </row>
    <row r="7767" spans="2:6">
      <c r="B7767">
        <v>2006</v>
      </c>
      <c r="C7767" t="s">
        <v>89</v>
      </c>
      <c r="D7767" t="s">
        <v>182</v>
      </c>
      <c r="E7767" t="s">
        <v>14</v>
      </c>
      <c r="F7767">
        <v>0.66878765821456909</v>
      </c>
    </row>
    <row r="7768" spans="2:6">
      <c r="B7768">
        <v>2006</v>
      </c>
      <c r="C7768" t="s">
        <v>89</v>
      </c>
      <c r="D7768" t="s">
        <v>182</v>
      </c>
      <c r="E7768" t="s">
        <v>15</v>
      </c>
      <c r="F7768">
        <v>0.18506516516208649</v>
      </c>
    </row>
    <row r="7769" spans="2:6">
      <c r="B7769">
        <v>2007</v>
      </c>
      <c r="C7769" t="s">
        <v>89</v>
      </c>
      <c r="D7769" t="s">
        <v>182</v>
      </c>
      <c r="E7769" t="s">
        <v>7</v>
      </c>
      <c r="F7769">
        <v>5.7185535430908203</v>
      </c>
    </row>
    <row r="7770" spans="2:6">
      <c r="B7770">
        <v>2007</v>
      </c>
      <c r="C7770" t="s">
        <v>89</v>
      </c>
      <c r="D7770" t="s">
        <v>182</v>
      </c>
      <c r="E7770" t="s">
        <v>8</v>
      </c>
      <c r="F7770">
        <v>9.8781938552856445</v>
      </c>
    </row>
    <row r="7771" spans="2:6">
      <c r="B7771">
        <v>2007</v>
      </c>
      <c r="C7771" t="s">
        <v>89</v>
      </c>
      <c r="D7771" t="s">
        <v>182</v>
      </c>
      <c r="E7771" t="s">
        <v>9</v>
      </c>
      <c r="F7771">
        <v>0.86089277267456055</v>
      </c>
    </row>
    <row r="7772" spans="2:6">
      <c r="B7772">
        <v>2007</v>
      </c>
      <c r="C7772" t="s">
        <v>89</v>
      </c>
      <c r="D7772" t="s">
        <v>182</v>
      </c>
      <c r="E7772" t="s">
        <v>10</v>
      </c>
      <c r="F7772">
        <v>58.700000762939453</v>
      </c>
    </row>
    <row r="7773" spans="2:6">
      <c r="B7773">
        <v>2007</v>
      </c>
      <c r="C7773" t="s">
        <v>89</v>
      </c>
      <c r="D7773" t="s">
        <v>182</v>
      </c>
      <c r="E7773" t="s">
        <v>11</v>
      </c>
      <c r="F7773">
        <v>0.80629968643188477</v>
      </c>
    </row>
    <row r="7774" spans="2:6">
      <c r="B7774">
        <v>2007</v>
      </c>
      <c r="C7774" t="s">
        <v>89</v>
      </c>
      <c r="D7774" t="s">
        <v>182</v>
      </c>
      <c r="E7774" t="s">
        <v>12</v>
      </c>
      <c r="F7774">
        <v>-0.24556942284107208</v>
      </c>
    </row>
    <row r="7775" spans="2:6">
      <c r="B7775">
        <v>2007</v>
      </c>
      <c r="C7775" t="s">
        <v>89</v>
      </c>
      <c r="D7775" t="s">
        <v>182</v>
      </c>
      <c r="E7775" t="s">
        <v>13</v>
      </c>
      <c r="F7775">
        <v>0.86518305540084839</v>
      </c>
    </row>
    <row r="7776" spans="2:6">
      <c r="B7776">
        <v>2007</v>
      </c>
      <c r="C7776" t="s">
        <v>89</v>
      </c>
      <c r="D7776" t="s">
        <v>182</v>
      </c>
      <c r="E7776" t="s">
        <v>14</v>
      </c>
      <c r="F7776">
        <v>0.65107077360153198</v>
      </c>
    </row>
    <row r="7777" spans="2:6">
      <c r="B7777">
        <v>2007</v>
      </c>
      <c r="C7777" t="s">
        <v>89</v>
      </c>
      <c r="D7777" t="s">
        <v>182</v>
      </c>
      <c r="E7777" t="s">
        <v>15</v>
      </c>
      <c r="F7777">
        <v>0.17850840091705322</v>
      </c>
    </row>
    <row r="7778" spans="2:6">
      <c r="B7778">
        <v>2008</v>
      </c>
      <c r="C7778" t="s">
        <v>89</v>
      </c>
      <c r="D7778" t="s">
        <v>182</v>
      </c>
      <c r="E7778" t="s">
        <v>7</v>
      </c>
      <c r="F7778">
        <v>5.8864197731018066</v>
      </c>
    </row>
    <row r="7779" spans="2:6">
      <c r="B7779">
        <v>2008</v>
      </c>
      <c r="C7779" t="s">
        <v>89</v>
      </c>
      <c r="D7779" t="s">
        <v>182</v>
      </c>
      <c r="E7779" t="s">
        <v>8</v>
      </c>
      <c r="F7779">
        <v>9.8984775543212891</v>
      </c>
    </row>
    <row r="7780" spans="2:6">
      <c r="B7780">
        <v>2008</v>
      </c>
      <c r="C7780" t="s">
        <v>89</v>
      </c>
      <c r="D7780" t="s">
        <v>182</v>
      </c>
      <c r="E7780" t="s">
        <v>9</v>
      </c>
      <c r="F7780">
        <v>0.83946722745895386</v>
      </c>
    </row>
    <row r="7781" spans="2:6">
      <c r="B7781">
        <v>2008</v>
      </c>
      <c r="C7781" t="s">
        <v>89</v>
      </c>
      <c r="D7781" t="s">
        <v>182</v>
      </c>
      <c r="E7781" t="s">
        <v>10</v>
      </c>
      <c r="F7781">
        <v>59.200000762939453</v>
      </c>
    </row>
    <row r="7782" spans="2:6">
      <c r="B7782">
        <v>2008</v>
      </c>
      <c r="C7782" t="s">
        <v>89</v>
      </c>
      <c r="D7782" t="s">
        <v>182</v>
      </c>
      <c r="E7782" t="s">
        <v>11</v>
      </c>
      <c r="F7782">
        <v>0.72658365964889526</v>
      </c>
    </row>
    <row r="7783" spans="2:6">
      <c r="B7783">
        <v>2008</v>
      </c>
      <c r="C7783" t="s">
        <v>89</v>
      </c>
      <c r="D7783" t="s">
        <v>182</v>
      </c>
      <c r="E7783" t="s">
        <v>12</v>
      </c>
      <c r="F7783">
        <v>-0.22082747519016266</v>
      </c>
    </row>
    <row r="7784" spans="2:6">
      <c r="B7784">
        <v>2008</v>
      </c>
      <c r="C7784" t="s">
        <v>89</v>
      </c>
      <c r="D7784" t="s">
        <v>182</v>
      </c>
      <c r="E7784" t="s">
        <v>13</v>
      </c>
      <c r="F7784">
        <v>0.89916366338729858</v>
      </c>
    </row>
    <row r="7785" spans="2:6">
      <c r="B7785">
        <v>2008</v>
      </c>
      <c r="C7785" t="s">
        <v>89</v>
      </c>
      <c r="D7785" t="s">
        <v>182</v>
      </c>
      <c r="E7785" t="s">
        <v>14</v>
      </c>
      <c r="F7785">
        <v>0.67500543594360352</v>
      </c>
    </row>
    <row r="7786" spans="2:6">
      <c r="B7786">
        <v>2008</v>
      </c>
      <c r="C7786" t="s">
        <v>89</v>
      </c>
      <c r="D7786" t="s">
        <v>182</v>
      </c>
      <c r="E7786" t="s">
        <v>15</v>
      </c>
      <c r="F7786">
        <v>0.1597258597612381</v>
      </c>
    </row>
    <row r="7787" spans="2:6">
      <c r="B7787">
        <v>2009</v>
      </c>
      <c r="C7787" t="s">
        <v>89</v>
      </c>
      <c r="D7787" t="s">
        <v>182</v>
      </c>
      <c r="E7787" t="s">
        <v>7</v>
      </c>
      <c r="F7787">
        <v>5.3825631141662598</v>
      </c>
    </row>
    <row r="7788" spans="2:6">
      <c r="B7788">
        <v>2009</v>
      </c>
      <c r="C7788" t="s">
        <v>89</v>
      </c>
      <c r="D7788" t="s">
        <v>182</v>
      </c>
      <c r="E7788" t="s">
        <v>8</v>
      </c>
      <c r="F7788">
        <v>9.8840360641479492</v>
      </c>
    </row>
    <row r="7789" spans="2:6">
      <c r="B7789">
        <v>2009</v>
      </c>
      <c r="C7789" t="s">
        <v>89</v>
      </c>
      <c r="D7789" t="s">
        <v>182</v>
      </c>
      <c r="E7789" t="s">
        <v>9</v>
      </c>
      <c r="F7789">
        <v>0.89299780130386353</v>
      </c>
    </row>
    <row r="7790" spans="2:6">
      <c r="B7790">
        <v>2009</v>
      </c>
      <c r="C7790" t="s">
        <v>89</v>
      </c>
      <c r="D7790" t="s">
        <v>182</v>
      </c>
      <c r="E7790" t="s">
        <v>10</v>
      </c>
      <c r="F7790">
        <v>59.700000762939453</v>
      </c>
    </row>
    <row r="7791" spans="2:6">
      <c r="B7791">
        <v>2009</v>
      </c>
      <c r="C7791" t="s">
        <v>89</v>
      </c>
      <c r="D7791" t="s">
        <v>182</v>
      </c>
      <c r="E7791" t="s">
        <v>11</v>
      </c>
      <c r="F7791">
        <v>0.85644829273223877</v>
      </c>
    </row>
    <row r="7792" spans="2:6">
      <c r="B7792">
        <v>2009</v>
      </c>
      <c r="C7792" t="s">
        <v>89</v>
      </c>
      <c r="D7792" t="s">
        <v>182</v>
      </c>
      <c r="E7792" t="s">
        <v>12</v>
      </c>
      <c r="F7792">
        <v>-0.24947704374790192</v>
      </c>
    </row>
    <row r="7793" spans="2:6">
      <c r="B7793">
        <v>2009</v>
      </c>
      <c r="C7793" t="s">
        <v>89</v>
      </c>
      <c r="D7793" t="s">
        <v>182</v>
      </c>
      <c r="E7793" t="s">
        <v>13</v>
      </c>
      <c r="F7793">
        <v>0.84456843137741089</v>
      </c>
    </row>
    <row r="7794" spans="2:6">
      <c r="B7794">
        <v>2009</v>
      </c>
      <c r="C7794" t="s">
        <v>89</v>
      </c>
      <c r="D7794" t="s">
        <v>182</v>
      </c>
      <c r="E7794" t="s">
        <v>14</v>
      </c>
      <c r="F7794">
        <v>0.67852634191513062</v>
      </c>
    </row>
    <row r="7795" spans="2:6">
      <c r="B7795">
        <v>2009</v>
      </c>
      <c r="C7795" t="s">
        <v>89</v>
      </c>
      <c r="D7795" t="s">
        <v>182</v>
      </c>
      <c r="E7795" t="s">
        <v>15</v>
      </c>
      <c r="F7795">
        <v>0.12859997153282166</v>
      </c>
    </row>
    <row r="7796" spans="2:6">
      <c r="B7796">
        <v>2010</v>
      </c>
      <c r="C7796" t="s">
        <v>89</v>
      </c>
      <c r="D7796" t="s">
        <v>182</v>
      </c>
      <c r="E7796" t="s">
        <v>7</v>
      </c>
      <c r="F7796">
        <v>5.5142865180969238</v>
      </c>
    </row>
    <row r="7797" spans="2:6">
      <c r="B7797">
        <v>2010</v>
      </c>
      <c r="C7797" t="s">
        <v>89</v>
      </c>
      <c r="D7797" t="s">
        <v>182</v>
      </c>
      <c r="E7797" t="s">
        <v>8</v>
      </c>
      <c r="F7797">
        <v>9.9403619766235352</v>
      </c>
    </row>
    <row r="7798" spans="2:6">
      <c r="B7798">
        <v>2010</v>
      </c>
      <c r="C7798" t="s">
        <v>89</v>
      </c>
      <c r="D7798" t="s">
        <v>182</v>
      </c>
      <c r="E7798" t="s">
        <v>9</v>
      </c>
      <c r="F7798">
        <v>0.90378648042678833</v>
      </c>
    </row>
    <row r="7799" spans="2:6">
      <c r="B7799">
        <v>2010</v>
      </c>
      <c r="C7799" t="s">
        <v>89</v>
      </c>
      <c r="D7799" t="s">
        <v>182</v>
      </c>
      <c r="E7799" t="s">
        <v>10</v>
      </c>
      <c r="F7799">
        <v>60.200000762939453</v>
      </c>
    </row>
    <row r="7800" spans="2:6">
      <c r="B7800">
        <v>2010</v>
      </c>
      <c r="C7800" t="s">
        <v>89</v>
      </c>
      <c r="D7800" t="s">
        <v>182</v>
      </c>
      <c r="E7800" t="s">
        <v>11</v>
      </c>
      <c r="F7800">
        <v>0.78485184907913208</v>
      </c>
    </row>
    <row r="7801" spans="2:6">
      <c r="B7801">
        <v>2010</v>
      </c>
      <c r="C7801" t="s">
        <v>89</v>
      </c>
      <c r="D7801" t="s">
        <v>182</v>
      </c>
      <c r="E7801" t="s">
        <v>12</v>
      </c>
      <c r="F7801">
        <v>-0.21510536968708038</v>
      </c>
    </row>
    <row r="7802" spans="2:6">
      <c r="B7802">
        <v>2010</v>
      </c>
      <c r="C7802" t="s">
        <v>89</v>
      </c>
      <c r="D7802" t="s">
        <v>182</v>
      </c>
      <c r="E7802" t="s">
        <v>13</v>
      </c>
      <c r="F7802">
        <v>0.82270365953445435</v>
      </c>
    </row>
    <row r="7803" spans="2:6">
      <c r="B7803">
        <v>2010</v>
      </c>
      <c r="C7803" t="s">
        <v>89</v>
      </c>
      <c r="D7803" t="s">
        <v>182</v>
      </c>
      <c r="E7803" t="s">
        <v>14</v>
      </c>
      <c r="F7803">
        <v>0.69186651706695557</v>
      </c>
    </row>
    <row r="7804" spans="2:6">
      <c r="B7804">
        <v>2010</v>
      </c>
      <c r="C7804" t="s">
        <v>89</v>
      </c>
      <c r="D7804" t="s">
        <v>182</v>
      </c>
      <c r="E7804" t="s">
        <v>15</v>
      </c>
      <c r="F7804">
        <v>0.14895069599151611</v>
      </c>
    </row>
    <row r="7805" spans="2:6">
      <c r="B7805">
        <v>2011</v>
      </c>
      <c r="C7805" t="s">
        <v>89</v>
      </c>
      <c r="D7805" t="s">
        <v>182</v>
      </c>
      <c r="E7805" t="s">
        <v>7</v>
      </c>
      <c r="F7805">
        <v>5.7356629371643066</v>
      </c>
    </row>
    <row r="7806" spans="2:6">
      <c r="B7806">
        <v>2011</v>
      </c>
      <c r="C7806" t="s">
        <v>89</v>
      </c>
      <c r="D7806" t="s">
        <v>182</v>
      </c>
      <c r="E7806" t="s">
        <v>8</v>
      </c>
      <c r="F7806">
        <v>9.9974374771118164</v>
      </c>
    </row>
    <row r="7807" spans="2:6">
      <c r="B7807">
        <v>2011</v>
      </c>
      <c r="C7807" t="s">
        <v>89</v>
      </c>
      <c r="D7807" t="s">
        <v>182</v>
      </c>
      <c r="E7807" t="s">
        <v>9</v>
      </c>
      <c r="F7807">
        <v>0.90497136116027832</v>
      </c>
    </row>
    <row r="7808" spans="2:6">
      <c r="B7808">
        <v>2011</v>
      </c>
      <c r="C7808" t="s">
        <v>89</v>
      </c>
      <c r="D7808" t="s">
        <v>182</v>
      </c>
      <c r="E7808" t="s">
        <v>10</v>
      </c>
      <c r="F7808">
        <v>60.720001220703125</v>
      </c>
    </row>
    <row r="7809" spans="2:6">
      <c r="B7809">
        <v>2011</v>
      </c>
      <c r="C7809" t="s">
        <v>89</v>
      </c>
      <c r="D7809" t="s">
        <v>182</v>
      </c>
      <c r="E7809" t="s">
        <v>11</v>
      </c>
      <c r="F7809">
        <v>0.87788808345794678</v>
      </c>
    </row>
    <row r="7810" spans="2:6">
      <c r="B7810">
        <v>2011</v>
      </c>
      <c r="C7810" t="s">
        <v>89</v>
      </c>
      <c r="D7810" t="s">
        <v>182</v>
      </c>
      <c r="E7810" t="s">
        <v>12</v>
      </c>
      <c r="F7810">
        <v>-0.23539626598358154</v>
      </c>
    </row>
    <row r="7811" spans="2:6">
      <c r="B7811">
        <v>2011</v>
      </c>
      <c r="C7811" t="s">
        <v>89</v>
      </c>
      <c r="D7811" t="s">
        <v>182</v>
      </c>
      <c r="E7811" t="s">
        <v>13</v>
      </c>
      <c r="F7811">
        <v>0.80172419548034668</v>
      </c>
    </row>
    <row r="7812" spans="2:6">
      <c r="B7812">
        <v>2011</v>
      </c>
      <c r="C7812" t="s">
        <v>89</v>
      </c>
      <c r="D7812" t="s">
        <v>182</v>
      </c>
      <c r="E7812" t="s">
        <v>14</v>
      </c>
      <c r="F7812">
        <v>0.69514375925064087</v>
      </c>
    </row>
    <row r="7813" spans="2:6">
      <c r="B7813">
        <v>2011</v>
      </c>
      <c r="C7813" t="s">
        <v>89</v>
      </c>
      <c r="D7813" t="s">
        <v>182</v>
      </c>
      <c r="E7813" t="s">
        <v>15</v>
      </c>
      <c r="F7813">
        <v>0.15443398058414459</v>
      </c>
    </row>
    <row r="7814" spans="2:6">
      <c r="B7814">
        <v>2012</v>
      </c>
      <c r="C7814" t="s">
        <v>89</v>
      </c>
      <c r="D7814" t="s">
        <v>182</v>
      </c>
      <c r="E7814" t="s">
        <v>7</v>
      </c>
      <c r="F7814">
        <v>5.7594695091247559</v>
      </c>
    </row>
    <row r="7815" spans="2:6">
      <c r="B7815">
        <v>2012</v>
      </c>
      <c r="C7815" t="s">
        <v>89</v>
      </c>
      <c r="D7815" t="s">
        <v>182</v>
      </c>
      <c r="E7815" t="s">
        <v>8</v>
      </c>
      <c r="F7815">
        <v>10.030233383178711</v>
      </c>
    </row>
    <row r="7816" spans="2:6">
      <c r="B7816">
        <v>2012</v>
      </c>
      <c r="C7816" t="s">
        <v>89</v>
      </c>
      <c r="D7816" t="s">
        <v>182</v>
      </c>
      <c r="E7816" t="s">
        <v>9</v>
      </c>
      <c r="F7816">
        <v>0.89171665906906128</v>
      </c>
    </row>
    <row r="7817" spans="2:6">
      <c r="B7817">
        <v>2012</v>
      </c>
      <c r="C7817" t="s">
        <v>89</v>
      </c>
      <c r="D7817" t="s">
        <v>182</v>
      </c>
      <c r="E7817" t="s">
        <v>10</v>
      </c>
      <c r="F7817">
        <v>61.240001678466797</v>
      </c>
    </row>
    <row r="7818" spans="2:6">
      <c r="B7818">
        <v>2012</v>
      </c>
      <c r="C7818" t="s">
        <v>89</v>
      </c>
      <c r="D7818" t="s">
        <v>182</v>
      </c>
      <c r="E7818" t="s">
        <v>11</v>
      </c>
      <c r="F7818">
        <v>0.83983230590820313</v>
      </c>
    </row>
    <row r="7819" spans="2:6">
      <c r="B7819">
        <v>2012</v>
      </c>
      <c r="C7819" t="s">
        <v>89</v>
      </c>
      <c r="D7819" t="s">
        <v>182</v>
      </c>
      <c r="E7819" t="s">
        <v>12</v>
      </c>
      <c r="F7819">
        <v>-0.17106238007545471</v>
      </c>
    </row>
    <row r="7820" spans="2:6">
      <c r="B7820">
        <v>2012</v>
      </c>
      <c r="C7820" t="s">
        <v>89</v>
      </c>
      <c r="D7820" t="s">
        <v>182</v>
      </c>
      <c r="E7820" t="s">
        <v>13</v>
      </c>
      <c r="F7820">
        <v>0.87668180465698242</v>
      </c>
    </row>
    <row r="7821" spans="2:6">
      <c r="B7821">
        <v>2012</v>
      </c>
      <c r="C7821" t="s">
        <v>89</v>
      </c>
      <c r="D7821" t="s">
        <v>182</v>
      </c>
      <c r="E7821" t="s">
        <v>14</v>
      </c>
      <c r="F7821">
        <v>0.73984283208847046</v>
      </c>
    </row>
    <row r="7822" spans="2:6">
      <c r="B7822">
        <v>2012</v>
      </c>
      <c r="C7822" t="s">
        <v>89</v>
      </c>
      <c r="D7822" t="s">
        <v>182</v>
      </c>
      <c r="E7822" t="s">
        <v>15</v>
      </c>
      <c r="F7822">
        <v>0.18438149988651276</v>
      </c>
    </row>
    <row r="7823" spans="2:6">
      <c r="B7823">
        <v>2013</v>
      </c>
      <c r="C7823" t="s">
        <v>89</v>
      </c>
      <c r="D7823" t="s">
        <v>182</v>
      </c>
      <c r="E7823" t="s">
        <v>7</v>
      </c>
      <c r="F7823">
        <v>5.8354830741882324</v>
      </c>
    </row>
    <row r="7824" spans="2:6">
      <c r="B7824">
        <v>2013</v>
      </c>
      <c r="C7824" t="s">
        <v>89</v>
      </c>
      <c r="D7824" t="s">
        <v>182</v>
      </c>
      <c r="E7824" t="s">
        <v>8</v>
      </c>
      <c r="F7824">
        <v>10.074108123779297</v>
      </c>
    </row>
    <row r="7825" spans="2:6">
      <c r="B7825">
        <v>2013</v>
      </c>
      <c r="C7825" t="s">
        <v>89</v>
      </c>
      <c r="D7825" t="s">
        <v>182</v>
      </c>
      <c r="E7825" t="s">
        <v>9</v>
      </c>
      <c r="F7825">
        <v>0.88900971412658691</v>
      </c>
    </row>
    <row r="7826" spans="2:6">
      <c r="B7826">
        <v>2013</v>
      </c>
      <c r="C7826" t="s">
        <v>89</v>
      </c>
      <c r="D7826" t="s">
        <v>182</v>
      </c>
      <c r="E7826" t="s">
        <v>10</v>
      </c>
      <c r="F7826">
        <v>61.759998321533203</v>
      </c>
    </row>
    <row r="7827" spans="2:6">
      <c r="B7827">
        <v>2013</v>
      </c>
      <c r="C7827" t="s">
        <v>89</v>
      </c>
      <c r="D7827" t="s">
        <v>182</v>
      </c>
      <c r="E7827" t="s">
        <v>11</v>
      </c>
      <c r="F7827">
        <v>0.78159105777740479</v>
      </c>
    </row>
    <row r="7828" spans="2:6">
      <c r="B7828">
        <v>2013</v>
      </c>
      <c r="C7828" t="s">
        <v>89</v>
      </c>
      <c r="D7828" t="s">
        <v>182</v>
      </c>
      <c r="E7828" t="s">
        <v>12</v>
      </c>
      <c r="F7828">
        <v>-0.22920897603034973</v>
      </c>
    </row>
    <row r="7829" spans="2:6">
      <c r="B7829">
        <v>2013</v>
      </c>
      <c r="C7829" t="s">
        <v>89</v>
      </c>
      <c r="D7829" t="s">
        <v>182</v>
      </c>
      <c r="E7829" t="s">
        <v>13</v>
      </c>
      <c r="F7829">
        <v>0.81998938322067261</v>
      </c>
    </row>
    <row r="7830" spans="2:6">
      <c r="B7830">
        <v>2013</v>
      </c>
      <c r="C7830" t="s">
        <v>89</v>
      </c>
      <c r="D7830" t="s">
        <v>182</v>
      </c>
      <c r="E7830" t="s">
        <v>14</v>
      </c>
      <c r="F7830">
        <v>0.67389881610870361</v>
      </c>
    </row>
    <row r="7831" spans="2:6">
      <c r="B7831">
        <v>2013</v>
      </c>
      <c r="C7831" t="s">
        <v>89</v>
      </c>
      <c r="D7831" t="s">
        <v>182</v>
      </c>
      <c r="E7831" t="s">
        <v>15</v>
      </c>
      <c r="F7831">
        <v>0.16444402933120728</v>
      </c>
    </row>
    <row r="7832" spans="2:6">
      <c r="B7832">
        <v>2014</v>
      </c>
      <c r="C7832" t="s">
        <v>89</v>
      </c>
      <c r="D7832" t="s">
        <v>182</v>
      </c>
      <c r="E7832" t="s">
        <v>7</v>
      </c>
      <c r="F7832">
        <v>5.970097541809082</v>
      </c>
    </row>
    <row r="7833" spans="2:6">
      <c r="B7833">
        <v>2014</v>
      </c>
      <c r="C7833" t="s">
        <v>89</v>
      </c>
      <c r="D7833" t="s">
        <v>182</v>
      </c>
      <c r="E7833" t="s">
        <v>8</v>
      </c>
      <c r="F7833">
        <v>10.100523948669434</v>
      </c>
    </row>
    <row r="7834" spans="2:6">
      <c r="B7834">
        <v>2014</v>
      </c>
      <c r="C7834" t="s">
        <v>89</v>
      </c>
      <c r="D7834" t="s">
        <v>182</v>
      </c>
      <c r="E7834" t="s">
        <v>9</v>
      </c>
      <c r="F7834">
        <v>0.79529345035552979</v>
      </c>
    </row>
    <row r="7835" spans="2:6">
      <c r="B7835">
        <v>2014</v>
      </c>
      <c r="C7835" t="s">
        <v>89</v>
      </c>
      <c r="D7835" t="s">
        <v>182</v>
      </c>
      <c r="E7835" t="s">
        <v>10</v>
      </c>
      <c r="F7835">
        <v>62.279998779296875</v>
      </c>
    </row>
    <row r="7836" spans="2:6">
      <c r="B7836">
        <v>2014</v>
      </c>
      <c r="C7836" t="s">
        <v>89</v>
      </c>
      <c r="D7836" t="s">
        <v>182</v>
      </c>
      <c r="E7836" t="s">
        <v>11</v>
      </c>
      <c r="F7836">
        <v>0.79946297407150269</v>
      </c>
    </row>
    <row r="7837" spans="2:6">
      <c r="B7837">
        <v>2014</v>
      </c>
      <c r="C7837" t="s">
        <v>89</v>
      </c>
      <c r="D7837" t="s">
        <v>182</v>
      </c>
      <c r="E7837" t="s">
        <v>12</v>
      </c>
      <c r="F7837">
        <v>4.0093553252518177E-3</v>
      </c>
    </row>
    <row r="7838" spans="2:6">
      <c r="B7838">
        <v>2014</v>
      </c>
      <c r="C7838" t="s">
        <v>89</v>
      </c>
      <c r="D7838" t="s">
        <v>182</v>
      </c>
      <c r="E7838" t="s">
        <v>13</v>
      </c>
      <c r="F7838">
        <v>0.80535125732421875</v>
      </c>
    </row>
    <row r="7839" spans="2:6">
      <c r="B7839">
        <v>2014</v>
      </c>
      <c r="C7839" t="s">
        <v>89</v>
      </c>
      <c r="D7839" t="s">
        <v>182</v>
      </c>
      <c r="E7839" t="s">
        <v>14</v>
      </c>
      <c r="F7839">
        <v>0.71783971786499023</v>
      </c>
    </row>
    <row r="7840" spans="2:6">
      <c r="B7840">
        <v>2014</v>
      </c>
      <c r="C7840" t="s">
        <v>89</v>
      </c>
      <c r="D7840" t="s">
        <v>182</v>
      </c>
      <c r="E7840" t="s">
        <v>15</v>
      </c>
      <c r="F7840">
        <v>0.16945670545101166</v>
      </c>
    </row>
    <row r="7841" spans="2:6">
      <c r="B7841">
        <v>2015</v>
      </c>
      <c r="C7841" t="s">
        <v>89</v>
      </c>
      <c r="D7841" t="s">
        <v>182</v>
      </c>
      <c r="E7841" t="s">
        <v>7</v>
      </c>
      <c r="F7841">
        <v>5.9499950408935547</v>
      </c>
    </row>
    <row r="7842" spans="2:6">
      <c r="B7842">
        <v>2015</v>
      </c>
      <c r="C7842" t="s">
        <v>89</v>
      </c>
      <c r="D7842" t="s">
        <v>182</v>
      </c>
      <c r="E7842" t="s">
        <v>8</v>
      </c>
      <c r="F7842">
        <v>10.097837448120117</v>
      </c>
    </row>
    <row r="7843" spans="2:6">
      <c r="B7843">
        <v>2015</v>
      </c>
      <c r="C7843" t="s">
        <v>89</v>
      </c>
      <c r="D7843" t="s">
        <v>182</v>
      </c>
      <c r="E7843" t="s">
        <v>9</v>
      </c>
      <c r="F7843">
        <v>0.93134927749633789</v>
      </c>
    </row>
    <row r="7844" spans="2:6">
      <c r="B7844">
        <v>2015</v>
      </c>
      <c r="C7844" t="s">
        <v>89</v>
      </c>
      <c r="D7844" t="s">
        <v>182</v>
      </c>
      <c r="E7844" t="s">
        <v>10</v>
      </c>
      <c r="F7844">
        <v>62.799999237060547</v>
      </c>
    </row>
    <row r="7845" spans="2:6">
      <c r="B7845">
        <v>2015</v>
      </c>
      <c r="C7845" t="s">
        <v>89</v>
      </c>
      <c r="D7845" t="s">
        <v>182</v>
      </c>
      <c r="E7845" t="s">
        <v>11</v>
      </c>
      <c r="F7845">
        <v>0.74013280868530273</v>
      </c>
    </row>
    <row r="7846" spans="2:6">
      <c r="B7846">
        <v>2015</v>
      </c>
      <c r="C7846" t="s">
        <v>89</v>
      </c>
      <c r="D7846" t="s">
        <v>182</v>
      </c>
      <c r="E7846" t="s">
        <v>12</v>
      </c>
      <c r="F7846">
        <v>-3.6992888897657394E-2</v>
      </c>
    </row>
    <row r="7847" spans="2:6">
      <c r="B7847">
        <v>2015</v>
      </c>
      <c r="C7847" t="s">
        <v>89</v>
      </c>
      <c r="D7847" t="s">
        <v>182</v>
      </c>
      <c r="E7847" t="s">
        <v>13</v>
      </c>
      <c r="F7847">
        <v>0.71384429931640625</v>
      </c>
    </row>
    <row r="7848" spans="2:6">
      <c r="B7848">
        <v>2015</v>
      </c>
      <c r="C7848" t="s">
        <v>89</v>
      </c>
      <c r="D7848" t="s">
        <v>182</v>
      </c>
      <c r="E7848" t="s">
        <v>14</v>
      </c>
      <c r="F7848">
        <v>0.73014742136001587</v>
      </c>
    </row>
    <row r="7849" spans="2:6">
      <c r="B7849">
        <v>2015</v>
      </c>
      <c r="C7849" t="s">
        <v>89</v>
      </c>
      <c r="D7849" t="s">
        <v>182</v>
      </c>
      <c r="E7849" t="s">
        <v>15</v>
      </c>
      <c r="F7849">
        <v>0.17399400472640991</v>
      </c>
    </row>
    <row r="7850" spans="2:6">
      <c r="B7850">
        <v>2016</v>
      </c>
      <c r="C7850" t="s">
        <v>89</v>
      </c>
      <c r="D7850" t="s">
        <v>182</v>
      </c>
      <c r="E7850" t="s">
        <v>7</v>
      </c>
      <c r="F7850">
        <v>5.5335516929626465</v>
      </c>
    </row>
    <row r="7851" spans="2:6">
      <c r="B7851">
        <v>2016</v>
      </c>
      <c r="C7851" t="s">
        <v>89</v>
      </c>
      <c r="D7851" t="s">
        <v>182</v>
      </c>
      <c r="E7851" t="s">
        <v>8</v>
      </c>
      <c r="F7851">
        <v>10.09455680847168</v>
      </c>
    </row>
    <row r="7852" spans="2:6">
      <c r="B7852">
        <v>2016</v>
      </c>
      <c r="C7852" t="s">
        <v>89</v>
      </c>
      <c r="D7852" t="s">
        <v>182</v>
      </c>
      <c r="E7852" t="s">
        <v>9</v>
      </c>
      <c r="F7852">
        <v>0.9278106689453125</v>
      </c>
    </row>
    <row r="7853" spans="2:6">
      <c r="B7853">
        <v>2016</v>
      </c>
      <c r="C7853" t="s">
        <v>89</v>
      </c>
      <c r="D7853" t="s">
        <v>182</v>
      </c>
      <c r="E7853" t="s">
        <v>10</v>
      </c>
      <c r="F7853">
        <v>63.400001525878906</v>
      </c>
    </row>
    <row r="7854" spans="2:6">
      <c r="B7854">
        <v>2016</v>
      </c>
      <c r="C7854" t="s">
        <v>89</v>
      </c>
      <c r="D7854" t="s">
        <v>182</v>
      </c>
      <c r="E7854" t="s">
        <v>11</v>
      </c>
      <c r="F7854">
        <v>0.78280556201934814</v>
      </c>
    </row>
    <row r="7855" spans="2:6">
      <c r="B7855">
        <v>2016</v>
      </c>
      <c r="C7855" t="s">
        <v>89</v>
      </c>
      <c r="D7855" t="s">
        <v>182</v>
      </c>
      <c r="E7855" t="s">
        <v>12</v>
      </c>
      <c r="F7855">
        <v>-3.6055821925401688E-2</v>
      </c>
    </row>
    <row r="7856" spans="2:6">
      <c r="B7856">
        <v>2016</v>
      </c>
      <c r="C7856" t="s">
        <v>89</v>
      </c>
      <c r="D7856" t="s">
        <v>182</v>
      </c>
      <c r="E7856" t="s">
        <v>13</v>
      </c>
      <c r="F7856">
        <v>0.70201665163040161</v>
      </c>
    </row>
    <row r="7857" spans="2:6">
      <c r="B7857">
        <v>2016</v>
      </c>
      <c r="C7857" t="s">
        <v>89</v>
      </c>
      <c r="D7857" t="s">
        <v>182</v>
      </c>
      <c r="E7857" t="s">
        <v>14</v>
      </c>
      <c r="F7857">
        <v>0.70247912406921387</v>
      </c>
    </row>
    <row r="7858" spans="2:6">
      <c r="B7858">
        <v>2016</v>
      </c>
      <c r="C7858" t="s">
        <v>89</v>
      </c>
      <c r="D7858" t="s">
        <v>182</v>
      </c>
      <c r="E7858" t="s">
        <v>15</v>
      </c>
      <c r="F7858">
        <v>0.15541473031044006</v>
      </c>
    </row>
    <row r="7859" spans="2:6">
      <c r="B7859">
        <v>2017</v>
      </c>
      <c r="C7859" t="s">
        <v>89</v>
      </c>
      <c r="D7859" t="s">
        <v>182</v>
      </c>
      <c r="E7859" t="s">
        <v>7</v>
      </c>
      <c r="F7859">
        <v>5.8823513984680176</v>
      </c>
    </row>
    <row r="7860" spans="2:6">
      <c r="B7860">
        <v>2017</v>
      </c>
      <c r="C7860" t="s">
        <v>89</v>
      </c>
      <c r="D7860" t="s">
        <v>182</v>
      </c>
      <c r="E7860" t="s">
        <v>8</v>
      </c>
      <c r="F7860">
        <v>10.121134757995605</v>
      </c>
    </row>
    <row r="7861" spans="2:6">
      <c r="B7861">
        <v>2017</v>
      </c>
      <c r="C7861" t="s">
        <v>89</v>
      </c>
      <c r="D7861" t="s">
        <v>182</v>
      </c>
      <c r="E7861" t="s">
        <v>9</v>
      </c>
      <c r="F7861">
        <v>0.91409319639205933</v>
      </c>
    </row>
    <row r="7862" spans="2:6">
      <c r="B7862">
        <v>2017</v>
      </c>
      <c r="C7862" t="s">
        <v>89</v>
      </c>
      <c r="D7862" t="s">
        <v>182</v>
      </c>
      <c r="E7862" t="s">
        <v>10</v>
      </c>
      <c r="F7862">
        <v>64</v>
      </c>
    </row>
    <row r="7863" spans="2:6">
      <c r="B7863">
        <v>2017</v>
      </c>
      <c r="C7863" t="s">
        <v>89</v>
      </c>
      <c r="D7863" t="s">
        <v>182</v>
      </c>
      <c r="E7863" t="s">
        <v>11</v>
      </c>
      <c r="F7863">
        <v>0.74524396657943726</v>
      </c>
    </row>
    <row r="7864" spans="2:6">
      <c r="B7864">
        <v>2017</v>
      </c>
      <c r="C7864" t="s">
        <v>89</v>
      </c>
      <c r="D7864" t="s">
        <v>182</v>
      </c>
      <c r="E7864" t="s">
        <v>12</v>
      </c>
      <c r="F7864">
        <v>-3.4828405827283859E-2</v>
      </c>
    </row>
    <row r="7865" spans="2:6">
      <c r="B7865">
        <v>2017</v>
      </c>
      <c r="C7865" t="s">
        <v>89</v>
      </c>
      <c r="D7865" t="s">
        <v>182</v>
      </c>
      <c r="E7865" t="s">
        <v>13</v>
      </c>
      <c r="F7865">
        <v>0.75525069236755371</v>
      </c>
    </row>
    <row r="7866" spans="2:6">
      <c r="B7866">
        <v>2017</v>
      </c>
      <c r="C7866" t="s">
        <v>89</v>
      </c>
      <c r="D7866" t="s">
        <v>182</v>
      </c>
      <c r="E7866" t="s">
        <v>14</v>
      </c>
      <c r="F7866">
        <v>0.75676220655441284</v>
      </c>
    </row>
    <row r="7867" spans="2:6">
      <c r="B7867">
        <v>2017</v>
      </c>
      <c r="C7867" t="s">
        <v>89</v>
      </c>
      <c r="D7867" t="s">
        <v>182</v>
      </c>
      <c r="E7867" t="s">
        <v>15</v>
      </c>
      <c r="F7867">
        <v>0.17148640751838684</v>
      </c>
    </row>
    <row r="7868" spans="2:6">
      <c r="B7868">
        <v>2018</v>
      </c>
      <c r="C7868" t="s">
        <v>89</v>
      </c>
      <c r="D7868" t="s">
        <v>182</v>
      </c>
      <c r="E7868" t="s">
        <v>7</v>
      </c>
      <c r="F7868">
        <v>6.0076360702514648</v>
      </c>
    </row>
    <row r="7869" spans="2:6">
      <c r="B7869">
        <v>2018</v>
      </c>
      <c r="C7869" t="s">
        <v>89</v>
      </c>
      <c r="D7869" t="s">
        <v>182</v>
      </c>
      <c r="E7869" t="s">
        <v>8</v>
      </c>
      <c r="F7869">
        <v>10.148168563842773</v>
      </c>
    </row>
    <row r="7870" spans="2:6">
      <c r="B7870">
        <v>2018</v>
      </c>
      <c r="C7870" t="s">
        <v>89</v>
      </c>
      <c r="D7870" t="s">
        <v>182</v>
      </c>
      <c r="E7870" t="s">
        <v>9</v>
      </c>
      <c r="F7870">
        <v>0.93665671348571777</v>
      </c>
    </row>
    <row r="7871" spans="2:6">
      <c r="B7871">
        <v>2018</v>
      </c>
      <c r="C7871" t="s">
        <v>89</v>
      </c>
      <c r="D7871" t="s">
        <v>182</v>
      </c>
      <c r="E7871" t="s">
        <v>10</v>
      </c>
      <c r="F7871">
        <v>64.599998474121094</v>
      </c>
    </row>
    <row r="7872" spans="2:6">
      <c r="B7872">
        <v>2018</v>
      </c>
      <c r="C7872" t="s">
        <v>89</v>
      </c>
      <c r="D7872" t="s">
        <v>182</v>
      </c>
      <c r="E7872" t="s">
        <v>11</v>
      </c>
      <c r="F7872">
        <v>0.84018296003341675</v>
      </c>
    </row>
    <row r="7873" spans="2:6">
      <c r="B7873">
        <v>2018</v>
      </c>
      <c r="C7873" t="s">
        <v>89</v>
      </c>
      <c r="D7873" t="s">
        <v>182</v>
      </c>
      <c r="E7873" t="s">
        <v>12</v>
      </c>
      <c r="F7873">
        <v>-9.8019570112228394E-2</v>
      </c>
    </row>
    <row r="7874" spans="2:6">
      <c r="B7874">
        <v>2018</v>
      </c>
      <c r="C7874" t="s">
        <v>89</v>
      </c>
      <c r="D7874" t="s">
        <v>182</v>
      </c>
      <c r="E7874" t="s">
        <v>13</v>
      </c>
      <c r="F7874">
        <v>0.82378298044204712</v>
      </c>
    </row>
    <row r="7875" spans="2:6">
      <c r="B7875">
        <v>2018</v>
      </c>
      <c r="C7875" t="s">
        <v>89</v>
      </c>
      <c r="D7875" t="s">
        <v>182</v>
      </c>
      <c r="E7875" t="s">
        <v>14</v>
      </c>
      <c r="F7875">
        <v>0.69319874048233032</v>
      </c>
    </row>
    <row r="7876" spans="2:6">
      <c r="B7876">
        <v>2018</v>
      </c>
      <c r="C7876" t="s">
        <v>89</v>
      </c>
      <c r="D7876" t="s">
        <v>182</v>
      </c>
      <c r="E7876" t="s">
        <v>15</v>
      </c>
      <c r="F7876">
        <v>0.16154228150844574</v>
      </c>
    </row>
    <row r="7877" spans="2:6">
      <c r="B7877">
        <v>2019</v>
      </c>
      <c r="C7877" t="s">
        <v>89</v>
      </c>
      <c r="D7877" t="s">
        <v>182</v>
      </c>
      <c r="E7877" t="s">
        <v>7</v>
      </c>
      <c r="F7877">
        <v>6.2722682952880859</v>
      </c>
    </row>
    <row r="7878" spans="2:6">
      <c r="B7878">
        <v>2019</v>
      </c>
      <c r="C7878" t="s">
        <v>89</v>
      </c>
      <c r="D7878" t="s">
        <v>182</v>
      </c>
      <c r="E7878" t="s">
        <v>8</v>
      </c>
      <c r="F7878">
        <v>10.179278373718262</v>
      </c>
    </row>
    <row r="7879" spans="2:6">
      <c r="B7879">
        <v>2019</v>
      </c>
      <c r="C7879" t="s">
        <v>89</v>
      </c>
      <c r="D7879" t="s">
        <v>182</v>
      </c>
      <c r="E7879" t="s">
        <v>9</v>
      </c>
      <c r="F7879">
        <v>0.95105010271072388</v>
      </c>
    </row>
    <row r="7880" spans="2:6">
      <c r="B7880">
        <v>2019</v>
      </c>
      <c r="C7880" t="s">
        <v>89</v>
      </c>
      <c r="D7880" t="s">
        <v>182</v>
      </c>
      <c r="E7880" t="s">
        <v>10</v>
      </c>
      <c r="F7880">
        <v>65.199996948242188</v>
      </c>
    </row>
    <row r="7881" spans="2:6">
      <c r="B7881">
        <v>2019</v>
      </c>
      <c r="C7881" t="s">
        <v>89</v>
      </c>
      <c r="D7881" t="s">
        <v>182</v>
      </c>
      <c r="E7881" t="s">
        <v>11</v>
      </c>
      <c r="F7881">
        <v>0.85238742828369141</v>
      </c>
    </row>
    <row r="7882" spans="2:6">
      <c r="B7882">
        <v>2019</v>
      </c>
      <c r="C7882" t="s">
        <v>89</v>
      </c>
      <c r="D7882" t="s">
        <v>182</v>
      </c>
      <c r="E7882" t="s">
        <v>12</v>
      </c>
      <c r="F7882">
        <v>-5.5017028003931046E-2</v>
      </c>
    </row>
    <row r="7883" spans="2:6">
      <c r="B7883">
        <v>2019</v>
      </c>
      <c r="C7883" t="s">
        <v>89</v>
      </c>
      <c r="D7883" t="s">
        <v>182</v>
      </c>
      <c r="E7883" t="s">
        <v>13</v>
      </c>
      <c r="F7883">
        <v>0.70827919244766235</v>
      </c>
    </row>
    <row r="7884" spans="2:6">
      <c r="B7884">
        <v>2019</v>
      </c>
      <c r="C7884" t="s">
        <v>89</v>
      </c>
      <c r="D7884" t="s">
        <v>182</v>
      </c>
      <c r="E7884" t="s">
        <v>14</v>
      </c>
      <c r="F7884">
        <v>0.78713512420654297</v>
      </c>
    </row>
    <row r="7885" spans="2:6">
      <c r="B7885">
        <v>2019</v>
      </c>
      <c r="C7885" t="s">
        <v>89</v>
      </c>
      <c r="D7885" t="s">
        <v>182</v>
      </c>
      <c r="E7885" t="s">
        <v>15</v>
      </c>
      <c r="F7885">
        <v>0.13913293182849884</v>
      </c>
    </row>
    <row r="7886" spans="2:6">
      <c r="B7886">
        <v>2020</v>
      </c>
      <c r="C7886" t="s">
        <v>89</v>
      </c>
      <c r="D7886" t="s">
        <v>182</v>
      </c>
      <c r="E7886" t="s">
        <v>7</v>
      </c>
      <c r="F7886">
        <v>6.168269157409668</v>
      </c>
    </row>
    <row r="7887" spans="2:6">
      <c r="B7887">
        <v>2020</v>
      </c>
      <c r="C7887" t="s">
        <v>89</v>
      </c>
      <c r="D7887" t="s">
        <v>182</v>
      </c>
      <c r="E7887" t="s">
        <v>8</v>
      </c>
      <c r="F7887">
        <v>10.135335922241211</v>
      </c>
    </row>
    <row r="7888" spans="2:6">
      <c r="B7888">
        <v>2020</v>
      </c>
      <c r="C7888" t="s">
        <v>89</v>
      </c>
      <c r="D7888" t="s">
        <v>182</v>
      </c>
      <c r="E7888" t="s">
        <v>9</v>
      </c>
      <c r="F7888">
        <v>0.96644896268844604</v>
      </c>
    </row>
    <row r="7889" spans="2:6">
      <c r="B7889">
        <v>2020</v>
      </c>
      <c r="C7889" t="s">
        <v>89</v>
      </c>
      <c r="D7889" t="s">
        <v>182</v>
      </c>
      <c r="E7889" t="s">
        <v>10</v>
      </c>
      <c r="F7889">
        <v>65.800003051757813</v>
      </c>
    </row>
    <row r="7890" spans="2:6">
      <c r="B7890">
        <v>2020</v>
      </c>
      <c r="C7890" t="s">
        <v>89</v>
      </c>
      <c r="D7890" t="s">
        <v>182</v>
      </c>
      <c r="E7890" t="s">
        <v>11</v>
      </c>
      <c r="F7890">
        <v>0.8721001148223877</v>
      </c>
    </row>
    <row r="7891" spans="2:6">
      <c r="B7891">
        <v>2020</v>
      </c>
      <c r="C7891" t="s">
        <v>89</v>
      </c>
      <c r="D7891" t="s">
        <v>182</v>
      </c>
      <c r="E7891" t="s">
        <v>12</v>
      </c>
      <c r="F7891">
        <v>-5.6175168603658676E-2</v>
      </c>
    </row>
    <row r="7892" spans="2:6">
      <c r="B7892">
        <v>2020</v>
      </c>
      <c r="C7892" t="s">
        <v>89</v>
      </c>
      <c r="D7892" t="s">
        <v>182</v>
      </c>
      <c r="E7892" t="s">
        <v>13</v>
      </c>
      <c r="F7892">
        <v>0.66079884767532349</v>
      </c>
    </row>
    <row r="7893" spans="2:6">
      <c r="B7893">
        <v>2020</v>
      </c>
      <c r="C7893" t="s">
        <v>89</v>
      </c>
      <c r="D7893" t="s">
        <v>182</v>
      </c>
      <c r="E7893" t="s">
        <v>14</v>
      </c>
      <c r="F7893">
        <v>0.68410265445709229</v>
      </c>
    </row>
    <row r="7894" spans="2:6">
      <c r="B7894">
        <v>2020</v>
      </c>
      <c r="C7894" t="s">
        <v>89</v>
      </c>
      <c r="D7894" t="s">
        <v>182</v>
      </c>
      <c r="E7894" t="s">
        <v>15</v>
      </c>
      <c r="F7894">
        <v>0.15035991370677948</v>
      </c>
    </row>
    <row r="7895" spans="2:6">
      <c r="B7895">
        <v>2006</v>
      </c>
      <c r="C7895" t="s">
        <v>90</v>
      </c>
      <c r="D7895" t="s">
        <v>184</v>
      </c>
      <c r="E7895" t="s">
        <v>7</v>
      </c>
      <c r="F7895">
        <v>4.2232341766357422</v>
      </c>
    </row>
    <row r="7896" spans="2:6">
      <c r="B7896">
        <v>2006</v>
      </c>
      <c r="C7896" t="s">
        <v>90</v>
      </c>
      <c r="D7896" t="s">
        <v>184</v>
      </c>
      <c r="E7896" t="s">
        <v>8</v>
      </c>
      <c r="F7896">
        <v>8.0389490127563477</v>
      </c>
    </row>
    <row r="7897" spans="2:6">
      <c r="B7897">
        <v>2006</v>
      </c>
      <c r="C7897" t="s">
        <v>90</v>
      </c>
      <c r="D7897" t="s">
        <v>184</v>
      </c>
      <c r="E7897" t="s">
        <v>9</v>
      </c>
      <c r="F7897">
        <v>0.90879815816879272</v>
      </c>
    </row>
    <row r="7898" spans="2:6">
      <c r="B7898">
        <v>2006</v>
      </c>
      <c r="C7898" t="s">
        <v>90</v>
      </c>
      <c r="D7898" t="s">
        <v>184</v>
      </c>
      <c r="E7898" t="s">
        <v>10</v>
      </c>
      <c r="F7898">
        <v>50.220001220703125</v>
      </c>
    </row>
    <row r="7899" spans="2:6">
      <c r="B7899">
        <v>2006</v>
      </c>
      <c r="C7899" t="s">
        <v>90</v>
      </c>
      <c r="D7899" t="s">
        <v>184</v>
      </c>
      <c r="E7899" t="s">
        <v>11</v>
      </c>
      <c r="F7899">
        <v>0.6158861517906189</v>
      </c>
    </row>
    <row r="7900" spans="2:6">
      <c r="B7900">
        <v>2006</v>
      </c>
      <c r="C7900" t="s">
        <v>90</v>
      </c>
      <c r="D7900" t="s">
        <v>184</v>
      </c>
      <c r="E7900" t="s">
        <v>12</v>
      </c>
      <c r="F7900">
        <v>-2.0096449181437492E-2</v>
      </c>
    </row>
    <row r="7901" spans="2:6">
      <c r="B7901">
        <v>2006</v>
      </c>
      <c r="C7901" t="s">
        <v>90</v>
      </c>
      <c r="D7901" t="s">
        <v>184</v>
      </c>
      <c r="E7901" t="s">
        <v>13</v>
      </c>
      <c r="F7901">
        <v>0.86025696992874146</v>
      </c>
    </row>
    <row r="7902" spans="2:6">
      <c r="B7902">
        <v>2006</v>
      </c>
      <c r="C7902" t="s">
        <v>90</v>
      </c>
      <c r="D7902" t="s">
        <v>184</v>
      </c>
      <c r="E7902" t="s">
        <v>14</v>
      </c>
      <c r="F7902">
        <v>0.70508694648742676</v>
      </c>
    </row>
    <row r="7903" spans="2:6">
      <c r="B7903">
        <v>2006</v>
      </c>
      <c r="C7903" t="s">
        <v>90</v>
      </c>
      <c r="D7903" t="s">
        <v>184</v>
      </c>
      <c r="E7903" t="s">
        <v>15</v>
      </c>
      <c r="F7903">
        <v>0.19819191098213196</v>
      </c>
    </row>
    <row r="7904" spans="2:6">
      <c r="B7904">
        <v>2007</v>
      </c>
      <c r="C7904" t="s">
        <v>90</v>
      </c>
      <c r="D7904" t="s">
        <v>184</v>
      </c>
      <c r="E7904" t="s">
        <v>7</v>
      </c>
      <c r="F7904">
        <v>4.575657844543457</v>
      </c>
    </row>
    <row r="7905" spans="2:6">
      <c r="B7905">
        <v>2007</v>
      </c>
      <c r="C7905" t="s">
        <v>90</v>
      </c>
      <c r="D7905" t="s">
        <v>184</v>
      </c>
      <c r="E7905" t="s">
        <v>8</v>
      </c>
      <c r="F7905">
        <v>8.0775260925292969</v>
      </c>
    </row>
    <row r="7906" spans="2:6">
      <c r="B7906">
        <v>2007</v>
      </c>
      <c r="C7906" t="s">
        <v>90</v>
      </c>
      <c r="D7906" t="s">
        <v>184</v>
      </c>
      <c r="E7906" t="s">
        <v>9</v>
      </c>
      <c r="F7906">
        <v>0.84111207723617554</v>
      </c>
    </row>
    <row r="7907" spans="2:6">
      <c r="B7907">
        <v>2007</v>
      </c>
      <c r="C7907" t="s">
        <v>90</v>
      </c>
      <c r="D7907" t="s">
        <v>184</v>
      </c>
      <c r="E7907" t="s">
        <v>10</v>
      </c>
      <c r="F7907">
        <v>51.540000915527344</v>
      </c>
    </row>
    <row r="7908" spans="2:6">
      <c r="B7908">
        <v>2007</v>
      </c>
      <c r="C7908" t="s">
        <v>90</v>
      </c>
      <c r="D7908" t="s">
        <v>184</v>
      </c>
      <c r="E7908" t="s">
        <v>11</v>
      </c>
      <c r="F7908">
        <v>0.74984228610992432</v>
      </c>
    </row>
    <row r="7909" spans="2:6">
      <c r="B7909">
        <v>2007</v>
      </c>
      <c r="C7909" t="s">
        <v>90</v>
      </c>
      <c r="D7909" t="s">
        <v>184</v>
      </c>
      <c r="E7909" t="s">
        <v>12</v>
      </c>
      <c r="F7909">
        <v>5.3689431399106979E-2</v>
      </c>
    </row>
    <row r="7910" spans="2:6">
      <c r="B7910">
        <v>2007</v>
      </c>
      <c r="C7910" t="s">
        <v>90</v>
      </c>
      <c r="D7910" t="s">
        <v>184</v>
      </c>
      <c r="E7910" t="s">
        <v>13</v>
      </c>
      <c r="F7910">
        <v>0.79873853921890259</v>
      </c>
    </row>
    <row r="7911" spans="2:6">
      <c r="B7911">
        <v>2007</v>
      </c>
      <c r="C7911" t="s">
        <v>90</v>
      </c>
      <c r="D7911" t="s">
        <v>184</v>
      </c>
      <c r="E7911" t="s">
        <v>14</v>
      </c>
      <c r="F7911">
        <v>0.72519594430923462</v>
      </c>
    </row>
    <row r="7912" spans="2:6">
      <c r="B7912">
        <v>2007</v>
      </c>
      <c r="C7912" t="s">
        <v>90</v>
      </c>
      <c r="D7912" t="s">
        <v>184</v>
      </c>
      <c r="E7912" t="s">
        <v>15</v>
      </c>
      <c r="F7912">
        <v>0.16194111108779907</v>
      </c>
    </row>
    <row r="7913" spans="2:6">
      <c r="B7913">
        <v>2008</v>
      </c>
      <c r="C7913" t="s">
        <v>90</v>
      </c>
      <c r="D7913" t="s">
        <v>184</v>
      </c>
      <c r="E7913" t="s">
        <v>7</v>
      </c>
      <c r="F7913">
        <v>4.0152745246887207</v>
      </c>
    </row>
    <row r="7914" spans="2:6">
      <c r="B7914">
        <v>2008</v>
      </c>
      <c r="C7914" t="s">
        <v>90</v>
      </c>
      <c r="D7914" t="s">
        <v>184</v>
      </c>
      <c r="E7914" t="s">
        <v>8</v>
      </c>
      <c r="F7914">
        <v>8.0521736145019531</v>
      </c>
    </row>
    <row r="7915" spans="2:6">
      <c r="B7915">
        <v>2008</v>
      </c>
      <c r="C7915" t="s">
        <v>90</v>
      </c>
      <c r="D7915" t="s">
        <v>184</v>
      </c>
      <c r="E7915" t="s">
        <v>9</v>
      </c>
      <c r="F7915">
        <v>0.82655525207519531</v>
      </c>
    </row>
    <row r="7916" spans="2:6">
      <c r="B7916">
        <v>2008</v>
      </c>
      <c r="C7916" t="s">
        <v>90</v>
      </c>
      <c r="D7916" t="s">
        <v>184</v>
      </c>
      <c r="E7916" t="s">
        <v>10</v>
      </c>
      <c r="F7916">
        <v>52.860000610351563</v>
      </c>
    </row>
    <row r="7917" spans="2:6">
      <c r="B7917">
        <v>2008</v>
      </c>
      <c r="C7917" t="s">
        <v>90</v>
      </c>
      <c r="D7917" t="s">
        <v>184</v>
      </c>
      <c r="E7917" t="s">
        <v>11</v>
      </c>
      <c r="F7917">
        <v>0.62029576301574707</v>
      </c>
    </row>
    <row r="7918" spans="2:6">
      <c r="B7918">
        <v>2008</v>
      </c>
      <c r="C7918" t="s">
        <v>90</v>
      </c>
      <c r="D7918" t="s">
        <v>184</v>
      </c>
      <c r="E7918" t="s">
        <v>12</v>
      </c>
      <c r="F7918">
        <v>-1.1607175692915916E-2</v>
      </c>
    </row>
    <row r="7919" spans="2:6">
      <c r="B7919">
        <v>2008</v>
      </c>
      <c r="C7919" t="s">
        <v>90</v>
      </c>
      <c r="D7919" t="s">
        <v>184</v>
      </c>
      <c r="E7919" t="s">
        <v>13</v>
      </c>
      <c r="F7919">
        <v>0.90944653749465942</v>
      </c>
    </row>
    <row r="7920" spans="2:6">
      <c r="B7920">
        <v>2008</v>
      </c>
      <c r="C7920" t="s">
        <v>90</v>
      </c>
      <c r="D7920" t="s">
        <v>184</v>
      </c>
      <c r="E7920" t="s">
        <v>14</v>
      </c>
      <c r="F7920">
        <v>0.77222698926925659</v>
      </c>
    </row>
    <row r="7921" spans="2:6">
      <c r="B7921">
        <v>2008</v>
      </c>
      <c r="C7921" t="s">
        <v>90</v>
      </c>
      <c r="D7921" t="s">
        <v>184</v>
      </c>
      <c r="E7921" t="s">
        <v>15</v>
      </c>
      <c r="F7921">
        <v>0.14899660646915436</v>
      </c>
    </row>
    <row r="7922" spans="2:6">
      <c r="B7922">
        <v>2009</v>
      </c>
      <c r="C7922" t="s">
        <v>90</v>
      </c>
      <c r="D7922" t="s">
        <v>184</v>
      </c>
      <c r="E7922" t="s">
        <v>7</v>
      </c>
      <c r="F7922">
        <v>4.2704348564147949</v>
      </c>
    </row>
    <row r="7923" spans="2:6">
      <c r="B7923">
        <v>2009</v>
      </c>
      <c r="C7923" t="s">
        <v>90</v>
      </c>
      <c r="D7923" t="s">
        <v>184</v>
      </c>
      <c r="E7923" t="s">
        <v>8</v>
      </c>
      <c r="F7923">
        <v>8.0571994781494141</v>
      </c>
    </row>
    <row r="7924" spans="2:6">
      <c r="B7924">
        <v>2009</v>
      </c>
      <c r="C7924" t="s">
        <v>90</v>
      </c>
      <c r="D7924" t="s">
        <v>184</v>
      </c>
      <c r="E7924" t="s">
        <v>9</v>
      </c>
      <c r="F7924">
        <v>0.78922033309936523</v>
      </c>
    </row>
    <row r="7925" spans="2:6">
      <c r="B7925">
        <v>2009</v>
      </c>
      <c r="C7925" t="s">
        <v>90</v>
      </c>
      <c r="D7925" t="s">
        <v>184</v>
      </c>
      <c r="E7925" t="s">
        <v>10</v>
      </c>
      <c r="F7925">
        <v>54.180000305175781</v>
      </c>
    </row>
    <row r="7926" spans="2:6">
      <c r="B7926">
        <v>2009</v>
      </c>
      <c r="C7926" t="s">
        <v>90</v>
      </c>
      <c r="D7926" t="s">
        <v>184</v>
      </c>
      <c r="E7926" t="s">
        <v>11</v>
      </c>
      <c r="F7926">
        <v>0.58359473943710327</v>
      </c>
    </row>
    <row r="7927" spans="2:6">
      <c r="B7927">
        <v>2009</v>
      </c>
      <c r="C7927" t="s">
        <v>90</v>
      </c>
      <c r="D7927" t="s">
        <v>184</v>
      </c>
      <c r="E7927" t="s">
        <v>12</v>
      </c>
      <c r="F7927">
        <v>9.9646471440792084E-2</v>
      </c>
    </row>
    <row r="7928" spans="2:6">
      <c r="B7928">
        <v>2009</v>
      </c>
      <c r="C7928" t="s">
        <v>90</v>
      </c>
      <c r="D7928" t="s">
        <v>184</v>
      </c>
      <c r="E7928" t="s">
        <v>13</v>
      </c>
      <c r="F7928">
        <v>0.91294652223587036</v>
      </c>
    </row>
    <row r="7929" spans="2:6">
      <c r="B7929">
        <v>2009</v>
      </c>
      <c r="C7929" t="s">
        <v>90</v>
      </c>
      <c r="D7929" t="s">
        <v>184</v>
      </c>
      <c r="E7929" t="s">
        <v>14</v>
      </c>
      <c r="F7929">
        <v>0.77188026905059814</v>
      </c>
    </row>
    <row r="7930" spans="2:6">
      <c r="B7930">
        <v>2009</v>
      </c>
      <c r="C7930" t="s">
        <v>90</v>
      </c>
      <c r="D7930" t="s">
        <v>184</v>
      </c>
      <c r="E7930" t="s">
        <v>15</v>
      </c>
      <c r="F7930">
        <v>0.18259158730506897</v>
      </c>
    </row>
    <row r="7931" spans="2:6">
      <c r="B7931">
        <v>2010</v>
      </c>
      <c r="C7931" t="s">
        <v>90</v>
      </c>
      <c r="D7931" t="s">
        <v>184</v>
      </c>
      <c r="E7931" t="s">
        <v>7</v>
      </c>
      <c r="F7931">
        <v>4.255859375</v>
      </c>
    </row>
    <row r="7932" spans="2:6">
      <c r="B7932">
        <v>2010</v>
      </c>
      <c r="C7932" t="s">
        <v>90</v>
      </c>
      <c r="D7932" t="s">
        <v>184</v>
      </c>
      <c r="E7932" t="s">
        <v>8</v>
      </c>
      <c r="F7932">
        <v>8.1106834411621094</v>
      </c>
    </row>
    <row r="7933" spans="2:6">
      <c r="B7933">
        <v>2010</v>
      </c>
      <c r="C7933" t="s">
        <v>90</v>
      </c>
      <c r="D7933" t="s">
        <v>184</v>
      </c>
      <c r="E7933" t="s">
        <v>9</v>
      </c>
      <c r="F7933">
        <v>0.80532646179199219</v>
      </c>
    </row>
    <row r="7934" spans="2:6">
      <c r="B7934">
        <v>2010</v>
      </c>
      <c r="C7934" t="s">
        <v>90</v>
      </c>
      <c r="D7934" t="s">
        <v>184</v>
      </c>
      <c r="E7934" t="s">
        <v>10</v>
      </c>
      <c r="F7934">
        <v>55.5</v>
      </c>
    </row>
    <row r="7935" spans="2:6">
      <c r="B7935">
        <v>2010</v>
      </c>
      <c r="C7935" t="s">
        <v>90</v>
      </c>
      <c r="D7935" t="s">
        <v>184</v>
      </c>
      <c r="E7935" t="s">
        <v>11</v>
      </c>
      <c r="F7935">
        <v>0.63545721769332886</v>
      </c>
    </row>
    <row r="7936" spans="2:6">
      <c r="B7936">
        <v>2010</v>
      </c>
      <c r="C7936" t="s">
        <v>90</v>
      </c>
      <c r="D7936" t="s">
        <v>184</v>
      </c>
      <c r="E7936" t="s">
        <v>12</v>
      </c>
      <c r="F7936">
        <v>1.862819492816925E-2</v>
      </c>
    </row>
    <row r="7937" spans="2:6">
      <c r="B7937">
        <v>2010</v>
      </c>
      <c r="C7937" t="s">
        <v>90</v>
      </c>
      <c r="D7937" t="s">
        <v>184</v>
      </c>
      <c r="E7937" t="s">
        <v>13</v>
      </c>
      <c r="F7937">
        <v>0.91792124509811401</v>
      </c>
    </row>
    <row r="7938" spans="2:6">
      <c r="B7938">
        <v>2010</v>
      </c>
      <c r="C7938" t="s">
        <v>90</v>
      </c>
      <c r="D7938" t="s">
        <v>184</v>
      </c>
      <c r="E7938" t="s">
        <v>14</v>
      </c>
      <c r="F7938">
        <v>0.81912171840667725</v>
      </c>
    </row>
    <row r="7939" spans="2:6">
      <c r="B7939">
        <v>2010</v>
      </c>
      <c r="C7939" t="s">
        <v>90</v>
      </c>
      <c r="D7939" t="s">
        <v>184</v>
      </c>
      <c r="E7939" t="s">
        <v>15</v>
      </c>
      <c r="F7939">
        <v>0.12320178002119064</v>
      </c>
    </row>
    <row r="7940" spans="2:6">
      <c r="B7940">
        <v>2011</v>
      </c>
      <c r="C7940" t="s">
        <v>90</v>
      </c>
      <c r="D7940" t="s">
        <v>184</v>
      </c>
      <c r="E7940" t="s">
        <v>7</v>
      </c>
      <c r="F7940">
        <v>4.4053101539611816</v>
      </c>
    </row>
    <row r="7941" spans="2:6">
      <c r="B7941">
        <v>2011</v>
      </c>
      <c r="C7941" t="s">
        <v>90</v>
      </c>
      <c r="D7941" t="s">
        <v>184</v>
      </c>
      <c r="E7941" t="s">
        <v>8</v>
      </c>
      <c r="F7941">
        <v>8.143035888671875</v>
      </c>
    </row>
    <row r="7942" spans="2:6">
      <c r="B7942">
        <v>2011</v>
      </c>
      <c r="C7942" t="s">
        <v>90</v>
      </c>
      <c r="D7942" t="s">
        <v>184</v>
      </c>
      <c r="E7942" t="s">
        <v>9</v>
      </c>
      <c r="F7942">
        <v>0.84630757570266724</v>
      </c>
    </row>
    <row r="7943" spans="2:6">
      <c r="B7943">
        <v>2011</v>
      </c>
      <c r="C7943" t="s">
        <v>90</v>
      </c>
      <c r="D7943" t="s">
        <v>184</v>
      </c>
      <c r="E7943" t="s">
        <v>10</v>
      </c>
      <c r="F7943">
        <v>56.060001373291016</v>
      </c>
    </row>
    <row r="7944" spans="2:6">
      <c r="B7944">
        <v>2011</v>
      </c>
      <c r="C7944" t="s">
        <v>90</v>
      </c>
      <c r="D7944" t="s">
        <v>184</v>
      </c>
      <c r="E7944" t="s">
        <v>11</v>
      </c>
      <c r="F7944">
        <v>0.70865917205810547</v>
      </c>
    </row>
    <row r="7945" spans="2:6">
      <c r="B7945">
        <v>2011</v>
      </c>
      <c r="C7945" t="s">
        <v>90</v>
      </c>
      <c r="D7945" t="s">
        <v>184</v>
      </c>
      <c r="E7945" t="s">
        <v>12</v>
      </c>
      <c r="F7945">
        <v>2.1800139918923378E-2</v>
      </c>
    </row>
    <row r="7946" spans="2:6">
      <c r="B7946">
        <v>2011</v>
      </c>
      <c r="C7946" t="s">
        <v>90</v>
      </c>
      <c r="D7946" t="s">
        <v>184</v>
      </c>
      <c r="E7946" t="s">
        <v>13</v>
      </c>
      <c r="F7946">
        <v>0.92266416549682617</v>
      </c>
    </row>
    <row r="7947" spans="2:6">
      <c r="B7947">
        <v>2011</v>
      </c>
      <c r="C7947" t="s">
        <v>90</v>
      </c>
      <c r="D7947" t="s">
        <v>184</v>
      </c>
      <c r="E7947" t="s">
        <v>14</v>
      </c>
      <c r="F7947">
        <v>0.76037168502807617</v>
      </c>
    </row>
    <row r="7948" spans="2:6">
      <c r="B7948">
        <v>2011</v>
      </c>
      <c r="C7948" t="s">
        <v>90</v>
      </c>
      <c r="D7948" t="s">
        <v>184</v>
      </c>
      <c r="E7948" t="s">
        <v>15</v>
      </c>
      <c r="F7948">
        <v>0.22797249257564545</v>
      </c>
    </row>
    <row r="7949" spans="2:6">
      <c r="B7949">
        <v>2012</v>
      </c>
      <c r="C7949" t="s">
        <v>90</v>
      </c>
      <c r="D7949" t="s">
        <v>184</v>
      </c>
      <c r="E7949" t="s">
        <v>7</v>
      </c>
      <c r="F7949">
        <v>4.547335147857666</v>
      </c>
    </row>
    <row r="7950" spans="2:6">
      <c r="B7950">
        <v>2012</v>
      </c>
      <c r="C7950" t="s">
        <v>90</v>
      </c>
      <c r="D7950" t="s">
        <v>184</v>
      </c>
      <c r="E7950" t="s">
        <v>8</v>
      </c>
      <c r="F7950">
        <v>8.1610307693481445</v>
      </c>
    </row>
    <row r="7951" spans="2:6">
      <c r="B7951">
        <v>2012</v>
      </c>
      <c r="C7951" t="s">
        <v>90</v>
      </c>
      <c r="D7951" t="s">
        <v>184</v>
      </c>
      <c r="E7951" t="s">
        <v>9</v>
      </c>
      <c r="F7951">
        <v>0.83141010999679565</v>
      </c>
    </row>
    <row r="7952" spans="2:6">
      <c r="B7952">
        <v>2012</v>
      </c>
      <c r="C7952" t="s">
        <v>90</v>
      </c>
      <c r="D7952" t="s">
        <v>184</v>
      </c>
      <c r="E7952" t="s">
        <v>10</v>
      </c>
      <c r="F7952">
        <v>56.619998931884766</v>
      </c>
    </row>
    <row r="7953" spans="2:6">
      <c r="B7953">
        <v>2012</v>
      </c>
      <c r="C7953" t="s">
        <v>90</v>
      </c>
      <c r="D7953" t="s">
        <v>184</v>
      </c>
      <c r="E7953" t="s">
        <v>11</v>
      </c>
      <c r="F7953">
        <v>0.62765419483184814</v>
      </c>
    </row>
    <row r="7954" spans="2:6">
      <c r="B7954">
        <v>2012</v>
      </c>
      <c r="C7954" t="s">
        <v>90</v>
      </c>
      <c r="D7954" t="s">
        <v>184</v>
      </c>
      <c r="E7954" t="s">
        <v>12</v>
      </c>
      <c r="F7954">
        <v>6.5733142197132111E-2</v>
      </c>
    </row>
    <row r="7955" spans="2:6">
      <c r="B7955">
        <v>2012</v>
      </c>
      <c r="C7955" t="s">
        <v>90</v>
      </c>
      <c r="D7955" t="s">
        <v>184</v>
      </c>
      <c r="E7955" t="s">
        <v>13</v>
      </c>
      <c r="F7955">
        <v>0.91127306222915649</v>
      </c>
    </row>
    <row r="7956" spans="2:6">
      <c r="B7956">
        <v>2012</v>
      </c>
      <c r="C7956" t="s">
        <v>90</v>
      </c>
      <c r="D7956" t="s">
        <v>184</v>
      </c>
      <c r="E7956" t="s">
        <v>14</v>
      </c>
      <c r="F7956">
        <v>0.70696395635604858</v>
      </c>
    </row>
    <row r="7957" spans="2:6">
      <c r="B7957">
        <v>2012</v>
      </c>
      <c r="C7957" t="s">
        <v>90</v>
      </c>
      <c r="D7957" t="s">
        <v>184</v>
      </c>
      <c r="E7957" t="s">
        <v>15</v>
      </c>
      <c r="F7957">
        <v>0.19417724013328552</v>
      </c>
    </row>
    <row r="7958" spans="2:6">
      <c r="B7958">
        <v>2013</v>
      </c>
      <c r="C7958" t="s">
        <v>90</v>
      </c>
      <c r="D7958" t="s">
        <v>184</v>
      </c>
      <c r="E7958" t="s">
        <v>7</v>
      </c>
      <c r="F7958">
        <v>3.7953832149505615</v>
      </c>
    </row>
    <row r="7959" spans="2:6">
      <c r="B7959">
        <v>2013</v>
      </c>
      <c r="C7959" t="s">
        <v>90</v>
      </c>
      <c r="D7959" t="s">
        <v>184</v>
      </c>
      <c r="E7959" t="s">
        <v>8</v>
      </c>
      <c r="F7959">
        <v>8.1919689178466797</v>
      </c>
    </row>
    <row r="7960" spans="2:6">
      <c r="B7960">
        <v>2013</v>
      </c>
      <c r="C7960" t="s">
        <v>90</v>
      </c>
      <c r="D7960" t="s">
        <v>184</v>
      </c>
      <c r="E7960" t="s">
        <v>9</v>
      </c>
      <c r="F7960">
        <v>0.82480603456497192</v>
      </c>
    </row>
    <row r="7961" spans="2:6">
      <c r="B7961">
        <v>2013</v>
      </c>
      <c r="C7961" t="s">
        <v>90</v>
      </c>
      <c r="D7961" t="s">
        <v>184</v>
      </c>
      <c r="E7961" t="s">
        <v>10</v>
      </c>
      <c r="F7961">
        <v>57.180000305175781</v>
      </c>
    </row>
    <row r="7962" spans="2:6">
      <c r="B7962">
        <v>2013</v>
      </c>
      <c r="C7962" t="s">
        <v>90</v>
      </c>
      <c r="D7962" t="s">
        <v>184</v>
      </c>
      <c r="E7962" t="s">
        <v>11</v>
      </c>
      <c r="F7962">
        <v>0.70833224058151245</v>
      </c>
    </row>
    <row r="7963" spans="2:6">
      <c r="B7963">
        <v>2013</v>
      </c>
      <c r="C7963" t="s">
        <v>90</v>
      </c>
      <c r="D7963" t="s">
        <v>184</v>
      </c>
      <c r="E7963" t="s">
        <v>12</v>
      </c>
      <c r="F7963">
        <v>0.21237975358963013</v>
      </c>
    </row>
    <row r="7964" spans="2:6">
      <c r="B7964">
        <v>2013</v>
      </c>
      <c r="C7964" t="s">
        <v>90</v>
      </c>
      <c r="D7964" t="s">
        <v>184</v>
      </c>
      <c r="E7964" t="s">
        <v>13</v>
      </c>
      <c r="F7964">
        <v>0.86100339889526367</v>
      </c>
    </row>
    <row r="7965" spans="2:6">
      <c r="B7965">
        <v>2013</v>
      </c>
      <c r="C7965" t="s">
        <v>90</v>
      </c>
      <c r="D7965" t="s">
        <v>184</v>
      </c>
      <c r="E7965" t="s">
        <v>14</v>
      </c>
      <c r="F7965">
        <v>0.76504296064376831</v>
      </c>
    </row>
    <row r="7966" spans="2:6">
      <c r="B7966">
        <v>2013</v>
      </c>
      <c r="C7966" t="s">
        <v>90</v>
      </c>
      <c r="D7966" t="s">
        <v>184</v>
      </c>
      <c r="E7966" t="s">
        <v>15</v>
      </c>
      <c r="F7966">
        <v>0.16133131086826324</v>
      </c>
    </row>
    <row r="7967" spans="2:6">
      <c r="B7967">
        <v>2014</v>
      </c>
      <c r="C7967" t="s">
        <v>90</v>
      </c>
      <c r="D7967" t="s">
        <v>184</v>
      </c>
      <c r="E7967" t="s">
        <v>7</v>
      </c>
      <c r="F7967">
        <v>4.9045796394348145</v>
      </c>
    </row>
    <row r="7968" spans="2:6">
      <c r="B7968">
        <v>2014</v>
      </c>
      <c r="C7968" t="s">
        <v>90</v>
      </c>
      <c r="D7968" t="s">
        <v>184</v>
      </c>
      <c r="E7968" t="s">
        <v>8</v>
      </c>
      <c r="F7968">
        <v>8.2185602188110352</v>
      </c>
    </row>
    <row r="7969" spans="2:6">
      <c r="B7969">
        <v>2014</v>
      </c>
      <c r="C7969" t="s">
        <v>90</v>
      </c>
      <c r="D7969" t="s">
        <v>184</v>
      </c>
      <c r="E7969" t="s">
        <v>9</v>
      </c>
      <c r="F7969">
        <v>0.76543641090393066</v>
      </c>
    </row>
    <row r="7970" spans="2:6">
      <c r="B7970">
        <v>2014</v>
      </c>
      <c r="C7970" t="s">
        <v>90</v>
      </c>
      <c r="D7970" t="s">
        <v>184</v>
      </c>
      <c r="E7970" t="s">
        <v>10</v>
      </c>
      <c r="F7970">
        <v>57.740001678466797</v>
      </c>
    </row>
    <row r="7971" spans="2:6">
      <c r="B7971">
        <v>2014</v>
      </c>
      <c r="C7971" t="s">
        <v>90</v>
      </c>
      <c r="D7971" t="s">
        <v>184</v>
      </c>
      <c r="E7971" t="s">
        <v>11</v>
      </c>
      <c r="F7971">
        <v>0.81901854276657104</v>
      </c>
    </row>
    <row r="7972" spans="2:6">
      <c r="B7972">
        <v>2014</v>
      </c>
      <c r="C7972" t="s">
        <v>90</v>
      </c>
      <c r="D7972" t="s">
        <v>184</v>
      </c>
      <c r="E7972" t="s">
        <v>12</v>
      </c>
      <c r="F7972">
        <v>0.17223338782787323</v>
      </c>
    </row>
    <row r="7973" spans="2:6">
      <c r="B7973">
        <v>2014</v>
      </c>
      <c r="C7973" t="s">
        <v>90</v>
      </c>
      <c r="D7973" t="s">
        <v>184</v>
      </c>
      <c r="E7973" t="s">
        <v>13</v>
      </c>
      <c r="F7973">
        <v>0.8491942286491394</v>
      </c>
    </row>
    <row r="7974" spans="2:6">
      <c r="B7974">
        <v>2014</v>
      </c>
      <c r="C7974" t="s">
        <v>90</v>
      </c>
      <c r="D7974" t="s">
        <v>184</v>
      </c>
      <c r="E7974" t="s">
        <v>14</v>
      </c>
      <c r="F7974">
        <v>0.81443554162979126</v>
      </c>
    </row>
    <row r="7975" spans="2:6">
      <c r="B7975">
        <v>2014</v>
      </c>
      <c r="C7975" t="s">
        <v>90</v>
      </c>
      <c r="D7975" t="s">
        <v>184</v>
      </c>
      <c r="E7975" t="s">
        <v>15</v>
      </c>
      <c r="F7975">
        <v>0.2210967093706131</v>
      </c>
    </row>
    <row r="7976" spans="2:6">
      <c r="B7976">
        <v>2015</v>
      </c>
      <c r="C7976" t="s">
        <v>90</v>
      </c>
      <c r="D7976" t="s">
        <v>184</v>
      </c>
      <c r="E7976" t="s">
        <v>7</v>
      </c>
      <c r="F7976">
        <v>4.3576178550720215</v>
      </c>
    </row>
    <row r="7977" spans="2:6">
      <c r="B7977">
        <v>2015</v>
      </c>
      <c r="C7977" t="s">
        <v>90</v>
      </c>
      <c r="D7977" t="s">
        <v>184</v>
      </c>
      <c r="E7977" t="s">
        <v>8</v>
      </c>
      <c r="F7977">
        <v>8.2492504119873047</v>
      </c>
    </row>
    <row r="7978" spans="2:6">
      <c r="B7978">
        <v>2015</v>
      </c>
      <c r="C7978" t="s">
        <v>90</v>
      </c>
      <c r="D7978" t="s">
        <v>184</v>
      </c>
      <c r="E7978" t="s">
        <v>9</v>
      </c>
      <c r="F7978">
        <v>0.77692306041717529</v>
      </c>
    </row>
    <row r="7979" spans="2:6">
      <c r="B7979">
        <v>2015</v>
      </c>
      <c r="C7979" t="s">
        <v>90</v>
      </c>
      <c r="D7979" t="s">
        <v>184</v>
      </c>
      <c r="E7979" t="s">
        <v>10</v>
      </c>
      <c r="F7979">
        <v>58.299999237060547</v>
      </c>
    </row>
    <row r="7980" spans="2:6">
      <c r="B7980">
        <v>2015</v>
      </c>
      <c r="C7980" t="s">
        <v>90</v>
      </c>
      <c r="D7980" t="s">
        <v>184</v>
      </c>
      <c r="E7980" t="s">
        <v>11</v>
      </c>
      <c r="F7980">
        <v>0.79299032688140869</v>
      </c>
    </row>
    <row r="7981" spans="2:6">
      <c r="B7981">
        <v>2015</v>
      </c>
      <c r="C7981" t="s">
        <v>90</v>
      </c>
      <c r="D7981" t="s">
        <v>184</v>
      </c>
      <c r="E7981" t="s">
        <v>12</v>
      </c>
      <c r="F7981">
        <v>0.22065275907516479</v>
      </c>
    </row>
    <row r="7982" spans="2:6">
      <c r="B7982">
        <v>2015</v>
      </c>
      <c r="C7982" t="s">
        <v>90</v>
      </c>
      <c r="D7982" t="s">
        <v>184</v>
      </c>
      <c r="E7982" t="s">
        <v>13</v>
      </c>
      <c r="F7982">
        <v>0.85254985094070435</v>
      </c>
    </row>
    <row r="7983" spans="2:6">
      <c r="B7983">
        <v>2015</v>
      </c>
      <c r="C7983" t="s">
        <v>90</v>
      </c>
      <c r="D7983" t="s">
        <v>184</v>
      </c>
      <c r="E7983" t="s">
        <v>14</v>
      </c>
      <c r="F7983">
        <v>0.70225661993026733</v>
      </c>
    </row>
    <row r="7984" spans="2:6">
      <c r="B7984">
        <v>2015</v>
      </c>
      <c r="C7984" t="s">
        <v>90</v>
      </c>
      <c r="D7984" t="s">
        <v>184</v>
      </c>
      <c r="E7984" t="s">
        <v>15</v>
      </c>
      <c r="F7984">
        <v>0.17242211103439331</v>
      </c>
    </row>
    <row r="7985" spans="2:6">
      <c r="B7985">
        <v>2016</v>
      </c>
      <c r="C7985" t="s">
        <v>90</v>
      </c>
      <c r="D7985" t="s">
        <v>184</v>
      </c>
      <c r="E7985" t="s">
        <v>7</v>
      </c>
      <c r="F7985">
        <v>4.3961277008056641</v>
      </c>
    </row>
    <row r="7986" spans="2:6">
      <c r="B7986">
        <v>2016</v>
      </c>
      <c r="C7986" t="s">
        <v>90</v>
      </c>
      <c r="D7986" t="s">
        <v>184</v>
      </c>
      <c r="E7986" t="s">
        <v>8</v>
      </c>
      <c r="F7986">
        <v>8.28216552734375</v>
      </c>
    </row>
    <row r="7987" spans="2:6">
      <c r="B7987">
        <v>2016</v>
      </c>
      <c r="C7987" t="s">
        <v>90</v>
      </c>
      <c r="D7987" t="s">
        <v>184</v>
      </c>
      <c r="E7987" t="s">
        <v>9</v>
      </c>
      <c r="F7987">
        <v>0.70592159032821655</v>
      </c>
    </row>
    <row r="7988" spans="2:6">
      <c r="B7988">
        <v>2016</v>
      </c>
      <c r="C7988" t="s">
        <v>90</v>
      </c>
      <c r="D7988" t="s">
        <v>184</v>
      </c>
      <c r="E7988" t="s">
        <v>10</v>
      </c>
      <c r="F7988">
        <v>58.900001525878906</v>
      </c>
    </row>
    <row r="7989" spans="2:6">
      <c r="B7989">
        <v>2016</v>
      </c>
      <c r="C7989" t="s">
        <v>90</v>
      </c>
      <c r="D7989" t="s">
        <v>184</v>
      </c>
      <c r="E7989" t="s">
        <v>11</v>
      </c>
      <c r="F7989">
        <v>0.7485082745552063</v>
      </c>
    </row>
    <row r="7990" spans="2:6">
      <c r="B7990">
        <v>2016</v>
      </c>
      <c r="C7990" t="s">
        <v>90</v>
      </c>
      <c r="D7990" t="s">
        <v>184</v>
      </c>
      <c r="E7990" t="s">
        <v>12</v>
      </c>
      <c r="F7990">
        <v>0.2983267605304718</v>
      </c>
    </row>
    <row r="7991" spans="2:6">
      <c r="B7991">
        <v>2016</v>
      </c>
      <c r="C7991" t="s">
        <v>90</v>
      </c>
      <c r="D7991" t="s">
        <v>184</v>
      </c>
      <c r="E7991" t="s">
        <v>13</v>
      </c>
      <c r="F7991">
        <v>0.82841157913208008</v>
      </c>
    </row>
    <row r="7992" spans="2:6">
      <c r="B7992">
        <v>2016</v>
      </c>
      <c r="C7992" t="s">
        <v>90</v>
      </c>
      <c r="D7992" t="s">
        <v>184</v>
      </c>
      <c r="E7992" t="s">
        <v>14</v>
      </c>
      <c r="F7992">
        <v>0.74276232719421387</v>
      </c>
    </row>
    <row r="7993" spans="2:6">
      <c r="B7993">
        <v>2016</v>
      </c>
      <c r="C7993" t="s">
        <v>90</v>
      </c>
      <c r="D7993" t="s">
        <v>184</v>
      </c>
      <c r="E7993" t="s">
        <v>15</v>
      </c>
      <c r="F7993">
        <v>0.22564765810966492</v>
      </c>
    </row>
    <row r="7994" spans="2:6">
      <c r="B7994">
        <v>2017</v>
      </c>
      <c r="C7994" t="s">
        <v>90</v>
      </c>
      <c r="D7994" t="s">
        <v>184</v>
      </c>
      <c r="E7994" t="s">
        <v>7</v>
      </c>
      <c r="F7994">
        <v>4.475654125213623</v>
      </c>
    </row>
    <row r="7995" spans="2:6">
      <c r="B7995">
        <v>2017</v>
      </c>
      <c r="C7995" t="s">
        <v>90</v>
      </c>
      <c r="D7995" t="s">
        <v>184</v>
      </c>
      <c r="E7995" t="s">
        <v>8</v>
      </c>
      <c r="F7995">
        <v>8.3055353164672852</v>
      </c>
    </row>
    <row r="7996" spans="2:6">
      <c r="B7996">
        <v>2017</v>
      </c>
      <c r="C7996" t="s">
        <v>90</v>
      </c>
      <c r="D7996" t="s">
        <v>184</v>
      </c>
      <c r="E7996" t="s">
        <v>9</v>
      </c>
      <c r="F7996">
        <v>0.71460431814193726</v>
      </c>
    </row>
    <row r="7997" spans="2:6">
      <c r="B7997">
        <v>2017</v>
      </c>
      <c r="C7997" t="s">
        <v>90</v>
      </c>
      <c r="D7997" t="s">
        <v>184</v>
      </c>
      <c r="E7997" t="s">
        <v>10</v>
      </c>
      <c r="F7997">
        <v>59.5</v>
      </c>
    </row>
    <row r="7998" spans="2:6">
      <c r="B7998">
        <v>2017</v>
      </c>
      <c r="C7998" t="s">
        <v>90</v>
      </c>
      <c r="D7998" t="s">
        <v>184</v>
      </c>
      <c r="E7998" t="s">
        <v>11</v>
      </c>
      <c r="F7998">
        <v>0.85339438915252686</v>
      </c>
    </row>
    <row r="7999" spans="2:6">
      <c r="B7999">
        <v>2017</v>
      </c>
      <c r="C7999" t="s">
        <v>90</v>
      </c>
      <c r="D7999" t="s">
        <v>184</v>
      </c>
      <c r="E7999" t="s">
        <v>12</v>
      </c>
      <c r="F7999">
        <v>0.23442207276821136</v>
      </c>
    </row>
    <row r="8000" spans="2:6">
      <c r="B8000">
        <v>2017</v>
      </c>
      <c r="C8000" t="s">
        <v>90</v>
      </c>
      <c r="D8000" t="s">
        <v>184</v>
      </c>
      <c r="E8000" t="s">
        <v>13</v>
      </c>
      <c r="F8000">
        <v>0.85400038957595825</v>
      </c>
    </row>
    <row r="8001" spans="2:6">
      <c r="B8001">
        <v>2017</v>
      </c>
      <c r="C8001" t="s">
        <v>90</v>
      </c>
      <c r="D8001" t="s">
        <v>184</v>
      </c>
      <c r="E8001" t="s">
        <v>14</v>
      </c>
      <c r="F8001">
        <v>0.78845220804214478</v>
      </c>
    </row>
    <row r="8002" spans="2:6">
      <c r="B8002">
        <v>2017</v>
      </c>
      <c r="C8002" t="s">
        <v>90</v>
      </c>
      <c r="D8002" t="s">
        <v>184</v>
      </c>
      <c r="E8002" t="s">
        <v>15</v>
      </c>
      <c r="F8002">
        <v>0.23021030426025391</v>
      </c>
    </row>
    <row r="8003" spans="2:6">
      <c r="B8003">
        <v>2018</v>
      </c>
      <c r="C8003" t="s">
        <v>90</v>
      </c>
      <c r="D8003" t="s">
        <v>184</v>
      </c>
      <c r="E8003" t="s">
        <v>7</v>
      </c>
      <c r="F8003">
        <v>4.6557025909423828</v>
      </c>
    </row>
    <row r="8004" spans="2:6">
      <c r="B8004">
        <v>2018</v>
      </c>
      <c r="C8004" t="s">
        <v>90</v>
      </c>
      <c r="D8004" t="s">
        <v>184</v>
      </c>
      <c r="E8004" t="s">
        <v>8</v>
      </c>
      <c r="F8004">
        <v>8.3437442779541016</v>
      </c>
    </row>
    <row r="8005" spans="2:6">
      <c r="B8005">
        <v>2018</v>
      </c>
      <c r="C8005" t="s">
        <v>90</v>
      </c>
      <c r="D8005" t="s">
        <v>184</v>
      </c>
      <c r="E8005" t="s">
        <v>9</v>
      </c>
      <c r="F8005">
        <v>0.70671987533569336</v>
      </c>
    </row>
    <row r="8006" spans="2:6">
      <c r="B8006">
        <v>2018</v>
      </c>
      <c r="C8006" t="s">
        <v>90</v>
      </c>
      <c r="D8006" t="s">
        <v>184</v>
      </c>
      <c r="E8006" t="s">
        <v>10</v>
      </c>
      <c r="F8006">
        <v>60.099998474121094</v>
      </c>
    </row>
    <row r="8007" spans="2:6">
      <c r="B8007">
        <v>2018</v>
      </c>
      <c r="C8007" t="s">
        <v>90</v>
      </c>
      <c r="D8007" t="s">
        <v>184</v>
      </c>
      <c r="E8007" t="s">
        <v>11</v>
      </c>
      <c r="F8007">
        <v>0.82141298055648804</v>
      </c>
    </row>
    <row r="8008" spans="2:6">
      <c r="B8008">
        <v>2018</v>
      </c>
      <c r="C8008" t="s">
        <v>90</v>
      </c>
      <c r="D8008" t="s">
        <v>184</v>
      </c>
      <c r="E8008" t="s">
        <v>12</v>
      </c>
      <c r="F8008">
        <v>0.29124689102172852</v>
      </c>
    </row>
    <row r="8009" spans="2:6">
      <c r="B8009">
        <v>2018</v>
      </c>
      <c r="C8009" t="s">
        <v>90</v>
      </c>
      <c r="D8009" t="s">
        <v>184</v>
      </c>
      <c r="E8009" t="s">
        <v>13</v>
      </c>
      <c r="F8009">
        <v>0.84424406290054321</v>
      </c>
    </row>
    <row r="8010" spans="2:6">
      <c r="B8010">
        <v>2018</v>
      </c>
      <c r="C8010" t="s">
        <v>90</v>
      </c>
      <c r="D8010" t="s">
        <v>184</v>
      </c>
      <c r="E8010" t="s">
        <v>14</v>
      </c>
      <c r="F8010">
        <v>0.75910288095474243</v>
      </c>
    </row>
    <row r="8011" spans="2:6">
      <c r="B8011">
        <v>2018</v>
      </c>
      <c r="C8011" t="s">
        <v>90</v>
      </c>
      <c r="D8011" t="s">
        <v>184</v>
      </c>
      <c r="E8011" t="s">
        <v>15</v>
      </c>
      <c r="F8011">
        <v>0.23692077398300171</v>
      </c>
    </row>
    <row r="8012" spans="2:6">
      <c r="B8012">
        <v>2019</v>
      </c>
      <c r="C8012" t="s">
        <v>90</v>
      </c>
      <c r="D8012" t="s">
        <v>184</v>
      </c>
      <c r="E8012" t="s">
        <v>7</v>
      </c>
      <c r="F8012">
        <v>4.6188502311706543</v>
      </c>
    </row>
    <row r="8013" spans="2:6">
      <c r="B8013">
        <v>2019</v>
      </c>
      <c r="C8013" t="s">
        <v>90</v>
      </c>
      <c r="D8013" t="s">
        <v>184</v>
      </c>
      <c r="E8013" t="s">
        <v>8</v>
      </c>
      <c r="F8013">
        <v>8.3732929229736328</v>
      </c>
    </row>
    <row r="8014" spans="2:6">
      <c r="B8014">
        <v>2019</v>
      </c>
      <c r="C8014" t="s">
        <v>90</v>
      </c>
      <c r="D8014" t="s">
        <v>184</v>
      </c>
      <c r="E8014" t="s">
        <v>9</v>
      </c>
      <c r="F8014">
        <v>0.67593163251876831</v>
      </c>
    </row>
    <row r="8015" spans="2:6">
      <c r="B8015">
        <v>2019</v>
      </c>
      <c r="C8015" t="s">
        <v>90</v>
      </c>
      <c r="D8015" t="s">
        <v>184</v>
      </c>
      <c r="E8015" t="s">
        <v>10</v>
      </c>
      <c r="F8015">
        <v>60.700000762939453</v>
      </c>
    </row>
    <row r="8016" spans="2:6">
      <c r="B8016">
        <v>2019</v>
      </c>
      <c r="C8016" t="s">
        <v>90</v>
      </c>
      <c r="D8016" t="s">
        <v>184</v>
      </c>
      <c r="E8016" t="s">
        <v>11</v>
      </c>
      <c r="F8016">
        <v>0.81775748729705811</v>
      </c>
    </row>
    <row r="8017" spans="2:6">
      <c r="B8017">
        <v>2019</v>
      </c>
      <c r="C8017" t="s">
        <v>90</v>
      </c>
      <c r="D8017" t="s">
        <v>184</v>
      </c>
      <c r="E8017" t="s">
        <v>12</v>
      </c>
      <c r="F8017">
        <v>0.31006535887718201</v>
      </c>
    </row>
    <row r="8018" spans="2:6">
      <c r="B8018">
        <v>2019</v>
      </c>
      <c r="C8018" t="s">
        <v>90</v>
      </c>
      <c r="D8018" t="s">
        <v>184</v>
      </c>
      <c r="E8018" t="s">
        <v>13</v>
      </c>
      <c r="F8018">
        <v>0.79437029361724854</v>
      </c>
    </row>
    <row r="8019" spans="2:6">
      <c r="B8019">
        <v>2019</v>
      </c>
      <c r="C8019" t="s">
        <v>90</v>
      </c>
      <c r="D8019" t="s">
        <v>184</v>
      </c>
      <c r="E8019" t="s">
        <v>14</v>
      </c>
      <c r="F8019">
        <v>0.75143855810165405</v>
      </c>
    </row>
    <row r="8020" spans="2:6">
      <c r="B8020">
        <v>2019</v>
      </c>
      <c r="C8020" t="s">
        <v>90</v>
      </c>
      <c r="D8020" t="s">
        <v>184</v>
      </c>
      <c r="E8020" t="s">
        <v>15</v>
      </c>
      <c r="F8020">
        <v>0.2506871223449707</v>
      </c>
    </row>
    <row r="8021" spans="2:6">
      <c r="B8021">
        <v>2020</v>
      </c>
      <c r="C8021" t="s">
        <v>90</v>
      </c>
      <c r="D8021" t="s">
        <v>184</v>
      </c>
      <c r="E8021" t="s">
        <v>7</v>
      </c>
      <c r="F8021">
        <v>4.5465841293334961</v>
      </c>
    </row>
    <row r="8022" spans="2:6">
      <c r="B8022">
        <v>2020</v>
      </c>
      <c r="C8022" t="s">
        <v>90</v>
      </c>
      <c r="D8022" t="s">
        <v>184</v>
      </c>
      <c r="E8022" t="s">
        <v>8</v>
      </c>
      <c r="F8022">
        <v>8.3652820587158203</v>
      </c>
    </row>
    <row r="8023" spans="2:6">
      <c r="B8023">
        <v>2020</v>
      </c>
      <c r="C8023" t="s">
        <v>90</v>
      </c>
      <c r="D8023" t="s">
        <v>184</v>
      </c>
      <c r="E8023" t="s">
        <v>9</v>
      </c>
      <c r="F8023">
        <v>0.67371761798858643</v>
      </c>
    </row>
    <row r="8024" spans="2:6">
      <c r="B8024">
        <v>2020</v>
      </c>
      <c r="C8024" t="s">
        <v>90</v>
      </c>
      <c r="D8024" t="s">
        <v>184</v>
      </c>
      <c r="E8024" t="s">
        <v>10</v>
      </c>
      <c r="F8024">
        <v>61.299999237060547</v>
      </c>
    </row>
    <row r="8025" spans="2:6">
      <c r="B8025">
        <v>2020</v>
      </c>
      <c r="C8025" t="s">
        <v>90</v>
      </c>
      <c r="D8025" t="s">
        <v>184</v>
      </c>
      <c r="E8025" t="s">
        <v>11</v>
      </c>
      <c r="F8025">
        <v>0.70203447341918945</v>
      </c>
    </row>
    <row r="8026" spans="2:6">
      <c r="B8026">
        <v>2020</v>
      </c>
      <c r="C8026" t="s">
        <v>90</v>
      </c>
      <c r="D8026" t="s">
        <v>184</v>
      </c>
      <c r="E8026" t="s">
        <v>12</v>
      </c>
      <c r="F8026">
        <v>0.25996959209442139</v>
      </c>
    </row>
    <row r="8027" spans="2:6">
      <c r="B8027">
        <v>2020</v>
      </c>
      <c r="C8027" t="s">
        <v>90</v>
      </c>
      <c r="D8027" t="s">
        <v>184</v>
      </c>
      <c r="E8027" t="s">
        <v>13</v>
      </c>
      <c r="F8027">
        <v>0.83651602268218994</v>
      </c>
    </row>
    <row r="8028" spans="2:6">
      <c r="B8028">
        <v>2020</v>
      </c>
      <c r="C8028" t="s">
        <v>90</v>
      </c>
      <c r="D8028" t="s">
        <v>184</v>
      </c>
      <c r="E8028" t="s">
        <v>14</v>
      </c>
      <c r="F8028">
        <v>0.73343485593795776</v>
      </c>
    </row>
    <row r="8029" spans="2:6">
      <c r="B8029">
        <v>2020</v>
      </c>
      <c r="C8029" t="s">
        <v>90</v>
      </c>
      <c r="D8029" t="s">
        <v>184</v>
      </c>
      <c r="E8029" t="s">
        <v>15</v>
      </c>
      <c r="F8029">
        <v>0.29698041081428528</v>
      </c>
    </row>
    <row r="8030" spans="2:6">
      <c r="B8030">
        <v>2007</v>
      </c>
      <c r="C8030" t="s">
        <v>91</v>
      </c>
      <c r="D8030" t="s">
        <v>183</v>
      </c>
      <c r="E8030" t="s">
        <v>7</v>
      </c>
      <c r="F8030">
        <v>5.1039061546325684</v>
      </c>
    </row>
    <row r="8031" spans="2:6">
      <c r="B8031">
        <v>2007</v>
      </c>
      <c r="C8031" t="s">
        <v>91</v>
      </c>
      <c r="D8031" t="s">
        <v>183</v>
      </c>
      <c r="E8031" t="s">
        <v>8</v>
      </c>
      <c r="F8031">
        <v>8.9277534484863281</v>
      </c>
    </row>
    <row r="8032" spans="2:6">
      <c r="B8032">
        <v>2007</v>
      </c>
      <c r="C8032" t="s">
        <v>91</v>
      </c>
      <c r="D8032" t="s">
        <v>183</v>
      </c>
      <c r="E8032" t="s">
        <v>9</v>
      </c>
      <c r="F8032">
        <v>0.84781169891357422</v>
      </c>
    </row>
    <row r="8033" spans="2:6">
      <c r="B8033">
        <v>2007</v>
      </c>
      <c r="C8033" t="s">
        <v>91</v>
      </c>
      <c r="D8033" t="s">
        <v>183</v>
      </c>
      <c r="E8033" t="s">
        <v>11</v>
      </c>
      <c r="F8033">
        <v>0.38136383891105652</v>
      </c>
    </row>
    <row r="8034" spans="2:6">
      <c r="B8034">
        <v>2007</v>
      </c>
      <c r="C8034" t="s">
        <v>91</v>
      </c>
      <c r="D8034" t="s">
        <v>183</v>
      </c>
      <c r="E8034" t="s">
        <v>12</v>
      </c>
      <c r="F8034">
        <v>0.14390134811401367</v>
      </c>
    </row>
    <row r="8035" spans="2:6">
      <c r="B8035">
        <v>2007</v>
      </c>
      <c r="C8035" t="s">
        <v>91</v>
      </c>
      <c r="D8035" t="s">
        <v>183</v>
      </c>
      <c r="E8035" t="s">
        <v>13</v>
      </c>
      <c r="F8035">
        <v>0.8944622278213501</v>
      </c>
    </row>
    <row r="8036" spans="2:6">
      <c r="B8036">
        <v>2007</v>
      </c>
      <c r="C8036" t="s">
        <v>91</v>
      </c>
      <c r="D8036" t="s">
        <v>183</v>
      </c>
      <c r="E8036" t="s">
        <v>14</v>
      </c>
      <c r="F8036">
        <v>0.65486586093902588</v>
      </c>
    </row>
    <row r="8037" spans="2:6">
      <c r="B8037">
        <v>2007</v>
      </c>
      <c r="C8037" t="s">
        <v>91</v>
      </c>
      <c r="D8037" t="s">
        <v>183</v>
      </c>
      <c r="E8037" t="s">
        <v>15</v>
      </c>
      <c r="F8037">
        <v>0.23669947683811188</v>
      </c>
    </row>
    <row r="8038" spans="2:6">
      <c r="B8038">
        <v>2008</v>
      </c>
      <c r="C8038" t="s">
        <v>91</v>
      </c>
      <c r="D8038" t="s">
        <v>183</v>
      </c>
      <c r="E8038" t="s">
        <v>7</v>
      </c>
      <c r="F8038">
        <v>5.5216598510742188</v>
      </c>
    </row>
    <row r="8039" spans="2:6">
      <c r="B8039">
        <v>2008</v>
      </c>
      <c r="C8039" t="s">
        <v>91</v>
      </c>
      <c r="D8039" t="s">
        <v>183</v>
      </c>
      <c r="E8039" t="s">
        <v>8</v>
      </c>
      <c r="F8039">
        <v>8.9808721542358398</v>
      </c>
    </row>
    <row r="8040" spans="2:6">
      <c r="B8040">
        <v>2008</v>
      </c>
      <c r="C8040" t="s">
        <v>91</v>
      </c>
      <c r="D8040" t="s">
        <v>183</v>
      </c>
      <c r="E8040" t="s">
        <v>9</v>
      </c>
      <c r="F8040">
        <v>0.88384264707565308</v>
      </c>
    </row>
    <row r="8041" spans="2:6">
      <c r="B8041">
        <v>2008</v>
      </c>
      <c r="C8041" t="s">
        <v>91</v>
      </c>
      <c r="D8041" t="s">
        <v>183</v>
      </c>
      <c r="E8041" t="s">
        <v>12</v>
      </c>
      <c r="F8041">
        <v>9.0464428067207336E-2</v>
      </c>
    </row>
    <row r="8042" spans="2:6">
      <c r="B8042">
        <v>2008</v>
      </c>
      <c r="C8042" t="s">
        <v>91</v>
      </c>
      <c r="D8042" t="s">
        <v>183</v>
      </c>
      <c r="E8042" t="s">
        <v>13</v>
      </c>
      <c r="F8042">
        <v>0.84905916452407837</v>
      </c>
    </row>
    <row r="8043" spans="2:6">
      <c r="B8043">
        <v>2008</v>
      </c>
      <c r="C8043" t="s">
        <v>91</v>
      </c>
      <c r="D8043" t="s">
        <v>183</v>
      </c>
      <c r="E8043" t="s">
        <v>15</v>
      </c>
      <c r="F8043">
        <v>0.31782779097557068</v>
      </c>
    </row>
    <row r="8044" spans="2:6">
      <c r="B8044">
        <v>2009</v>
      </c>
      <c r="C8044" t="s">
        <v>91</v>
      </c>
      <c r="D8044" t="s">
        <v>183</v>
      </c>
      <c r="E8044" t="s">
        <v>7</v>
      </c>
      <c r="F8044">
        <v>5.8914327621459961</v>
      </c>
    </row>
    <row r="8045" spans="2:6">
      <c r="B8045">
        <v>2009</v>
      </c>
      <c r="C8045" t="s">
        <v>91</v>
      </c>
      <c r="D8045" t="s">
        <v>183</v>
      </c>
      <c r="E8045" t="s">
        <v>8</v>
      </c>
      <c r="F8045">
        <v>9.0081624984741211</v>
      </c>
    </row>
    <row r="8046" spans="2:6">
      <c r="B8046">
        <v>2009</v>
      </c>
      <c r="C8046" t="s">
        <v>91</v>
      </c>
      <c r="D8046" t="s">
        <v>183</v>
      </c>
      <c r="E8046" t="s">
        <v>9</v>
      </c>
      <c r="F8046">
        <v>0.83042651414871216</v>
      </c>
    </row>
    <row r="8047" spans="2:6">
      <c r="B8047">
        <v>2009</v>
      </c>
      <c r="C8047" t="s">
        <v>91</v>
      </c>
      <c r="D8047" t="s">
        <v>183</v>
      </c>
      <c r="E8047" t="s">
        <v>11</v>
      </c>
      <c r="F8047">
        <v>0.50641506910324097</v>
      </c>
    </row>
    <row r="8048" spans="2:6">
      <c r="B8048">
        <v>2009</v>
      </c>
      <c r="C8048" t="s">
        <v>91</v>
      </c>
      <c r="D8048" t="s">
        <v>183</v>
      </c>
      <c r="E8048" t="s">
        <v>12</v>
      </c>
      <c r="F8048">
        <v>0.20050404965877533</v>
      </c>
    </row>
    <row r="8049" spans="2:6">
      <c r="B8049">
        <v>2009</v>
      </c>
      <c r="C8049" t="s">
        <v>91</v>
      </c>
      <c r="D8049" t="s">
        <v>183</v>
      </c>
      <c r="E8049" t="s">
        <v>13</v>
      </c>
      <c r="F8049">
        <v>0.9678385853767395</v>
      </c>
    </row>
    <row r="8050" spans="2:6">
      <c r="B8050">
        <v>2009</v>
      </c>
      <c r="C8050" t="s">
        <v>91</v>
      </c>
      <c r="D8050" t="s">
        <v>183</v>
      </c>
      <c r="E8050" t="s">
        <v>14</v>
      </c>
      <c r="F8050">
        <v>0.59758275747299194</v>
      </c>
    </row>
    <row r="8051" spans="2:6">
      <c r="B8051">
        <v>2009</v>
      </c>
      <c r="C8051" t="s">
        <v>91</v>
      </c>
      <c r="D8051" t="s">
        <v>183</v>
      </c>
      <c r="E8051" t="s">
        <v>15</v>
      </c>
      <c r="F8051">
        <v>0.16882975399494171</v>
      </c>
    </row>
    <row r="8052" spans="2:6">
      <c r="B8052">
        <v>2010</v>
      </c>
      <c r="C8052" t="s">
        <v>91</v>
      </c>
      <c r="D8052" t="s">
        <v>183</v>
      </c>
      <c r="E8052" t="s">
        <v>7</v>
      </c>
      <c r="F8052">
        <v>5.1766014099121094</v>
      </c>
    </row>
    <row r="8053" spans="2:6">
      <c r="B8053">
        <v>2010</v>
      </c>
      <c r="C8053" t="s">
        <v>91</v>
      </c>
      <c r="D8053" t="s">
        <v>183</v>
      </c>
      <c r="E8053" t="s">
        <v>8</v>
      </c>
      <c r="F8053">
        <v>9.0326929092407227</v>
      </c>
    </row>
    <row r="8054" spans="2:6">
      <c r="B8054">
        <v>2010</v>
      </c>
      <c r="C8054" t="s">
        <v>91</v>
      </c>
      <c r="D8054" t="s">
        <v>183</v>
      </c>
      <c r="E8054" t="s">
        <v>9</v>
      </c>
      <c r="F8054">
        <v>0.7079588770866394</v>
      </c>
    </row>
    <row r="8055" spans="2:6">
      <c r="B8055">
        <v>2010</v>
      </c>
      <c r="C8055" t="s">
        <v>91</v>
      </c>
      <c r="D8055" t="s">
        <v>183</v>
      </c>
      <c r="E8055" t="s">
        <v>11</v>
      </c>
      <c r="F8055">
        <v>0.45144379138946533</v>
      </c>
    </row>
    <row r="8056" spans="2:6">
      <c r="B8056">
        <v>2010</v>
      </c>
      <c r="C8056" t="s">
        <v>91</v>
      </c>
      <c r="D8056" t="s">
        <v>183</v>
      </c>
      <c r="E8056" t="s">
        <v>12</v>
      </c>
      <c r="F8056">
        <v>0.16969604790210724</v>
      </c>
    </row>
    <row r="8057" spans="2:6">
      <c r="B8057">
        <v>2010</v>
      </c>
      <c r="C8057" t="s">
        <v>91</v>
      </c>
      <c r="D8057" t="s">
        <v>183</v>
      </c>
      <c r="E8057" t="s">
        <v>13</v>
      </c>
      <c r="F8057">
        <v>0.96727174520492554</v>
      </c>
    </row>
    <row r="8058" spans="2:6">
      <c r="B8058">
        <v>2010</v>
      </c>
      <c r="C8058" t="s">
        <v>91</v>
      </c>
      <c r="D8058" t="s">
        <v>183</v>
      </c>
      <c r="E8058" t="s">
        <v>14</v>
      </c>
      <c r="F8058">
        <v>0.69517827033996582</v>
      </c>
    </row>
    <row r="8059" spans="2:6">
      <c r="B8059">
        <v>2010</v>
      </c>
      <c r="C8059" t="s">
        <v>91</v>
      </c>
      <c r="D8059" t="s">
        <v>183</v>
      </c>
      <c r="E8059" t="s">
        <v>15</v>
      </c>
      <c r="F8059">
        <v>0.11771742254495621</v>
      </c>
    </row>
    <row r="8060" spans="2:6">
      <c r="B8060">
        <v>2011</v>
      </c>
      <c r="C8060" t="s">
        <v>91</v>
      </c>
      <c r="D8060" t="s">
        <v>183</v>
      </c>
      <c r="E8060" t="s">
        <v>7</v>
      </c>
      <c r="F8060">
        <v>4.859501838684082</v>
      </c>
    </row>
    <row r="8061" spans="2:6">
      <c r="B8061">
        <v>2011</v>
      </c>
      <c r="C8061" t="s">
        <v>91</v>
      </c>
      <c r="D8061" t="s">
        <v>183</v>
      </c>
      <c r="E8061" t="s">
        <v>8</v>
      </c>
      <c r="F8061">
        <v>9.066925048828125</v>
      </c>
    </row>
    <row r="8062" spans="2:6">
      <c r="B8062">
        <v>2011</v>
      </c>
      <c r="C8062" t="s">
        <v>91</v>
      </c>
      <c r="D8062" t="s">
        <v>183</v>
      </c>
      <c r="E8062" t="s">
        <v>9</v>
      </c>
      <c r="F8062">
        <v>0.75910156965255737</v>
      </c>
    </row>
    <row r="8063" spans="2:6">
      <c r="B8063">
        <v>2011</v>
      </c>
      <c r="C8063" t="s">
        <v>91</v>
      </c>
      <c r="D8063" t="s">
        <v>183</v>
      </c>
      <c r="E8063" t="s">
        <v>11</v>
      </c>
      <c r="F8063">
        <v>0.58897876739501953</v>
      </c>
    </row>
    <row r="8064" spans="2:6">
      <c r="B8064">
        <v>2011</v>
      </c>
      <c r="C8064" t="s">
        <v>91</v>
      </c>
      <c r="D8064" t="s">
        <v>183</v>
      </c>
      <c r="E8064" t="s">
        <v>12</v>
      </c>
      <c r="F8064">
        <v>3.6991974338889122E-3</v>
      </c>
    </row>
    <row r="8065" spans="2:6">
      <c r="B8065">
        <v>2011</v>
      </c>
      <c r="C8065" t="s">
        <v>91</v>
      </c>
      <c r="D8065" t="s">
        <v>183</v>
      </c>
      <c r="E8065" t="s">
        <v>13</v>
      </c>
      <c r="F8065">
        <v>0.9192119836807251</v>
      </c>
    </row>
    <row r="8066" spans="2:6">
      <c r="B8066">
        <v>2011</v>
      </c>
      <c r="C8066" t="s">
        <v>91</v>
      </c>
      <c r="D8066" t="s">
        <v>183</v>
      </c>
      <c r="E8066" t="s">
        <v>14</v>
      </c>
      <c r="F8066">
        <v>0.69596636295318604</v>
      </c>
    </row>
    <row r="8067" spans="2:6">
      <c r="B8067">
        <v>2011</v>
      </c>
      <c r="C8067" t="s">
        <v>91</v>
      </c>
      <c r="D8067" t="s">
        <v>183</v>
      </c>
      <c r="E8067" t="s">
        <v>15</v>
      </c>
      <c r="F8067">
        <v>0.12443765997886658</v>
      </c>
    </row>
    <row r="8068" spans="2:6">
      <c r="B8068">
        <v>2012</v>
      </c>
      <c r="C8068" t="s">
        <v>91</v>
      </c>
      <c r="D8068" t="s">
        <v>183</v>
      </c>
      <c r="E8068" t="s">
        <v>7</v>
      </c>
      <c r="F8068">
        <v>5.6395883560180664</v>
      </c>
    </row>
    <row r="8069" spans="2:6">
      <c r="B8069">
        <v>2012</v>
      </c>
      <c r="C8069" t="s">
        <v>91</v>
      </c>
      <c r="D8069" t="s">
        <v>183</v>
      </c>
      <c r="E8069" t="s">
        <v>8</v>
      </c>
      <c r="F8069">
        <v>9.0856876373291016</v>
      </c>
    </row>
    <row r="8070" spans="2:6">
      <c r="B8070">
        <v>2012</v>
      </c>
      <c r="C8070" t="s">
        <v>91</v>
      </c>
      <c r="D8070" t="s">
        <v>183</v>
      </c>
      <c r="E8070" t="s">
        <v>9</v>
      </c>
      <c r="F8070">
        <v>0.75714713335037231</v>
      </c>
    </row>
    <row r="8071" spans="2:6">
      <c r="B8071">
        <v>2012</v>
      </c>
      <c r="C8071" t="s">
        <v>91</v>
      </c>
      <c r="D8071" t="s">
        <v>183</v>
      </c>
      <c r="E8071" t="s">
        <v>11</v>
      </c>
      <c r="F8071">
        <v>0.63579338788986206</v>
      </c>
    </row>
    <row r="8072" spans="2:6">
      <c r="B8072">
        <v>2012</v>
      </c>
      <c r="C8072" t="s">
        <v>91</v>
      </c>
      <c r="D8072" t="s">
        <v>183</v>
      </c>
      <c r="E8072" t="s">
        <v>12</v>
      </c>
      <c r="F8072">
        <v>2.7181617915630341E-2</v>
      </c>
    </row>
    <row r="8073" spans="2:6">
      <c r="B8073">
        <v>2012</v>
      </c>
      <c r="C8073" t="s">
        <v>91</v>
      </c>
      <c r="D8073" t="s">
        <v>183</v>
      </c>
      <c r="E8073" t="s">
        <v>13</v>
      </c>
      <c r="F8073">
        <v>0.94965142011642456</v>
      </c>
    </row>
    <row r="8074" spans="2:6">
      <c r="B8074">
        <v>2012</v>
      </c>
      <c r="C8074" t="s">
        <v>91</v>
      </c>
      <c r="D8074" t="s">
        <v>183</v>
      </c>
      <c r="E8074" t="s">
        <v>14</v>
      </c>
      <c r="F8074">
        <v>0.59557157754898071</v>
      </c>
    </row>
    <row r="8075" spans="2:6">
      <c r="B8075">
        <v>2012</v>
      </c>
      <c r="C8075" t="s">
        <v>91</v>
      </c>
      <c r="D8075" t="s">
        <v>183</v>
      </c>
      <c r="E8075" t="s">
        <v>15</v>
      </c>
      <c r="F8075">
        <v>9.9630385637283325E-2</v>
      </c>
    </row>
    <row r="8076" spans="2:6">
      <c r="B8076">
        <v>2013</v>
      </c>
      <c r="C8076" t="s">
        <v>91</v>
      </c>
      <c r="D8076" t="s">
        <v>183</v>
      </c>
      <c r="E8076" t="s">
        <v>7</v>
      </c>
      <c r="F8076">
        <v>6.125758171081543</v>
      </c>
    </row>
    <row r="8077" spans="2:6">
      <c r="B8077">
        <v>2013</v>
      </c>
      <c r="C8077" t="s">
        <v>91</v>
      </c>
      <c r="D8077" t="s">
        <v>183</v>
      </c>
      <c r="E8077" t="s">
        <v>8</v>
      </c>
      <c r="F8077">
        <v>9.1134300231933594</v>
      </c>
    </row>
    <row r="8078" spans="2:6">
      <c r="B8078">
        <v>2013</v>
      </c>
      <c r="C8078" t="s">
        <v>91</v>
      </c>
      <c r="D8078" t="s">
        <v>183</v>
      </c>
      <c r="E8078" t="s">
        <v>9</v>
      </c>
      <c r="F8078">
        <v>0.72075039148330688</v>
      </c>
    </row>
    <row r="8079" spans="2:6">
      <c r="B8079">
        <v>2013</v>
      </c>
      <c r="C8079" t="s">
        <v>91</v>
      </c>
      <c r="D8079" t="s">
        <v>183</v>
      </c>
      <c r="E8079" t="s">
        <v>11</v>
      </c>
      <c r="F8079">
        <v>0.56846314668655396</v>
      </c>
    </row>
    <row r="8080" spans="2:6">
      <c r="B8080">
        <v>2013</v>
      </c>
      <c r="C8080" t="s">
        <v>91</v>
      </c>
      <c r="D8080" t="s">
        <v>183</v>
      </c>
      <c r="E8080" t="s">
        <v>12</v>
      </c>
      <c r="F8080">
        <v>0.11490432173013687</v>
      </c>
    </row>
    <row r="8081" spans="2:6">
      <c r="B8081">
        <v>2013</v>
      </c>
      <c r="C8081" t="s">
        <v>91</v>
      </c>
      <c r="D8081" t="s">
        <v>183</v>
      </c>
      <c r="E8081" t="s">
        <v>13</v>
      </c>
      <c r="F8081">
        <v>0.93509459495544434</v>
      </c>
    </row>
    <row r="8082" spans="2:6">
      <c r="B8082">
        <v>2013</v>
      </c>
      <c r="C8082" t="s">
        <v>91</v>
      </c>
      <c r="D8082" t="s">
        <v>183</v>
      </c>
      <c r="E8082" t="s">
        <v>14</v>
      </c>
      <c r="F8082">
        <v>0.69151061773300171</v>
      </c>
    </row>
    <row r="8083" spans="2:6">
      <c r="B8083">
        <v>2013</v>
      </c>
      <c r="C8083" t="s">
        <v>91</v>
      </c>
      <c r="D8083" t="s">
        <v>183</v>
      </c>
      <c r="E8083" t="s">
        <v>15</v>
      </c>
      <c r="F8083">
        <v>0.20273123681545258</v>
      </c>
    </row>
    <row r="8084" spans="2:6">
      <c r="B8084">
        <v>2014</v>
      </c>
      <c r="C8084" t="s">
        <v>91</v>
      </c>
      <c r="D8084" t="s">
        <v>183</v>
      </c>
      <c r="E8084" t="s">
        <v>7</v>
      </c>
      <c r="F8084">
        <v>5.0003752708435059</v>
      </c>
    </row>
    <row r="8085" spans="2:6">
      <c r="B8085">
        <v>2014</v>
      </c>
      <c r="C8085" t="s">
        <v>91</v>
      </c>
      <c r="D8085" t="s">
        <v>183</v>
      </c>
      <c r="E8085" t="s">
        <v>8</v>
      </c>
      <c r="F8085">
        <v>9.1285219192504883</v>
      </c>
    </row>
    <row r="8086" spans="2:6">
      <c r="B8086">
        <v>2014</v>
      </c>
      <c r="C8086" t="s">
        <v>91</v>
      </c>
      <c r="D8086" t="s">
        <v>183</v>
      </c>
      <c r="E8086" t="s">
        <v>9</v>
      </c>
      <c r="F8086">
        <v>0.70563232898712158</v>
      </c>
    </row>
    <row r="8087" spans="2:6">
      <c r="B8087">
        <v>2014</v>
      </c>
      <c r="C8087" t="s">
        <v>91</v>
      </c>
      <c r="D8087" t="s">
        <v>183</v>
      </c>
      <c r="E8087" t="s">
        <v>11</v>
      </c>
      <c r="F8087">
        <v>0.4413912296295166</v>
      </c>
    </row>
    <row r="8088" spans="2:6">
      <c r="B8088">
        <v>2014</v>
      </c>
      <c r="C8088" t="s">
        <v>91</v>
      </c>
      <c r="D8088" t="s">
        <v>183</v>
      </c>
      <c r="E8088" t="s">
        <v>12</v>
      </c>
      <c r="F8088">
        <v>1.209531631320715E-2</v>
      </c>
    </row>
    <row r="8089" spans="2:6">
      <c r="B8089">
        <v>2014</v>
      </c>
      <c r="C8089" t="s">
        <v>91</v>
      </c>
      <c r="D8089" t="s">
        <v>183</v>
      </c>
      <c r="E8089" t="s">
        <v>13</v>
      </c>
      <c r="F8089">
        <v>0.77520060539245605</v>
      </c>
    </row>
    <row r="8090" spans="2:6">
      <c r="B8090">
        <v>2014</v>
      </c>
      <c r="C8090" t="s">
        <v>91</v>
      </c>
      <c r="D8090" t="s">
        <v>183</v>
      </c>
      <c r="E8090" t="s">
        <v>14</v>
      </c>
      <c r="F8090">
        <v>0.63612830638885498</v>
      </c>
    </row>
    <row r="8091" spans="2:6">
      <c r="B8091">
        <v>2014</v>
      </c>
      <c r="C8091" t="s">
        <v>91</v>
      </c>
      <c r="D8091" t="s">
        <v>183</v>
      </c>
      <c r="E8091" t="s">
        <v>15</v>
      </c>
      <c r="F8091">
        <v>0.20595024526119232</v>
      </c>
    </row>
    <row r="8092" spans="2:6">
      <c r="B8092">
        <v>2015</v>
      </c>
      <c r="C8092" t="s">
        <v>91</v>
      </c>
      <c r="D8092" t="s">
        <v>183</v>
      </c>
      <c r="E8092" t="s">
        <v>7</v>
      </c>
      <c r="F8092">
        <v>5.077460765838623</v>
      </c>
    </row>
    <row r="8093" spans="2:6">
      <c r="B8093">
        <v>2015</v>
      </c>
      <c r="C8093" t="s">
        <v>91</v>
      </c>
      <c r="D8093" t="s">
        <v>183</v>
      </c>
      <c r="E8093" t="s">
        <v>8</v>
      </c>
      <c r="F8093">
        <v>9.182307243347168</v>
      </c>
    </row>
    <row r="8094" spans="2:6">
      <c r="B8094">
        <v>2015</v>
      </c>
      <c r="C8094" t="s">
        <v>91</v>
      </c>
      <c r="D8094" t="s">
        <v>183</v>
      </c>
      <c r="E8094" t="s">
        <v>9</v>
      </c>
      <c r="F8094">
        <v>0.80527079105377197</v>
      </c>
    </row>
    <row r="8095" spans="2:6">
      <c r="B8095">
        <v>2015</v>
      </c>
      <c r="C8095" t="s">
        <v>91</v>
      </c>
      <c r="D8095" t="s">
        <v>183</v>
      </c>
      <c r="E8095" t="s">
        <v>11</v>
      </c>
      <c r="F8095">
        <v>0.56104826927185059</v>
      </c>
    </row>
    <row r="8096" spans="2:6">
      <c r="B8096">
        <v>2015</v>
      </c>
      <c r="C8096" t="s">
        <v>91</v>
      </c>
      <c r="D8096" t="s">
        <v>183</v>
      </c>
      <c r="E8096" t="s">
        <v>12</v>
      </c>
      <c r="F8096">
        <v>0.18085126578807831</v>
      </c>
    </row>
    <row r="8097" spans="2:6">
      <c r="B8097">
        <v>2015</v>
      </c>
      <c r="C8097" t="s">
        <v>91</v>
      </c>
      <c r="D8097" t="s">
        <v>183</v>
      </c>
      <c r="E8097" t="s">
        <v>13</v>
      </c>
      <c r="F8097">
        <v>0.85064709186553955</v>
      </c>
    </row>
    <row r="8098" spans="2:6">
      <c r="B8098">
        <v>2015</v>
      </c>
      <c r="C8098" t="s">
        <v>91</v>
      </c>
      <c r="D8098" t="s">
        <v>183</v>
      </c>
      <c r="E8098" t="s">
        <v>14</v>
      </c>
      <c r="F8098">
        <v>0.75309038162231445</v>
      </c>
    </row>
    <row r="8099" spans="2:6">
      <c r="B8099">
        <v>2015</v>
      </c>
      <c r="C8099" t="s">
        <v>91</v>
      </c>
      <c r="D8099" t="s">
        <v>183</v>
      </c>
      <c r="E8099" t="s">
        <v>15</v>
      </c>
      <c r="F8099">
        <v>0.17998881638050079</v>
      </c>
    </row>
    <row r="8100" spans="2:6">
      <c r="B8100">
        <v>2016</v>
      </c>
      <c r="C8100" t="s">
        <v>91</v>
      </c>
      <c r="D8100" t="s">
        <v>183</v>
      </c>
      <c r="E8100" t="s">
        <v>7</v>
      </c>
      <c r="F8100">
        <v>5.7594122886657715</v>
      </c>
    </row>
    <row r="8101" spans="2:6">
      <c r="B8101">
        <v>2016</v>
      </c>
      <c r="C8101" t="s">
        <v>91</v>
      </c>
      <c r="D8101" t="s">
        <v>183</v>
      </c>
      <c r="E8101" t="s">
        <v>8</v>
      </c>
      <c r="F8101">
        <v>9.2281770706176758</v>
      </c>
    </row>
    <row r="8102" spans="2:6">
      <c r="B8102">
        <v>2016</v>
      </c>
      <c r="C8102" t="s">
        <v>91</v>
      </c>
      <c r="D8102" t="s">
        <v>183</v>
      </c>
      <c r="E8102" t="s">
        <v>9</v>
      </c>
      <c r="F8102">
        <v>0.82380270957946777</v>
      </c>
    </row>
    <row r="8103" spans="2:6">
      <c r="B8103">
        <v>2016</v>
      </c>
      <c r="C8103" t="s">
        <v>91</v>
      </c>
      <c r="D8103" t="s">
        <v>183</v>
      </c>
      <c r="E8103" t="s">
        <v>11</v>
      </c>
      <c r="F8103">
        <v>0.82739859819412231</v>
      </c>
    </row>
    <row r="8104" spans="2:6">
      <c r="B8104">
        <v>2016</v>
      </c>
      <c r="C8104" t="s">
        <v>91</v>
      </c>
      <c r="D8104" t="s">
        <v>183</v>
      </c>
      <c r="E8104" t="s">
        <v>12</v>
      </c>
      <c r="F8104">
        <v>0.12486887723207474</v>
      </c>
    </row>
    <row r="8105" spans="2:6">
      <c r="B8105">
        <v>2016</v>
      </c>
      <c r="C8105" t="s">
        <v>91</v>
      </c>
      <c r="D8105" t="s">
        <v>183</v>
      </c>
      <c r="E8105" t="s">
        <v>13</v>
      </c>
      <c r="F8105">
        <v>0.94089794158935547</v>
      </c>
    </row>
    <row r="8106" spans="2:6">
      <c r="B8106">
        <v>2016</v>
      </c>
      <c r="C8106" t="s">
        <v>91</v>
      </c>
      <c r="D8106" t="s">
        <v>183</v>
      </c>
      <c r="E8106" t="s">
        <v>14</v>
      </c>
      <c r="F8106">
        <v>0.70388698577880859</v>
      </c>
    </row>
    <row r="8107" spans="2:6">
      <c r="B8107">
        <v>2016</v>
      </c>
      <c r="C8107" t="s">
        <v>91</v>
      </c>
      <c r="D8107" t="s">
        <v>183</v>
      </c>
      <c r="E8107" t="s">
        <v>15</v>
      </c>
      <c r="F8107">
        <v>0.14960671961307526</v>
      </c>
    </row>
    <row r="8108" spans="2:6">
      <c r="B8108">
        <v>2017</v>
      </c>
      <c r="C8108" t="s">
        <v>91</v>
      </c>
      <c r="D8108" t="s">
        <v>183</v>
      </c>
      <c r="E8108" t="s">
        <v>7</v>
      </c>
      <c r="F8108">
        <v>6.1491999626159668</v>
      </c>
    </row>
    <row r="8109" spans="2:6">
      <c r="B8109">
        <v>2017</v>
      </c>
      <c r="C8109" t="s">
        <v>91</v>
      </c>
      <c r="D8109" t="s">
        <v>183</v>
      </c>
      <c r="E8109" t="s">
        <v>8</v>
      </c>
      <c r="F8109">
        <v>9.2620296478271484</v>
      </c>
    </row>
    <row r="8110" spans="2:6">
      <c r="B8110">
        <v>2017</v>
      </c>
      <c r="C8110" t="s">
        <v>91</v>
      </c>
      <c r="D8110" t="s">
        <v>183</v>
      </c>
      <c r="E8110" t="s">
        <v>9</v>
      </c>
      <c r="F8110">
        <v>0.79208725690841675</v>
      </c>
    </row>
    <row r="8111" spans="2:6">
      <c r="B8111">
        <v>2017</v>
      </c>
      <c r="C8111" t="s">
        <v>91</v>
      </c>
      <c r="D8111" t="s">
        <v>183</v>
      </c>
      <c r="E8111" t="s">
        <v>11</v>
      </c>
      <c r="F8111">
        <v>0.85767674446105957</v>
      </c>
    </row>
    <row r="8112" spans="2:6">
      <c r="B8112">
        <v>2017</v>
      </c>
      <c r="C8112" t="s">
        <v>91</v>
      </c>
      <c r="D8112" t="s">
        <v>183</v>
      </c>
      <c r="E8112" t="s">
        <v>12</v>
      </c>
      <c r="F8112">
        <v>0.11717523634433746</v>
      </c>
    </row>
    <row r="8113" spans="2:6">
      <c r="B8113">
        <v>2017</v>
      </c>
      <c r="C8113" t="s">
        <v>91</v>
      </c>
      <c r="D8113" t="s">
        <v>183</v>
      </c>
      <c r="E8113" t="s">
        <v>13</v>
      </c>
      <c r="F8113">
        <v>0.92519181966781616</v>
      </c>
    </row>
    <row r="8114" spans="2:6">
      <c r="B8114">
        <v>2017</v>
      </c>
      <c r="C8114" t="s">
        <v>91</v>
      </c>
      <c r="D8114" t="s">
        <v>183</v>
      </c>
      <c r="E8114" t="s">
        <v>14</v>
      </c>
      <c r="F8114">
        <v>0.73843556642532349</v>
      </c>
    </row>
    <row r="8115" spans="2:6">
      <c r="B8115">
        <v>2017</v>
      </c>
      <c r="C8115" t="s">
        <v>91</v>
      </c>
      <c r="D8115" t="s">
        <v>183</v>
      </c>
      <c r="E8115" t="s">
        <v>15</v>
      </c>
      <c r="F8115">
        <v>0.18587909638881683</v>
      </c>
    </row>
    <row r="8116" spans="2:6">
      <c r="B8116">
        <v>2018</v>
      </c>
      <c r="C8116" t="s">
        <v>91</v>
      </c>
      <c r="D8116" t="s">
        <v>183</v>
      </c>
      <c r="E8116" t="s">
        <v>7</v>
      </c>
      <c r="F8116">
        <v>6.3918256759643555</v>
      </c>
    </row>
    <row r="8117" spans="2:6">
      <c r="B8117">
        <v>2018</v>
      </c>
      <c r="C8117" t="s">
        <v>91</v>
      </c>
      <c r="D8117" t="s">
        <v>183</v>
      </c>
      <c r="E8117" t="s">
        <v>8</v>
      </c>
      <c r="F8117">
        <v>9.2960853576660156</v>
      </c>
    </row>
    <row r="8118" spans="2:6">
      <c r="B8118">
        <v>2018</v>
      </c>
      <c r="C8118" t="s">
        <v>91</v>
      </c>
      <c r="D8118" t="s">
        <v>183</v>
      </c>
      <c r="E8118" t="s">
        <v>9</v>
      </c>
      <c r="F8118">
        <v>0.82240653038024902</v>
      </c>
    </row>
    <row r="8119" spans="2:6">
      <c r="B8119">
        <v>2018</v>
      </c>
      <c r="C8119" t="s">
        <v>91</v>
      </c>
      <c r="D8119" t="s">
        <v>183</v>
      </c>
      <c r="E8119" t="s">
        <v>11</v>
      </c>
      <c r="F8119">
        <v>0.88973701000213623</v>
      </c>
    </row>
    <row r="8120" spans="2:6">
      <c r="B8120">
        <v>2018</v>
      </c>
      <c r="C8120" t="s">
        <v>91</v>
      </c>
      <c r="D8120" t="s">
        <v>183</v>
      </c>
      <c r="E8120" t="s">
        <v>12</v>
      </c>
      <c r="F8120">
        <v>0.26879501342773438</v>
      </c>
    </row>
    <row r="8121" spans="2:6">
      <c r="B8121">
        <v>2018</v>
      </c>
      <c r="C8121" t="s">
        <v>91</v>
      </c>
      <c r="D8121" t="s">
        <v>183</v>
      </c>
      <c r="E8121" t="s">
        <v>13</v>
      </c>
      <c r="F8121">
        <v>0.92207819223403931</v>
      </c>
    </row>
    <row r="8122" spans="2:6">
      <c r="B8122">
        <v>2018</v>
      </c>
      <c r="C8122" t="s">
        <v>91</v>
      </c>
      <c r="D8122" t="s">
        <v>183</v>
      </c>
      <c r="E8122" t="s">
        <v>14</v>
      </c>
      <c r="F8122">
        <v>0.77827131748199463</v>
      </c>
    </row>
    <row r="8123" spans="2:6">
      <c r="B8123">
        <v>2018</v>
      </c>
      <c r="C8123" t="s">
        <v>91</v>
      </c>
      <c r="D8123" t="s">
        <v>183</v>
      </c>
      <c r="E8123" t="s">
        <v>15</v>
      </c>
      <c r="F8123">
        <v>0.17024846374988556</v>
      </c>
    </row>
    <row r="8124" spans="2:6">
      <c r="B8124">
        <v>2019</v>
      </c>
      <c r="C8124" t="s">
        <v>91</v>
      </c>
      <c r="D8124" t="s">
        <v>183</v>
      </c>
      <c r="E8124" t="s">
        <v>7</v>
      </c>
      <c r="F8124">
        <v>6.4251441955566406</v>
      </c>
    </row>
    <row r="8125" spans="2:6">
      <c r="B8125">
        <v>2019</v>
      </c>
      <c r="C8125" t="s">
        <v>91</v>
      </c>
      <c r="D8125" t="s">
        <v>183</v>
      </c>
      <c r="E8125" t="s">
        <v>8</v>
      </c>
      <c r="F8125">
        <v>9.3385353088378906</v>
      </c>
    </row>
    <row r="8126" spans="2:6">
      <c r="B8126">
        <v>2019</v>
      </c>
      <c r="C8126" t="s">
        <v>91</v>
      </c>
      <c r="D8126" t="s">
        <v>183</v>
      </c>
      <c r="E8126" t="s">
        <v>9</v>
      </c>
      <c r="F8126">
        <v>0.84251117706298828</v>
      </c>
    </row>
    <row r="8127" spans="2:6">
      <c r="B8127">
        <v>2019</v>
      </c>
      <c r="C8127" t="s">
        <v>91</v>
      </c>
      <c r="D8127" t="s">
        <v>183</v>
      </c>
      <c r="E8127" t="s">
        <v>11</v>
      </c>
      <c r="F8127">
        <v>0.84118962287902832</v>
      </c>
    </row>
    <row r="8128" spans="2:6">
      <c r="B8128">
        <v>2019</v>
      </c>
      <c r="C8128" t="s">
        <v>91</v>
      </c>
      <c r="D8128" t="s">
        <v>183</v>
      </c>
      <c r="E8128" t="s">
        <v>12</v>
      </c>
      <c r="F8128">
        <v>0.24698972702026367</v>
      </c>
    </row>
    <row r="8129" spans="2:6">
      <c r="B8129">
        <v>2019</v>
      </c>
      <c r="C8129" t="s">
        <v>91</v>
      </c>
      <c r="D8129" t="s">
        <v>183</v>
      </c>
      <c r="E8129" t="s">
        <v>13</v>
      </c>
      <c r="F8129">
        <v>0.92029726505279541</v>
      </c>
    </row>
    <row r="8130" spans="2:6">
      <c r="B8130">
        <v>2019</v>
      </c>
      <c r="C8130" t="s">
        <v>91</v>
      </c>
      <c r="D8130" t="s">
        <v>183</v>
      </c>
      <c r="E8130" t="s">
        <v>14</v>
      </c>
      <c r="F8130">
        <v>0.74852162599563599</v>
      </c>
    </row>
    <row r="8131" spans="2:6">
      <c r="B8131">
        <v>2019</v>
      </c>
      <c r="C8131" t="s">
        <v>91</v>
      </c>
      <c r="D8131" t="s">
        <v>183</v>
      </c>
      <c r="E8131" t="s">
        <v>15</v>
      </c>
      <c r="F8131">
        <v>0.1407923549413681</v>
      </c>
    </row>
    <row r="8132" spans="2:6">
      <c r="B8132">
        <v>2020</v>
      </c>
      <c r="C8132" t="s">
        <v>91</v>
      </c>
      <c r="D8132" t="s">
        <v>183</v>
      </c>
      <c r="E8132" t="s">
        <v>7</v>
      </c>
      <c r="F8132">
        <v>6.2944140434265137</v>
      </c>
    </row>
    <row r="8133" spans="2:6">
      <c r="B8133">
        <v>2020</v>
      </c>
      <c r="C8133" t="s">
        <v>91</v>
      </c>
      <c r="D8133" t="s">
        <v>183</v>
      </c>
      <c r="E8133" t="s">
        <v>9</v>
      </c>
      <c r="F8133">
        <v>0.79237449169158936</v>
      </c>
    </row>
    <row r="8134" spans="2:6">
      <c r="B8134">
        <v>2020</v>
      </c>
      <c r="C8134" t="s">
        <v>91</v>
      </c>
      <c r="D8134" t="s">
        <v>183</v>
      </c>
      <c r="E8134" t="s">
        <v>11</v>
      </c>
      <c r="F8134">
        <v>0.87983757257461548</v>
      </c>
    </row>
    <row r="8135" spans="2:6">
      <c r="B8135">
        <v>2020</v>
      </c>
      <c r="C8135" t="s">
        <v>91</v>
      </c>
      <c r="D8135" t="s">
        <v>183</v>
      </c>
      <c r="E8135" t="s">
        <v>13</v>
      </c>
      <c r="F8135">
        <v>0.90989387035369873</v>
      </c>
    </row>
    <row r="8136" spans="2:6">
      <c r="B8136">
        <v>2020</v>
      </c>
      <c r="C8136" t="s">
        <v>91</v>
      </c>
      <c r="D8136" t="s">
        <v>183</v>
      </c>
      <c r="E8136" t="s">
        <v>14</v>
      </c>
      <c r="F8136">
        <v>0.72623986005783081</v>
      </c>
    </row>
    <row r="8137" spans="2:6">
      <c r="B8137">
        <v>2020</v>
      </c>
      <c r="C8137" t="s">
        <v>91</v>
      </c>
      <c r="D8137" t="s">
        <v>183</v>
      </c>
      <c r="E8137" t="s">
        <v>15</v>
      </c>
      <c r="F8137">
        <v>0.20145803689956665</v>
      </c>
    </row>
    <row r="8138" spans="2:6">
      <c r="B8138">
        <v>2006</v>
      </c>
      <c r="C8138" t="s">
        <v>92</v>
      </c>
      <c r="D8138" t="s">
        <v>182</v>
      </c>
      <c r="E8138" t="s">
        <v>7</v>
      </c>
      <c r="F8138">
        <v>6.0755472183227539</v>
      </c>
    </row>
    <row r="8139" spans="2:6">
      <c r="B8139">
        <v>2006</v>
      </c>
      <c r="C8139" t="s">
        <v>92</v>
      </c>
      <c r="D8139" t="s">
        <v>182</v>
      </c>
      <c r="E8139" t="s">
        <v>8</v>
      </c>
      <c r="F8139">
        <v>11.228229522705078</v>
      </c>
    </row>
    <row r="8140" spans="2:6">
      <c r="B8140">
        <v>2006</v>
      </c>
      <c r="C8140" t="s">
        <v>92</v>
      </c>
      <c r="D8140" t="s">
        <v>182</v>
      </c>
      <c r="E8140" t="s">
        <v>9</v>
      </c>
      <c r="F8140">
        <v>0.91895043849945068</v>
      </c>
    </row>
    <row r="8141" spans="2:6">
      <c r="B8141">
        <v>2006</v>
      </c>
      <c r="C8141" t="s">
        <v>92</v>
      </c>
      <c r="D8141" t="s">
        <v>182</v>
      </c>
      <c r="E8141" t="s">
        <v>10</v>
      </c>
      <c r="F8141">
        <v>63.959999084472656</v>
      </c>
    </row>
    <row r="8142" spans="2:6">
      <c r="B8142">
        <v>2006</v>
      </c>
      <c r="C8142" t="s">
        <v>92</v>
      </c>
      <c r="D8142" t="s">
        <v>182</v>
      </c>
      <c r="E8142" t="s">
        <v>11</v>
      </c>
      <c r="F8142">
        <v>0.76907241344451904</v>
      </c>
    </row>
    <row r="8143" spans="2:6">
      <c r="B8143">
        <v>2006</v>
      </c>
      <c r="C8143" t="s">
        <v>92</v>
      </c>
      <c r="D8143" t="s">
        <v>182</v>
      </c>
      <c r="E8143" t="s">
        <v>12</v>
      </c>
      <c r="F8143">
        <v>-0.23577688634395599</v>
      </c>
    </row>
    <row r="8144" spans="2:6">
      <c r="B8144">
        <v>2006</v>
      </c>
      <c r="C8144" t="s">
        <v>92</v>
      </c>
      <c r="D8144" t="s">
        <v>182</v>
      </c>
      <c r="E8144" t="s">
        <v>13</v>
      </c>
      <c r="F8144">
        <v>0.32815811038017273</v>
      </c>
    </row>
    <row r="8145" spans="2:6">
      <c r="B8145">
        <v>2006</v>
      </c>
      <c r="C8145" t="s">
        <v>92</v>
      </c>
      <c r="D8145" t="s">
        <v>182</v>
      </c>
      <c r="E8145" t="s">
        <v>14</v>
      </c>
      <c r="F8145">
        <v>0.8459542989730835</v>
      </c>
    </row>
    <row r="8146" spans="2:6">
      <c r="B8146">
        <v>2006</v>
      </c>
      <c r="C8146" t="s">
        <v>92</v>
      </c>
      <c r="D8146" t="s">
        <v>182</v>
      </c>
      <c r="E8146" t="s">
        <v>15</v>
      </c>
      <c r="F8146">
        <v>0.18227535486221313</v>
      </c>
    </row>
    <row r="8147" spans="2:6">
      <c r="B8147">
        <v>2009</v>
      </c>
      <c r="C8147" t="s">
        <v>92</v>
      </c>
      <c r="D8147" t="s">
        <v>182</v>
      </c>
      <c r="E8147" t="s">
        <v>7</v>
      </c>
      <c r="F8147">
        <v>6.5852460861206055</v>
      </c>
    </row>
    <row r="8148" spans="2:6">
      <c r="B8148">
        <v>2009</v>
      </c>
      <c r="C8148" t="s">
        <v>92</v>
      </c>
      <c r="D8148" t="s">
        <v>182</v>
      </c>
      <c r="E8148" t="s">
        <v>8</v>
      </c>
      <c r="F8148">
        <v>11.06485652923584</v>
      </c>
    </row>
    <row r="8149" spans="2:6">
      <c r="B8149">
        <v>2009</v>
      </c>
      <c r="C8149" t="s">
        <v>92</v>
      </c>
      <c r="D8149" t="s">
        <v>182</v>
      </c>
      <c r="E8149" t="s">
        <v>9</v>
      </c>
      <c r="F8149">
        <v>0.92641192674636841</v>
      </c>
    </row>
    <row r="8150" spans="2:6">
      <c r="B8150">
        <v>2009</v>
      </c>
      <c r="C8150" t="s">
        <v>92</v>
      </c>
      <c r="D8150" t="s">
        <v>182</v>
      </c>
      <c r="E8150" t="s">
        <v>10</v>
      </c>
      <c r="F8150">
        <v>64.44000244140625</v>
      </c>
    </row>
    <row r="8151" spans="2:6">
      <c r="B8151">
        <v>2009</v>
      </c>
      <c r="C8151" t="s">
        <v>92</v>
      </c>
      <c r="D8151" t="s">
        <v>182</v>
      </c>
      <c r="E8151" t="s">
        <v>11</v>
      </c>
      <c r="F8151">
        <v>0.81878101825714111</v>
      </c>
    </row>
    <row r="8152" spans="2:6">
      <c r="B8152">
        <v>2009</v>
      </c>
      <c r="C8152" t="s">
        <v>92</v>
      </c>
      <c r="D8152" t="s">
        <v>182</v>
      </c>
      <c r="E8152" t="s">
        <v>12</v>
      </c>
      <c r="F8152">
        <v>6.7786709405481815E-3</v>
      </c>
    </row>
    <row r="8153" spans="2:6">
      <c r="B8153">
        <v>2009</v>
      </c>
      <c r="C8153" t="s">
        <v>92</v>
      </c>
      <c r="D8153" t="s">
        <v>182</v>
      </c>
      <c r="E8153" t="s">
        <v>13</v>
      </c>
      <c r="F8153">
        <v>0.67512178421020508</v>
      </c>
    </row>
    <row r="8154" spans="2:6">
      <c r="B8154">
        <v>2009</v>
      </c>
      <c r="C8154" t="s">
        <v>92</v>
      </c>
      <c r="D8154" t="s">
        <v>182</v>
      </c>
      <c r="E8154" t="s">
        <v>14</v>
      </c>
      <c r="F8154">
        <v>0.71837735176086426</v>
      </c>
    </row>
    <row r="8155" spans="2:6">
      <c r="B8155">
        <v>2009</v>
      </c>
      <c r="C8155" t="s">
        <v>92</v>
      </c>
      <c r="D8155" t="s">
        <v>182</v>
      </c>
      <c r="E8155" t="s">
        <v>15</v>
      </c>
      <c r="F8155">
        <v>0.25175994634628296</v>
      </c>
    </row>
    <row r="8156" spans="2:6">
      <c r="B8156">
        <v>2010</v>
      </c>
      <c r="C8156" t="s">
        <v>92</v>
      </c>
      <c r="D8156" t="s">
        <v>182</v>
      </c>
      <c r="E8156" t="s">
        <v>7</v>
      </c>
      <c r="F8156">
        <v>6.7981510162353516</v>
      </c>
    </row>
    <row r="8157" spans="2:6">
      <c r="B8157">
        <v>2010</v>
      </c>
      <c r="C8157" t="s">
        <v>92</v>
      </c>
      <c r="D8157" t="s">
        <v>182</v>
      </c>
      <c r="E8157" t="s">
        <v>8</v>
      </c>
      <c r="F8157">
        <v>10.982071876525879</v>
      </c>
    </row>
    <row r="8158" spans="2:6">
      <c r="B8158">
        <v>2010</v>
      </c>
      <c r="C8158" t="s">
        <v>92</v>
      </c>
      <c r="D8158" t="s">
        <v>182</v>
      </c>
      <c r="E8158" t="s">
        <v>9</v>
      </c>
      <c r="F8158">
        <v>0.89272230863571167</v>
      </c>
    </row>
    <row r="8159" spans="2:6">
      <c r="B8159">
        <v>2010</v>
      </c>
      <c r="C8159" t="s">
        <v>92</v>
      </c>
      <c r="D8159" t="s">
        <v>182</v>
      </c>
      <c r="E8159" t="s">
        <v>10</v>
      </c>
      <c r="F8159">
        <v>64.599998474121094</v>
      </c>
    </row>
    <row r="8160" spans="2:6">
      <c r="B8160">
        <v>2010</v>
      </c>
      <c r="C8160" t="s">
        <v>92</v>
      </c>
      <c r="D8160" t="s">
        <v>182</v>
      </c>
      <c r="E8160" t="s">
        <v>11</v>
      </c>
      <c r="F8160">
        <v>0.70301973819732666</v>
      </c>
    </row>
    <row r="8161" spans="2:6">
      <c r="B8161">
        <v>2010</v>
      </c>
      <c r="C8161" t="s">
        <v>92</v>
      </c>
      <c r="D8161" t="s">
        <v>182</v>
      </c>
      <c r="E8161" t="s">
        <v>12</v>
      </c>
      <c r="F8161">
        <v>-3.1405054032802582E-2</v>
      </c>
    </row>
    <row r="8162" spans="2:6">
      <c r="B8162">
        <v>2010</v>
      </c>
      <c r="C8162" t="s">
        <v>92</v>
      </c>
      <c r="D8162" t="s">
        <v>182</v>
      </c>
      <c r="E8162" t="s">
        <v>13</v>
      </c>
      <c r="F8162">
        <v>0.48611140251159668</v>
      </c>
    </row>
    <row r="8163" spans="2:6">
      <c r="B8163">
        <v>2010</v>
      </c>
      <c r="C8163" t="s">
        <v>92</v>
      </c>
      <c r="D8163" t="s">
        <v>182</v>
      </c>
      <c r="E8163" t="s">
        <v>14</v>
      </c>
      <c r="F8163">
        <v>0.71797996759414673</v>
      </c>
    </row>
    <row r="8164" spans="2:6">
      <c r="B8164">
        <v>2010</v>
      </c>
      <c r="C8164" t="s">
        <v>92</v>
      </c>
      <c r="D8164" t="s">
        <v>182</v>
      </c>
      <c r="E8164" t="s">
        <v>15</v>
      </c>
      <c r="F8164">
        <v>0.20339599251747131</v>
      </c>
    </row>
    <row r="8165" spans="2:6">
      <c r="B8165">
        <v>2011</v>
      </c>
      <c r="C8165" t="s">
        <v>92</v>
      </c>
      <c r="D8165" t="s">
        <v>182</v>
      </c>
      <c r="E8165" t="s">
        <v>7</v>
      </c>
      <c r="F8165">
        <v>6.3776993751525879</v>
      </c>
    </row>
    <row r="8166" spans="2:6">
      <c r="B8166">
        <v>2011</v>
      </c>
      <c r="C8166" t="s">
        <v>92</v>
      </c>
      <c r="D8166" t="s">
        <v>182</v>
      </c>
      <c r="E8166" t="s">
        <v>8</v>
      </c>
      <c r="F8166">
        <v>11.016782760620117</v>
      </c>
    </row>
    <row r="8167" spans="2:6">
      <c r="B8167">
        <v>2011</v>
      </c>
      <c r="C8167" t="s">
        <v>92</v>
      </c>
      <c r="D8167" t="s">
        <v>182</v>
      </c>
      <c r="E8167" t="s">
        <v>9</v>
      </c>
      <c r="F8167">
        <v>0.8819119930267334</v>
      </c>
    </row>
    <row r="8168" spans="2:6">
      <c r="B8168">
        <v>2011</v>
      </c>
      <c r="C8168" t="s">
        <v>92</v>
      </c>
      <c r="D8168" t="s">
        <v>182</v>
      </c>
      <c r="E8168" t="s">
        <v>10</v>
      </c>
      <c r="F8168">
        <v>64.900001525878906</v>
      </c>
    </row>
    <row r="8169" spans="2:6">
      <c r="B8169">
        <v>2011</v>
      </c>
      <c r="C8169" t="s">
        <v>92</v>
      </c>
      <c r="D8169" t="s">
        <v>182</v>
      </c>
      <c r="E8169" t="s">
        <v>11</v>
      </c>
      <c r="F8169">
        <v>0.76860350370407104</v>
      </c>
    </row>
    <row r="8170" spans="2:6">
      <c r="B8170">
        <v>2011</v>
      </c>
      <c r="C8170" t="s">
        <v>92</v>
      </c>
      <c r="D8170" t="s">
        <v>182</v>
      </c>
      <c r="E8170" t="s">
        <v>13</v>
      </c>
      <c r="F8170">
        <v>0.56042391061782837</v>
      </c>
    </row>
    <row r="8171" spans="2:6">
      <c r="B8171">
        <v>2011</v>
      </c>
      <c r="C8171" t="s">
        <v>92</v>
      </c>
      <c r="D8171" t="s">
        <v>182</v>
      </c>
      <c r="E8171" t="s">
        <v>14</v>
      </c>
      <c r="F8171">
        <v>0.79324227571487427</v>
      </c>
    </row>
    <row r="8172" spans="2:6">
      <c r="B8172">
        <v>2011</v>
      </c>
      <c r="C8172" t="s">
        <v>92</v>
      </c>
      <c r="D8172" t="s">
        <v>182</v>
      </c>
      <c r="E8172" t="s">
        <v>15</v>
      </c>
      <c r="F8172">
        <v>0.1768251359462738</v>
      </c>
    </row>
    <row r="8173" spans="2:6">
      <c r="B8173">
        <v>2012</v>
      </c>
      <c r="C8173" t="s">
        <v>92</v>
      </c>
      <c r="D8173" t="s">
        <v>182</v>
      </c>
      <c r="E8173" t="s">
        <v>7</v>
      </c>
      <c r="F8173">
        <v>6.2210946083068848</v>
      </c>
    </row>
    <row r="8174" spans="2:6">
      <c r="B8174">
        <v>2012</v>
      </c>
      <c r="C8174" t="s">
        <v>92</v>
      </c>
      <c r="D8174" t="s">
        <v>182</v>
      </c>
      <c r="E8174" t="s">
        <v>8</v>
      </c>
      <c r="F8174">
        <v>11.025439262390137</v>
      </c>
    </row>
    <row r="8175" spans="2:6">
      <c r="B8175">
        <v>2012</v>
      </c>
      <c r="C8175" t="s">
        <v>92</v>
      </c>
      <c r="D8175" t="s">
        <v>182</v>
      </c>
      <c r="E8175" t="s">
        <v>9</v>
      </c>
      <c r="F8175">
        <v>0.88891667127609253</v>
      </c>
    </row>
    <row r="8176" spans="2:6">
      <c r="B8176">
        <v>2012</v>
      </c>
      <c r="C8176" t="s">
        <v>92</v>
      </c>
      <c r="D8176" t="s">
        <v>182</v>
      </c>
      <c r="E8176" t="s">
        <v>10</v>
      </c>
      <c r="F8176">
        <v>65.199996948242188</v>
      </c>
    </row>
    <row r="8177" spans="2:6">
      <c r="B8177">
        <v>2012</v>
      </c>
      <c r="C8177" t="s">
        <v>92</v>
      </c>
      <c r="D8177" t="s">
        <v>182</v>
      </c>
      <c r="E8177" t="s">
        <v>11</v>
      </c>
      <c r="F8177">
        <v>0.93404954671859741</v>
      </c>
    </row>
    <row r="8178" spans="2:6">
      <c r="B8178">
        <v>2012</v>
      </c>
      <c r="C8178" t="s">
        <v>92</v>
      </c>
      <c r="D8178" t="s">
        <v>182</v>
      </c>
      <c r="E8178" t="s">
        <v>14</v>
      </c>
      <c r="F8178">
        <v>0.82070857286453247</v>
      </c>
    </row>
    <row r="8179" spans="2:6">
      <c r="B8179">
        <v>2012</v>
      </c>
      <c r="C8179" t="s">
        <v>92</v>
      </c>
      <c r="D8179" t="s">
        <v>182</v>
      </c>
      <c r="E8179" t="s">
        <v>15</v>
      </c>
      <c r="F8179">
        <v>9.5490492880344391E-2</v>
      </c>
    </row>
    <row r="8180" spans="2:6">
      <c r="B8180">
        <v>2013</v>
      </c>
      <c r="C8180" t="s">
        <v>92</v>
      </c>
      <c r="D8180" t="s">
        <v>182</v>
      </c>
      <c r="E8180" t="s">
        <v>7</v>
      </c>
      <c r="F8180">
        <v>6.4800310134887695</v>
      </c>
    </row>
    <row r="8181" spans="2:6">
      <c r="B8181">
        <v>2013</v>
      </c>
      <c r="C8181" t="s">
        <v>92</v>
      </c>
      <c r="D8181" t="s">
        <v>182</v>
      </c>
      <c r="E8181" t="s">
        <v>8</v>
      </c>
      <c r="F8181">
        <v>10.985214233398438</v>
      </c>
    </row>
    <row r="8182" spans="2:6">
      <c r="B8182">
        <v>2013</v>
      </c>
      <c r="C8182" t="s">
        <v>92</v>
      </c>
      <c r="D8182" t="s">
        <v>182</v>
      </c>
      <c r="E8182" t="s">
        <v>9</v>
      </c>
      <c r="F8182">
        <v>0.86194813251495361</v>
      </c>
    </row>
    <row r="8183" spans="2:6">
      <c r="B8183">
        <v>2013</v>
      </c>
      <c r="C8183" t="s">
        <v>92</v>
      </c>
      <c r="D8183" t="s">
        <v>182</v>
      </c>
      <c r="E8183" t="s">
        <v>10</v>
      </c>
      <c r="F8183">
        <v>65.5</v>
      </c>
    </row>
    <row r="8184" spans="2:6">
      <c r="B8184">
        <v>2013</v>
      </c>
      <c r="C8184" t="s">
        <v>92</v>
      </c>
      <c r="D8184" t="s">
        <v>182</v>
      </c>
      <c r="E8184" t="s">
        <v>11</v>
      </c>
      <c r="F8184">
        <v>0.75052487850189209</v>
      </c>
    </row>
    <row r="8185" spans="2:6">
      <c r="B8185">
        <v>2013</v>
      </c>
      <c r="C8185" t="s">
        <v>92</v>
      </c>
      <c r="D8185" t="s">
        <v>182</v>
      </c>
      <c r="E8185" t="s">
        <v>14</v>
      </c>
      <c r="F8185">
        <v>0.75234788656234741</v>
      </c>
    </row>
    <row r="8186" spans="2:6">
      <c r="B8186">
        <v>2013</v>
      </c>
      <c r="C8186" t="s">
        <v>92</v>
      </c>
      <c r="D8186" t="s">
        <v>182</v>
      </c>
      <c r="E8186" t="s">
        <v>15</v>
      </c>
      <c r="F8186">
        <v>0.28262898325920105</v>
      </c>
    </row>
    <row r="8187" spans="2:6">
      <c r="B8187">
        <v>2014</v>
      </c>
      <c r="C8187" t="s">
        <v>92</v>
      </c>
      <c r="D8187" t="s">
        <v>182</v>
      </c>
      <c r="E8187" t="s">
        <v>7</v>
      </c>
      <c r="F8187">
        <v>6.1801385879516602</v>
      </c>
    </row>
    <row r="8188" spans="2:6">
      <c r="B8188">
        <v>2014</v>
      </c>
      <c r="C8188" t="s">
        <v>92</v>
      </c>
      <c r="D8188" t="s">
        <v>182</v>
      </c>
      <c r="E8188" t="s">
        <v>8</v>
      </c>
      <c r="F8188">
        <v>10.944600105285645</v>
      </c>
    </row>
    <row r="8189" spans="2:6">
      <c r="B8189">
        <v>2014</v>
      </c>
      <c r="C8189" t="s">
        <v>92</v>
      </c>
      <c r="D8189" t="s">
        <v>182</v>
      </c>
      <c r="E8189" t="s">
        <v>10</v>
      </c>
      <c r="F8189">
        <v>65.800003051757813</v>
      </c>
    </row>
    <row r="8190" spans="2:6">
      <c r="B8190">
        <v>2015</v>
      </c>
      <c r="C8190" t="s">
        <v>92</v>
      </c>
      <c r="D8190" t="s">
        <v>182</v>
      </c>
      <c r="E8190" t="s">
        <v>7</v>
      </c>
      <c r="F8190">
        <v>6.1460318565368652</v>
      </c>
    </row>
    <row r="8191" spans="2:6">
      <c r="B8191">
        <v>2015</v>
      </c>
      <c r="C8191" t="s">
        <v>92</v>
      </c>
      <c r="D8191" t="s">
        <v>182</v>
      </c>
      <c r="E8191" t="s">
        <v>8</v>
      </c>
      <c r="F8191">
        <v>10.912070274353027</v>
      </c>
    </row>
    <row r="8192" spans="2:6">
      <c r="B8192">
        <v>2015</v>
      </c>
      <c r="C8192" t="s">
        <v>92</v>
      </c>
      <c r="D8192" t="s">
        <v>182</v>
      </c>
      <c r="E8192" t="s">
        <v>9</v>
      </c>
      <c r="F8192">
        <v>0.82301777601242065</v>
      </c>
    </row>
    <row r="8193" spans="2:6">
      <c r="B8193">
        <v>2015</v>
      </c>
      <c r="C8193" t="s">
        <v>92</v>
      </c>
      <c r="D8193" t="s">
        <v>182</v>
      </c>
      <c r="E8193" t="s">
        <v>10</v>
      </c>
      <c r="F8193">
        <v>66.099998474121094</v>
      </c>
    </row>
    <row r="8194" spans="2:6">
      <c r="B8194">
        <v>2015</v>
      </c>
      <c r="C8194" t="s">
        <v>92</v>
      </c>
      <c r="D8194" t="s">
        <v>182</v>
      </c>
      <c r="E8194" t="s">
        <v>11</v>
      </c>
      <c r="F8194">
        <v>0.82166242599487305</v>
      </c>
    </row>
    <row r="8195" spans="2:6">
      <c r="B8195">
        <v>2015</v>
      </c>
      <c r="C8195" t="s">
        <v>92</v>
      </c>
      <c r="D8195" t="s">
        <v>182</v>
      </c>
      <c r="E8195" t="s">
        <v>12</v>
      </c>
      <c r="F8195">
        <v>8.1595353782176971E-2</v>
      </c>
    </row>
    <row r="8196" spans="2:6">
      <c r="B8196">
        <v>2015</v>
      </c>
      <c r="C8196" t="s">
        <v>92</v>
      </c>
      <c r="D8196" t="s">
        <v>182</v>
      </c>
      <c r="E8196" t="s">
        <v>14</v>
      </c>
      <c r="F8196">
        <v>0.72289365530014038</v>
      </c>
    </row>
    <row r="8197" spans="2:6">
      <c r="B8197">
        <v>2015</v>
      </c>
      <c r="C8197" t="s">
        <v>92</v>
      </c>
      <c r="D8197" t="s">
        <v>182</v>
      </c>
      <c r="E8197" t="s">
        <v>15</v>
      </c>
      <c r="F8197">
        <v>0.32369142770767212</v>
      </c>
    </row>
    <row r="8198" spans="2:6">
      <c r="B8198">
        <v>2016</v>
      </c>
      <c r="C8198" t="s">
        <v>92</v>
      </c>
      <c r="D8198" t="s">
        <v>182</v>
      </c>
      <c r="E8198" t="s">
        <v>7</v>
      </c>
      <c r="F8198">
        <v>5.9471945762634277</v>
      </c>
    </row>
    <row r="8199" spans="2:6">
      <c r="B8199">
        <v>2016</v>
      </c>
      <c r="C8199" t="s">
        <v>92</v>
      </c>
      <c r="D8199" t="s">
        <v>182</v>
      </c>
      <c r="E8199" t="s">
        <v>8</v>
      </c>
      <c r="F8199">
        <v>10.909777641296387</v>
      </c>
    </row>
    <row r="8200" spans="2:6">
      <c r="B8200">
        <v>2016</v>
      </c>
      <c r="C8200" t="s">
        <v>92</v>
      </c>
      <c r="D8200" t="s">
        <v>182</v>
      </c>
      <c r="E8200" t="s">
        <v>9</v>
      </c>
      <c r="F8200">
        <v>0.84522205591201782</v>
      </c>
    </row>
    <row r="8201" spans="2:6">
      <c r="B8201">
        <v>2016</v>
      </c>
      <c r="C8201" t="s">
        <v>92</v>
      </c>
      <c r="D8201" t="s">
        <v>182</v>
      </c>
      <c r="E8201" t="s">
        <v>10</v>
      </c>
      <c r="F8201">
        <v>66.300003051757813</v>
      </c>
    </row>
    <row r="8202" spans="2:6">
      <c r="B8202">
        <v>2016</v>
      </c>
      <c r="C8202" t="s">
        <v>92</v>
      </c>
      <c r="D8202" t="s">
        <v>182</v>
      </c>
      <c r="E8202" t="s">
        <v>11</v>
      </c>
      <c r="F8202">
        <v>0.84096717834472656</v>
      </c>
    </row>
    <row r="8203" spans="2:6">
      <c r="B8203">
        <v>2016</v>
      </c>
      <c r="C8203" t="s">
        <v>92</v>
      </c>
      <c r="D8203" t="s">
        <v>182</v>
      </c>
      <c r="E8203" t="s">
        <v>12</v>
      </c>
      <c r="F8203">
        <v>-7.5155839323997498E-2</v>
      </c>
    </row>
    <row r="8204" spans="2:6">
      <c r="B8204">
        <v>2016</v>
      </c>
      <c r="C8204" t="s">
        <v>92</v>
      </c>
      <c r="D8204" t="s">
        <v>182</v>
      </c>
      <c r="E8204" t="s">
        <v>14</v>
      </c>
      <c r="F8204">
        <v>0.68828725814819336</v>
      </c>
    </row>
    <row r="8205" spans="2:6">
      <c r="B8205">
        <v>2016</v>
      </c>
      <c r="C8205" t="s">
        <v>92</v>
      </c>
      <c r="D8205" t="s">
        <v>182</v>
      </c>
      <c r="E8205" t="s">
        <v>15</v>
      </c>
      <c r="F8205">
        <v>0.3149229884147644</v>
      </c>
    </row>
    <row r="8206" spans="2:6">
      <c r="B8206">
        <v>2017</v>
      </c>
      <c r="C8206" t="s">
        <v>92</v>
      </c>
      <c r="D8206" t="s">
        <v>182</v>
      </c>
      <c r="E8206" t="s">
        <v>7</v>
      </c>
      <c r="F8206">
        <v>6.0939054489135742</v>
      </c>
    </row>
    <row r="8207" spans="2:6">
      <c r="B8207">
        <v>2017</v>
      </c>
      <c r="C8207" t="s">
        <v>92</v>
      </c>
      <c r="D8207" t="s">
        <v>182</v>
      </c>
      <c r="E8207" t="s">
        <v>8</v>
      </c>
      <c r="F8207">
        <v>10.836743354797363</v>
      </c>
    </row>
    <row r="8208" spans="2:6">
      <c r="B8208">
        <v>2017</v>
      </c>
      <c r="C8208" t="s">
        <v>92</v>
      </c>
      <c r="D8208" t="s">
        <v>182</v>
      </c>
      <c r="E8208" t="s">
        <v>9</v>
      </c>
      <c r="F8208">
        <v>0.85349130630493164</v>
      </c>
    </row>
    <row r="8209" spans="2:6">
      <c r="B8209">
        <v>2017</v>
      </c>
      <c r="C8209" t="s">
        <v>92</v>
      </c>
      <c r="D8209" t="s">
        <v>182</v>
      </c>
      <c r="E8209" t="s">
        <v>10</v>
      </c>
      <c r="F8209">
        <v>66.5</v>
      </c>
    </row>
    <row r="8210" spans="2:6">
      <c r="B8210">
        <v>2017</v>
      </c>
      <c r="C8210" t="s">
        <v>92</v>
      </c>
      <c r="D8210" t="s">
        <v>182</v>
      </c>
      <c r="E8210" t="s">
        <v>11</v>
      </c>
      <c r="F8210">
        <v>0.88418161869049072</v>
      </c>
    </row>
    <row r="8211" spans="2:6">
      <c r="B8211">
        <v>2017</v>
      </c>
      <c r="C8211" t="s">
        <v>92</v>
      </c>
      <c r="D8211" t="s">
        <v>182</v>
      </c>
      <c r="E8211" t="s">
        <v>12</v>
      </c>
      <c r="F8211">
        <v>-4.6771741472184658E-3</v>
      </c>
    </row>
    <row r="8212" spans="2:6">
      <c r="B8212">
        <v>2017</v>
      </c>
      <c r="C8212" t="s">
        <v>92</v>
      </c>
      <c r="D8212" t="s">
        <v>182</v>
      </c>
      <c r="E8212" t="s">
        <v>14</v>
      </c>
      <c r="F8212">
        <v>0.69207191467285156</v>
      </c>
    </row>
    <row r="8213" spans="2:6">
      <c r="B8213">
        <v>2017</v>
      </c>
      <c r="C8213" t="s">
        <v>92</v>
      </c>
      <c r="D8213" t="s">
        <v>182</v>
      </c>
      <c r="E8213" t="s">
        <v>15</v>
      </c>
      <c r="F8213">
        <v>0.30732080340385437</v>
      </c>
    </row>
    <row r="8214" spans="2:6">
      <c r="B8214">
        <v>2019</v>
      </c>
      <c r="C8214" t="s">
        <v>92</v>
      </c>
      <c r="D8214" t="s">
        <v>182</v>
      </c>
      <c r="E8214" t="s">
        <v>7</v>
      </c>
      <c r="F8214">
        <v>6.1061196327209473</v>
      </c>
    </row>
    <row r="8215" spans="2:6">
      <c r="B8215">
        <v>2019</v>
      </c>
      <c r="C8215" t="s">
        <v>92</v>
      </c>
      <c r="D8215" t="s">
        <v>182</v>
      </c>
      <c r="E8215" t="s">
        <v>8</v>
      </c>
      <c r="F8215">
        <v>10.816696166992188</v>
      </c>
    </row>
    <row r="8216" spans="2:6">
      <c r="B8216">
        <v>2019</v>
      </c>
      <c r="C8216" t="s">
        <v>92</v>
      </c>
      <c r="D8216" t="s">
        <v>182</v>
      </c>
      <c r="E8216" t="s">
        <v>9</v>
      </c>
      <c r="F8216">
        <v>0.84151977300643921</v>
      </c>
    </row>
    <row r="8217" spans="2:6">
      <c r="B8217">
        <v>2019</v>
      </c>
      <c r="C8217" t="s">
        <v>92</v>
      </c>
      <c r="D8217" t="s">
        <v>182</v>
      </c>
      <c r="E8217" t="s">
        <v>10</v>
      </c>
      <c r="F8217">
        <v>66.900001525878906</v>
      </c>
    </row>
    <row r="8218" spans="2:6">
      <c r="B8218">
        <v>2019</v>
      </c>
      <c r="C8218" t="s">
        <v>92</v>
      </c>
      <c r="D8218" t="s">
        <v>182</v>
      </c>
      <c r="E8218" t="s">
        <v>11</v>
      </c>
      <c r="F8218">
        <v>0.86727380752563477</v>
      </c>
    </row>
    <row r="8219" spans="2:6">
      <c r="B8219">
        <v>2019</v>
      </c>
      <c r="C8219" t="s">
        <v>92</v>
      </c>
      <c r="D8219" t="s">
        <v>182</v>
      </c>
      <c r="E8219" t="s">
        <v>12</v>
      </c>
      <c r="F8219">
        <v>-0.10416107624769211</v>
      </c>
    </row>
    <row r="8220" spans="2:6">
      <c r="B8220">
        <v>2019</v>
      </c>
      <c r="C8220" t="s">
        <v>92</v>
      </c>
      <c r="D8220" t="s">
        <v>182</v>
      </c>
      <c r="E8220" t="s">
        <v>14</v>
      </c>
      <c r="F8220">
        <v>0.69536274671554565</v>
      </c>
    </row>
    <row r="8221" spans="2:6">
      <c r="B8221">
        <v>2019</v>
      </c>
      <c r="C8221" t="s">
        <v>92</v>
      </c>
      <c r="D8221" t="s">
        <v>182</v>
      </c>
      <c r="E8221" t="s">
        <v>15</v>
      </c>
      <c r="F8221">
        <v>0.30287632346153259</v>
      </c>
    </row>
    <row r="8222" spans="2:6">
      <c r="B8222">
        <v>2006</v>
      </c>
      <c r="C8222" t="s">
        <v>93</v>
      </c>
      <c r="D8222" t="s">
        <v>182</v>
      </c>
      <c r="E8222" t="s">
        <v>7</v>
      </c>
      <c r="F8222">
        <v>4.6413989067077637</v>
      </c>
    </row>
    <row r="8223" spans="2:6">
      <c r="B8223">
        <v>2006</v>
      </c>
      <c r="C8223" t="s">
        <v>93</v>
      </c>
      <c r="D8223" t="s">
        <v>182</v>
      </c>
      <c r="E8223" t="s">
        <v>8</v>
      </c>
      <c r="F8223">
        <v>8.1853752136230469</v>
      </c>
    </row>
    <row r="8224" spans="2:6">
      <c r="B8224">
        <v>2006</v>
      </c>
      <c r="C8224" t="s">
        <v>93</v>
      </c>
      <c r="D8224" t="s">
        <v>182</v>
      </c>
      <c r="E8224" t="s">
        <v>9</v>
      </c>
      <c r="F8224">
        <v>0.84413653612136841</v>
      </c>
    </row>
    <row r="8225" spans="2:6">
      <c r="B8225">
        <v>2006</v>
      </c>
      <c r="C8225" t="s">
        <v>93</v>
      </c>
      <c r="D8225" t="s">
        <v>182</v>
      </c>
      <c r="E8225" t="s">
        <v>10</v>
      </c>
      <c r="F8225">
        <v>59.979999542236328</v>
      </c>
    </row>
    <row r="8226" spans="2:6">
      <c r="B8226">
        <v>2006</v>
      </c>
      <c r="C8226" t="s">
        <v>93</v>
      </c>
      <c r="D8226" t="s">
        <v>182</v>
      </c>
      <c r="E8226" t="s">
        <v>11</v>
      </c>
      <c r="F8226">
        <v>0.67757165431976318</v>
      </c>
    </row>
    <row r="8227" spans="2:6">
      <c r="B8227">
        <v>2006</v>
      </c>
      <c r="C8227" t="s">
        <v>93</v>
      </c>
      <c r="D8227" t="s">
        <v>182</v>
      </c>
      <c r="E8227" t="s">
        <v>12</v>
      </c>
      <c r="F8227">
        <v>-0.14011803269386292</v>
      </c>
    </row>
    <row r="8228" spans="2:6">
      <c r="B8228">
        <v>2006</v>
      </c>
      <c r="C8228" t="s">
        <v>93</v>
      </c>
      <c r="D8228" t="s">
        <v>182</v>
      </c>
      <c r="E8228" t="s">
        <v>13</v>
      </c>
      <c r="F8228">
        <v>0.87863349914550781</v>
      </c>
    </row>
    <row r="8229" spans="2:6">
      <c r="B8229">
        <v>2006</v>
      </c>
      <c r="C8229" t="s">
        <v>93</v>
      </c>
      <c r="D8229" t="s">
        <v>182</v>
      </c>
      <c r="E8229" t="s">
        <v>14</v>
      </c>
      <c r="F8229">
        <v>0.65461808443069458</v>
      </c>
    </row>
    <row r="8230" spans="2:6">
      <c r="B8230">
        <v>2006</v>
      </c>
      <c r="C8230" t="s">
        <v>93</v>
      </c>
      <c r="D8230" t="s">
        <v>182</v>
      </c>
      <c r="E8230" t="s">
        <v>15</v>
      </c>
      <c r="F8230">
        <v>0.15948250889778137</v>
      </c>
    </row>
    <row r="8231" spans="2:6">
      <c r="B8231">
        <v>2007</v>
      </c>
      <c r="C8231" t="s">
        <v>93</v>
      </c>
      <c r="D8231" t="s">
        <v>182</v>
      </c>
      <c r="E8231" t="s">
        <v>7</v>
      </c>
      <c r="F8231">
        <v>4.6977615356445313</v>
      </c>
    </row>
    <row r="8232" spans="2:6">
      <c r="B8232">
        <v>2007</v>
      </c>
      <c r="C8232" t="s">
        <v>93</v>
      </c>
      <c r="D8232" t="s">
        <v>182</v>
      </c>
      <c r="E8232" t="s">
        <v>8</v>
      </c>
      <c r="F8232">
        <v>8.2578144073486328</v>
      </c>
    </row>
    <row r="8233" spans="2:6">
      <c r="B8233">
        <v>2007</v>
      </c>
      <c r="C8233" t="s">
        <v>93</v>
      </c>
      <c r="D8233" t="s">
        <v>182</v>
      </c>
      <c r="E8233" t="s">
        <v>9</v>
      </c>
      <c r="F8233">
        <v>0.83309787511825562</v>
      </c>
    </row>
    <row r="8234" spans="2:6">
      <c r="B8234">
        <v>2007</v>
      </c>
      <c r="C8234" t="s">
        <v>93</v>
      </c>
      <c r="D8234" t="s">
        <v>182</v>
      </c>
      <c r="E8234" t="s">
        <v>10</v>
      </c>
      <c r="F8234">
        <v>60.259998321533203</v>
      </c>
    </row>
    <row r="8235" spans="2:6">
      <c r="B8235">
        <v>2007</v>
      </c>
      <c r="C8235" t="s">
        <v>93</v>
      </c>
      <c r="D8235" t="s">
        <v>182</v>
      </c>
      <c r="E8235" t="s">
        <v>11</v>
      </c>
      <c r="F8235">
        <v>0.68352311849594116</v>
      </c>
    </row>
    <row r="8236" spans="2:6">
      <c r="B8236">
        <v>2007</v>
      </c>
      <c r="C8236" t="s">
        <v>93</v>
      </c>
      <c r="D8236" t="s">
        <v>182</v>
      </c>
      <c r="E8236" t="s">
        <v>12</v>
      </c>
      <c r="F8236">
        <v>-9.1322228312492371E-2</v>
      </c>
    </row>
    <row r="8237" spans="2:6">
      <c r="B8237">
        <v>2007</v>
      </c>
      <c r="C8237" t="s">
        <v>93</v>
      </c>
      <c r="D8237" t="s">
        <v>182</v>
      </c>
      <c r="E8237" t="s">
        <v>13</v>
      </c>
      <c r="F8237">
        <v>0.92905479669570923</v>
      </c>
    </row>
    <row r="8238" spans="2:6">
      <c r="B8238">
        <v>2007</v>
      </c>
      <c r="C8238" t="s">
        <v>93</v>
      </c>
      <c r="D8238" t="s">
        <v>182</v>
      </c>
      <c r="E8238" t="s">
        <v>14</v>
      </c>
      <c r="F8238">
        <v>0.65507388114929199</v>
      </c>
    </row>
    <row r="8239" spans="2:6">
      <c r="B8239">
        <v>2007</v>
      </c>
      <c r="C8239" t="s">
        <v>93</v>
      </c>
      <c r="D8239" t="s">
        <v>182</v>
      </c>
      <c r="E8239" t="s">
        <v>15</v>
      </c>
      <c r="F8239">
        <v>0.12950257956981659</v>
      </c>
    </row>
    <row r="8240" spans="2:6">
      <c r="B8240">
        <v>2008</v>
      </c>
      <c r="C8240" t="s">
        <v>93</v>
      </c>
      <c r="D8240" t="s">
        <v>182</v>
      </c>
      <c r="E8240" t="s">
        <v>7</v>
      </c>
      <c r="F8240">
        <v>4.7365880012512207</v>
      </c>
    </row>
    <row r="8241" spans="2:6">
      <c r="B8241">
        <v>2008</v>
      </c>
      <c r="C8241" t="s">
        <v>93</v>
      </c>
      <c r="D8241" t="s">
        <v>182</v>
      </c>
      <c r="E8241" t="s">
        <v>8</v>
      </c>
      <c r="F8241">
        <v>8.3289852142333984</v>
      </c>
    </row>
    <row r="8242" spans="2:6">
      <c r="B8242">
        <v>2008</v>
      </c>
      <c r="C8242" t="s">
        <v>93</v>
      </c>
      <c r="D8242" t="s">
        <v>182</v>
      </c>
      <c r="E8242" t="s">
        <v>9</v>
      </c>
      <c r="F8242">
        <v>0.79213261604309082</v>
      </c>
    </row>
    <row r="8243" spans="2:6">
      <c r="B8243">
        <v>2008</v>
      </c>
      <c r="C8243" t="s">
        <v>93</v>
      </c>
      <c r="D8243" t="s">
        <v>182</v>
      </c>
      <c r="E8243" t="s">
        <v>10</v>
      </c>
      <c r="F8243">
        <v>60.540000915527344</v>
      </c>
    </row>
    <row r="8244" spans="2:6">
      <c r="B8244">
        <v>2008</v>
      </c>
      <c r="C8244" t="s">
        <v>93</v>
      </c>
      <c r="D8244" t="s">
        <v>182</v>
      </c>
      <c r="E8244" t="s">
        <v>11</v>
      </c>
      <c r="F8244">
        <v>0.71902936697006226</v>
      </c>
    </row>
    <row r="8245" spans="2:6">
      <c r="B8245">
        <v>2008</v>
      </c>
      <c r="C8245" t="s">
        <v>93</v>
      </c>
      <c r="D8245" t="s">
        <v>182</v>
      </c>
      <c r="E8245" t="s">
        <v>12</v>
      </c>
      <c r="F8245">
        <v>-9.974370151758194E-2</v>
      </c>
    </row>
    <row r="8246" spans="2:6">
      <c r="B8246">
        <v>2008</v>
      </c>
      <c r="C8246" t="s">
        <v>93</v>
      </c>
      <c r="D8246" t="s">
        <v>182</v>
      </c>
      <c r="E8246" t="s">
        <v>13</v>
      </c>
      <c r="F8246">
        <v>0.9226270318031311</v>
      </c>
    </row>
    <row r="8247" spans="2:6">
      <c r="B8247">
        <v>2008</v>
      </c>
      <c r="C8247" t="s">
        <v>93</v>
      </c>
      <c r="D8247" t="s">
        <v>182</v>
      </c>
      <c r="E8247" t="s">
        <v>14</v>
      </c>
      <c r="F8247">
        <v>0.62304627895355225</v>
      </c>
    </row>
    <row r="8248" spans="2:6">
      <c r="B8248">
        <v>2008</v>
      </c>
      <c r="C8248" t="s">
        <v>93</v>
      </c>
      <c r="D8248" t="s">
        <v>182</v>
      </c>
      <c r="E8248" t="s">
        <v>15</v>
      </c>
      <c r="F8248">
        <v>0.14687164127826691</v>
      </c>
    </row>
    <row r="8249" spans="2:6">
      <c r="B8249">
        <v>2009</v>
      </c>
      <c r="C8249" t="s">
        <v>93</v>
      </c>
      <c r="D8249" t="s">
        <v>182</v>
      </c>
      <c r="E8249" t="s">
        <v>7</v>
      </c>
      <c r="F8249">
        <v>5.0690536499023438</v>
      </c>
    </row>
    <row r="8250" spans="2:6">
      <c r="B8250">
        <v>2009</v>
      </c>
      <c r="C8250" t="s">
        <v>93</v>
      </c>
      <c r="D8250" t="s">
        <v>182</v>
      </c>
      <c r="E8250" t="s">
        <v>8</v>
      </c>
      <c r="F8250">
        <v>8.3453664779663086</v>
      </c>
    </row>
    <row r="8251" spans="2:6">
      <c r="B8251">
        <v>2009</v>
      </c>
      <c r="C8251" t="s">
        <v>93</v>
      </c>
      <c r="D8251" t="s">
        <v>182</v>
      </c>
      <c r="E8251" t="s">
        <v>9</v>
      </c>
      <c r="F8251">
        <v>0.85493564605712891</v>
      </c>
    </row>
    <row r="8252" spans="2:6">
      <c r="B8252">
        <v>2009</v>
      </c>
      <c r="C8252" t="s">
        <v>93</v>
      </c>
      <c r="D8252" t="s">
        <v>182</v>
      </c>
      <c r="E8252" t="s">
        <v>10</v>
      </c>
      <c r="F8252">
        <v>60.819999694824219</v>
      </c>
    </row>
    <row r="8253" spans="2:6">
      <c r="B8253">
        <v>2009</v>
      </c>
      <c r="C8253" t="s">
        <v>93</v>
      </c>
      <c r="D8253" t="s">
        <v>182</v>
      </c>
      <c r="E8253" t="s">
        <v>11</v>
      </c>
      <c r="F8253">
        <v>0.69891995191574097</v>
      </c>
    </row>
    <row r="8254" spans="2:6">
      <c r="B8254">
        <v>2009</v>
      </c>
      <c r="C8254" t="s">
        <v>93</v>
      </c>
      <c r="D8254" t="s">
        <v>182</v>
      </c>
      <c r="E8254" t="s">
        <v>12</v>
      </c>
      <c r="F8254">
        <v>-0.13984112441539764</v>
      </c>
    </row>
    <row r="8255" spans="2:6">
      <c r="B8255">
        <v>2009</v>
      </c>
      <c r="C8255" t="s">
        <v>93</v>
      </c>
      <c r="D8255" t="s">
        <v>182</v>
      </c>
      <c r="E8255" t="s">
        <v>13</v>
      </c>
      <c r="F8255">
        <v>0.89622747898101807</v>
      </c>
    </row>
    <row r="8256" spans="2:6">
      <c r="B8256">
        <v>2009</v>
      </c>
      <c r="C8256" t="s">
        <v>93</v>
      </c>
      <c r="D8256" t="s">
        <v>182</v>
      </c>
      <c r="E8256" t="s">
        <v>14</v>
      </c>
      <c r="F8256">
        <v>0.60727828741073608</v>
      </c>
    </row>
    <row r="8257" spans="2:6">
      <c r="B8257">
        <v>2009</v>
      </c>
      <c r="C8257" t="s">
        <v>93</v>
      </c>
      <c r="D8257" t="s">
        <v>182</v>
      </c>
      <c r="E8257" t="s">
        <v>15</v>
      </c>
      <c r="F8257">
        <v>0.1648169606924057</v>
      </c>
    </row>
    <row r="8258" spans="2:6">
      <c r="B8258">
        <v>2010</v>
      </c>
      <c r="C8258" t="s">
        <v>93</v>
      </c>
      <c r="D8258" t="s">
        <v>182</v>
      </c>
      <c r="E8258" t="s">
        <v>7</v>
      </c>
      <c r="F8258">
        <v>4.9964108467102051</v>
      </c>
    </row>
    <row r="8259" spans="2:6">
      <c r="B8259">
        <v>2010</v>
      </c>
      <c r="C8259" t="s">
        <v>93</v>
      </c>
      <c r="D8259" t="s">
        <v>182</v>
      </c>
      <c r="E8259" t="s">
        <v>8</v>
      </c>
      <c r="F8259">
        <v>8.3287115097045898</v>
      </c>
    </row>
    <row r="8260" spans="2:6">
      <c r="B8260">
        <v>2010</v>
      </c>
      <c r="C8260" t="s">
        <v>93</v>
      </c>
      <c r="D8260" t="s">
        <v>182</v>
      </c>
      <c r="E8260" t="s">
        <v>9</v>
      </c>
      <c r="F8260">
        <v>0.88536292314529419</v>
      </c>
    </row>
    <row r="8261" spans="2:6">
      <c r="B8261">
        <v>2010</v>
      </c>
      <c r="C8261" t="s">
        <v>93</v>
      </c>
      <c r="D8261" t="s">
        <v>182</v>
      </c>
      <c r="E8261" t="s">
        <v>10</v>
      </c>
      <c r="F8261">
        <v>61.099998474121094</v>
      </c>
    </row>
    <row r="8262" spans="2:6">
      <c r="B8262">
        <v>2010</v>
      </c>
      <c r="C8262" t="s">
        <v>93</v>
      </c>
      <c r="D8262" t="s">
        <v>182</v>
      </c>
      <c r="E8262" t="s">
        <v>11</v>
      </c>
      <c r="F8262">
        <v>0.72005116939544678</v>
      </c>
    </row>
    <row r="8263" spans="2:6">
      <c r="B8263">
        <v>2010</v>
      </c>
      <c r="C8263" t="s">
        <v>93</v>
      </c>
      <c r="D8263" t="s">
        <v>182</v>
      </c>
      <c r="E8263" t="s">
        <v>12</v>
      </c>
      <c r="F8263">
        <v>-7.1627013385295868E-2</v>
      </c>
    </row>
    <row r="8264" spans="2:6">
      <c r="B8264">
        <v>2010</v>
      </c>
      <c r="C8264" t="s">
        <v>93</v>
      </c>
      <c r="D8264" t="s">
        <v>182</v>
      </c>
      <c r="E8264" t="s">
        <v>13</v>
      </c>
      <c r="F8264">
        <v>0.92579358816146851</v>
      </c>
    </row>
    <row r="8265" spans="2:6">
      <c r="B8265">
        <v>2010</v>
      </c>
      <c r="C8265" t="s">
        <v>93</v>
      </c>
      <c r="D8265" t="s">
        <v>182</v>
      </c>
      <c r="E8265" t="s">
        <v>14</v>
      </c>
      <c r="F8265">
        <v>0.64952170848846436</v>
      </c>
    </row>
    <row r="8266" spans="2:6">
      <c r="B8266">
        <v>2010</v>
      </c>
      <c r="C8266" t="s">
        <v>93</v>
      </c>
      <c r="D8266" t="s">
        <v>182</v>
      </c>
      <c r="E8266" t="s">
        <v>15</v>
      </c>
      <c r="F8266">
        <v>0.12346255034208298</v>
      </c>
    </row>
    <row r="8267" spans="2:6">
      <c r="B8267">
        <v>2011</v>
      </c>
      <c r="C8267" t="s">
        <v>93</v>
      </c>
      <c r="D8267" t="s">
        <v>182</v>
      </c>
      <c r="E8267" t="s">
        <v>7</v>
      </c>
      <c r="F8267">
        <v>4.9210491180419922</v>
      </c>
    </row>
    <row r="8268" spans="2:6">
      <c r="B8268">
        <v>2011</v>
      </c>
      <c r="C8268" t="s">
        <v>93</v>
      </c>
      <c r="D8268" t="s">
        <v>182</v>
      </c>
      <c r="E8268" t="s">
        <v>8</v>
      </c>
      <c r="F8268">
        <v>8.3743982315063477</v>
      </c>
    </row>
    <row r="8269" spans="2:6">
      <c r="B8269">
        <v>2011</v>
      </c>
      <c r="C8269" t="s">
        <v>93</v>
      </c>
      <c r="D8269" t="s">
        <v>182</v>
      </c>
      <c r="E8269" t="s">
        <v>9</v>
      </c>
      <c r="F8269">
        <v>0.89140409231185913</v>
      </c>
    </row>
    <row r="8270" spans="2:6">
      <c r="B8270">
        <v>2011</v>
      </c>
      <c r="C8270" t="s">
        <v>93</v>
      </c>
      <c r="D8270" t="s">
        <v>182</v>
      </c>
      <c r="E8270" t="s">
        <v>10</v>
      </c>
      <c r="F8270">
        <v>61.520000457763672</v>
      </c>
    </row>
    <row r="8271" spans="2:6">
      <c r="B8271">
        <v>2011</v>
      </c>
      <c r="C8271" t="s">
        <v>93</v>
      </c>
      <c r="D8271" t="s">
        <v>182</v>
      </c>
      <c r="E8271" t="s">
        <v>11</v>
      </c>
      <c r="F8271">
        <v>0.74780845642089844</v>
      </c>
    </row>
    <row r="8272" spans="2:6">
      <c r="B8272">
        <v>2011</v>
      </c>
      <c r="C8272" t="s">
        <v>93</v>
      </c>
      <c r="D8272" t="s">
        <v>182</v>
      </c>
      <c r="E8272" t="s">
        <v>12</v>
      </c>
      <c r="F8272">
        <v>-0.15456999838352203</v>
      </c>
    </row>
    <row r="8273" spans="2:6">
      <c r="B8273">
        <v>2011</v>
      </c>
      <c r="C8273" t="s">
        <v>93</v>
      </c>
      <c r="D8273" t="s">
        <v>182</v>
      </c>
      <c r="E8273" t="s">
        <v>13</v>
      </c>
      <c r="F8273">
        <v>0.93249696493148804</v>
      </c>
    </row>
    <row r="8274" spans="2:6">
      <c r="B8274">
        <v>2011</v>
      </c>
      <c r="C8274" t="s">
        <v>93</v>
      </c>
      <c r="D8274" t="s">
        <v>182</v>
      </c>
      <c r="E8274" t="s">
        <v>14</v>
      </c>
      <c r="F8274">
        <v>0.68142938613891602</v>
      </c>
    </row>
    <row r="8275" spans="2:6">
      <c r="B8275">
        <v>2011</v>
      </c>
      <c r="C8275" t="s">
        <v>93</v>
      </c>
      <c r="D8275" t="s">
        <v>182</v>
      </c>
      <c r="E8275" t="s">
        <v>15</v>
      </c>
      <c r="F8275">
        <v>0.15131589770317078</v>
      </c>
    </row>
    <row r="8276" spans="2:6">
      <c r="B8276">
        <v>2012</v>
      </c>
      <c r="C8276" t="s">
        <v>93</v>
      </c>
      <c r="D8276" t="s">
        <v>182</v>
      </c>
      <c r="E8276" t="s">
        <v>7</v>
      </c>
      <c r="F8276">
        <v>5.2077856063842773</v>
      </c>
    </row>
    <row r="8277" spans="2:6">
      <c r="B8277">
        <v>2012</v>
      </c>
      <c r="C8277" t="s">
        <v>93</v>
      </c>
      <c r="D8277" t="s">
        <v>182</v>
      </c>
      <c r="E8277" t="s">
        <v>8</v>
      </c>
      <c r="F8277">
        <v>8.3568639755249023</v>
      </c>
    </row>
    <row r="8278" spans="2:6">
      <c r="B8278">
        <v>2012</v>
      </c>
      <c r="C8278" t="s">
        <v>93</v>
      </c>
      <c r="D8278" t="s">
        <v>182</v>
      </c>
      <c r="E8278" t="s">
        <v>9</v>
      </c>
      <c r="F8278">
        <v>0.85618174076080322</v>
      </c>
    </row>
    <row r="8279" spans="2:6">
      <c r="B8279">
        <v>2012</v>
      </c>
      <c r="C8279" t="s">
        <v>93</v>
      </c>
      <c r="D8279" t="s">
        <v>182</v>
      </c>
      <c r="E8279" t="s">
        <v>10</v>
      </c>
      <c r="F8279">
        <v>61.939998626708984</v>
      </c>
    </row>
    <row r="8280" spans="2:6">
      <c r="B8280">
        <v>2012</v>
      </c>
      <c r="C8280" t="s">
        <v>93</v>
      </c>
      <c r="D8280" t="s">
        <v>182</v>
      </c>
      <c r="E8280" t="s">
        <v>11</v>
      </c>
      <c r="F8280">
        <v>0.7027316689491272</v>
      </c>
    </row>
    <row r="8281" spans="2:6">
      <c r="B8281">
        <v>2012</v>
      </c>
      <c r="C8281" t="s">
        <v>93</v>
      </c>
      <c r="D8281" t="s">
        <v>182</v>
      </c>
      <c r="E8281" t="s">
        <v>12</v>
      </c>
      <c r="F8281">
        <v>-7.8886203467845917E-2</v>
      </c>
    </row>
    <row r="8282" spans="2:6">
      <c r="B8282">
        <v>2012</v>
      </c>
      <c r="C8282" t="s">
        <v>93</v>
      </c>
      <c r="D8282" t="s">
        <v>182</v>
      </c>
      <c r="E8282" t="s">
        <v>13</v>
      </c>
      <c r="F8282">
        <v>0.8920367956161499</v>
      </c>
    </row>
    <row r="8283" spans="2:6">
      <c r="B8283">
        <v>2012</v>
      </c>
      <c r="C8283" t="s">
        <v>93</v>
      </c>
      <c r="D8283" t="s">
        <v>182</v>
      </c>
      <c r="E8283" t="s">
        <v>14</v>
      </c>
      <c r="F8283">
        <v>0.69052404165267944</v>
      </c>
    </row>
    <row r="8284" spans="2:6">
      <c r="B8284">
        <v>2012</v>
      </c>
      <c r="C8284" t="s">
        <v>93</v>
      </c>
      <c r="D8284" t="s">
        <v>182</v>
      </c>
      <c r="E8284" t="s">
        <v>15</v>
      </c>
      <c r="F8284">
        <v>0.18238326907157898</v>
      </c>
    </row>
    <row r="8285" spans="2:6">
      <c r="B8285">
        <v>2013</v>
      </c>
      <c r="C8285" t="s">
        <v>93</v>
      </c>
      <c r="D8285" t="s">
        <v>182</v>
      </c>
      <c r="E8285" t="s">
        <v>7</v>
      </c>
      <c r="F8285">
        <v>5.4024267196655273</v>
      </c>
    </row>
    <row r="8286" spans="2:6">
      <c r="B8286">
        <v>2013</v>
      </c>
      <c r="C8286" t="s">
        <v>93</v>
      </c>
      <c r="D8286" t="s">
        <v>182</v>
      </c>
      <c r="E8286" t="s">
        <v>8</v>
      </c>
      <c r="F8286">
        <v>8.4406156539916992</v>
      </c>
    </row>
    <row r="8287" spans="2:6">
      <c r="B8287">
        <v>2013</v>
      </c>
      <c r="C8287" t="s">
        <v>93</v>
      </c>
      <c r="D8287" t="s">
        <v>182</v>
      </c>
      <c r="E8287" t="s">
        <v>9</v>
      </c>
      <c r="F8287">
        <v>0.8507155179977417</v>
      </c>
    </row>
    <row r="8288" spans="2:6">
      <c r="B8288">
        <v>2013</v>
      </c>
      <c r="C8288" t="s">
        <v>93</v>
      </c>
      <c r="D8288" t="s">
        <v>182</v>
      </c>
      <c r="E8288" t="s">
        <v>10</v>
      </c>
      <c r="F8288">
        <v>62.360000610351563</v>
      </c>
    </row>
    <row r="8289" spans="2:6">
      <c r="B8289">
        <v>2013</v>
      </c>
      <c r="C8289" t="s">
        <v>93</v>
      </c>
      <c r="D8289" t="s">
        <v>182</v>
      </c>
      <c r="E8289" t="s">
        <v>11</v>
      </c>
      <c r="F8289">
        <v>0.75503665208816528</v>
      </c>
    </row>
    <row r="8290" spans="2:6">
      <c r="B8290">
        <v>2013</v>
      </c>
      <c r="C8290" t="s">
        <v>93</v>
      </c>
      <c r="D8290" t="s">
        <v>182</v>
      </c>
      <c r="E8290" t="s">
        <v>12</v>
      </c>
      <c r="F8290">
        <v>-8.5081011056900024E-2</v>
      </c>
    </row>
    <row r="8291" spans="2:6">
      <c r="B8291">
        <v>2013</v>
      </c>
      <c r="C8291" t="s">
        <v>93</v>
      </c>
      <c r="D8291" t="s">
        <v>182</v>
      </c>
      <c r="E8291" t="s">
        <v>13</v>
      </c>
      <c r="F8291">
        <v>0.89956045150756836</v>
      </c>
    </row>
    <row r="8292" spans="2:6">
      <c r="B8292">
        <v>2013</v>
      </c>
      <c r="C8292" t="s">
        <v>93</v>
      </c>
      <c r="D8292" t="s">
        <v>182</v>
      </c>
      <c r="E8292" t="s">
        <v>14</v>
      </c>
      <c r="F8292">
        <v>0.7220035195350647</v>
      </c>
    </row>
    <row r="8293" spans="2:6">
      <c r="B8293">
        <v>2013</v>
      </c>
      <c r="C8293" t="s">
        <v>93</v>
      </c>
      <c r="D8293" t="s">
        <v>182</v>
      </c>
      <c r="E8293" t="s">
        <v>15</v>
      </c>
      <c r="F8293">
        <v>0.1349111795425415</v>
      </c>
    </row>
    <row r="8294" spans="2:6">
      <c r="B8294">
        <v>2014</v>
      </c>
      <c r="C8294" t="s">
        <v>93</v>
      </c>
      <c r="D8294" t="s">
        <v>182</v>
      </c>
      <c r="E8294" t="s">
        <v>7</v>
      </c>
      <c r="F8294">
        <v>5.2521929740905762</v>
      </c>
    </row>
    <row r="8295" spans="2:6">
      <c r="B8295">
        <v>2014</v>
      </c>
      <c r="C8295" t="s">
        <v>93</v>
      </c>
      <c r="D8295" t="s">
        <v>182</v>
      </c>
      <c r="E8295" t="s">
        <v>8</v>
      </c>
      <c r="F8295">
        <v>8.4600057601928711</v>
      </c>
    </row>
    <row r="8296" spans="2:6">
      <c r="B8296">
        <v>2014</v>
      </c>
      <c r="C8296" t="s">
        <v>93</v>
      </c>
      <c r="D8296" t="s">
        <v>182</v>
      </c>
      <c r="E8296" t="s">
        <v>9</v>
      </c>
      <c r="F8296">
        <v>0.8980247974395752</v>
      </c>
    </row>
    <row r="8297" spans="2:6">
      <c r="B8297">
        <v>2014</v>
      </c>
      <c r="C8297" t="s">
        <v>93</v>
      </c>
      <c r="D8297" t="s">
        <v>182</v>
      </c>
      <c r="E8297" t="s">
        <v>10</v>
      </c>
      <c r="F8297">
        <v>62.779998779296875</v>
      </c>
    </row>
    <row r="8298" spans="2:6">
      <c r="B8298">
        <v>2014</v>
      </c>
      <c r="C8298" t="s">
        <v>93</v>
      </c>
      <c r="D8298" t="s">
        <v>182</v>
      </c>
      <c r="E8298" t="s">
        <v>11</v>
      </c>
      <c r="F8298">
        <v>0.7362900972366333</v>
      </c>
    </row>
    <row r="8299" spans="2:6">
      <c r="B8299">
        <v>2014</v>
      </c>
      <c r="C8299" t="s">
        <v>93</v>
      </c>
      <c r="D8299" t="s">
        <v>182</v>
      </c>
      <c r="E8299" t="s">
        <v>12</v>
      </c>
      <c r="F8299">
        <v>0.35536700487136841</v>
      </c>
    </row>
    <row r="8300" spans="2:6">
      <c r="B8300">
        <v>2014</v>
      </c>
      <c r="C8300" t="s">
        <v>93</v>
      </c>
      <c r="D8300" t="s">
        <v>182</v>
      </c>
      <c r="E8300" t="s">
        <v>13</v>
      </c>
      <c r="F8300">
        <v>0.89676737785339355</v>
      </c>
    </row>
    <row r="8301" spans="2:6">
      <c r="B8301">
        <v>2014</v>
      </c>
      <c r="C8301" t="s">
        <v>93</v>
      </c>
      <c r="D8301" t="s">
        <v>182</v>
      </c>
      <c r="E8301" t="s">
        <v>14</v>
      </c>
      <c r="F8301">
        <v>0.72546064853668213</v>
      </c>
    </row>
    <row r="8302" spans="2:6">
      <c r="B8302">
        <v>2014</v>
      </c>
      <c r="C8302" t="s">
        <v>93</v>
      </c>
      <c r="D8302" t="s">
        <v>182</v>
      </c>
      <c r="E8302" t="s">
        <v>15</v>
      </c>
      <c r="F8302">
        <v>0.18502533435821533</v>
      </c>
    </row>
    <row r="8303" spans="2:6">
      <c r="B8303">
        <v>2015</v>
      </c>
      <c r="C8303" t="s">
        <v>93</v>
      </c>
      <c r="D8303" t="s">
        <v>182</v>
      </c>
      <c r="E8303" t="s">
        <v>7</v>
      </c>
      <c r="F8303">
        <v>4.9053759574890137</v>
      </c>
    </row>
    <row r="8304" spans="2:6">
      <c r="B8304">
        <v>2015</v>
      </c>
      <c r="C8304" t="s">
        <v>93</v>
      </c>
      <c r="D8304" t="s">
        <v>182</v>
      </c>
      <c r="E8304" t="s">
        <v>8</v>
      </c>
      <c r="F8304">
        <v>8.4774417877197266</v>
      </c>
    </row>
    <row r="8305" spans="2:6">
      <c r="B8305">
        <v>2015</v>
      </c>
      <c r="C8305" t="s">
        <v>93</v>
      </c>
      <c r="D8305" t="s">
        <v>182</v>
      </c>
      <c r="E8305" t="s">
        <v>9</v>
      </c>
      <c r="F8305">
        <v>0.85658454895019531</v>
      </c>
    </row>
    <row r="8306" spans="2:6">
      <c r="B8306">
        <v>2015</v>
      </c>
      <c r="C8306" t="s">
        <v>93</v>
      </c>
      <c r="D8306" t="s">
        <v>182</v>
      </c>
      <c r="E8306" t="s">
        <v>10</v>
      </c>
      <c r="F8306">
        <v>63.200000762939453</v>
      </c>
    </row>
    <row r="8307" spans="2:6">
      <c r="B8307">
        <v>2015</v>
      </c>
      <c r="C8307" t="s">
        <v>93</v>
      </c>
      <c r="D8307" t="s">
        <v>182</v>
      </c>
      <c r="E8307" t="s">
        <v>11</v>
      </c>
      <c r="F8307">
        <v>0.81317585706710815</v>
      </c>
    </row>
    <row r="8308" spans="2:6">
      <c r="B8308">
        <v>2015</v>
      </c>
      <c r="C8308" t="s">
        <v>93</v>
      </c>
      <c r="D8308" t="s">
        <v>182</v>
      </c>
      <c r="E8308" t="s">
        <v>12</v>
      </c>
      <c r="F8308">
        <v>0.19976788759231567</v>
      </c>
    </row>
    <row r="8309" spans="2:6">
      <c r="B8309">
        <v>2015</v>
      </c>
      <c r="C8309" t="s">
        <v>93</v>
      </c>
      <c r="D8309" t="s">
        <v>182</v>
      </c>
      <c r="E8309" t="s">
        <v>13</v>
      </c>
      <c r="F8309">
        <v>0.85772502422332764</v>
      </c>
    </row>
    <row r="8310" spans="2:6">
      <c r="B8310">
        <v>2015</v>
      </c>
      <c r="C8310" t="s">
        <v>93</v>
      </c>
      <c r="D8310" t="s">
        <v>182</v>
      </c>
      <c r="E8310" t="s">
        <v>14</v>
      </c>
      <c r="F8310">
        <v>0.76679444313049316</v>
      </c>
    </row>
    <row r="8311" spans="2:6">
      <c r="B8311">
        <v>2015</v>
      </c>
      <c r="C8311" t="s">
        <v>93</v>
      </c>
      <c r="D8311" t="s">
        <v>182</v>
      </c>
      <c r="E8311" t="s">
        <v>15</v>
      </c>
      <c r="F8311">
        <v>0.17347642779350281</v>
      </c>
    </row>
    <row r="8312" spans="2:6">
      <c r="B8312">
        <v>2016</v>
      </c>
      <c r="C8312" t="s">
        <v>93</v>
      </c>
      <c r="D8312" t="s">
        <v>182</v>
      </c>
      <c r="E8312" t="s">
        <v>7</v>
      </c>
      <c r="F8312">
        <v>4.8565340042114258</v>
      </c>
    </row>
    <row r="8313" spans="2:6">
      <c r="B8313">
        <v>2016</v>
      </c>
      <c r="C8313" t="s">
        <v>93</v>
      </c>
      <c r="D8313" t="s">
        <v>182</v>
      </c>
      <c r="E8313" t="s">
        <v>8</v>
      </c>
      <c r="F8313">
        <v>8.4995145797729492</v>
      </c>
    </row>
    <row r="8314" spans="2:6">
      <c r="B8314">
        <v>2016</v>
      </c>
      <c r="C8314" t="s">
        <v>93</v>
      </c>
      <c r="D8314" t="s">
        <v>182</v>
      </c>
      <c r="E8314" t="s">
        <v>9</v>
      </c>
      <c r="F8314">
        <v>0.91437548398971558</v>
      </c>
    </row>
    <row r="8315" spans="2:6">
      <c r="B8315">
        <v>2016</v>
      </c>
      <c r="C8315" t="s">
        <v>93</v>
      </c>
      <c r="D8315" t="s">
        <v>182</v>
      </c>
      <c r="E8315" t="s">
        <v>10</v>
      </c>
      <c r="F8315">
        <v>63.5</v>
      </c>
    </row>
    <row r="8316" spans="2:6">
      <c r="B8316">
        <v>2016</v>
      </c>
      <c r="C8316" t="s">
        <v>93</v>
      </c>
      <c r="D8316" t="s">
        <v>182</v>
      </c>
      <c r="E8316" t="s">
        <v>11</v>
      </c>
      <c r="F8316">
        <v>0.81393921375274658</v>
      </c>
    </row>
    <row r="8317" spans="2:6">
      <c r="B8317">
        <v>2016</v>
      </c>
      <c r="C8317" t="s">
        <v>93</v>
      </c>
      <c r="D8317" t="s">
        <v>182</v>
      </c>
      <c r="E8317" t="s">
        <v>12</v>
      </c>
      <c r="F8317">
        <v>5.6209288537502289E-2</v>
      </c>
    </row>
    <row r="8318" spans="2:6">
      <c r="B8318">
        <v>2016</v>
      </c>
      <c r="C8318" t="s">
        <v>93</v>
      </c>
      <c r="D8318" t="s">
        <v>182</v>
      </c>
      <c r="E8318" t="s">
        <v>13</v>
      </c>
      <c r="F8318">
        <v>0.91692280769348145</v>
      </c>
    </row>
    <row r="8319" spans="2:6">
      <c r="B8319">
        <v>2016</v>
      </c>
      <c r="C8319" t="s">
        <v>93</v>
      </c>
      <c r="D8319" t="s">
        <v>182</v>
      </c>
      <c r="E8319" t="s">
        <v>14</v>
      </c>
      <c r="F8319">
        <v>0.77817124128341675</v>
      </c>
    </row>
    <row r="8320" spans="2:6">
      <c r="B8320">
        <v>2016</v>
      </c>
      <c r="C8320" t="s">
        <v>93</v>
      </c>
      <c r="D8320" t="s">
        <v>182</v>
      </c>
      <c r="E8320" t="s">
        <v>15</v>
      </c>
      <c r="F8320">
        <v>0.12609967589378357</v>
      </c>
    </row>
    <row r="8321" spans="2:6">
      <c r="B8321">
        <v>2017</v>
      </c>
      <c r="C8321" t="s">
        <v>93</v>
      </c>
      <c r="D8321" t="s">
        <v>182</v>
      </c>
      <c r="E8321" t="s">
        <v>7</v>
      </c>
      <c r="F8321">
        <v>5.6295366287231445</v>
      </c>
    </row>
    <row r="8322" spans="2:6">
      <c r="B8322">
        <v>2017</v>
      </c>
      <c r="C8322" t="s">
        <v>93</v>
      </c>
      <c r="D8322" t="s">
        <v>182</v>
      </c>
      <c r="E8322" t="s">
        <v>8</v>
      </c>
      <c r="F8322">
        <v>8.5264883041381836</v>
      </c>
    </row>
    <row r="8323" spans="2:6">
      <c r="B8323">
        <v>2017</v>
      </c>
      <c r="C8323" t="s">
        <v>93</v>
      </c>
      <c r="D8323" t="s">
        <v>182</v>
      </c>
      <c r="E8323" t="s">
        <v>9</v>
      </c>
      <c r="F8323">
        <v>0.88258665800094604</v>
      </c>
    </row>
    <row r="8324" spans="2:6">
      <c r="B8324">
        <v>2017</v>
      </c>
      <c r="C8324" t="s">
        <v>93</v>
      </c>
      <c r="D8324" t="s">
        <v>182</v>
      </c>
      <c r="E8324" t="s">
        <v>10</v>
      </c>
      <c r="F8324">
        <v>63.799999237060547</v>
      </c>
    </row>
    <row r="8325" spans="2:6">
      <c r="B8325">
        <v>2017</v>
      </c>
      <c r="C8325" t="s">
        <v>93</v>
      </c>
      <c r="D8325" t="s">
        <v>182</v>
      </c>
      <c r="E8325" t="s">
        <v>11</v>
      </c>
      <c r="F8325">
        <v>0.8593897819519043</v>
      </c>
    </row>
    <row r="8326" spans="2:6">
      <c r="B8326">
        <v>2017</v>
      </c>
      <c r="C8326" t="s">
        <v>93</v>
      </c>
      <c r="D8326" t="s">
        <v>182</v>
      </c>
      <c r="E8326" t="s">
        <v>12</v>
      </c>
      <c r="F8326">
        <v>0.1430242657661438</v>
      </c>
    </row>
    <row r="8327" spans="2:6">
      <c r="B8327">
        <v>2017</v>
      </c>
      <c r="C8327" t="s">
        <v>93</v>
      </c>
      <c r="D8327" t="s">
        <v>182</v>
      </c>
      <c r="E8327" t="s">
        <v>13</v>
      </c>
      <c r="F8327">
        <v>0.87449449300765991</v>
      </c>
    </row>
    <row r="8328" spans="2:6">
      <c r="B8328">
        <v>2017</v>
      </c>
      <c r="C8328" t="s">
        <v>93</v>
      </c>
      <c r="D8328" t="s">
        <v>182</v>
      </c>
      <c r="E8328" t="s">
        <v>14</v>
      </c>
      <c r="F8328">
        <v>0.75512522459030151</v>
      </c>
    </row>
    <row r="8329" spans="2:6">
      <c r="B8329">
        <v>2017</v>
      </c>
      <c r="C8329" t="s">
        <v>93</v>
      </c>
      <c r="D8329" t="s">
        <v>182</v>
      </c>
      <c r="E8329" t="s">
        <v>15</v>
      </c>
      <c r="F8329">
        <v>0.16043831408023834</v>
      </c>
    </row>
    <row r="8330" spans="2:6">
      <c r="B8330">
        <v>2018</v>
      </c>
      <c r="C8330" t="s">
        <v>93</v>
      </c>
      <c r="D8330" t="s">
        <v>182</v>
      </c>
      <c r="E8330" t="s">
        <v>7</v>
      </c>
      <c r="F8330">
        <v>5.2973833084106445</v>
      </c>
    </row>
    <row r="8331" spans="2:6">
      <c r="B8331">
        <v>2018</v>
      </c>
      <c r="C8331" t="s">
        <v>93</v>
      </c>
      <c r="D8331" t="s">
        <v>182</v>
      </c>
      <c r="E8331" t="s">
        <v>8</v>
      </c>
      <c r="F8331">
        <v>8.5434751510620117</v>
      </c>
    </row>
    <row r="8332" spans="2:6">
      <c r="B8332">
        <v>2018</v>
      </c>
      <c r="C8332" t="s">
        <v>93</v>
      </c>
      <c r="D8332" t="s">
        <v>182</v>
      </c>
      <c r="E8332" t="s">
        <v>9</v>
      </c>
      <c r="F8332">
        <v>0.8981478214263916</v>
      </c>
    </row>
    <row r="8333" spans="2:6">
      <c r="B8333">
        <v>2018</v>
      </c>
      <c r="C8333" t="s">
        <v>93</v>
      </c>
      <c r="D8333" t="s">
        <v>182</v>
      </c>
      <c r="E8333" t="s">
        <v>10</v>
      </c>
      <c r="F8333">
        <v>64.099998474121094</v>
      </c>
    </row>
    <row r="8334" spans="2:6">
      <c r="B8334">
        <v>2018</v>
      </c>
      <c r="C8334" t="s">
        <v>93</v>
      </c>
      <c r="D8334" t="s">
        <v>182</v>
      </c>
      <c r="E8334" t="s">
        <v>11</v>
      </c>
      <c r="F8334">
        <v>0.94494765996932983</v>
      </c>
    </row>
    <row r="8335" spans="2:6">
      <c r="B8335">
        <v>2018</v>
      </c>
      <c r="C8335" t="s">
        <v>93</v>
      </c>
      <c r="D8335" t="s">
        <v>182</v>
      </c>
      <c r="E8335" t="s">
        <v>12</v>
      </c>
      <c r="F8335">
        <v>0.2669035792350769</v>
      </c>
    </row>
    <row r="8336" spans="2:6">
      <c r="B8336">
        <v>2018</v>
      </c>
      <c r="C8336" t="s">
        <v>93</v>
      </c>
      <c r="D8336" t="s">
        <v>182</v>
      </c>
      <c r="E8336" t="s">
        <v>13</v>
      </c>
      <c r="F8336">
        <v>0.9074053168296814</v>
      </c>
    </row>
    <row r="8337" spans="2:6">
      <c r="B8337">
        <v>2018</v>
      </c>
      <c r="C8337" t="s">
        <v>93</v>
      </c>
      <c r="D8337" t="s">
        <v>182</v>
      </c>
      <c r="E8337" t="s">
        <v>14</v>
      </c>
      <c r="F8337">
        <v>0.76327055692672729</v>
      </c>
    </row>
    <row r="8338" spans="2:6">
      <c r="B8338">
        <v>2018</v>
      </c>
      <c r="C8338" t="s">
        <v>93</v>
      </c>
      <c r="D8338" t="s">
        <v>182</v>
      </c>
      <c r="E8338" t="s">
        <v>15</v>
      </c>
      <c r="F8338">
        <v>0.20330014824867249</v>
      </c>
    </row>
    <row r="8339" spans="2:6">
      <c r="B8339">
        <v>2019</v>
      </c>
      <c r="C8339" t="s">
        <v>93</v>
      </c>
      <c r="D8339" t="s">
        <v>182</v>
      </c>
      <c r="E8339" t="s">
        <v>7</v>
      </c>
      <c r="F8339">
        <v>5.6852207183837891</v>
      </c>
    </row>
    <row r="8340" spans="2:6">
      <c r="B8340">
        <v>2019</v>
      </c>
      <c r="C8340" t="s">
        <v>93</v>
      </c>
      <c r="D8340" t="s">
        <v>182</v>
      </c>
      <c r="E8340" t="s">
        <v>8</v>
      </c>
      <c r="F8340">
        <v>8.5665731430053711</v>
      </c>
    </row>
    <row r="8341" spans="2:6">
      <c r="B8341">
        <v>2019</v>
      </c>
      <c r="C8341" t="s">
        <v>93</v>
      </c>
      <c r="D8341" t="s">
        <v>182</v>
      </c>
      <c r="E8341" t="s">
        <v>9</v>
      </c>
      <c r="F8341">
        <v>0.87702786922454834</v>
      </c>
    </row>
    <row r="8342" spans="2:6">
      <c r="B8342">
        <v>2019</v>
      </c>
      <c r="C8342" t="s">
        <v>93</v>
      </c>
      <c r="D8342" t="s">
        <v>182</v>
      </c>
      <c r="E8342" t="s">
        <v>10</v>
      </c>
      <c r="F8342">
        <v>64.400001525878906</v>
      </c>
    </row>
    <row r="8343" spans="2:6">
      <c r="B8343">
        <v>2019</v>
      </c>
      <c r="C8343" t="s">
        <v>93</v>
      </c>
      <c r="D8343" t="s">
        <v>182</v>
      </c>
      <c r="E8343" t="s">
        <v>11</v>
      </c>
      <c r="F8343">
        <v>0.92043626308441162</v>
      </c>
    </row>
    <row r="8344" spans="2:6">
      <c r="B8344">
        <v>2019</v>
      </c>
      <c r="C8344" t="s">
        <v>93</v>
      </c>
      <c r="D8344" t="s">
        <v>182</v>
      </c>
      <c r="E8344" t="s">
        <v>12</v>
      </c>
      <c r="F8344">
        <v>-2.3605974856764078E-3</v>
      </c>
    </row>
    <row r="8345" spans="2:6">
      <c r="B8345">
        <v>2019</v>
      </c>
      <c r="C8345" t="s">
        <v>93</v>
      </c>
      <c r="D8345" t="s">
        <v>182</v>
      </c>
      <c r="E8345" t="s">
        <v>13</v>
      </c>
      <c r="F8345">
        <v>0.8845399022102356</v>
      </c>
    </row>
    <row r="8346" spans="2:6">
      <c r="B8346">
        <v>2019</v>
      </c>
      <c r="C8346" t="s">
        <v>93</v>
      </c>
      <c r="D8346" t="s">
        <v>182</v>
      </c>
      <c r="E8346" t="s">
        <v>14</v>
      </c>
      <c r="F8346">
        <v>0.76574158668518066</v>
      </c>
    </row>
    <row r="8347" spans="2:6">
      <c r="B8347">
        <v>2019</v>
      </c>
      <c r="C8347" t="s">
        <v>93</v>
      </c>
      <c r="D8347" t="s">
        <v>182</v>
      </c>
      <c r="E8347" t="s">
        <v>15</v>
      </c>
      <c r="F8347">
        <v>0.20722906291484833</v>
      </c>
    </row>
    <row r="8348" spans="2:6">
      <c r="B8348">
        <v>2020</v>
      </c>
      <c r="C8348" t="s">
        <v>93</v>
      </c>
      <c r="D8348" t="s">
        <v>182</v>
      </c>
      <c r="E8348" t="s">
        <v>7</v>
      </c>
      <c r="F8348">
        <v>6.2495861053466797</v>
      </c>
    </row>
    <row r="8349" spans="2:6">
      <c r="B8349">
        <v>2020</v>
      </c>
      <c r="C8349" t="s">
        <v>93</v>
      </c>
      <c r="D8349" t="s">
        <v>182</v>
      </c>
      <c r="E8349" t="s">
        <v>8</v>
      </c>
      <c r="F8349">
        <v>8.5034112930297852</v>
      </c>
    </row>
    <row r="8350" spans="2:6">
      <c r="B8350">
        <v>2020</v>
      </c>
      <c r="C8350" t="s">
        <v>93</v>
      </c>
      <c r="D8350" t="s">
        <v>182</v>
      </c>
      <c r="E8350" t="s">
        <v>9</v>
      </c>
      <c r="F8350">
        <v>0.90222299098968506</v>
      </c>
    </row>
    <row r="8351" spans="2:6">
      <c r="B8351">
        <v>2020</v>
      </c>
      <c r="C8351" t="s">
        <v>93</v>
      </c>
      <c r="D8351" t="s">
        <v>182</v>
      </c>
      <c r="E8351" t="s">
        <v>10</v>
      </c>
      <c r="F8351">
        <v>64.699996948242188</v>
      </c>
    </row>
    <row r="8352" spans="2:6">
      <c r="B8352">
        <v>2020</v>
      </c>
      <c r="C8352" t="s">
        <v>93</v>
      </c>
      <c r="D8352" t="s">
        <v>182</v>
      </c>
      <c r="E8352" t="s">
        <v>11</v>
      </c>
      <c r="F8352">
        <v>0.93488532304763794</v>
      </c>
    </row>
    <row r="8353" spans="2:6">
      <c r="B8353">
        <v>2020</v>
      </c>
      <c r="C8353" t="s">
        <v>93</v>
      </c>
      <c r="D8353" t="s">
        <v>182</v>
      </c>
      <c r="E8353" t="s">
        <v>12</v>
      </c>
      <c r="F8353">
        <v>0.10286574065685272</v>
      </c>
    </row>
    <row r="8354" spans="2:6">
      <c r="B8354">
        <v>2020</v>
      </c>
      <c r="C8354" t="s">
        <v>93</v>
      </c>
      <c r="D8354" t="s">
        <v>182</v>
      </c>
      <c r="E8354" t="s">
        <v>13</v>
      </c>
      <c r="F8354">
        <v>0.93131750822067261</v>
      </c>
    </row>
    <row r="8355" spans="2:6">
      <c r="B8355">
        <v>2020</v>
      </c>
      <c r="C8355" t="s">
        <v>93</v>
      </c>
      <c r="D8355" t="s">
        <v>182</v>
      </c>
      <c r="E8355" t="s">
        <v>14</v>
      </c>
      <c r="F8355">
        <v>0.80302536487579346</v>
      </c>
    </row>
    <row r="8356" spans="2:6">
      <c r="B8356">
        <v>2020</v>
      </c>
      <c r="C8356" t="s">
        <v>93</v>
      </c>
      <c r="D8356" t="s">
        <v>182</v>
      </c>
      <c r="E8356" t="s">
        <v>15</v>
      </c>
      <c r="F8356">
        <v>0.25781306624412537</v>
      </c>
    </row>
    <row r="8357" spans="2:6">
      <c r="B8357">
        <v>2006</v>
      </c>
      <c r="C8357" t="s">
        <v>94</v>
      </c>
      <c r="D8357" t="s">
        <v>182</v>
      </c>
      <c r="E8357" t="s">
        <v>7</v>
      </c>
      <c r="F8357">
        <v>5.076225757598877</v>
      </c>
    </row>
    <row r="8358" spans="2:6">
      <c r="B8358">
        <v>2006</v>
      </c>
      <c r="C8358" t="s">
        <v>94</v>
      </c>
      <c r="D8358" t="s">
        <v>182</v>
      </c>
      <c r="E8358" t="s">
        <v>8</v>
      </c>
      <c r="F8358">
        <v>8.2507238388061523</v>
      </c>
    </row>
    <row r="8359" spans="2:6">
      <c r="B8359">
        <v>2006</v>
      </c>
      <c r="C8359" t="s">
        <v>94</v>
      </c>
      <c r="D8359" t="s">
        <v>182</v>
      </c>
      <c r="E8359" t="s">
        <v>9</v>
      </c>
      <c r="F8359">
        <v>0.80698704719543457</v>
      </c>
    </row>
    <row r="8360" spans="2:6">
      <c r="B8360">
        <v>2006</v>
      </c>
      <c r="C8360" t="s">
        <v>94</v>
      </c>
      <c r="D8360" t="s">
        <v>182</v>
      </c>
      <c r="E8360" t="s">
        <v>10</v>
      </c>
      <c r="F8360">
        <v>53.919998168945313</v>
      </c>
    </row>
    <row r="8361" spans="2:6">
      <c r="B8361">
        <v>2006</v>
      </c>
      <c r="C8361" t="s">
        <v>94</v>
      </c>
      <c r="D8361" t="s">
        <v>182</v>
      </c>
      <c r="E8361" t="s">
        <v>11</v>
      </c>
      <c r="F8361">
        <v>0.92508214712142944</v>
      </c>
    </row>
    <row r="8362" spans="2:6">
      <c r="B8362">
        <v>2006</v>
      </c>
      <c r="C8362" t="s">
        <v>94</v>
      </c>
      <c r="D8362" t="s">
        <v>182</v>
      </c>
      <c r="E8362" t="s">
        <v>12</v>
      </c>
      <c r="F8362">
        <v>0.4392152726650238</v>
      </c>
    </row>
    <row r="8363" spans="2:6">
      <c r="B8363">
        <v>2006</v>
      </c>
      <c r="C8363" t="s">
        <v>94</v>
      </c>
      <c r="D8363" t="s">
        <v>182</v>
      </c>
      <c r="E8363" t="s">
        <v>13</v>
      </c>
      <c r="F8363">
        <v>0.68781423568725586</v>
      </c>
    </row>
    <row r="8364" spans="2:6">
      <c r="B8364">
        <v>2006</v>
      </c>
      <c r="C8364" t="s">
        <v>94</v>
      </c>
      <c r="D8364" t="s">
        <v>182</v>
      </c>
      <c r="E8364" t="s">
        <v>14</v>
      </c>
      <c r="F8364">
        <v>0.88581597805023193</v>
      </c>
    </row>
    <row r="8365" spans="2:6">
      <c r="B8365">
        <v>2006</v>
      </c>
      <c r="C8365" t="s">
        <v>94</v>
      </c>
      <c r="D8365" t="s">
        <v>182</v>
      </c>
      <c r="E8365" t="s">
        <v>15</v>
      </c>
      <c r="F8365">
        <v>0.16268469393253326</v>
      </c>
    </row>
    <row r="8366" spans="2:6">
      <c r="B8366">
        <v>2007</v>
      </c>
      <c r="C8366" t="s">
        <v>94</v>
      </c>
      <c r="D8366" t="s">
        <v>182</v>
      </c>
      <c r="E8366" t="s">
        <v>7</v>
      </c>
      <c r="F8366">
        <v>5.3638548851013184</v>
      </c>
    </row>
    <row r="8367" spans="2:6">
      <c r="B8367">
        <v>2007</v>
      </c>
      <c r="C8367" t="s">
        <v>94</v>
      </c>
      <c r="D8367" t="s">
        <v>182</v>
      </c>
      <c r="E8367" t="s">
        <v>8</v>
      </c>
      <c r="F8367">
        <v>8.3071727752685547</v>
      </c>
    </row>
    <row r="8368" spans="2:6">
      <c r="B8368">
        <v>2007</v>
      </c>
      <c r="C8368" t="s">
        <v>94</v>
      </c>
      <c r="D8368" t="s">
        <v>182</v>
      </c>
      <c r="E8368" t="s">
        <v>9</v>
      </c>
      <c r="F8368">
        <v>0.78962069749832153</v>
      </c>
    </row>
    <row r="8369" spans="2:6">
      <c r="B8369">
        <v>2007</v>
      </c>
      <c r="C8369" t="s">
        <v>94</v>
      </c>
      <c r="D8369" t="s">
        <v>182</v>
      </c>
      <c r="E8369" t="s">
        <v>10</v>
      </c>
      <c r="F8369">
        <v>54.439998626708984</v>
      </c>
    </row>
    <row r="8370" spans="2:6">
      <c r="B8370">
        <v>2007</v>
      </c>
      <c r="C8370" t="s">
        <v>94</v>
      </c>
      <c r="D8370" t="s">
        <v>182</v>
      </c>
      <c r="E8370" t="s">
        <v>11</v>
      </c>
      <c r="F8370">
        <v>0.86652487516403198</v>
      </c>
    </row>
    <row r="8371" spans="2:6">
      <c r="B8371">
        <v>2007</v>
      </c>
      <c r="C8371" t="s">
        <v>94</v>
      </c>
      <c r="D8371" t="s">
        <v>182</v>
      </c>
      <c r="E8371" t="s">
        <v>12</v>
      </c>
      <c r="F8371">
        <v>0.47805741429328918</v>
      </c>
    </row>
    <row r="8372" spans="2:6">
      <c r="B8372">
        <v>2007</v>
      </c>
      <c r="C8372" t="s">
        <v>94</v>
      </c>
      <c r="D8372" t="s">
        <v>182</v>
      </c>
      <c r="E8372" t="s">
        <v>13</v>
      </c>
      <c r="F8372">
        <v>0.58006709814071655</v>
      </c>
    </row>
    <row r="8373" spans="2:6">
      <c r="B8373">
        <v>2007</v>
      </c>
      <c r="C8373" t="s">
        <v>94</v>
      </c>
      <c r="D8373" t="s">
        <v>182</v>
      </c>
      <c r="E8373" t="s">
        <v>14</v>
      </c>
      <c r="F8373">
        <v>0.86113935708999634</v>
      </c>
    </row>
    <row r="8374" spans="2:6">
      <c r="B8374">
        <v>2007</v>
      </c>
      <c r="C8374" t="s">
        <v>94</v>
      </c>
      <c r="D8374" t="s">
        <v>182</v>
      </c>
      <c r="E8374" t="s">
        <v>15</v>
      </c>
      <c r="F8374">
        <v>0.13567145168781281</v>
      </c>
    </row>
    <row r="8375" spans="2:6">
      <c r="B8375">
        <v>2008</v>
      </c>
      <c r="C8375" t="s">
        <v>94</v>
      </c>
      <c r="D8375" t="s">
        <v>182</v>
      </c>
      <c r="E8375" t="s">
        <v>7</v>
      </c>
      <c r="F8375">
        <v>5.0440988540649414</v>
      </c>
    </row>
    <row r="8376" spans="2:6">
      <c r="B8376">
        <v>2008</v>
      </c>
      <c r="C8376" t="s">
        <v>94</v>
      </c>
      <c r="D8376" t="s">
        <v>182</v>
      </c>
      <c r="E8376" t="s">
        <v>8</v>
      </c>
      <c r="F8376">
        <v>8.3655538558959961</v>
      </c>
    </row>
    <row r="8377" spans="2:6">
      <c r="B8377">
        <v>2008</v>
      </c>
      <c r="C8377" t="s">
        <v>94</v>
      </c>
      <c r="D8377" t="s">
        <v>182</v>
      </c>
      <c r="E8377" t="s">
        <v>9</v>
      </c>
      <c r="F8377">
        <v>0.80708622932434082</v>
      </c>
    </row>
    <row r="8378" spans="2:6">
      <c r="B8378">
        <v>2008</v>
      </c>
      <c r="C8378" t="s">
        <v>94</v>
      </c>
      <c r="D8378" t="s">
        <v>182</v>
      </c>
      <c r="E8378" t="s">
        <v>10</v>
      </c>
      <c r="F8378">
        <v>54.959999084472656</v>
      </c>
    </row>
    <row r="8379" spans="2:6">
      <c r="B8379">
        <v>2008</v>
      </c>
      <c r="C8379" t="s">
        <v>94</v>
      </c>
      <c r="D8379" t="s">
        <v>182</v>
      </c>
      <c r="E8379" t="s">
        <v>11</v>
      </c>
      <c r="F8379">
        <v>0.88621389865875244</v>
      </c>
    </row>
    <row r="8380" spans="2:6">
      <c r="B8380">
        <v>2008</v>
      </c>
      <c r="C8380" t="s">
        <v>94</v>
      </c>
      <c r="D8380" t="s">
        <v>182</v>
      </c>
      <c r="E8380" t="s">
        <v>12</v>
      </c>
      <c r="F8380">
        <v>0.41620731353759766</v>
      </c>
    </row>
    <row r="8381" spans="2:6">
      <c r="B8381">
        <v>2008</v>
      </c>
      <c r="C8381" t="s">
        <v>94</v>
      </c>
      <c r="D8381" t="s">
        <v>182</v>
      </c>
      <c r="E8381" t="s">
        <v>13</v>
      </c>
      <c r="F8381">
        <v>0.63740932941436768</v>
      </c>
    </row>
    <row r="8382" spans="2:6">
      <c r="B8382">
        <v>2008</v>
      </c>
      <c r="C8382" t="s">
        <v>94</v>
      </c>
      <c r="D8382" t="s">
        <v>182</v>
      </c>
      <c r="E8382" t="s">
        <v>14</v>
      </c>
      <c r="F8382">
        <v>0.82927000522613525</v>
      </c>
    </row>
    <row r="8383" spans="2:6">
      <c r="B8383">
        <v>2008</v>
      </c>
      <c r="C8383" t="s">
        <v>94</v>
      </c>
      <c r="D8383" t="s">
        <v>182</v>
      </c>
      <c r="E8383" t="s">
        <v>15</v>
      </c>
      <c r="F8383">
        <v>0.20175497233867645</v>
      </c>
    </row>
    <row r="8384" spans="2:6">
      <c r="B8384">
        <v>2011</v>
      </c>
      <c r="C8384" t="s">
        <v>94</v>
      </c>
      <c r="D8384" t="s">
        <v>182</v>
      </c>
      <c r="E8384" t="s">
        <v>7</v>
      </c>
      <c r="F8384">
        <v>4.7037496566772461</v>
      </c>
    </row>
    <row r="8385" spans="2:6">
      <c r="B8385">
        <v>2011</v>
      </c>
      <c r="C8385" t="s">
        <v>94</v>
      </c>
      <c r="D8385" t="s">
        <v>182</v>
      </c>
      <c r="E8385" t="s">
        <v>8</v>
      </c>
      <c r="F8385">
        <v>8.5484657287597656</v>
      </c>
    </row>
    <row r="8386" spans="2:6">
      <c r="B8386">
        <v>2011</v>
      </c>
      <c r="C8386" t="s">
        <v>94</v>
      </c>
      <c r="D8386" t="s">
        <v>182</v>
      </c>
      <c r="E8386" t="s">
        <v>9</v>
      </c>
      <c r="F8386">
        <v>0.69087779521942139</v>
      </c>
    </row>
    <row r="8387" spans="2:6">
      <c r="B8387">
        <v>2011</v>
      </c>
      <c r="C8387" t="s">
        <v>94</v>
      </c>
      <c r="D8387" t="s">
        <v>182</v>
      </c>
      <c r="E8387" t="s">
        <v>10</v>
      </c>
      <c r="F8387">
        <v>56.299999237060547</v>
      </c>
    </row>
    <row r="8388" spans="2:6">
      <c r="B8388">
        <v>2011</v>
      </c>
      <c r="C8388" t="s">
        <v>94</v>
      </c>
      <c r="D8388" t="s">
        <v>182</v>
      </c>
      <c r="E8388" t="s">
        <v>11</v>
      </c>
      <c r="F8388">
        <v>0.88163381814956665</v>
      </c>
    </row>
    <row r="8389" spans="2:6">
      <c r="B8389">
        <v>2011</v>
      </c>
      <c r="C8389" t="s">
        <v>94</v>
      </c>
      <c r="D8389" t="s">
        <v>182</v>
      </c>
      <c r="E8389" t="s">
        <v>12</v>
      </c>
      <c r="F8389">
        <v>0.45859336853027344</v>
      </c>
    </row>
    <row r="8390" spans="2:6">
      <c r="B8390">
        <v>2011</v>
      </c>
      <c r="C8390" t="s">
        <v>94</v>
      </c>
      <c r="D8390" t="s">
        <v>182</v>
      </c>
      <c r="E8390" t="s">
        <v>13</v>
      </c>
      <c r="F8390">
        <v>0.587321937084198</v>
      </c>
    </row>
    <row r="8391" spans="2:6">
      <c r="B8391">
        <v>2011</v>
      </c>
      <c r="C8391" t="s">
        <v>94</v>
      </c>
      <c r="D8391" t="s">
        <v>182</v>
      </c>
      <c r="E8391" t="s">
        <v>14</v>
      </c>
      <c r="F8391">
        <v>0.89981234073638916</v>
      </c>
    </row>
    <row r="8392" spans="2:6">
      <c r="B8392">
        <v>2011</v>
      </c>
      <c r="C8392" t="s">
        <v>94</v>
      </c>
      <c r="D8392" t="s">
        <v>182</v>
      </c>
      <c r="E8392" t="s">
        <v>15</v>
      </c>
      <c r="F8392">
        <v>0.22527849674224854</v>
      </c>
    </row>
    <row r="8393" spans="2:6">
      <c r="B8393">
        <v>2012</v>
      </c>
      <c r="C8393" t="s">
        <v>94</v>
      </c>
      <c r="D8393" t="s">
        <v>182</v>
      </c>
      <c r="E8393" t="s">
        <v>7</v>
      </c>
      <c r="F8393">
        <v>4.8760848045349121</v>
      </c>
    </row>
    <row r="8394" spans="2:6">
      <c r="B8394">
        <v>2012</v>
      </c>
      <c r="C8394" t="s">
        <v>94</v>
      </c>
      <c r="D8394" t="s">
        <v>182</v>
      </c>
      <c r="E8394" t="s">
        <v>8</v>
      </c>
      <c r="F8394">
        <v>8.6105079650878906</v>
      </c>
    </row>
    <row r="8395" spans="2:6">
      <c r="B8395">
        <v>2012</v>
      </c>
      <c r="C8395" t="s">
        <v>94</v>
      </c>
      <c r="D8395" t="s">
        <v>182</v>
      </c>
      <c r="E8395" t="s">
        <v>9</v>
      </c>
      <c r="F8395">
        <v>0.69262790679931641</v>
      </c>
    </row>
    <row r="8396" spans="2:6">
      <c r="B8396">
        <v>2012</v>
      </c>
      <c r="C8396" t="s">
        <v>94</v>
      </c>
      <c r="D8396" t="s">
        <v>182</v>
      </c>
      <c r="E8396" t="s">
        <v>10</v>
      </c>
      <c r="F8396">
        <v>56.599998474121094</v>
      </c>
    </row>
    <row r="8397" spans="2:6">
      <c r="B8397">
        <v>2012</v>
      </c>
      <c r="C8397" t="s">
        <v>94</v>
      </c>
      <c r="D8397" t="s">
        <v>182</v>
      </c>
      <c r="E8397" t="s">
        <v>12</v>
      </c>
      <c r="F8397">
        <v>0.23210923373699188</v>
      </c>
    </row>
    <row r="8398" spans="2:6">
      <c r="B8398">
        <v>2012</v>
      </c>
      <c r="C8398" t="s">
        <v>94</v>
      </c>
      <c r="D8398" t="s">
        <v>182</v>
      </c>
      <c r="E8398" t="s">
        <v>14</v>
      </c>
      <c r="F8398">
        <v>0.91680097579956055</v>
      </c>
    </row>
    <row r="8399" spans="2:6">
      <c r="B8399">
        <v>2012</v>
      </c>
      <c r="C8399" t="s">
        <v>94</v>
      </c>
      <c r="D8399" t="s">
        <v>182</v>
      </c>
      <c r="E8399" t="s">
        <v>15</v>
      </c>
      <c r="F8399">
        <v>0.38667923212051392</v>
      </c>
    </row>
    <row r="8400" spans="2:6">
      <c r="B8400">
        <v>2017</v>
      </c>
      <c r="C8400" t="s">
        <v>94</v>
      </c>
      <c r="D8400" t="s">
        <v>182</v>
      </c>
      <c r="E8400" t="s">
        <v>7</v>
      </c>
      <c r="F8400">
        <v>4.623140811920166</v>
      </c>
    </row>
    <row r="8401" spans="2:6">
      <c r="B8401">
        <v>2017</v>
      </c>
      <c r="C8401" t="s">
        <v>94</v>
      </c>
      <c r="D8401" t="s">
        <v>182</v>
      </c>
      <c r="E8401" t="s">
        <v>8</v>
      </c>
      <c r="F8401">
        <v>8.8898334503173828</v>
      </c>
    </row>
    <row r="8402" spans="2:6">
      <c r="B8402">
        <v>2017</v>
      </c>
      <c r="C8402" t="s">
        <v>94</v>
      </c>
      <c r="D8402" t="s">
        <v>182</v>
      </c>
      <c r="E8402" t="s">
        <v>9</v>
      </c>
      <c r="F8402">
        <v>0.70733577013015747</v>
      </c>
    </row>
    <row r="8403" spans="2:6">
      <c r="B8403">
        <v>2017</v>
      </c>
      <c r="C8403" t="s">
        <v>94</v>
      </c>
      <c r="D8403" t="s">
        <v>182</v>
      </c>
      <c r="E8403" t="s">
        <v>10</v>
      </c>
      <c r="F8403">
        <v>58.299999237060547</v>
      </c>
    </row>
    <row r="8404" spans="2:6">
      <c r="B8404">
        <v>2017</v>
      </c>
      <c r="C8404" t="s">
        <v>94</v>
      </c>
      <c r="D8404" t="s">
        <v>182</v>
      </c>
      <c r="E8404" t="s">
        <v>11</v>
      </c>
      <c r="F8404">
        <v>0.89100074768066406</v>
      </c>
    </row>
    <row r="8405" spans="2:6">
      <c r="B8405">
        <v>2017</v>
      </c>
      <c r="C8405" t="s">
        <v>94</v>
      </c>
      <c r="D8405" t="s">
        <v>182</v>
      </c>
      <c r="E8405" t="s">
        <v>12</v>
      </c>
      <c r="F8405">
        <v>7.3113381862640381E-2</v>
      </c>
    </row>
    <row r="8406" spans="2:6">
      <c r="B8406">
        <v>2017</v>
      </c>
      <c r="C8406" t="s">
        <v>94</v>
      </c>
      <c r="D8406" t="s">
        <v>182</v>
      </c>
      <c r="E8406" t="s">
        <v>13</v>
      </c>
      <c r="F8406">
        <v>0.59161680936813354</v>
      </c>
    </row>
    <row r="8407" spans="2:6">
      <c r="B8407">
        <v>2017</v>
      </c>
      <c r="C8407" t="s">
        <v>94</v>
      </c>
      <c r="D8407" t="s">
        <v>182</v>
      </c>
      <c r="E8407" t="s">
        <v>14</v>
      </c>
      <c r="F8407">
        <v>0.87279176712036133</v>
      </c>
    </row>
    <row r="8408" spans="2:6">
      <c r="B8408">
        <v>2017</v>
      </c>
      <c r="C8408" t="s">
        <v>94</v>
      </c>
      <c r="D8408" t="s">
        <v>182</v>
      </c>
      <c r="E8408" t="s">
        <v>15</v>
      </c>
      <c r="F8408">
        <v>0.34422588348388672</v>
      </c>
    </row>
    <row r="8409" spans="2:6">
      <c r="B8409">
        <v>2018</v>
      </c>
      <c r="C8409" t="s">
        <v>94</v>
      </c>
      <c r="D8409" t="s">
        <v>182</v>
      </c>
      <c r="E8409" t="s">
        <v>7</v>
      </c>
      <c r="F8409">
        <v>4.8594021797180176</v>
      </c>
    </row>
    <row r="8410" spans="2:6">
      <c r="B8410">
        <v>2018</v>
      </c>
      <c r="C8410" t="s">
        <v>94</v>
      </c>
      <c r="D8410" t="s">
        <v>182</v>
      </c>
      <c r="E8410" t="s">
        <v>8</v>
      </c>
      <c r="F8410">
        <v>8.9349584579467773</v>
      </c>
    </row>
    <row r="8411" spans="2:6">
      <c r="B8411">
        <v>2018</v>
      </c>
      <c r="C8411" t="s">
        <v>94</v>
      </c>
      <c r="D8411" t="s">
        <v>182</v>
      </c>
      <c r="E8411" t="s">
        <v>9</v>
      </c>
      <c r="F8411">
        <v>0.70473814010620117</v>
      </c>
    </row>
    <row r="8412" spans="2:6">
      <c r="B8412">
        <v>2018</v>
      </c>
      <c r="C8412" t="s">
        <v>94</v>
      </c>
      <c r="D8412" t="s">
        <v>182</v>
      </c>
      <c r="E8412" t="s">
        <v>10</v>
      </c>
      <c r="F8412">
        <v>58.700000762939453</v>
      </c>
    </row>
    <row r="8413" spans="2:6">
      <c r="B8413">
        <v>2018</v>
      </c>
      <c r="C8413" t="s">
        <v>94</v>
      </c>
      <c r="D8413" t="s">
        <v>182</v>
      </c>
      <c r="E8413" t="s">
        <v>11</v>
      </c>
      <c r="F8413">
        <v>0.90666097402572632</v>
      </c>
    </row>
    <row r="8414" spans="2:6">
      <c r="B8414">
        <v>2018</v>
      </c>
      <c r="C8414" t="s">
        <v>94</v>
      </c>
      <c r="D8414" t="s">
        <v>182</v>
      </c>
      <c r="E8414" t="s">
        <v>12</v>
      </c>
      <c r="F8414">
        <v>0.14114616811275482</v>
      </c>
    </row>
    <row r="8415" spans="2:6">
      <c r="B8415">
        <v>2018</v>
      </c>
      <c r="C8415" t="s">
        <v>94</v>
      </c>
      <c r="D8415" t="s">
        <v>182</v>
      </c>
      <c r="E8415" t="s">
        <v>13</v>
      </c>
      <c r="F8415">
        <v>0.63423985242843628</v>
      </c>
    </row>
    <row r="8416" spans="2:6">
      <c r="B8416">
        <v>2018</v>
      </c>
      <c r="C8416" t="s">
        <v>94</v>
      </c>
      <c r="D8416" t="s">
        <v>182</v>
      </c>
      <c r="E8416" t="s">
        <v>14</v>
      </c>
      <c r="F8416">
        <v>0.85221356153488159</v>
      </c>
    </row>
    <row r="8417" spans="2:6">
      <c r="B8417">
        <v>2018</v>
      </c>
      <c r="C8417" t="s">
        <v>94</v>
      </c>
      <c r="D8417" t="s">
        <v>182</v>
      </c>
      <c r="E8417" t="s">
        <v>15</v>
      </c>
      <c r="F8417">
        <v>0.33188250660896301</v>
      </c>
    </row>
    <row r="8418" spans="2:6">
      <c r="B8418">
        <v>2019</v>
      </c>
      <c r="C8418" t="s">
        <v>94</v>
      </c>
      <c r="D8418" t="s">
        <v>182</v>
      </c>
      <c r="E8418" t="s">
        <v>7</v>
      </c>
      <c r="F8418">
        <v>5.1968560218811035</v>
      </c>
    </row>
    <row r="8419" spans="2:6">
      <c r="B8419">
        <v>2019</v>
      </c>
      <c r="C8419" t="s">
        <v>94</v>
      </c>
      <c r="D8419" t="s">
        <v>182</v>
      </c>
      <c r="E8419" t="s">
        <v>8</v>
      </c>
      <c r="F8419">
        <v>8.9652566909790039</v>
      </c>
    </row>
    <row r="8420" spans="2:6">
      <c r="B8420">
        <v>2019</v>
      </c>
      <c r="C8420" t="s">
        <v>94</v>
      </c>
      <c r="D8420" t="s">
        <v>182</v>
      </c>
      <c r="E8420" t="s">
        <v>9</v>
      </c>
      <c r="F8420">
        <v>0.72944390773773193</v>
      </c>
    </row>
    <row r="8421" spans="2:6">
      <c r="B8421">
        <v>2019</v>
      </c>
      <c r="C8421" t="s">
        <v>94</v>
      </c>
      <c r="D8421" t="s">
        <v>182</v>
      </c>
      <c r="E8421" t="s">
        <v>10</v>
      </c>
      <c r="F8421">
        <v>59.099998474121094</v>
      </c>
    </row>
    <row r="8422" spans="2:6">
      <c r="B8422">
        <v>2019</v>
      </c>
      <c r="C8422" t="s">
        <v>94</v>
      </c>
      <c r="D8422" t="s">
        <v>182</v>
      </c>
      <c r="E8422" t="s">
        <v>11</v>
      </c>
      <c r="F8422">
        <v>0.90615344047546387</v>
      </c>
    </row>
    <row r="8423" spans="2:6">
      <c r="B8423">
        <v>2019</v>
      </c>
      <c r="C8423" t="s">
        <v>94</v>
      </c>
      <c r="D8423" t="s">
        <v>182</v>
      </c>
      <c r="E8423" t="s">
        <v>12</v>
      </c>
      <c r="F8423">
        <v>6.1081741005182266E-2</v>
      </c>
    </row>
    <row r="8424" spans="2:6">
      <c r="B8424">
        <v>2019</v>
      </c>
      <c r="C8424" t="s">
        <v>94</v>
      </c>
      <c r="D8424" t="s">
        <v>182</v>
      </c>
      <c r="E8424" t="s">
        <v>13</v>
      </c>
      <c r="F8424">
        <v>0.62023371458053589</v>
      </c>
    </row>
    <row r="8425" spans="2:6">
      <c r="B8425">
        <v>2019</v>
      </c>
      <c r="C8425" t="s">
        <v>94</v>
      </c>
      <c r="D8425" t="s">
        <v>182</v>
      </c>
      <c r="E8425" t="s">
        <v>14</v>
      </c>
      <c r="F8425">
        <v>0.87817966938018799</v>
      </c>
    </row>
    <row r="8426" spans="2:6">
      <c r="B8426">
        <v>2019</v>
      </c>
      <c r="C8426" t="s">
        <v>94</v>
      </c>
      <c r="D8426" t="s">
        <v>182</v>
      </c>
      <c r="E8426" t="s">
        <v>15</v>
      </c>
      <c r="F8426">
        <v>0.30614426732063293</v>
      </c>
    </row>
    <row r="8427" spans="2:6">
      <c r="B8427">
        <v>2020</v>
      </c>
      <c r="C8427" t="s">
        <v>94</v>
      </c>
      <c r="D8427" t="s">
        <v>182</v>
      </c>
      <c r="E8427" t="s">
        <v>7</v>
      </c>
      <c r="F8427">
        <v>5.284390926361084</v>
      </c>
    </row>
    <row r="8428" spans="2:6">
      <c r="B8428">
        <v>2020</v>
      </c>
      <c r="C8428" t="s">
        <v>94</v>
      </c>
      <c r="D8428" t="s">
        <v>182</v>
      </c>
      <c r="E8428" t="s">
        <v>8</v>
      </c>
      <c r="F8428">
        <v>8.9599552154541016</v>
      </c>
    </row>
    <row r="8429" spans="2:6">
      <c r="B8429">
        <v>2020</v>
      </c>
      <c r="C8429" t="s">
        <v>94</v>
      </c>
      <c r="D8429" t="s">
        <v>182</v>
      </c>
      <c r="E8429" t="s">
        <v>9</v>
      </c>
      <c r="F8429">
        <v>0.6603962779045105</v>
      </c>
    </row>
    <row r="8430" spans="2:6">
      <c r="B8430">
        <v>2020</v>
      </c>
      <c r="C8430" t="s">
        <v>94</v>
      </c>
      <c r="D8430" t="s">
        <v>182</v>
      </c>
      <c r="E8430" t="s">
        <v>10</v>
      </c>
      <c r="F8430">
        <v>59.5</v>
      </c>
    </row>
    <row r="8431" spans="2:6">
      <c r="B8431">
        <v>2020</v>
      </c>
      <c r="C8431" t="s">
        <v>94</v>
      </c>
      <c r="D8431" t="s">
        <v>182</v>
      </c>
      <c r="E8431" t="s">
        <v>11</v>
      </c>
      <c r="F8431">
        <v>0.91502821445465088</v>
      </c>
    </row>
    <row r="8432" spans="2:6">
      <c r="B8432">
        <v>2020</v>
      </c>
      <c r="C8432" t="s">
        <v>94</v>
      </c>
      <c r="D8432" t="s">
        <v>182</v>
      </c>
      <c r="E8432" t="s">
        <v>12</v>
      </c>
      <c r="F8432">
        <v>0.14143069088459015</v>
      </c>
    </row>
    <row r="8433" spans="2:6">
      <c r="B8433">
        <v>2020</v>
      </c>
      <c r="C8433" t="s">
        <v>94</v>
      </c>
      <c r="D8433" t="s">
        <v>182</v>
      </c>
      <c r="E8433" t="s">
        <v>13</v>
      </c>
      <c r="F8433">
        <v>0.7479977011680603</v>
      </c>
    </row>
    <row r="8434" spans="2:6">
      <c r="B8434">
        <v>2020</v>
      </c>
      <c r="C8434" t="s">
        <v>94</v>
      </c>
      <c r="D8434" t="s">
        <v>182</v>
      </c>
      <c r="E8434" t="s">
        <v>14</v>
      </c>
      <c r="F8434">
        <v>0.82168024778366089</v>
      </c>
    </row>
    <row r="8435" spans="2:6">
      <c r="B8435">
        <v>2020</v>
      </c>
      <c r="C8435" t="s">
        <v>94</v>
      </c>
      <c r="D8435" t="s">
        <v>182</v>
      </c>
      <c r="E8435" t="s">
        <v>15</v>
      </c>
      <c r="F8435">
        <v>0.3583492636680603</v>
      </c>
    </row>
    <row r="8436" spans="2:6">
      <c r="B8436">
        <v>2006</v>
      </c>
      <c r="C8436" t="s">
        <v>95</v>
      </c>
      <c r="D8436" t="s">
        <v>183</v>
      </c>
      <c r="E8436" t="s">
        <v>7</v>
      </c>
      <c r="F8436">
        <v>4.7095022201538086</v>
      </c>
    </row>
    <row r="8437" spans="2:6">
      <c r="B8437">
        <v>2006</v>
      </c>
      <c r="C8437" t="s">
        <v>95</v>
      </c>
      <c r="D8437" t="s">
        <v>183</v>
      </c>
      <c r="E8437" t="s">
        <v>8</v>
      </c>
      <c r="F8437">
        <v>10.032048225402832</v>
      </c>
    </row>
    <row r="8438" spans="2:6">
      <c r="B8438">
        <v>2006</v>
      </c>
      <c r="C8438" t="s">
        <v>95</v>
      </c>
      <c r="D8438" t="s">
        <v>183</v>
      </c>
      <c r="E8438" t="s">
        <v>9</v>
      </c>
      <c r="F8438">
        <v>0.88449877500534058</v>
      </c>
    </row>
    <row r="8439" spans="2:6">
      <c r="B8439">
        <v>2006</v>
      </c>
      <c r="C8439" t="s">
        <v>95</v>
      </c>
      <c r="D8439" t="s">
        <v>183</v>
      </c>
      <c r="E8439" t="s">
        <v>10</v>
      </c>
      <c r="F8439">
        <v>63.159999847412109</v>
      </c>
    </row>
    <row r="8440" spans="2:6">
      <c r="B8440">
        <v>2006</v>
      </c>
      <c r="C8440" t="s">
        <v>95</v>
      </c>
      <c r="D8440" t="s">
        <v>183</v>
      </c>
      <c r="E8440" t="s">
        <v>11</v>
      </c>
      <c r="F8440">
        <v>0.64080715179443359</v>
      </c>
    </row>
    <row r="8441" spans="2:6">
      <c r="B8441">
        <v>2006</v>
      </c>
      <c r="C8441" t="s">
        <v>95</v>
      </c>
      <c r="D8441" t="s">
        <v>183</v>
      </c>
      <c r="E8441" t="s">
        <v>12</v>
      </c>
      <c r="F8441">
        <v>-0.22920626401901245</v>
      </c>
    </row>
    <row r="8442" spans="2:6">
      <c r="B8442">
        <v>2006</v>
      </c>
      <c r="C8442" t="s">
        <v>95</v>
      </c>
      <c r="D8442" t="s">
        <v>183</v>
      </c>
      <c r="E8442" t="s">
        <v>13</v>
      </c>
      <c r="F8442">
        <v>0.93704861402511597</v>
      </c>
    </row>
    <row r="8443" spans="2:6">
      <c r="B8443">
        <v>2006</v>
      </c>
      <c r="C8443" t="s">
        <v>95</v>
      </c>
      <c r="D8443" t="s">
        <v>183</v>
      </c>
      <c r="E8443" t="s">
        <v>14</v>
      </c>
      <c r="F8443">
        <v>0.65429586172103882</v>
      </c>
    </row>
    <row r="8444" spans="2:6">
      <c r="B8444">
        <v>2006</v>
      </c>
      <c r="C8444" t="s">
        <v>95</v>
      </c>
      <c r="D8444" t="s">
        <v>183</v>
      </c>
      <c r="E8444" t="s">
        <v>15</v>
      </c>
      <c r="F8444">
        <v>0.23413544893264771</v>
      </c>
    </row>
    <row r="8445" spans="2:6">
      <c r="B8445">
        <v>2007</v>
      </c>
      <c r="C8445" t="s">
        <v>95</v>
      </c>
      <c r="D8445" t="s">
        <v>183</v>
      </c>
      <c r="E8445" t="s">
        <v>7</v>
      </c>
      <c r="F8445">
        <v>4.6669716835021973</v>
      </c>
    </row>
    <row r="8446" spans="2:6">
      <c r="B8446">
        <v>2007</v>
      </c>
      <c r="C8446" t="s">
        <v>95</v>
      </c>
      <c r="D8446" t="s">
        <v>183</v>
      </c>
      <c r="E8446" t="s">
        <v>8</v>
      </c>
      <c r="F8446">
        <v>10.135619163513184</v>
      </c>
    </row>
    <row r="8447" spans="2:6">
      <c r="B8447">
        <v>2007</v>
      </c>
      <c r="C8447" t="s">
        <v>95</v>
      </c>
      <c r="D8447" t="s">
        <v>183</v>
      </c>
      <c r="E8447" t="s">
        <v>9</v>
      </c>
      <c r="F8447">
        <v>0.83550858497619629</v>
      </c>
    </row>
    <row r="8448" spans="2:6">
      <c r="B8448">
        <v>2007</v>
      </c>
      <c r="C8448" t="s">
        <v>95</v>
      </c>
      <c r="D8448" t="s">
        <v>183</v>
      </c>
      <c r="E8448" t="s">
        <v>10</v>
      </c>
      <c r="F8448">
        <v>63.520000457763672</v>
      </c>
    </row>
    <row r="8449" spans="2:6">
      <c r="B8449">
        <v>2007</v>
      </c>
      <c r="C8449" t="s">
        <v>95</v>
      </c>
      <c r="D8449" t="s">
        <v>183</v>
      </c>
      <c r="E8449" t="s">
        <v>11</v>
      </c>
      <c r="F8449">
        <v>0.70017409324645996</v>
      </c>
    </row>
    <row r="8450" spans="2:6">
      <c r="B8450">
        <v>2007</v>
      </c>
      <c r="C8450" t="s">
        <v>95</v>
      </c>
      <c r="D8450" t="s">
        <v>183</v>
      </c>
      <c r="E8450" t="s">
        <v>12</v>
      </c>
      <c r="F8450">
        <v>-0.16673438251018524</v>
      </c>
    </row>
    <row r="8451" spans="2:6">
      <c r="B8451">
        <v>2007</v>
      </c>
      <c r="C8451" t="s">
        <v>95</v>
      </c>
      <c r="D8451" t="s">
        <v>183</v>
      </c>
      <c r="E8451" t="s">
        <v>13</v>
      </c>
      <c r="F8451">
        <v>0.92395263910293579</v>
      </c>
    </row>
    <row r="8452" spans="2:6">
      <c r="B8452">
        <v>2007</v>
      </c>
      <c r="C8452" t="s">
        <v>95</v>
      </c>
      <c r="D8452" t="s">
        <v>183</v>
      </c>
      <c r="E8452" t="s">
        <v>14</v>
      </c>
      <c r="F8452">
        <v>0.67252075672149658</v>
      </c>
    </row>
    <row r="8453" spans="2:6">
      <c r="B8453">
        <v>2007</v>
      </c>
      <c r="C8453" t="s">
        <v>95</v>
      </c>
      <c r="D8453" t="s">
        <v>183</v>
      </c>
      <c r="E8453" t="s">
        <v>15</v>
      </c>
      <c r="F8453">
        <v>0.2468625009059906</v>
      </c>
    </row>
    <row r="8454" spans="2:6">
      <c r="B8454">
        <v>2008</v>
      </c>
      <c r="C8454" t="s">
        <v>95</v>
      </c>
      <c r="D8454" t="s">
        <v>183</v>
      </c>
      <c r="E8454" t="s">
        <v>7</v>
      </c>
      <c r="F8454">
        <v>5.1453752517700195</v>
      </c>
    </row>
    <row r="8455" spans="2:6">
      <c r="B8455">
        <v>2008</v>
      </c>
      <c r="C8455" t="s">
        <v>95</v>
      </c>
      <c r="D8455" t="s">
        <v>183</v>
      </c>
      <c r="E8455" t="s">
        <v>8</v>
      </c>
      <c r="F8455">
        <v>10.112092018127441</v>
      </c>
    </row>
    <row r="8456" spans="2:6">
      <c r="B8456">
        <v>2008</v>
      </c>
      <c r="C8456" t="s">
        <v>95</v>
      </c>
      <c r="D8456" t="s">
        <v>183</v>
      </c>
      <c r="E8456" t="s">
        <v>9</v>
      </c>
      <c r="F8456">
        <v>0.85541826486587524</v>
      </c>
    </row>
    <row r="8457" spans="2:6">
      <c r="B8457">
        <v>2008</v>
      </c>
      <c r="C8457" t="s">
        <v>95</v>
      </c>
      <c r="D8457" t="s">
        <v>183</v>
      </c>
      <c r="E8457" t="s">
        <v>10</v>
      </c>
      <c r="F8457">
        <v>63.880001068115234</v>
      </c>
    </row>
    <row r="8458" spans="2:6">
      <c r="B8458">
        <v>2008</v>
      </c>
      <c r="C8458" t="s">
        <v>95</v>
      </c>
      <c r="D8458" t="s">
        <v>183</v>
      </c>
      <c r="E8458" t="s">
        <v>11</v>
      </c>
      <c r="F8458">
        <v>0.6301114559173584</v>
      </c>
    </row>
    <row r="8459" spans="2:6">
      <c r="B8459">
        <v>2008</v>
      </c>
      <c r="C8459" t="s">
        <v>95</v>
      </c>
      <c r="D8459" t="s">
        <v>183</v>
      </c>
      <c r="E8459" t="s">
        <v>12</v>
      </c>
      <c r="F8459">
        <v>-0.20317059755325317</v>
      </c>
    </row>
    <row r="8460" spans="2:6">
      <c r="B8460">
        <v>2008</v>
      </c>
      <c r="C8460" t="s">
        <v>95</v>
      </c>
      <c r="D8460" t="s">
        <v>183</v>
      </c>
      <c r="E8460" t="s">
        <v>13</v>
      </c>
      <c r="F8460">
        <v>0.92632824182510376</v>
      </c>
    </row>
    <row r="8461" spans="2:6">
      <c r="B8461">
        <v>2008</v>
      </c>
      <c r="C8461" t="s">
        <v>95</v>
      </c>
      <c r="D8461" t="s">
        <v>183</v>
      </c>
      <c r="E8461" t="s">
        <v>14</v>
      </c>
      <c r="F8461">
        <v>0.63864439725875854</v>
      </c>
    </row>
    <row r="8462" spans="2:6">
      <c r="B8462">
        <v>2008</v>
      </c>
      <c r="C8462" t="s">
        <v>95</v>
      </c>
      <c r="D8462" t="s">
        <v>183</v>
      </c>
      <c r="E8462" t="s">
        <v>15</v>
      </c>
      <c r="F8462">
        <v>0.21490126848220825</v>
      </c>
    </row>
    <row r="8463" spans="2:6">
      <c r="B8463">
        <v>2009</v>
      </c>
      <c r="C8463" t="s">
        <v>95</v>
      </c>
      <c r="D8463" t="s">
        <v>183</v>
      </c>
      <c r="E8463" t="s">
        <v>7</v>
      </c>
      <c r="F8463">
        <v>4.6689105033874512</v>
      </c>
    </row>
    <row r="8464" spans="2:6">
      <c r="B8464">
        <v>2009</v>
      </c>
      <c r="C8464" t="s">
        <v>95</v>
      </c>
      <c r="D8464" t="s">
        <v>183</v>
      </c>
      <c r="E8464" t="s">
        <v>8</v>
      </c>
      <c r="F8464">
        <v>9.975006103515625</v>
      </c>
    </row>
    <row r="8465" spans="2:6">
      <c r="B8465">
        <v>2009</v>
      </c>
      <c r="C8465" t="s">
        <v>95</v>
      </c>
      <c r="D8465" t="s">
        <v>183</v>
      </c>
      <c r="E8465" t="s">
        <v>9</v>
      </c>
      <c r="F8465">
        <v>0.80693930387496948</v>
      </c>
    </row>
    <row r="8466" spans="2:6">
      <c r="B8466">
        <v>2009</v>
      </c>
      <c r="C8466" t="s">
        <v>95</v>
      </c>
      <c r="D8466" t="s">
        <v>183</v>
      </c>
      <c r="E8466" t="s">
        <v>10</v>
      </c>
      <c r="F8466">
        <v>64.239997863769531</v>
      </c>
    </row>
    <row r="8467" spans="2:6">
      <c r="B8467">
        <v>2009</v>
      </c>
      <c r="C8467" t="s">
        <v>95</v>
      </c>
      <c r="D8467" t="s">
        <v>183</v>
      </c>
      <c r="E8467" t="s">
        <v>11</v>
      </c>
      <c r="F8467">
        <v>0.43706455826759338</v>
      </c>
    </row>
    <row r="8468" spans="2:6">
      <c r="B8468">
        <v>2009</v>
      </c>
      <c r="C8468" t="s">
        <v>95</v>
      </c>
      <c r="D8468" t="s">
        <v>183</v>
      </c>
      <c r="E8468" t="s">
        <v>12</v>
      </c>
      <c r="F8468">
        <v>-0.18032602965831757</v>
      </c>
    </row>
    <row r="8469" spans="2:6">
      <c r="B8469">
        <v>2009</v>
      </c>
      <c r="C8469" t="s">
        <v>95</v>
      </c>
      <c r="D8469" t="s">
        <v>183</v>
      </c>
      <c r="E8469" t="s">
        <v>13</v>
      </c>
      <c r="F8469">
        <v>0.94209039211273193</v>
      </c>
    </row>
    <row r="8470" spans="2:6">
      <c r="B8470">
        <v>2009</v>
      </c>
      <c r="C8470" t="s">
        <v>95</v>
      </c>
      <c r="D8470" t="s">
        <v>183</v>
      </c>
      <c r="E8470" t="s">
        <v>14</v>
      </c>
      <c r="F8470">
        <v>0.5250048041343689</v>
      </c>
    </row>
    <row r="8471" spans="2:6">
      <c r="B8471">
        <v>2009</v>
      </c>
      <c r="C8471" t="s">
        <v>95</v>
      </c>
      <c r="D8471" t="s">
        <v>183</v>
      </c>
      <c r="E8471" t="s">
        <v>15</v>
      </c>
      <c r="F8471">
        <v>0.24219675362110138</v>
      </c>
    </row>
    <row r="8472" spans="2:6">
      <c r="B8472">
        <v>2011</v>
      </c>
      <c r="C8472" t="s">
        <v>95</v>
      </c>
      <c r="D8472" t="s">
        <v>183</v>
      </c>
      <c r="E8472" t="s">
        <v>7</v>
      </c>
      <c r="F8472">
        <v>4.9668116569519043</v>
      </c>
    </row>
    <row r="8473" spans="2:6">
      <c r="B8473">
        <v>2011</v>
      </c>
      <c r="C8473" t="s">
        <v>95</v>
      </c>
      <c r="D8473" t="s">
        <v>183</v>
      </c>
      <c r="E8473" t="s">
        <v>8</v>
      </c>
      <c r="F8473">
        <v>10.029215812683105</v>
      </c>
    </row>
    <row r="8474" spans="2:6">
      <c r="B8474">
        <v>2011</v>
      </c>
      <c r="C8474" t="s">
        <v>95</v>
      </c>
      <c r="D8474" t="s">
        <v>183</v>
      </c>
      <c r="E8474" t="s">
        <v>9</v>
      </c>
      <c r="F8474">
        <v>0.83604246377944946</v>
      </c>
    </row>
    <row r="8475" spans="2:6">
      <c r="B8475">
        <v>2011</v>
      </c>
      <c r="C8475" t="s">
        <v>95</v>
      </c>
      <c r="D8475" t="s">
        <v>183</v>
      </c>
      <c r="E8475" t="s">
        <v>10</v>
      </c>
      <c r="F8475">
        <v>64.860000610351563</v>
      </c>
    </row>
    <row r="8476" spans="2:6">
      <c r="B8476">
        <v>2011</v>
      </c>
      <c r="C8476" t="s">
        <v>95</v>
      </c>
      <c r="D8476" t="s">
        <v>183</v>
      </c>
      <c r="E8476" t="s">
        <v>11</v>
      </c>
      <c r="F8476">
        <v>0.56446444988250732</v>
      </c>
    </row>
    <row r="8477" spans="2:6">
      <c r="B8477">
        <v>2011</v>
      </c>
      <c r="C8477" t="s">
        <v>95</v>
      </c>
      <c r="D8477" t="s">
        <v>183</v>
      </c>
      <c r="E8477" t="s">
        <v>12</v>
      </c>
      <c r="F8477">
        <v>-2.3946389555931091E-3</v>
      </c>
    </row>
    <row r="8478" spans="2:6">
      <c r="B8478">
        <v>2011</v>
      </c>
      <c r="C8478" t="s">
        <v>95</v>
      </c>
      <c r="D8478" t="s">
        <v>183</v>
      </c>
      <c r="E8478" t="s">
        <v>13</v>
      </c>
      <c r="F8478">
        <v>0.93425559997558594</v>
      </c>
    </row>
    <row r="8479" spans="2:6">
      <c r="B8479">
        <v>2011</v>
      </c>
      <c r="C8479" t="s">
        <v>95</v>
      </c>
      <c r="D8479" t="s">
        <v>183</v>
      </c>
      <c r="E8479" t="s">
        <v>14</v>
      </c>
      <c r="F8479">
        <v>0.56327801942825317</v>
      </c>
    </row>
    <row r="8480" spans="2:6">
      <c r="B8480">
        <v>2011</v>
      </c>
      <c r="C8480" t="s">
        <v>95</v>
      </c>
      <c r="D8480" t="s">
        <v>183</v>
      </c>
      <c r="E8480" t="s">
        <v>15</v>
      </c>
      <c r="F8480">
        <v>0.22171321511268616</v>
      </c>
    </row>
    <row r="8481" spans="2:6">
      <c r="B8481">
        <v>2012</v>
      </c>
      <c r="C8481" t="s">
        <v>95</v>
      </c>
      <c r="D8481" t="s">
        <v>183</v>
      </c>
      <c r="E8481" t="s">
        <v>7</v>
      </c>
      <c r="F8481">
        <v>5.1250252723693848</v>
      </c>
    </row>
    <row r="8482" spans="2:6">
      <c r="B8482">
        <v>2012</v>
      </c>
      <c r="C8482" t="s">
        <v>95</v>
      </c>
      <c r="D8482" t="s">
        <v>183</v>
      </c>
      <c r="E8482" t="s">
        <v>8</v>
      </c>
      <c r="F8482">
        <v>10.082130432128906</v>
      </c>
    </row>
    <row r="8483" spans="2:6">
      <c r="B8483">
        <v>2012</v>
      </c>
      <c r="C8483" t="s">
        <v>95</v>
      </c>
      <c r="D8483" t="s">
        <v>183</v>
      </c>
      <c r="E8483" t="s">
        <v>9</v>
      </c>
      <c r="F8483">
        <v>0.85119521617889404</v>
      </c>
    </row>
    <row r="8484" spans="2:6">
      <c r="B8484">
        <v>2012</v>
      </c>
      <c r="C8484" t="s">
        <v>95</v>
      </c>
      <c r="D8484" t="s">
        <v>183</v>
      </c>
      <c r="E8484" t="s">
        <v>10</v>
      </c>
      <c r="F8484">
        <v>65.120002746582031</v>
      </c>
    </row>
    <row r="8485" spans="2:6">
      <c r="B8485">
        <v>2012</v>
      </c>
      <c r="C8485" t="s">
        <v>95</v>
      </c>
      <c r="D8485" t="s">
        <v>183</v>
      </c>
      <c r="E8485" t="s">
        <v>11</v>
      </c>
      <c r="F8485">
        <v>0.5638117790222168</v>
      </c>
    </row>
    <row r="8486" spans="2:6">
      <c r="B8486">
        <v>2012</v>
      </c>
      <c r="C8486" t="s">
        <v>95</v>
      </c>
      <c r="D8486" t="s">
        <v>183</v>
      </c>
      <c r="E8486" t="s">
        <v>12</v>
      </c>
      <c r="F8486">
        <v>-3.7762567400932312E-2</v>
      </c>
    </row>
    <row r="8487" spans="2:6">
      <c r="B8487">
        <v>2012</v>
      </c>
      <c r="C8487" t="s">
        <v>95</v>
      </c>
      <c r="D8487" t="s">
        <v>183</v>
      </c>
      <c r="E8487" t="s">
        <v>13</v>
      </c>
      <c r="F8487">
        <v>0.89497935771942139</v>
      </c>
    </row>
    <row r="8488" spans="2:6">
      <c r="B8488">
        <v>2012</v>
      </c>
      <c r="C8488" t="s">
        <v>95</v>
      </c>
      <c r="D8488" t="s">
        <v>183</v>
      </c>
      <c r="E8488" t="s">
        <v>14</v>
      </c>
      <c r="F8488">
        <v>0.56001287698745728</v>
      </c>
    </row>
    <row r="8489" spans="2:6">
      <c r="B8489">
        <v>2012</v>
      </c>
      <c r="C8489" t="s">
        <v>95</v>
      </c>
      <c r="D8489" t="s">
        <v>183</v>
      </c>
      <c r="E8489" t="s">
        <v>15</v>
      </c>
      <c r="F8489">
        <v>0.23222452402114868</v>
      </c>
    </row>
    <row r="8490" spans="2:6">
      <c r="B8490">
        <v>2013</v>
      </c>
      <c r="C8490" t="s">
        <v>95</v>
      </c>
      <c r="D8490" t="s">
        <v>183</v>
      </c>
      <c r="E8490" t="s">
        <v>7</v>
      </c>
      <c r="F8490">
        <v>5.069770336151123</v>
      </c>
    </row>
    <row r="8491" spans="2:6">
      <c r="B8491">
        <v>2013</v>
      </c>
      <c r="C8491" t="s">
        <v>95</v>
      </c>
      <c r="D8491" t="s">
        <v>183</v>
      </c>
      <c r="E8491" t="s">
        <v>8</v>
      </c>
      <c r="F8491">
        <v>10.115854263305664</v>
      </c>
    </row>
    <row r="8492" spans="2:6">
      <c r="B8492">
        <v>2013</v>
      </c>
      <c r="C8492" t="s">
        <v>95</v>
      </c>
      <c r="D8492" t="s">
        <v>183</v>
      </c>
      <c r="E8492" t="s">
        <v>9</v>
      </c>
      <c r="F8492">
        <v>0.83402258157730103</v>
      </c>
    </row>
    <row r="8493" spans="2:6">
      <c r="B8493">
        <v>2013</v>
      </c>
      <c r="C8493" t="s">
        <v>95</v>
      </c>
      <c r="D8493" t="s">
        <v>183</v>
      </c>
      <c r="E8493" t="s">
        <v>10</v>
      </c>
      <c r="F8493">
        <v>65.379997253417969</v>
      </c>
    </row>
    <row r="8494" spans="2:6">
      <c r="B8494">
        <v>2013</v>
      </c>
      <c r="C8494" t="s">
        <v>95</v>
      </c>
      <c r="D8494" t="s">
        <v>183</v>
      </c>
      <c r="E8494" t="s">
        <v>11</v>
      </c>
      <c r="F8494">
        <v>0.63050752878189087</v>
      </c>
    </row>
    <row r="8495" spans="2:6">
      <c r="B8495">
        <v>2013</v>
      </c>
      <c r="C8495" t="s">
        <v>95</v>
      </c>
      <c r="D8495" t="s">
        <v>183</v>
      </c>
      <c r="E8495" t="s">
        <v>12</v>
      </c>
      <c r="F8495">
        <v>-7.2922855615615845E-2</v>
      </c>
    </row>
    <row r="8496" spans="2:6">
      <c r="B8496">
        <v>2013</v>
      </c>
      <c r="C8496" t="s">
        <v>95</v>
      </c>
      <c r="D8496" t="s">
        <v>183</v>
      </c>
      <c r="E8496" t="s">
        <v>13</v>
      </c>
      <c r="F8496">
        <v>0.83655363321304321</v>
      </c>
    </row>
    <row r="8497" spans="2:6">
      <c r="B8497">
        <v>2013</v>
      </c>
      <c r="C8497" t="s">
        <v>95</v>
      </c>
      <c r="D8497" t="s">
        <v>183</v>
      </c>
      <c r="E8497" t="s">
        <v>14</v>
      </c>
      <c r="F8497">
        <v>0.64210236072540283</v>
      </c>
    </row>
    <row r="8498" spans="2:6">
      <c r="B8498">
        <v>2013</v>
      </c>
      <c r="C8498" t="s">
        <v>95</v>
      </c>
      <c r="D8498" t="s">
        <v>183</v>
      </c>
      <c r="E8498" t="s">
        <v>15</v>
      </c>
      <c r="F8498">
        <v>0.22744941711425781</v>
      </c>
    </row>
    <row r="8499" spans="2:6">
      <c r="B8499">
        <v>2014</v>
      </c>
      <c r="C8499" t="s">
        <v>95</v>
      </c>
      <c r="D8499" t="s">
        <v>183</v>
      </c>
      <c r="E8499" t="s">
        <v>7</v>
      </c>
      <c r="F8499">
        <v>5.7291154861450195</v>
      </c>
    </row>
    <row r="8500" spans="2:6">
      <c r="B8500">
        <v>2014</v>
      </c>
      <c r="C8500" t="s">
        <v>95</v>
      </c>
      <c r="D8500" t="s">
        <v>183</v>
      </c>
      <c r="E8500" t="s">
        <v>8</v>
      </c>
      <c r="F8500">
        <v>10.144242286682129</v>
      </c>
    </row>
    <row r="8501" spans="2:6">
      <c r="B8501">
        <v>2014</v>
      </c>
      <c r="C8501" t="s">
        <v>95</v>
      </c>
      <c r="D8501" t="s">
        <v>183</v>
      </c>
      <c r="E8501" t="s">
        <v>9</v>
      </c>
      <c r="F8501">
        <v>0.88125550746917725</v>
      </c>
    </row>
    <row r="8502" spans="2:6">
      <c r="B8502">
        <v>2014</v>
      </c>
      <c r="C8502" t="s">
        <v>95</v>
      </c>
      <c r="D8502" t="s">
        <v>183</v>
      </c>
      <c r="E8502" t="s">
        <v>10</v>
      </c>
      <c r="F8502">
        <v>65.639999389648438</v>
      </c>
    </row>
    <row r="8503" spans="2:6">
      <c r="B8503">
        <v>2014</v>
      </c>
      <c r="C8503" t="s">
        <v>95</v>
      </c>
      <c r="D8503" t="s">
        <v>183</v>
      </c>
      <c r="E8503" t="s">
        <v>11</v>
      </c>
      <c r="F8503">
        <v>0.67065316438674927</v>
      </c>
    </row>
    <row r="8504" spans="2:6">
      <c r="B8504">
        <v>2014</v>
      </c>
      <c r="C8504" t="s">
        <v>95</v>
      </c>
      <c r="D8504" t="s">
        <v>183</v>
      </c>
      <c r="E8504" t="s">
        <v>12</v>
      </c>
      <c r="F8504">
        <v>-4.3006535619497299E-2</v>
      </c>
    </row>
    <row r="8505" spans="2:6">
      <c r="B8505">
        <v>2014</v>
      </c>
      <c r="C8505" t="s">
        <v>95</v>
      </c>
      <c r="D8505" t="s">
        <v>183</v>
      </c>
      <c r="E8505" t="s">
        <v>13</v>
      </c>
      <c r="F8505">
        <v>0.80368751287460327</v>
      </c>
    </row>
    <row r="8506" spans="2:6">
      <c r="B8506">
        <v>2014</v>
      </c>
      <c r="C8506" t="s">
        <v>95</v>
      </c>
      <c r="D8506" t="s">
        <v>183</v>
      </c>
      <c r="E8506" t="s">
        <v>14</v>
      </c>
      <c r="F8506">
        <v>0.65227305889129639</v>
      </c>
    </row>
    <row r="8507" spans="2:6">
      <c r="B8507">
        <v>2014</v>
      </c>
      <c r="C8507" t="s">
        <v>95</v>
      </c>
      <c r="D8507" t="s">
        <v>183</v>
      </c>
      <c r="E8507" t="s">
        <v>15</v>
      </c>
      <c r="F8507">
        <v>0.22597937285900116</v>
      </c>
    </row>
    <row r="8508" spans="2:6">
      <c r="B8508">
        <v>2015</v>
      </c>
      <c r="C8508" t="s">
        <v>95</v>
      </c>
      <c r="D8508" t="s">
        <v>183</v>
      </c>
      <c r="E8508" t="s">
        <v>7</v>
      </c>
      <c r="F8508">
        <v>5.8805975914001465</v>
      </c>
    </row>
    <row r="8509" spans="2:6">
      <c r="B8509">
        <v>2015</v>
      </c>
      <c r="C8509" t="s">
        <v>95</v>
      </c>
      <c r="D8509" t="s">
        <v>183</v>
      </c>
      <c r="E8509" t="s">
        <v>8</v>
      </c>
      <c r="F8509">
        <v>10.184513092041016</v>
      </c>
    </row>
    <row r="8510" spans="2:6">
      <c r="B8510">
        <v>2015</v>
      </c>
      <c r="C8510" t="s">
        <v>95</v>
      </c>
      <c r="D8510" t="s">
        <v>183</v>
      </c>
      <c r="E8510" t="s">
        <v>9</v>
      </c>
      <c r="F8510">
        <v>0.87937241792678833</v>
      </c>
    </row>
    <row r="8511" spans="2:6">
      <c r="B8511">
        <v>2015</v>
      </c>
      <c r="C8511" t="s">
        <v>95</v>
      </c>
      <c r="D8511" t="s">
        <v>183</v>
      </c>
      <c r="E8511" t="s">
        <v>10</v>
      </c>
      <c r="F8511">
        <v>65.900001525878906</v>
      </c>
    </row>
    <row r="8512" spans="2:6">
      <c r="B8512">
        <v>2015</v>
      </c>
      <c r="C8512" t="s">
        <v>95</v>
      </c>
      <c r="D8512" t="s">
        <v>183</v>
      </c>
      <c r="E8512" t="s">
        <v>11</v>
      </c>
      <c r="F8512">
        <v>0.65639317035675049</v>
      </c>
    </row>
    <row r="8513" spans="2:6">
      <c r="B8513">
        <v>2015</v>
      </c>
      <c r="C8513" t="s">
        <v>95</v>
      </c>
      <c r="D8513" t="s">
        <v>183</v>
      </c>
      <c r="E8513" t="s">
        <v>12</v>
      </c>
      <c r="F8513">
        <v>-7.7391527593135834E-2</v>
      </c>
    </row>
    <row r="8514" spans="2:6">
      <c r="B8514">
        <v>2015</v>
      </c>
      <c r="C8514" t="s">
        <v>95</v>
      </c>
      <c r="D8514" t="s">
        <v>183</v>
      </c>
      <c r="E8514" t="s">
        <v>13</v>
      </c>
      <c r="F8514">
        <v>0.80840039253234863</v>
      </c>
    </row>
    <row r="8515" spans="2:6">
      <c r="B8515">
        <v>2015</v>
      </c>
      <c r="C8515" t="s">
        <v>95</v>
      </c>
      <c r="D8515" t="s">
        <v>183</v>
      </c>
      <c r="E8515" t="s">
        <v>14</v>
      </c>
      <c r="F8515">
        <v>0.60837960243225098</v>
      </c>
    </row>
    <row r="8516" spans="2:6">
      <c r="B8516">
        <v>2015</v>
      </c>
      <c r="C8516" t="s">
        <v>95</v>
      </c>
      <c r="D8516" t="s">
        <v>183</v>
      </c>
      <c r="E8516" t="s">
        <v>15</v>
      </c>
      <c r="F8516">
        <v>0.22813718020915985</v>
      </c>
    </row>
    <row r="8517" spans="2:6">
      <c r="B8517">
        <v>2016</v>
      </c>
      <c r="C8517" t="s">
        <v>95</v>
      </c>
      <c r="D8517" t="s">
        <v>183</v>
      </c>
      <c r="E8517" t="s">
        <v>7</v>
      </c>
      <c r="F8517">
        <v>5.9404463768005371</v>
      </c>
    </row>
    <row r="8518" spans="2:6">
      <c r="B8518">
        <v>2016</v>
      </c>
      <c r="C8518" t="s">
        <v>95</v>
      </c>
      <c r="D8518" t="s">
        <v>183</v>
      </c>
      <c r="E8518" t="s">
        <v>8</v>
      </c>
      <c r="F8518">
        <v>10.211235046386719</v>
      </c>
    </row>
    <row r="8519" spans="2:6">
      <c r="B8519">
        <v>2016</v>
      </c>
      <c r="C8519" t="s">
        <v>95</v>
      </c>
      <c r="D8519" t="s">
        <v>183</v>
      </c>
      <c r="E8519" t="s">
        <v>9</v>
      </c>
      <c r="F8519">
        <v>0.91707396507263184</v>
      </c>
    </row>
    <row r="8520" spans="2:6">
      <c r="B8520">
        <v>2016</v>
      </c>
      <c r="C8520" t="s">
        <v>95</v>
      </c>
      <c r="D8520" t="s">
        <v>183</v>
      </c>
      <c r="E8520" t="s">
        <v>10</v>
      </c>
      <c r="F8520">
        <v>66.199996948242188</v>
      </c>
    </row>
    <row r="8521" spans="2:6">
      <c r="B8521">
        <v>2016</v>
      </c>
      <c r="C8521" t="s">
        <v>95</v>
      </c>
      <c r="D8521" t="s">
        <v>183</v>
      </c>
      <c r="E8521" t="s">
        <v>11</v>
      </c>
      <c r="F8521">
        <v>0.68529927730560303</v>
      </c>
    </row>
    <row r="8522" spans="2:6">
      <c r="B8522">
        <v>2016</v>
      </c>
      <c r="C8522" t="s">
        <v>95</v>
      </c>
      <c r="D8522" t="s">
        <v>183</v>
      </c>
      <c r="E8522" t="s">
        <v>12</v>
      </c>
      <c r="F8522">
        <v>-0.15637205541133881</v>
      </c>
    </row>
    <row r="8523" spans="2:6">
      <c r="B8523">
        <v>2016</v>
      </c>
      <c r="C8523" t="s">
        <v>95</v>
      </c>
      <c r="D8523" t="s">
        <v>183</v>
      </c>
      <c r="E8523" t="s">
        <v>13</v>
      </c>
      <c r="F8523">
        <v>0.86763960123062134</v>
      </c>
    </row>
    <row r="8524" spans="2:6">
      <c r="B8524">
        <v>2016</v>
      </c>
      <c r="C8524" t="s">
        <v>95</v>
      </c>
      <c r="D8524" t="s">
        <v>183</v>
      </c>
      <c r="E8524" t="s">
        <v>14</v>
      </c>
      <c r="F8524">
        <v>0.65375125408172607</v>
      </c>
    </row>
    <row r="8525" spans="2:6">
      <c r="B8525">
        <v>2016</v>
      </c>
      <c r="C8525" t="s">
        <v>95</v>
      </c>
      <c r="D8525" t="s">
        <v>183</v>
      </c>
      <c r="E8525" t="s">
        <v>15</v>
      </c>
      <c r="F8525">
        <v>0.23138353228569031</v>
      </c>
    </row>
    <row r="8526" spans="2:6">
      <c r="B8526">
        <v>2017</v>
      </c>
      <c r="C8526" t="s">
        <v>95</v>
      </c>
      <c r="D8526" t="s">
        <v>183</v>
      </c>
      <c r="E8526" t="s">
        <v>7</v>
      </c>
      <c r="F8526">
        <v>5.9778175354003906</v>
      </c>
    </row>
    <row r="8527" spans="2:6">
      <c r="B8527">
        <v>2017</v>
      </c>
      <c r="C8527" t="s">
        <v>95</v>
      </c>
      <c r="D8527" t="s">
        <v>183</v>
      </c>
      <c r="E8527" t="s">
        <v>8</v>
      </c>
      <c r="F8527">
        <v>10.257270812988281</v>
      </c>
    </row>
    <row r="8528" spans="2:6">
      <c r="B8528">
        <v>2017</v>
      </c>
      <c r="C8528" t="s">
        <v>95</v>
      </c>
      <c r="D8528" t="s">
        <v>183</v>
      </c>
      <c r="E8528" t="s">
        <v>9</v>
      </c>
      <c r="F8528">
        <v>0.89509874582290649</v>
      </c>
    </row>
    <row r="8529" spans="2:6">
      <c r="B8529">
        <v>2017</v>
      </c>
      <c r="C8529" t="s">
        <v>95</v>
      </c>
      <c r="D8529" t="s">
        <v>183</v>
      </c>
      <c r="E8529" t="s">
        <v>10</v>
      </c>
      <c r="F8529">
        <v>66.5</v>
      </c>
    </row>
    <row r="8530" spans="2:6">
      <c r="B8530">
        <v>2017</v>
      </c>
      <c r="C8530" t="s">
        <v>95</v>
      </c>
      <c r="D8530" t="s">
        <v>183</v>
      </c>
      <c r="E8530" t="s">
        <v>11</v>
      </c>
      <c r="F8530">
        <v>0.69952011108398438</v>
      </c>
    </row>
    <row r="8531" spans="2:6">
      <c r="B8531">
        <v>2017</v>
      </c>
      <c r="C8531" t="s">
        <v>95</v>
      </c>
      <c r="D8531" t="s">
        <v>183</v>
      </c>
      <c r="E8531" t="s">
        <v>12</v>
      </c>
      <c r="F8531">
        <v>-0.15446028113365173</v>
      </c>
    </row>
    <row r="8532" spans="2:6">
      <c r="B8532">
        <v>2017</v>
      </c>
      <c r="C8532" t="s">
        <v>95</v>
      </c>
      <c r="D8532" t="s">
        <v>183</v>
      </c>
      <c r="E8532" t="s">
        <v>13</v>
      </c>
      <c r="F8532">
        <v>0.7983781099319458</v>
      </c>
    </row>
    <row r="8533" spans="2:6">
      <c r="B8533">
        <v>2017</v>
      </c>
      <c r="C8533" t="s">
        <v>95</v>
      </c>
      <c r="D8533" t="s">
        <v>183</v>
      </c>
      <c r="E8533" t="s">
        <v>14</v>
      </c>
      <c r="F8533">
        <v>0.62331277132034302</v>
      </c>
    </row>
    <row r="8534" spans="2:6">
      <c r="B8534">
        <v>2017</v>
      </c>
      <c r="C8534" t="s">
        <v>95</v>
      </c>
      <c r="D8534" t="s">
        <v>183</v>
      </c>
      <c r="E8534" t="s">
        <v>15</v>
      </c>
      <c r="F8534">
        <v>0.23175311088562012</v>
      </c>
    </row>
    <row r="8535" spans="2:6">
      <c r="B8535">
        <v>2018</v>
      </c>
      <c r="C8535" t="s">
        <v>95</v>
      </c>
      <c r="D8535" t="s">
        <v>183</v>
      </c>
      <c r="E8535" t="s">
        <v>7</v>
      </c>
      <c r="F8535">
        <v>5.9011540412902832</v>
      </c>
    </row>
    <row r="8536" spans="2:6">
      <c r="B8536">
        <v>2018</v>
      </c>
      <c r="C8536" t="s">
        <v>95</v>
      </c>
      <c r="D8536" t="s">
        <v>183</v>
      </c>
      <c r="E8536" t="s">
        <v>8</v>
      </c>
      <c r="F8536">
        <v>10.30701732635498</v>
      </c>
    </row>
    <row r="8537" spans="2:6">
      <c r="B8537">
        <v>2018</v>
      </c>
      <c r="C8537" t="s">
        <v>95</v>
      </c>
      <c r="D8537" t="s">
        <v>183</v>
      </c>
      <c r="E8537" t="s">
        <v>9</v>
      </c>
      <c r="F8537">
        <v>0.9132763147354126</v>
      </c>
    </row>
    <row r="8538" spans="2:6">
      <c r="B8538">
        <v>2018</v>
      </c>
      <c r="C8538" t="s">
        <v>95</v>
      </c>
      <c r="D8538" t="s">
        <v>183</v>
      </c>
      <c r="E8538" t="s">
        <v>10</v>
      </c>
      <c r="F8538">
        <v>66.800003051757813</v>
      </c>
    </row>
    <row r="8539" spans="2:6">
      <c r="B8539">
        <v>2018</v>
      </c>
      <c r="C8539" t="s">
        <v>95</v>
      </c>
      <c r="D8539" t="s">
        <v>183</v>
      </c>
      <c r="E8539" t="s">
        <v>11</v>
      </c>
      <c r="F8539">
        <v>0.60820764303207397</v>
      </c>
    </row>
    <row r="8540" spans="2:6">
      <c r="B8540">
        <v>2018</v>
      </c>
      <c r="C8540" t="s">
        <v>95</v>
      </c>
      <c r="D8540" t="s">
        <v>183</v>
      </c>
      <c r="E8540" t="s">
        <v>12</v>
      </c>
      <c r="F8540">
        <v>-0.21232925355434418</v>
      </c>
    </row>
    <row r="8541" spans="2:6">
      <c r="B8541">
        <v>2018</v>
      </c>
      <c r="C8541" t="s">
        <v>95</v>
      </c>
      <c r="D8541" t="s">
        <v>183</v>
      </c>
      <c r="E8541" t="s">
        <v>13</v>
      </c>
      <c r="F8541">
        <v>0.79894924163818359</v>
      </c>
    </row>
    <row r="8542" spans="2:6">
      <c r="B8542">
        <v>2018</v>
      </c>
      <c r="C8542" t="s">
        <v>95</v>
      </c>
      <c r="D8542" t="s">
        <v>183</v>
      </c>
      <c r="E8542" t="s">
        <v>14</v>
      </c>
      <c r="F8542">
        <v>0.58523327112197876</v>
      </c>
    </row>
    <row r="8543" spans="2:6">
      <c r="B8543">
        <v>2018</v>
      </c>
      <c r="C8543" t="s">
        <v>95</v>
      </c>
      <c r="D8543" t="s">
        <v>183</v>
      </c>
      <c r="E8543" t="s">
        <v>15</v>
      </c>
      <c r="F8543">
        <v>0.1918705552816391</v>
      </c>
    </row>
    <row r="8544" spans="2:6">
      <c r="B8544">
        <v>2019</v>
      </c>
      <c r="C8544" t="s">
        <v>95</v>
      </c>
      <c r="D8544" t="s">
        <v>183</v>
      </c>
      <c r="E8544" t="s">
        <v>7</v>
      </c>
      <c r="F8544">
        <v>5.9697537422180176</v>
      </c>
    </row>
    <row r="8545" spans="2:6">
      <c r="B8545">
        <v>2019</v>
      </c>
      <c r="C8545" t="s">
        <v>95</v>
      </c>
      <c r="D8545" t="s">
        <v>183</v>
      </c>
      <c r="E8545" t="s">
        <v>8</v>
      </c>
      <c r="F8545">
        <v>10.336246490478516</v>
      </c>
    </row>
    <row r="8546" spans="2:6">
      <c r="B8546">
        <v>2019</v>
      </c>
      <c r="C8546" t="s">
        <v>95</v>
      </c>
      <c r="D8546" t="s">
        <v>183</v>
      </c>
      <c r="E8546" t="s">
        <v>9</v>
      </c>
      <c r="F8546">
        <v>0.93550127744674683</v>
      </c>
    </row>
    <row r="8547" spans="2:6">
      <c r="B8547">
        <v>2019</v>
      </c>
      <c r="C8547" t="s">
        <v>95</v>
      </c>
      <c r="D8547" t="s">
        <v>183</v>
      </c>
      <c r="E8547" t="s">
        <v>10</v>
      </c>
      <c r="F8547">
        <v>67.099998474121094</v>
      </c>
    </row>
    <row r="8548" spans="2:6">
      <c r="B8548">
        <v>2019</v>
      </c>
      <c r="C8548" t="s">
        <v>95</v>
      </c>
      <c r="D8548" t="s">
        <v>183</v>
      </c>
      <c r="E8548" t="s">
        <v>11</v>
      </c>
      <c r="F8548">
        <v>0.69793510437011719</v>
      </c>
    </row>
    <row r="8549" spans="2:6">
      <c r="B8549">
        <v>2019</v>
      </c>
      <c r="C8549" t="s">
        <v>95</v>
      </c>
      <c r="D8549" t="s">
        <v>183</v>
      </c>
      <c r="E8549" t="s">
        <v>12</v>
      </c>
      <c r="F8549">
        <v>-0.19397890567779541</v>
      </c>
    </row>
    <row r="8550" spans="2:6">
      <c r="B8550">
        <v>2019</v>
      </c>
      <c r="C8550" t="s">
        <v>95</v>
      </c>
      <c r="D8550" t="s">
        <v>183</v>
      </c>
      <c r="E8550" t="s">
        <v>13</v>
      </c>
      <c r="F8550">
        <v>0.78922748565673828</v>
      </c>
    </row>
    <row r="8551" spans="2:6">
      <c r="B8551">
        <v>2019</v>
      </c>
      <c r="C8551" t="s">
        <v>95</v>
      </c>
      <c r="D8551" t="s">
        <v>183</v>
      </c>
      <c r="E8551" t="s">
        <v>14</v>
      </c>
      <c r="F8551">
        <v>0.57523471117019653</v>
      </c>
    </row>
    <row r="8552" spans="2:6">
      <c r="B8552">
        <v>2019</v>
      </c>
      <c r="C8552" t="s">
        <v>95</v>
      </c>
      <c r="D8552" t="s">
        <v>183</v>
      </c>
      <c r="E8552" t="s">
        <v>15</v>
      </c>
      <c r="F8552">
        <v>0.2116306871175766</v>
      </c>
    </row>
    <row r="8553" spans="2:6">
      <c r="B8553">
        <v>2020</v>
      </c>
      <c r="C8553" t="s">
        <v>95</v>
      </c>
      <c r="D8553" t="s">
        <v>183</v>
      </c>
      <c r="E8553" t="s">
        <v>7</v>
      </c>
      <c r="F8553">
        <v>6.229008674621582</v>
      </c>
    </row>
    <row r="8554" spans="2:6">
      <c r="B8554">
        <v>2020</v>
      </c>
      <c r="C8554" t="s">
        <v>95</v>
      </c>
      <c r="D8554" t="s">
        <v>183</v>
      </c>
      <c r="E8554" t="s">
        <v>8</v>
      </c>
      <c r="F8554">
        <v>10.299590110778809</v>
      </c>
    </row>
    <row r="8555" spans="2:6">
      <c r="B8555">
        <v>2020</v>
      </c>
      <c r="C8555" t="s">
        <v>95</v>
      </c>
      <c r="D8555" t="s">
        <v>183</v>
      </c>
      <c r="E8555" t="s">
        <v>9</v>
      </c>
      <c r="F8555">
        <v>0.9280121922492981</v>
      </c>
    </row>
    <row r="8556" spans="2:6">
      <c r="B8556">
        <v>2020</v>
      </c>
      <c r="C8556" t="s">
        <v>95</v>
      </c>
      <c r="D8556" t="s">
        <v>183</v>
      </c>
      <c r="E8556" t="s">
        <v>10</v>
      </c>
      <c r="F8556">
        <v>67.400001525878906</v>
      </c>
    </row>
    <row r="8557" spans="2:6">
      <c r="B8557">
        <v>2020</v>
      </c>
      <c r="C8557" t="s">
        <v>95</v>
      </c>
      <c r="D8557" t="s">
        <v>183</v>
      </c>
      <c r="E8557" t="s">
        <v>11</v>
      </c>
      <c r="F8557">
        <v>0.82011169195175171</v>
      </c>
    </row>
    <row r="8558" spans="2:6">
      <c r="B8558">
        <v>2020</v>
      </c>
      <c r="C8558" t="s">
        <v>95</v>
      </c>
      <c r="D8558" t="s">
        <v>183</v>
      </c>
      <c r="E8558" t="s">
        <v>12</v>
      </c>
      <c r="F8558">
        <v>-7.7660471200942993E-2</v>
      </c>
    </row>
    <row r="8559" spans="2:6">
      <c r="B8559">
        <v>2020</v>
      </c>
      <c r="C8559" t="s">
        <v>95</v>
      </c>
      <c r="D8559" t="s">
        <v>183</v>
      </c>
      <c r="E8559" t="s">
        <v>13</v>
      </c>
      <c r="F8559">
        <v>0.80882197618484497</v>
      </c>
    </row>
    <row r="8560" spans="2:6">
      <c r="B8560">
        <v>2020</v>
      </c>
      <c r="C8560" t="s">
        <v>95</v>
      </c>
      <c r="D8560" t="s">
        <v>183</v>
      </c>
      <c r="E8560" t="s">
        <v>14</v>
      </c>
      <c r="F8560">
        <v>0.71362841129302979</v>
      </c>
    </row>
    <row r="8561" spans="2:6">
      <c r="B8561">
        <v>2020</v>
      </c>
      <c r="C8561" t="s">
        <v>95</v>
      </c>
      <c r="D8561" t="s">
        <v>183</v>
      </c>
      <c r="E8561" t="s">
        <v>15</v>
      </c>
      <c r="F8561">
        <v>0.20158237218856812</v>
      </c>
    </row>
    <row r="8562" spans="2:6">
      <c r="B8562">
        <v>2005</v>
      </c>
      <c r="C8562" t="s">
        <v>96</v>
      </c>
      <c r="D8562" t="s">
        <v>182</v>
      </c>
      <c r="E8562" t="s">
        <v>7</v>
      </c>
      <c r="F8562">
        <v>5.4912452697753906</v>
      </c>
    </row>
    <row r="8563" spans="2:6">
      <c r="B8563">
        <v>2005</v>
      </c>
      <c r="C8563" t="s">
        <v>96</v>
      </c>
      <c r="D8563" t="s">
        <v>182</v>
      </c>
      <c r="E8563" t="s">
        <v>8</v>
      </c>
      <c r="F8563">
        <v>9.5654735565185547</v>
      </c>
    </row>
    <row r="8564" spans="2:6">
      <c r="B8564">
        <v>2005</v>
      </c>
      <c r="C8564" t="s">
        <v>96</v>
      </c>
      <c r="D8564" t="s">
        <v>182</v>
      </c>
      <c r="E8564" t="s">
        <v>9</v>
      </c>
      <c r="F8564">
        <v>0.79627835750579834</v>
      </c>
    </row>
    <row r="8565" spans="2:6">
      <c r="B8565">
        <v>2005</v>
      </c>
      <c r="C8565" t="s">
        <v>96</v>
      </c>
      <c r="D8565" t="s">
        <v>182</v>
      </c>
      <c r="E8565" t="s">
        <v>10</v>
      </c>
      <c r="F8565">
        <v>64.599998474121094</v>
      </c>
    </row>
    <row r="8566" spans="2:6">
      <c r="B8566">
        <v>2005</v>
      </c>
      <c r="C8566" t="s">
        <v>96</v>
      </c>
      <c r="D8566" t="s">
        <v>182</v>
      </c>
      <c r="E8566" t="s">
        <v>11</v>
      </c>
      <c r="F8566">
        <v>0.70320582389831543</v>
      </c>
    </row>
    <row r="8567" spans="2:6">
      <c r="B8567">
        <v>2005</v>
      </c>
      <c r="C8567" t="s">
        <v>96</v>
      </c>
      <c r="D8567" t="s">
        <v>182</v>
      </c>
      <c r="E8567" t="s">
        <v>13</v>
      </c>
      <c r="F8567">
        <v>0.94517701864242554</v>
      </c>
    </row>
    <row r="8568" spans="2:6">
      <c r="B8568">
        <v>2005</v>
      </c>
      <c r="C8568" t="s">
        <v>96</v>
      </c>
      <c r="D8568" t="s">
        <v>182</v>
      </c>
      <c r="E8568" t="s">
        <v>14</v>
      </c>
      <c r="F8568">
        <v>0.58424431085586548</v>
      </c>
    </row>
    <row r="8569" spans="2:6">
      <c r="B8569">
        <v>2005</v>
      </c>
      <c r="C8569" t="s">
        <v>96</v>
      </c>
      <c r="D8569" t="s">
        <v>182</v>
      </c>
      <c r="E8569" t="s">
        <v>15</v>
      </c>
      <c r="F8569">
        <v>0.29214981198310852</v>
      </c>
    </row>
    <row r="8570" spans="2:6">
      <c r="B8570">
        <v>2006</v>
      </c>
      <c r="C8570" t="s">
        <v>96</v>
      </c>
      <c r="D8570" t="s">
        <v>182</v>
      </c>
      <c r="E8570" t="s">
        <v>7</v>
      </c>
      <c r="F8570">
        <v>4.6531038284301758</v>
      </c>
    </row>
    <row r="8571" spans="2:6">
      <c r="B8571">
        <v>2006</v>
      </c>
      <c r="C8571" t="s">
        <v>96</v>
      </c>
      <c r="D8571" t="s">
        <v>182</v>
      </c>
      <c r="E8571" t="s">
        <v>8</v>
      </c>
      <c r="F8571">
        <v>9.5679531097412109</v>
      </c>
    </row>
    <row r="8572" spans="2:6">
      <c r="B8572">
        <v>2006</v>
      </c>
      <c r="C8572" t="s">
        <v>96</v>
      </c>
      <c r="D8572" t="s">
        <v>182</v>
      </c>
      <c r="E8572" t="s">
        <v>9</v>
      </c>
      <c r="F8572">
        <v>0.85315102338790894</v>
      </c>
    </row>
    <row r="8573" spans="2:6">
      <c r="B8573">
        <v>2006</v>
      </c>
      <c r="C8573" t="s">
        <v>96</v>
      </c>
      <c r="D8573" t="s">
        <v>182</v>
      </c>
      <c r="E8573" t="s">
        <v>10</v>
      </c>
      <c r="F8573">
        <v>64.720001220703125</v>
      </c>
    </row>
    <row r="8574" spans="2:6">
      <c r="B8574">
        <v>2006</v>
      </c>
      <c r="C8574" t="s">
        <v>96</v>
      </c>
      <c r="D8574" t="s">
        <v>182</v>
      </c>
      <c r="E8574" t="s">
        <v>11</v>
      </c>
      <c r="F8574">
        <v>0.67019355297088623</v>
      </c>
    </row>
    <row r="8575" spans="2:6">
      <c r="B8575">
        <v>2006</v>
      </c>
      <c r="C8575" t="s">
        <v>96</v>
      </c>
      <c r="D8575" t="s">
        <v>182</v>
      </c>
      <c r="E8575" t="s">
        <v>12</v>
      </c>
      <c r="F8575">
        <v>6.9380253553390503E-2</v>
      </c>
    </row>
    <row r="8576" spans="2:6">
      <c r="B8576">
        <v>2006</v>
      </c>
      <c r="C8576" t="s">
        <v>96</v>
      </c>
      <c r="D8576" t="s">
        <v>182</v>
      </c>
      <c r="E8576" t="s">
        <v>13</v>
      </c>
      <c r="F8576">
        <v>0.90195953845977783</v>
      </c>
    </row>
    <row r="8577" spans="2:6">
      <c r="B8577">
        <v>2006</v>
      </c>
      <c r="C8577" t="s">
        <v>96</v>
      </c>
      <c r="D8577" t="s">
        <v>182</v>
      </c>
      <c r="E8577" t="s">
        <v>14</v>
      </c>
      <c r="F8577">
        <v>0.54837095737457275</v>
      </c>
    </row>
    <row r="8578" spans="2:6">
      <c r="B8578">
        <v>2006</v>
      </c>
      <c r="C8578" t="s">
        <v>96</v>
      </c>
      <c r="D8578" t="s">
        <v>182</v>
      </c>
      <c r="E8578" t="s">
        <v>15</v>
      </c>
      <c r="F8578">
        <v>0.31971639394760132</v>
      </c>
    </row>
    <row r="8579" spans="2:6">
      <c r="B8579">
        <v>2008</v>
      </c>
      <c r="C8579" t="s">
        <v>96</v>
      </c>
      <c r="D8579" t="s">
        <v>182</v>
      </c>
      <c r="E8579" t="s">
        <v>7</v>
      </c>
      <c r="F8579">
        <v>4.594851016998291</v>
      </c>
    </row>
    <row r="8580" spans="2:6">
      <c r="B8580">
        <v>2008</v>
      </c>
      <c r="C8580" t="s">
        <v>96</v>
      </c>
      <c r="D8580" t="s">
        <v>182</v>
      </c>
      <c r="E8580" t="s">
        <v>8</v>
      </c>
      <c r="F8580">
        <v>9.742741584777832</v>
      </c>
    </row>
    <row r="8581" spans="2:6">
      <c r="B8581">
        <v>2008</v>
      </c>
      <c r="C8581" t="s">
        <v>96</v>
      </c>
      <c r="D8581" t="s">
        <v>182</v>
      </c>
      <c r="E8581" t="s">
        <v>9</v>
      </c>
      <c r="F8581">
        <v>0.71735739707946777</v>
      </c>
    </row>
    <row r="8582" spans="2:6">
      <c r="B8582">
        <v>2008</v>
      </c>
      <c r="C8582" t="s">
        <v>96</v>
      </c>
      <c r="D8582" t="s">
        <v>182</v>
      </c>
      <c r="E8582" t="s">
        <v>10</v>
      </c>
      <c r="F8582">
        <v>64.959999084472656</v>
      </c>
    </row>
    <row r="8583" spans="2:6">
      <c r="B8583">
        <v>2008</v>
      </c>
      <c r="C8583" t="s">
        <v>96</v>
      </c>
      <c r="D8583" t="s">
        <v>182</v>
      </c>
      <c r="E8583" t="s">
        <v>11</v>
      </c>
      <c r="F8583">
        <v>0.52406251430511475</v>
      </c>
    </row>
    <row r="8584" spans="2:6">
      <c r="B8584">
        <v>2008</v>
      </c>
      <c r="C8584" t="s">
        <v>96</v>
      </c>
      <c r="D8584" t="s">
        <v>182</v>
      </c>
      <c r="E8584" t="s">
        <v>12</v>
      </c>
      <c r="F8584">
        <v>3.4625153988599777E-2</v>
      </c>
    </row>
    <row r="8585" spans="2:6">
      <c r="B8585">
        <v>2008</v>
      </c>
      <c r="C8585" t="s">
        <v>96</v>
      </c>
      <c r="D8585" t="s">
        <v>182</v>
      </c>
      <c r="E8585" t="s">
        <v>13</v>
      </c>
      <c r="F8585">
        <v>0.92672586441040039</v>
      </c>
    </row>
    <row r="8586" spans="2:6">
      <c r="B8586">
        <v>2008</v>
      </c>
      <c r="C8586" t="s">
        <v>96</v>
      </c>
      <c r="D8586" t="s">
        <v>182</v>
      </c>
      <c r="E8586" t="s">
        <v>14</v>
      </c>
      <c r="F8586">
        <v>0.52672582864761353</v>
      </c>
    </row>
    <row r="8587" spans="2:6">
      <c r="B8587">
        <v>2008</v>
      </c>
      <c r="C8587" t="s">
        <v>96</v>
      </c>
      <c r="D8587" t="s">
        <v>182</v>
      </c>
      <c r="E8587" t="s">
        <v>15</v>
      </c>
      <c r="F8587">
        <v>0.36541756987571716</v>
      </c>
    </row>
    <row r="8588" spans="2:6">
      <c r="B8588">
        <v>2009</v>
      </c>
      <c r="C8588" t="s">
        <v>96</v>
      </c>
      <c r="D8588" t="s">
        <v>182</v>
      </c>
      <c r="E8588" t="s">
        <v>7</v>
      </c>
      <c r="F8588">
        <v>5.2059988975524902</v>
      </c>
    </row>
    <row r="8589" spans="2:6">
      <c r="B8589">
        <v>2009</v>
      </c>
      <c r="C8589" t="s">
        <v>96</v>
      </c>
      <c r="D8589" t="s">
        <v>182</v>
      </c>
      <c r="E8589" t="s">
        <v>8</v>
      </c>
      <c r="F8589">
        <v>9.8300771713256836</v>
      </c>
    </row>
    <row r="8590" spans="2:6">
      <c r="B8590">
        <v>2009</v>
      </c>
      <c r="C8590" t="s">
        <v>96</v>
      </c>
      <c r="D8590" t="s">
        <v>182</v>
      </c>
      <c r="E8590" t="s">
        <v>9</v>
      </c>
      <c r="F8590">
        <v>0.7364119291305542</v>
      </c>
    </row>
    <row r="8591" spans="2:6">
      <c r="B8591">
        <v>2009</v>
      </c>
      <c r="C8591" t="s">
        <v>96</v>
      </c>
      <c r="D8591" t="s">
        <v>182</v>
      </c>
      <c r="E8591" t="s">
        <v>10</v>
      </c>
      <c r="F8591">
        <v>65.080001831054688</v>
      </c>
    </row>
    <row r="8592" spans="2:6">
      <c r="B8592">
        <v>2009</v>
      </c>
      <c r="C8592" t="s">
        <v>96</v>
      </c>
      <c r="D8592" t="s">
        <v>182</v>
      </c>
      <c r="E8592" t="s">
        <v>11</v>
      </c>
      <c r="F8592">
        <v>0.66473382711410522</v>
      </c>
    </row>
    <row r="8593" spans="2:6">
      <c r="B8593">
        <v>2009</v>
      </c>
      <c r="C8593" t="s">
        <v>96</v>
      </c>
      <c r="D8593" t="s">
        <v>182</v>
      </c>
      <c r="E8593" t="s">
        <v>12</v>
      </c>
      <c r="F8593">
        <v>7.0730492472648621E-2</v>
      </c>
    </row>
    <row r="8594" spans="2:6">
      <c r="B8594">
        <v>2009</v>
      </c>
      <c r="C8594" t="s">
        <v>96</v>
      </c>
      <c r="D8594" t="s">
        <v>182</v>
      </c>
      <c r="E8594" t="s">
        <v>13</v>
      </c>
      <c r="F8594">
        <v>0.93702459335327148</v>
      </c>
    </row>
    <row r="8595" spans="2:6">
      <c r="B8595">
        <v>2009</v>
      </c>
      <c r="C8595" t="s">
        <v>96</v>
      </c>
      <c r="D8595" t="s">
        <v>182</v>
      </c>
      <c r="E8595" t="s">
        <v>14</v>
      </c>
      <c r="F8595">
        <v>0.52785462141036987</v>
      </c>
    </row>
    <row r="8596" spans="2:6">
      <c r="B8596">
        <v>2009</v>
      </c>
      <c r="C8596" t="s">
        <v>96</v>
      </c>
      <c r="D8596" t="s">
        <v>182</v>
      </c>
      <c r="E8596" t="s">
        <v>15</v>
      </c>
      <c r="F8596">
        <v>0.40128874778747559</v>
      </c>
    </row>
    <row r="8597" spans="2:6">
      <c r="B8597">
        <v>2010</v>
      </c>
      <c r="C8597" t="s">
        <v>96</v>
      </c>
      <c r="D8597" t="s">
        <v>182</v>
      </c>
      <c r="E8597" t="s">
        <v>7</v>
      </c>
      <c r="F8597">
        <v>5.0318994522094727</v>
      </c>
    </row>
    <row r="8598" spans="2:6">
      <c r="B8598">
        <v>2010</v>
      </c>
      <c r="C8598" t="s">
        <v>96</v>
      </c>
      <c r="D8598" t="s">
        <v>182</v>
      </c>
      <c r="E8598" t="s">
        <v>8</v>
      </c>
      <c r="F8598">
        <v>9.8781280517578125</v>
      </c>
    </row>
    <row r="8599" spans="2:6">
      <c r="B8599">
        <v>2010</v>
      </c>
      <c r="C8599" t="s">
        <v>96</v>
      </c>
      <c r="D8599" t="s">
        <v>182</v>
      </c>
      <c r="E8599" t="s">
        <v>9</v>
      </c>
      <c r="F8599">
        <v>0.72142475843429565</v>
      </c>
    </row>
    <row r="8600" spans="2:6">
      <c r="B8600">
        <v>2010</v>
      </c>
      <c r="C8600" t="s">
        <v>96</v>
      </c>
      <c r="D8600" t="s">
        <v>182</v>
      </c>
      <c r="E8600" t="s">
        <v>10</v>
      </c>
      <c r="F8600">
        <v>65.199996948242188</v>
      </c>
    </row>
    <row r="8601" spans="2:6">
      <c r="B8601">
        <v>2010</v>
      </c>
      <c r="C8601" t="s">
        <v>96</v>
      </c>
      <c r="D8601" t="s">
        <v>182</v>
      </c>
      <c r="E8601" t="s">
        <v>11</v>
      </c>
      <c r="F8601">
        <v>0.6776387095451355</v>
      </c>
    </row>
    <row r="8602" spans="2:6">
      <c r="B8602">
        <v>2010</v>
      </c>
      <c r="C8602" t="s">
        <v>96</v>
      </c>
      <c r="D8602" t="s">
        <v>182</v>
      </c>
      <c r="E8602" t="s">
        <v>12</v>
      </c>
      <c r="F8602">
        <v>7.2938889265060425E-2</v>
      </c>
    </row>
    <row r="8603" spans="2:6">
      <c r="B8603">
        <v>2010</v>
      </c>
      <c r="C8603" t="s">
        <v>96</v>
      </c>
      <c r="D8603" t="s">
        <v>182</v>
      </c>
      <c r="E8603" t="s">
        <v>13</v>
      </c>
      <c r="F8603">
        <v>0.94906288385391235</v>
      </c>
    </row>
    <row r="8604" spans="2:6">
      <c r="B8604">
        <v>2010</v>
      </c>
      <c r="C8604" t="s">
        <v>96</v>
      </c>
      <c r="D8604" t="s">
        <v>182</v>
      </c>
      <c r="E8604" t="s">
        <v>14</v>
      </c>
      <c r="F8604">
        <v>0.52507805824279785</v>
      </c>
    </row>
    <row r="8605" spans="2:6">
      <c r="B8605">
        <v>2010</v>
      </c>
      <c r="C8605" t="s">
        <v>96</v>
      </c>
      <c r="D8605" t="s">
        <v>182</v>
      </c>
      <c r="E8605" t="s">
        <v>15</v>
      </c>
      <c r="F8605">
        <v>0.34120553731918335</v>
      </c>
    </row>
    <row r="8606" spans="2:6">
      <c r="B8606">
        <v>2011</v>
      </c>
      <c r="C8606" t="s">
        <v>96</v>
      </c>
      <c r="D8606" t="s">
        <v>182</v>
      </c>
      <c r="E8606" t="s">
        <v>7</v>
      </c>
      <c r="F8606">
        <v>5.1875715255737305</v>
      </c>
    </row>
    <row r="8607" spans="2:6">
      <c r="B8607">
        <v>2011</v>
      </c>
      <c r="C8607" t="s">
        <v>96</v>
      </c>
      <c r="D8607" t="s">
        <v>182</v>
      </c>
      <c r="E8607" t="s">
        <v>8</v>
      </c>
      <c r="F8607">
        <v>9.8376607894897461</v>
      </c>
    </row>
    <row r="8608" spans="2:6">
      <c r="B8608">
        <v>2011</v>
      </c>
      <c r="C8608" t="s">
        <v>96</v>
      </c>
      <c r="D8608" t="s">
        <v>182</v>
      </c>
      <c r="E8608" t="s">
        <v>9</v>
      </c>
      <c r="F8608">
        <v>0.73291462659835815</v>
      </c>
    </row>
    <row r="8609" spans="2:6">
      <c r="B8609">
        <v>2011</v>
      </c>
      <c r="C8609" t="s">
        <v>96</v>
      </c>
      <c r="D8609" t="s">
        <v>182</v>
      </c>
      <c r="E8609" t="s">
        <v>10</v>
      </c>
      <c r="F8609">
        <v>65.279998779296875</v>
      </c>
    </row>
    <row r="8610" spans="2:6">
      <c r="B8610">
        <v>2011</v>
      </c>
      <c r="C8610" t="s">
        <v>96</v>
      </c>
      <c r="D8610" t="s">
        <v>182</v>
      </c>
      <c r="E8610" t="s">
        <v>11</v>
      </c>
      <c r="F8610">
        <v>0.65710604190826416</v>
      </c>
    </row>
    <row r="8611" spans="2:6">
      <c r="B8611">
        <v>2011</v>
      </c>
      <c r="C8611" t="s">
        <v>96</v>
      </c>
      <c r="D8611" t="s">
        <v>182</v>
      </c>
      <c r="E8611" t="s">
        <v>12</v>
      </c>
      <c r="F8611">
        <v>5.8149807155132294E-3</v>
      </c>
    </row>
    <row r="8612" spans="2:6">
      <c r="B8612">
        <v>2011</v>
      </c>
      <c r="C8612" t="s">
        <v>96</v>
      </c>
      <c r="D8612" t="s">
        <v>182</v>
      </c>
      <c r="E8612" t="s">
        <v>13</v>
      </c>
      <c r="F8612">
        <v>0.91056084632873535</v>
      </c>
    </row>
    <row r="8613" spans="2:6">
      <c r="B8613">
        <v>2011</v>
      </c>
      <c r="C8613" t="s">
        <v>96</v>
      </c>
      <c r="D8613" t="s">
        <v>182</v>
      </c>
      <c r="E8613" t="s">
        <v>14</v>
      </c>
      <c r="F8613">
        <v>0.57801073789596558</v>
      </c>
    </row>
    <row r="8614" spans="2:6">
      <c r="B8614">
        <v>2011</v>
      </c>
      <c r="C8614" t="s">
        <v>96</v>
      </c>
      <c r="D8614" t="s">
        <v>182</v>
      </c>
      <c r="E8614" t="s">
        <v>15</v>
      </c>
      <c r="F8614">
        <v>0.32016703486442566</v>
      </c>
    </row>
    <row r="8615" spans="2:6">
      <c r="B8615">
        <v>2012</v>
      </c>
      <c r="C8615" t="s">
        <v>96</v>
      </c>
      <c r="D8615" t="s">
        <v>182</v>
      </c>
      <c r="E8615" t="s">
        <v>7</v>
      </c>
      <c r="F8615">
        <v>4.5725669860839844</v>
      </c>
    </row>
    <row r="8616" spans="2:6">
      <c r="B8616">
        <v>2012</v>
      </c>
      <c r="C8616" t="s">
        <v>96</v>
      </c>
      <c r="D8616" t="s">
        <v>182</v>
      </c>
      <c r="E8616" t="s">
        <v>8</v>
      </c>
      <c r="F8616">
        <v>9.80010986328125</v>
      </c>
    </row>
    <row r="8617" spans="2:6">
      <c r="B8617">
        <v>2012</v>
      </c>
      <c r="C8617" t="s">
        <v>96</v>
      </c>
      <c r="D8617" t="s">
        <v>182</v>
      </c>
      <c r="E8617" t="s">
        <v>9</v>
      </c>
      <c r="F8617">
        <v>0.71261149644851685</v>
      </c>
    </row>
    <row r="8618" spans="2:6">
      <c r="B8618">
        <v>2012</v>
      </c>
      <c r="C8618" t="s">
        <v>96</v>
      </c>
      <c r="D8618" t="s">
        <v>182</v>
      </c>
      <c r="E8618" t="s">
        <v>10</v>
      </c>
      <c r="F8618">
        <v>65.360000610351563</v>
      </c>
    </row>
    <row r="8619" spans="2:6">
      <c r="B8619">
        <v>2012</v>
      </c>
      <c r="C8619" t="s">
        <v>96</v>
      </c>
      <c r="D8619" t="s">
        <v>182</v>
      </c>
      <c r="E8619" t="s">
        <v>11</v>
      </c>
      <c r="F8619">
        <v>0.62062716484069824</v>
      </c>
    </row>
    <row r="8620" spans="2:6">
      <c r="B8620">
        <v>2012</v>
      </c>
      <c r="C8620" t="s">
        <v>96</v>
      </c>
      <c r="D8620" t="s">
        <v>182</v>
      </c>
      <c r="E8620" t="s">
        <v>12</v>
      </c>
      <c r="F8620">
        <v>-5.7375584729015827E-3</v>
      </c>
    </row>
    <row r="8621" spans="2:6">
      <c r="B8621">
        <v>2012</v>
      </c>
      <c r="C8621" t="s">
        <v>96</v>
      </c>
      <c r="D8621" t="s">
        <v>182</v>
      </c>
      <c r="E8621" t="s">
        <v>13</v>
      </c>
      <c r="F8621">
        <v>0.8557775616645813</v>
      </c>
    </row>
    <row r="8622" spans="2:6">
      <c r="B8622">
        <v>2012</v>
      </c>
      <c r="C8622" t="s">
        <v>96</v>
      </c>
      <c r="D8622" t="s">
        <v>182</v>
      </c>
      <c r="E8622" t="s">
        <v>14</v>
      </c>
      <c r="F8622">
        <v>0.49944090843200684</v>
      </c>
    </row>
    <row r="8623" spans="2:6">
      <c r="B8623">
        <v>2012</v>
      </c>
      <c r="C8623" t="s">
        <v>96</v>
      </c>
      <c r="D8623" t="s">
        <v>182</v>
      </c>
      <c r="E8623" t="s">
        <v>15</v>
      </c>
      <c r="F8623">
        <v>0.33885684609413147</v>
      </c>
    </row>
    <row r="8624" spans="2:6">
      <c r="B8624">
        <v>2013</v>
      </c>
      <c r="C8624" t="s">
        <v>96</v>
      </c>
      <c r="D8624" t="s">
        <v>182</v>
      </c>
      <c r="E8624" t="s">
        <v>7</v>
      </c>
      <c r="F8624">
        <v>4.9832887649536133</v>
      </c>
    </row>
    <row r="8625" spans="2:6">
      <c r="B8625">
        <v>2013</v>
      </c>
      <c r="C8625" t="s">
        <v>96</v>
      </c>
      <c r="D8625" t="s">
        <v>182</v>
      </c>
      <c r="E8625" t="s">
        <v>8</v>
      </c>
      <c r="F8625">
        <v>9.7718324661254883</v>
      </c>
    </row>
    <row r="8626" spans="2:6">
      <c r="B8626">
        <v>2013</v>
      </c>
      <c r="C8626" t="s">
        <v>96</v>
      </c>
      <c r="D8626" t="s">
        <v>182</v>
      </c>
      <c r="E8626" t="s">
        <v>9</v>
      </c>
      <c r="F8626">
        <v>0.70822805166244507</v>
      </c>
    </row>
    <row r="8627" spans="2:6">
      <c r="B8627">
        <v>2013</v>
      </c>
      <c r="C8627" t="s">
        <v>96</v>
      </c>
      <c r="D8627" t="s">
        <v>182</v>
      </c>
      <c r="E8627" t="s">
        <v>10</v>
      </c>
      <c r="F8627">
        <v>65.44000244140625</v>
      </c>
    </row>
    <row r="8628" spans="2:6">
      <c r="B8628">
        <v>2013</v>
      </c>
      <c r="C8628" t="s">
        <v>96</v>
      </c>
      <c r="D8628" t="s">
        <v>182</v>
      </c>
      <c r="E8628" t="s">
        <v>11</v>
      </c>
      <c r="F8628">
        <v>0.65486830472946167</v>
      </c>
    </row>
    <row r="8629" spans="2:6">
      <c r="B8629">
        <v>2013</v>
      </c>
      <c r="C8629" t="s">
        <v>96</v>
      </c>
      <c r="D8629" t="s">
        <v>182</v>
      </c>
      <c r="E8629" t="s">
        <v>12</v>
      </c>
      <c r="F8629">
        <v>-3.8503909017890692E-3</v>
      </c>
    </row>
    <row r="8630" spans="2:6">
      <c r="B8630">
        <v>2013</v>
      </c>
      <c r="C8630" t="s">
        <v>96</v>
      </c>
      <c r="D8630" t="s">
        <v>182</v>
      </c>
      <c r="E8630" t="s">
        <v>13</v>
      </c>
      <c r="F8630">
        <v>0.92082780599594116</v>
      </c>
    </row>
    <row r="8631" spans="2:6">
      <c r="B8631">
        <v>2013</v>
      </c>
      <c r="C8631" t="s">
        <v>96</v>
      </c>
      <c r="D8631" t="s">
        <v>182</v>
      </c>
      <c r="E8631" t="s">
        <v>14</v>
      </c>
      <c r="F8631">
        <v>0.49886369705200195</v>
      </c>
    </row>
    <row r="8632" spans="2:6">
      <c r="B8632">
        <v>2013</v>
      </c>
      <c r="C8632" t="s">
        <v>96</v>
      </c>
      <c r="D8632" t="s">
        <v>182</v>
      </c>
      <c r="E8632" t="s">
        <v>15</v>
      </c>
      <c r="F8632">
        <v>0.40933731198310852</v>
      </c>
    </row>
    <row r="8633" spans="2:6">
      <c r="B8633">
        <v>2014</v>
      </c>
      <c r="C8633" t="s">
        <v>96</v>
      </c>
      <c r="D8633" t="s">
        <v>182</v>
      </c>
      <c r="E8633" t="s">
        <v>7</v>
      </c>
      <c r="F8633">
        <v>5.2330255508422852</v>
      </c>
    </row>
    <row r="8634" spans="2:6">
      <c r="B8634">
        <v>2014</v>
      </c>
      <c r="C8634" t="s">
        <v>96</v>
      </c>
      <c r="D8634" t="s">
        <v>182</v>
      </c>
      <c r="E8634" t="s">
        <v>8</v>
      </c>
      <c r="F8634">
        <v>9.7390098571777344</v>
      </c>
    </row>
    <row r="8635" spans="2:6">
      <c r="B8635">
        <v>2014</v>
      </c>
      <c r="C8635" t="s">
        <v>96</v>
      </c>
      <c r="D8635" t="s">
        <v>182</v>
      </c>
      <c r="E8635" t="s">
        <v>9</v>
      </c>
      <c r="F8635">
        <v>0.75871944427490234</v>
      </c>
    </row>
    <row r="8636" spans="2:6">
      <c r="B8636">
        <v>2014</v>
      </c>
      <c r="C8636" t="s">
        <v>96</v>
      </c>
      <c r="D8636" t="s">
        <v>182</v>
      </c>
      <c r="E8636" t="s">
        <v>10</v>
      </c>
      <c r="F8636">
        <v>65.519996643066406</v>
      </c>
    </row>
    <row r="8637" spans="2:6">
      <c r="B8637">
        <v>2014</v>
      </c>
      <c r="C8637" t="s">
        <v>96</v>
      </c>
      <c r="D8637" t="s">
        <v>182</v>
      </c>
      <c r="E8637" t="s">
        <v>11</v>
      </c>
      <c r="F8637">
        <v>0.65720796585083008</v>
      </c>
    </row>
    <row r="8638" spans="2:6">
      <c r="B8638">
        <v>2014</v>
      </c>
      <c r="C8638" t="s">
        <v>96</v>
      </c>
      <c r="D8638" t="s">
        <v>182</v>
      </c>
      <c r="E8638" t="s">
        <v>12</v>
      </c>
      <c r="F8638">
        <v>-1.2232049368321896E-2</v>
      </c>
    </row>
    <row r="8639" spans="2:6">
      <c r="B8639">
        <v>2014</v>
      </c>
      <c r="C8639" t="s">
        <v>96</v>
      </c>
      <c r="D8639" t="s">
        <v>182</v>
      </c>
      <c r="E8639" t="s">
        <v>13</v>
      </c>
      <c r="F8639">
        <v>0.9393581748008728</v>
      </c>
    </row>
    <row r="8640" spans="2:6">
      <c r="B8640">
        <v>2014</v>
      </c>
      <c r="C8640" t="s">
        <v>96</v>
      </c>
      <c r="D8640" t="s">
        <v>182</v>
      </c>
      <c r="E8640" t="s">
        <v>14</v>
      </c>
      <c r="F8640">
        <v>0.55884808301925659</v>
      </c>
    </row>
    <row r="8641" spans="2:6">
      <c r="B8641">
        <v>2014</v>
      </c>
      <c r="C8641" t="s">
        <v>96</v>
      </c>
      <c r="D8641" t="s">
        <v>182</v>
      </c>
      <c r="E8641" t="s">
        <v>15</v>
      </c>
      <c r="F8641">
        <v>0.26721322536468506</v>
      </c>
    </row>
    <row r="8642" spans="2:6">
      <c r="B8642">
        <v>2015</v>
      </c>
      <c r="C8642" t="s">
        <v>96</v>
      </c>
      <c r="D8642" t="s">
        <v>182</v>
      </c>
      <c r="E8642" t="s">
        <v>7</v>
      </c>
      <c r="F8642">
        <v>5.171971321105957</v>
      </c>
    </row>
    <row r="8643" spans="2:6">
      <c r="B8643">
        <v>2015</v>
      </c>
      <c r="C8643" t="s">
        <v>96</v>
      </c>
      <c r="D8643" t="s">
        <v>182</v>
      </c>
      <c r="E8643" t="s">
        <v>8</v>
      </c>
      <c r="F8643">
        <v>9.6988725662231445</v>
      </c>
    </row>
    <row r="8644" spans="2:6">
      <c r="B8644">
        <v>2015</v>
      </c>
      <c r="C8644" t="s">
        <v>96</v>
      </c>
      <c r="D8644" t="s">
        <v>182</v>
      </c>
      <c r="E8644" t="s">
        <v>9</v>
      </c>
      <c r="F8644">
        <v>0.74170774221420288</v>
      </c>
    </row>
    <row r="8645" spans="2:6">
      <c r="B8645">
        <v>2015</v>
      </c>
      <c r="C8645" t="s">
        <v>96</v>
      </c>
      <c r="D8645" t="s">
        <v>182</v>
      </c>
      <c r="E8645" t="s">
        <v>10</v>
      </c>
      <c r="F8645">
        <v>65.599998474121094</v>
      </c>
    </row>
    <row r="8646" spans="2:6">
      <c r="B8646">
        <v>2015</v>
      </c>
      <c r="C8646" t="s">
        <v>96</v>
      </c>
      <c r="D8646" t="s">
        <v>182</v>
      </c>
      <c r="E8646" t="s">
        <v>11</v>
      </c>
      <c r="F8646">
        <v>0.59674978256225586</v>
      </c>
    </row>
    <row r="8647" spans="2:6">
      <c r="B8647">
        <v>2015</v>
      </c>
      <c r="C8647" t="s">
        <v>96</v>
      </c>
      <c r="D8647" t="s">
        <v>182</v>
      </c>
      <c r="E8647" t="s">
        <v>12</v>
      </c>
      <c r="F8647">
        <v>7.2651676833629608E-2</v>
      </c>
    </row>
    <row r="8648" spans="2:6">
      <c r="B8648">
        <v>2015</v>
      </c>
      <c r="C8648" t="s">
        <v>96</v>
      </c>
      <c r="D8648" t="s">
        <v>182</v>
      </c>
      <c r="E8648" t="s">
        <v>13</v>
      </c>
      <c r="F8648">
        <v>0.88895326852798462</v>
      </c>
    </row>
    <row r="8649" spans="2:6">
      <c r="B8649">
        <v>2015</v>
      </c>
      <c r="C8649" t="s">
        <v>96</v>
      </c>
      <c r="D8649" t="s">
        <v>182</v>
      </c>
      <c r="E8649" t="s">
        <v>14</v>
      </c>
      <c r="F8649">
        <v>0.56787329912185669</v>
      </c>
    </row>
    <row r="8650" spans="2:6">
      <c r="B8650">
        <v>2015</v>
      </c>
      <c r="C8650" t="s">
        <v>96</v>
      </c>
      <c r="D8650" t="s">
        <v>182</v>
      </c>
      <c r="E8650" t="s">
        <v>15</v>
      </c>
      <c r="F8650">
        <v>0.2425539642572403</v>
      </c>
    </row>
    <row r="8651" spans="2:6">
      <c r="B8651">
        <v>2016</v>
      </c>
      <c r="C8651" t="s">
        <v>96</v>
      </c>
      <c r="D8651" t="s">
        <v>182</v>
      </c>
      <c r="E8651" t="s">
        <v>7</v>
      </c>
      <c r="F8651">
        <v>5.270723819732666</v>
      </c>
    </row>
    <row r="8652" spans="2:6">
      <c r="B8652">
        <v>2016</v>
      </c>
      <c r="C8652" t="s">
        <v>96</v>
      </c>
      <c r="D8652" t="s">
        <v>182</v>
      </c>
      <c r="E8652" t="s">
        <v>8</v>
      </c>
      <c r="F8652">
        <v>9.6871023178100586</v>
      </c>
    </row>
    <row r="8653" spans="2:6">
      <c r="B8653">
        <v>2016</v>
      </c>
      <c r="C8653" t="s">
        <v>96</v>
      </c>
      <c r="D8653" t="s">
        <v>182</v>
      </c>
      <c r="E8653" t="s">
        <v>9</v>
      </c>
      <c r="F8653">
        <v>0.82788592576980591</v>
      </c>
    </row>
    <row r="8654" spans="2:6">
      <c r="B8654">
        <v>2016</v>
      </c>
      <c r="C8654" t="s">
        <v>96</v>
      </c>
      <c r="D8654" t="s">
        <v>182</v>
      </c>
      <c r="E8654" t="s">
        <v>10</v>
      </c>
      <c r="F8654">
        <v>66.099998474121094</v>
      </c>
    </row>
    <row r="8655" spans="2:6">
      <c r="B8655">
        <v>2016</v>
      </c>
      <c r="C8655" t="s">
        <v>96</v>
      </c>
      <c r="D8655" t="s">
        <v>182</v>
      </c>
      <c r="E8655" t="s">
        <v>11</v>
      </c>
      <c r="F8655">
        <v>0.65735745429992676</v>
      </c>
    </row>
    <row r="8656" spans="2:6">
      <c r="B8656">
        <v>2016</v>
      </c>
      <c r="C8656" t="s">
        <v>96</v>
      </c>
      <c r="D8656" t="s">
        <v>182</v>
      </c>
      <c r="E8656" t="s">
        <v>12</v>
      </c>
      <c r="F8656">
        <v>3.1364038586616516E-2</v>
      </c>
    </row>
    <row r="8657" spans="2:6">
      <c r="B8657">
        <v>2016</v>
      </c>
      <c r="C8657" t="s">
        <v>96</v>
      </c>
      <c r="D8657" t="s">
        <v>182</v>
      </c>
      <c r="E8657" t="s">
        <v>13</v>
      </c>
      <c r="F8657">
        <v>0.85311448574066162</v>
      </c>
    </row>
    <row r="8658" spans="2:6">
      <c r="B8658">
        <v>2016</v>
      </c>
      <c r="C8658" t="s">
        <v>96</v>
      </c>
      <c r="D8658" t="s">
        <v>182</v>
      </c>
      <c r="E8658" t="s">
        <v>14</v>
      </c>
      <c r="F8658">
        <v>0.55265110731124878</v>
      </c>
    </row>
    <row r="8659" spans="2:6">
      <c r="B8659">
        <v>2016</v>
      </c>
      <c r="C8659" t="s">
        <v>96</v>
      </c>
      <c r="D8659" t="s">
        <v>182</v>
      </c>
      <c r="E8659" t="s">
        <v>15</v>
      </c>
      <c r="F8659">
        <v>0.26344561576843262</v>
      </c>
    </row>
    <row r="8660" spans="2:6">
      <c r="B8660">
        <v>2017</v>
      </c>
      <c r="C8660" t="s">
        <v>96</v>
      </c>
      <c r="D8660" t="s">
        <v>182</v>
      </c>
      <c r="E8660" t="s">
        <v>7</v>
      </c>
      <c r="F8660">
        <v>5.1539897918701172</v>
      </c>
    </row>
    <row r="8661" spans="2:6">
      <c r="B8661">
        <v>2017</v>
      </c>
      <c r="C8661" t="s">
        <v>96</v>
      </c>
      <c r="D8661" t="s">
        <v>182</v>
      </c>
      <c r="E8661" t="s">
        <v>8</v>
      </c>
      <c r="F8661">
        <v>9.6806726455688477</v>
      </c>
    </row>
    <row r="8662" spans="2:6">
      <c r="B8662">
        <v>2017</v>
      </c>
      <c r="C8662" t="s">
        <v>96</v>
      </c>
      <c r="D8662" t="s">
        <v>182</v>
      </c>
      <c r="E8662" t="s">
        <v>9</v>
      </c>
      <c r="F8662">
        <v>0.77658301591873169</v>
      </c>
    </row>
    <row r="8663" spans="2:6">
      <c r="B8663">
        <v>2017</v>
      </c>
      <c r="C8663" t="s">
        <v>96</v>
      </c>
      <c r="D8663" t="s">
        <v>182</v>
      </c>
      <c r="E8663" t="s">
        <v>10</v>
      </c>
      <c r="F8663">
        <v>66.599998474121094</v>
      </c>
    </row>
    <row r="8664" spans="2:6">
      <c r="B8664">
        <v>2017</v>
      </c>
      <c r="C8664" t="s">
        <v>96</v>
      </c>
      <c r="D8664" t="s">
        <v>182</v>
      </c>
      <c r="E8664" t="s">
        <v>11</v>
      </c>
      <c r="F8664">
        <v>0.60455417633056641</v>
      </c>
    </row>
    <row r="8665" spans="2:6">
      <c r="B8665">
        <v>2017</v>
      </c>
      <c r="C8665" t="s">
        <v>96</v>
      </c>
      <c r="D8665" t="s">
        <v>182</v>
      </c>
      <c r="E8665" t="s">
        <v>12</v>
      </c>
      <c r="F8665">
        <v>-7.4190214276313782E-2</v>
      </c>
    </row>
    <row r="8666" spans="2:6">
      <c r="B8666">
        <v>2017</v>
      </c>
      <c r="C8666" t="s">
        <v>96</v>
      </c>
      <c r="D8666" t="s">
        <v>182</v>
      </c>
      <c r="E8666" t="s">
        <v>13</v>
      </c>
      <c r="F8666">
        <v>0.91072726249694824</v>
      </c>
    </row>
    <row r="8667" spans="2:6">
      <c r="B8667">
        <v>2017</v>
      </c>
      <c r="C8667" t="s">
        <v>96</v>
      </c>
      <c r="D8667" t="s">
        <v>182</v>
      </c>
      <c r="E8667" t="s">
        <v>14</v>
      </c>
      <c r="F8667">
        <v>0.51544392108917236</v>
      </c>
    </row>
    <row r="8668" spans="2:6">
      <c r="B8668">
        <v>2017</v>
      </c>
      <c r="C8668" t="s">
        <v>96</v>
      </c>
      <c r="D8668" t="s">
        <v>182</v>
      </c>
      <c r="E8668" t="s">
        <v>15</v>
      </c>
      <c r="F8668">
        <v>0.24354921281337738</v>
      </c>
    </row>
    <row r="8669" spans="2:6">
      <c r="B8669">
        <v>2018</v>
      </c>
      <c r="C8669" t="s">
        <v>96</v>
      </c>
      <c r="D8669" t="s">
        <v>182</v>
      </c>
      <c r="E8669" t="s">
        <v>7</v>
      </c>
      <c r="F8669">
        <v>5.1671867370605469</v>
      </c>
    </row>
    <row r="8670" spans="2:6">
      <c r="B8670">
        <v>2018</v>
      </c>
      <c r="C8670" t="s">
        <v>96</v>
      </c>
      <c r="D8670" t="s">
        <v>182</v>
      </c>
      <c r="E8670" t="s">
        <v>8</v>
      </c>
      <c r="F8670">
        <v>9.6557960510253906</v>
      </c>
    </row>
    <row r="8671" spans="2:6">
      <c r="B8671">
        <v>2018</v>
      </c>
      <c r="C8671" t="s">
        <v>96</v>
      </c>
      <c r="D8671" t="s">
        <v>182</v>
      </c>
      <c r="E8671" t="s">
        <v>9</v>
      </c>
      <c r="F8671">
        <v>0.82938063144683838</v>
      </c>
    </row>
    <row r="8672" spans="2:6">
      <c r="B8672">
        <v>2018</v>
      </c>
      <c r="C8672" t="s">
        <v>96</v>
      </c>
      <c r="D8672" t="s">
        <v>182</v>
      </c>
      <c r="E8672" t="s">
        <v>10</v>
      </c>
      <c r="F8672">
        <v>67.099998474121094</v>
      </c>
    </row>
    <row r="8673" spans="2:6">
      <c r="B8673">
        <v>2018</v>
      </c>
      <c r="C8673" t="s">
        <v>96</v>
      </c>
      <c r="D8673" t="s">
        <v>182</v>
      </c>
      <c r="E8673" t="s">
        <v>11</v>
      </c>
      <c r="F8673">
        <v>0.60703068971633911</v>
      </c>
    </row>
    <row r="8674" spans="2:6">
      <c r="B8674">
        <v>2018</v>
      </c>
      <c r="C8674" t="s">
        <v>96</v>
      </c>
      <c r="D8674" t="s">
        <v>182</v>
      </c>
      <c r="E8674" t="s">
        <v>12</v>
      </c>
      <c r="F8674">
        <v>-6.5524362027645111E-2</v>
      </c>
    </row>
    <row r="8675" spans="2:6">
      <c r="B8675">
        <v>2018</v>
      </c>
      <c r="C8675" t="s">
        <v>96</v>
      </c>
      <c r="D8675" t="s">
        <v>182</v>
      </c>
      <c r="E8675" t="s">
        <v>13</v>
      </c>
      <c r="F8675">
        <v>0.90665030479431152</v>
      </c>
    </row>
    <row r="8676" spans="2:6">
      <c r="B8676">
        <v>2018</v>
      </c>
      <c r="C8676" t="s">
        <v>96</v>
      </c>
      <c r="D8676" t="s">
        <v>182</v>
      </c>
      <c r="E8676" t="s">
        <v>14</v>
      </c>
      <c r="F8676">
        <v>0.46388077735900879</v>
      </c>
    </row>
    <row r="8677" spans="2:6">
      <c r="B8677">
        <v>2018</v>
      </c>
      <c r="C8677" t="s">
        <v>96</v>
      </c>
      <c r="D8677" t="s">
        <v>182</v>
      </c>
      <c r="E8677" t="s">
        <v>15</v>
      </c>
      <c r="F8677">
        <v>0.27068889141082764</v>
      </c>
    </row>
    <row r="8678" spans="2:6">
      <c r="B8678">
        <v>2019</v>
      </c>
      <c r="C8678" t="s">
        <v>96</v>
      </c>
      <c r="D8678" t="s">
        <v>182</v>
      </c>
      <c r="E8678" t="s">
        <v>7</v>
      </c>
      <c r="F8678">
        <v>4.0242195129394531</v>
      </c>
    </row>
    <row r="8679" spans="2:6">
      <c r="B8679">
        <v>2019</v>
      </c>
      <c r="C8679" t="s">
        <v>96</v>
      </c>
      <c r="D8679" t="s">
        <v>182</v>
      </c>
      <c r="E8679" t="s">
        <v>8</v>
      </c>
      <c r="F8679">
        <v>9.5967826843261719</v>
      </c>
    </row>
    <row r="8680" spans="2:6">
      <c r="B8680">
        <v>2019</v>
      </c>
      <c r="C8680" t="s">
        <v>96</v>
      </c>
      <c r="D8680" t="s">
        <v>182</v>
      </c>
      <c r="E8680" t="s">
        <v>9</v>
      </c>
      <c r="F8680">
        <v>0.86596852540969849</v>
      </c>
    </row>
    <row r="8681" spans="2:6">
      <c r="B8681">
        <v>2019</v>
      </c>
      <c r="C8681" t="s">
        <v>96</v>
      </c>
      <c r="D8681" t="s">
        <v>182</v>
      </c>
      <c r="E8681" t="s">
        <v>10</v>
      </c>
      <c r="F8681">
        <v>67.599998474121094</v>
      </c>
    </row>
    <row r="8682" spans="2:6">
      <c r="B8682">
        <v>2019</v>
      </c>
      <c r="C8682" t="s">
        <v>96</v>
      </c>
      <c r="D8682" t="s">
        <v>182</v>
      </c>
      <c r="E8682" t="s">
        <v>11</v>
      </c>
      <c r="F8682">
        <v>0.44700148701667786</v>
      </c>
    </row>
    <row r="8683" spans="2:6">
      <c r="B8683">
        <v>2019</v>
      </c>
      <c r="C8683" t="s">
        <v>96</v>
      </c>
      <c r="D8683" t="s">
        <v>182</v>
      </c>
      <c r="E8683" t="s">
        <v>12</v>
      </c>
      <c r="F8683">
        <v>-8.108239620923996E-2</v>
      </c>
    </row>
    <row r="8684" spans="2:6">
      <c r="B8684">
        <v>2019</v>
      </c>
      <c r="C8684" t="s">
        <v>96</v>
      </c>
      <c r="D8684" t="s">
        <v>182</v>
      </c>
      <c r="E8684" t="s">
        <v>13</v>
      </c>
      <c r="F8684">
        <v>0.89041560888290405</v>
      </c>
    </row>
    <row r="8685" spans="2:6">
      <c r="B8685">
        <v>2019</v>
      </c>
      <c r="C8685" t="s">
        <v>96</v>
      </c>
      <c r="D8685" t="s">
        <v>182</v>
      </c>
      <c r="E8685" t="s">
        <v>14</v>
      </c>
      <c r="F8685">
        <v>0.32168975472450256</v>
      </c>
    </row>
    <row r="8686" spans="2:6">
      <c r="B8686">
        <v>2019</v>
      </c>
      <c r="C8686" t="s">
        <v>96</v>
      </c>
      <c r="D8686" t="s">
        <v>182</v>
      </c>
      <c r="E8686" t="s">
        <v>15</v>
      </c>
      <c r="F8686">
        <v>0.49449902772903442</v>
      </c>
    </row>
    <row r="8687" spans="2:6">
      <c r="B8687">
        <v>2011</v>
      </c>
      <c r="C8687" t="s">
        <v>97</v>
      </c>
      <c r="D8687" t="s">
        <v>184</v>
      </c>
      <c r="E8687" t="s">
        <v>7</v>
      </c>
      <c r="F8687">
        <v>4.897514820098877</v>
      </c>
    </row>
    <row r="8688" spans="2:6">
      <c r="B8688">
        <v>2011</v>
      </c>
      <c r="C8688" t="s">
        <v>97</v>
      </c>
      <c r="D8688" t="s">
        <v>184</v>
      </c>
      <c r="E8688" t="s">
        <v>8</v>
      </c>
      <c r="F8688">
        <v>7.7773294448852539</v>
      </c>
    </row>
    <row r="8689" spans="2:6">
      <c r="B8689">
        <v>2011</v>
      </c>
      <c r="C8689" t="s">
        <v>97</v>
      </c>
      <c r="D8689" t="s">
        <v>184</v>
      </c>
      <c r="E8689" t="s">
        <v>9</v>
      </c>
      <c r="F8689">
        <v>0.82408535480499268</v>
      </c>
    </row>
    <row r="8690" spans="2:6">
      <c r="B8690">
        <v>2011</v>
      </c>
      <c r="C8690" t="s">
        <v>97</v>
      </c>
      <c r="D8690" t="s">
        <v>184</v>
      </c>
      <c r="E8690" t="s">
        <v>10</v>
      </c>
      <c r="F8690">
        <v>45.740001678466797</v>
      </c>
    </row>
    <row r="8691" spans="2:6">
      <c r="B8691">
        <v>2011</v>
      </c>
      <c r="C8691" t="s">
        <v>97</v>
      </c>
      <c r="D8691" t="s">
        <v>184</v>
      </c>
      <c r="E8691" t="s">
        <v>11</v>
      </c>
      <c r="F8691">
        <v>0.6182597279548645</v>
      </c>
    </row>
    <row r="8692" spans="2:6">
      <c r="B8692">
        <v>2011</v>
      </c>
      <c r="C8692" t="s">
        <v>97</v>
      </c>
      <c r="D8692" t="s">
        <v>184</v>
      </c>
      <c r="E8692" t="s">
        <v>12</v>
      </c>
      <c r="F8692">
        <v>-8.6918391287326813E-2</v>
      </c>
    </row>
    <row r="8693" spans="2:6">
      <c r="B8693">
        <v>2011</v>
      </c>
      <c r="C8693" t="s">
        <v>97</v>
      </c>
      <c r="D8693" t="s">
        <v>184</v>
      </c>
      <c r="E8693" t="s">
        <v>13</v>
      </c>
      <c r="F8693">
        <v>0.76767563819885254</v>
      </c>
    </row>
    <row r="8694" spans="2:6">
      <c r="B8694">
        <v>2011</v>
      </c>
      <c r="C8694" t="s">
        <v>97</v>
      </c>
      <c r="D8694" t="s">
        <v>184</v>
      </c>
      <c r="E8694" t="s">
        <v>14</v>
      </c>
      <c r="F8694">
        <v>0.79347318410873413</v>
      </c>
    </row>
    <row r="8695" spans="2:6">
      <c r="B8695">
        <v>2011</v>
      </c>
      <c r="C8695" t="s">
        <v>97</v>
      </c>
      <c r="D8695" t="s">
        <v>184</v>
      </c>
      <c r="E8695" t="s">
        <v>15</v>
      </c>
      <c r="F8695">
        <v>0.17000992596149445</v>
      </c>
    </row>
    <row r="8696" spans="2:6">
      <c r="B8696">
        <v>2016</v>
      </c>
      <c r="C8696" t="s">
        <v>97</v>
      </c>
      <c r="D8696" t="s">
        <v>184</v>
      </c>
      <c r="E8696" t="s">
        <v>7</v>
      </c>
      <c r="F8696">
        <v>3.8082048892974854</v>
      </c>
    </row>
    <row r="8697" spans="2:6">
      <c r="B8697">
        <v>2016</v>
      </c>
      <c r="C8697" t="s">
        <v>97</v>
      </c>
      <c r="D8697" t="s">
        <v>184</v>
      </c>
      <c r="E8697" t="s">
        <v>8</v>
      </c>
      <c r="F8697">
        <v>7.9525089263916016</v>
      </c>
    </row>
    <row r="8698" spans="2:6">
      <c r="B8698">
        <v>2016</v>
      </c>
      <c r="C8698" t="s">
        <v>97</v>
      </c>
      <c r="D8698" t="s">
        <v>184</v>
      </c>
      <c r="E8698" t="s">
        <v>9</v>
      </c>
      <c r="F8698">
        <v>0.79805928468704224</v>
      </c>
    </row>
    <row r="8699" spans="2:6">
      <c r="B8699">
        <v>2016</v>
      </c>
      <c r="C8699" t="s">
        <v>97</v>
      </c>
      <c r="D8699" t="s">
        <v>184</v>
      </c>
      <c r="E8699" t="s">
        <v>10</v>
      </c>
      <c r="F8699">
        <v>46.599998474121094</v>
      </c>
    </row>
    <row r="8700" spans="2:6">
      <c r="B8700">
        <v>2016</v>
      </c>
      <c r="C8700" t="s">
        <v>97</v>
      </c>
      <c r="D8700" t="s">
        <v>184</v>
      </c>
      <c r="E8700" t="s">
        <v>11</v>
      </c>
      <c r="F8700">
        <v>0.72948986291885376</v>
      </c>
    </row>
    <row r="8701" spans="2:6">
      <c r="B8701">
        <v>2016</v>
      </c>
      <c r="C8701" t="s">
        <v>97</v>
      </c>
      <c r="D8701" t="s">
        <v>184</v>
      </c>
      <c r="E8701" t="s">
        <v>12</v>
      </c>
      <c r="F8701">
        <v>-9.8773367702960968E-2</v>
      </c>
    </row>
    <row r="8702" spans="2:6">
      <c r="B8702">
        <v>2016</v>
      </c>
      <c r="C8702" t="s">
        <v>97</v>
      </c>
      <c r="D8702" t="s">
        <v>184</v>
      </c>
      <c r="E8702" t="s">
        <v>13</v>
      </c>
      <c r="F8702">
        <v>0.74287337064743042</v>
      </c>
    </row>
    <row r="8703" spans="2:6">
      <c r="B8703">
        <v>2016</v>
      </c>
      <c r="C8703" t="s">
        <v>97</v>
      </c>
      <c r="D8703" t="s">
        <v>184</v>
      </c>
      <c r="E8703" t="s">
        <v>14</v>
      </c>
      <c r="F8703">
        <v>0.73246556520462036</v>
      </c>
    </row>
    <row r="8704" spans="2:6">
      <c r="B8704">
        <v>2016</v>
      </c>
      <c r="C8704" t="s">
        <v>97</v>
      </c>
      <c r="D8704" t="s">
        <v>184</v>
      </c>
      <c r="E8704" t="s">
        <v>15</v>
      </c>
      <c r="F8704">
        <v>0.27028349041938782</v>
      </c>
    </row>
    <row r="8705" spans="2:6">
      <c r="B8705">
        <v>2017</v>
      </c>
      <c r="C8705" t="s">
        <v>97</v>
      </c>
      <c r="D8705" t="s">
        <v>184</v>
      </c>
      <c r="E8705" t="s">
        <v>7</v>
      </c>
      <c r="F8705">
        <v>3.7953007221221924</v>
      </c>
    </row>
    <row r="8706" spans="2:6">
      <c r="B8706">
        <v>2017</v>
      </c>
      <c r="C8706" t="s">
        <v>97</v>
      </c>
      <c r="D8706" t="s">
        <v>184</v>
      </c>
      <c r="E8706" t="s">
        <v>8</v>
      </c>
      <c r="F8706">
        <v>7.9313263893127441</v>
      </c>
    </row>
    <row r="8707" spans="2:6">
      <c r="B8707">
        <v>2017</v>
      </c>
      <c r="C8707" t="s">
        <v>97</v>
      </c>
      <c r="D8707" t="s">
        <v>184</v>
      </c>
      <c r="E8707" t="s">
        <v>9</v>
      </c>
      <c r="F8707">
        <v>0.76855164766311646</v>
      </c>
    </row>
    <row r="8708" spans="2:6">
      <c r="B8708">
        <v>2017</v>
      </c>
      <c r="C8708" t="s">
        <v>97</v>
      </c>
      <c r="D8708" t="s">
        <v>184</v>
      </c>
      <c r="E8708" t="s">
        <v>10</v>
      </c>
      <c r="F8708">
        <v>47.299999237060547</v>
      </c>
    </row>
    <row r="8709" spans="2:6">
      <c r="B8709">
        <v>2017</v>
      </c>
      <c r="C8709" t="s">
        <v>97</v>
      </c>
      <c r="D8709" t="s">
        <v>184</v>
      </c>
      <c r="E8709" t="s">
        <v>11</v>
      </c>
      <c r="F8709">
        <v>0.75650519132614136</v>
      </c>
    </row>
    <row r="8710" spans="2:6">
      <c r="B8710">
        <v>2017</v>
      </c>
      <c r="C8710" t="s">
        <v>97</v>
      </c>
      <c r="D8710" t="s">
        <v>184</v>
      </c>
      <c r="E8710" t="s">
        <v>12</v>
      </c>
      <c r="F8710">
        <v>-0.14485174417495728</v>
      </c>
    </row>
    <row r="8711" spans="2:6">
      <c r="B8711">
        <v>2017</v>
      </c>
      <c r="C8711" t="s">
        <v>97</v>
      </c>
      <c r="D8711" t="s">
        <v>184</v>
      </c>
      <c r="E8711" t="s">
        <v>13</v>
      </c>
      <c r="F8711">
        <v>0.79685944318771362</v>
      </c>
    </row>
    <row r="8712" spans="2:6">
      <c r="B8712">
        <v>2017</v>
      </c>
      <c r="C8712" t="s">
        <v>97</v>
      </c>
      <c r="D8712" t="s">
        <v>184</v>
      </c>
      <c r="E8712" t="s">
        <v>14</v>
      </c>
      <c r="F8712">
        <v>0.74620175361633301</v>
      </c>
    </row>
    <row r="8713" spans="2:6">
      <c r="B8713">
        <v>2017</v>
      </c>
      <c r="C8713" t="s">
        <v>97</v>
      </c>
      <c r="D8713" t="s">
        <v>184</v>
      </c>
      <c r="E8713" t="s">
        <v>15</v>
      </c>
      <c r="F8713">
        <v>0.25530308485031128</v>
      </c>
    </row>
    <row r="8714" spans="2:6">
      <c r="B8714">
        <v>2019</v>
      </c>
      <c r="C8714" t="s">
        <v>97</v>
      </c>
      <c r="D8714" t="s">
        <v>184</v>
      </c>
      <c r="E8714" t="s">
        <v>7</v>
      </c>
      <c r="F8714">
        <v>3.5117805004119873</v>
      </c>
    </row>
    <row r="8715" spans="2:6">
      <c r="B8715">
        <v>2019</v>
      </c>
      <c r="C8715" t="s">
        <v>97</v>
      </c>
      <c r="D8715" t="s">
        <v>184</v>
      </c>
      <c r="E8715" t="s">
        <v>8</v>
      </c>
      <c r="F8715">
        <v>7.9257769584655762</v>
      </c>
    </row>
    <row r="8716" spans="2:6">
      <c r="B8716">
        <v>2019</v>
      </c>
      <c r="C8716" t="s">
        <v>97</v>
      </c>
      <c r="D8716" t="s">
        <v>184</v>
      </c>
      <c r="E8716" t="s">
        <v>9</v>
      </c>
      <c r="F8716">
        <v>0.78970539569854736</v>
      </c>
    </row>
    <row r="8717" spans="2:6">
      <c r="B8717">
        <v>2019</v>
      </c>
      <c r="C8717" t="s">
        <v>97</v>
      </c>
      <c r="D8717" t="s">
        <v>184</v>
      </c>
      <c r="E8717" t="s">
        <v>10</v>
      </c>
      <c r="F8717">
        <v>48.700000762939453</v>
      </c>
    </row>
    <row r="8718" spans="2:6">
      <c r="B8718">
        <v>2019</v>
      </c>
      <c r="C8718" t="s">
        <v>97</v>
      </c>
      <c r="D8718" t="s">
        <v>184</v>
      </c>
      <c r="E8718" t="s">
        <v>11</v>
      </c>
      <c r="F8718">
        <v>0.71631354093551636</v>
      </c>
    </row>
    <row r="8719" spans="2:6">
      <c r="B8719">
        <v>2019</v>
      </c>
      <c r="C8719" t="s">
        <v>97</v>
      </c>
      <c r="D8719" t="s">
        <v>184</v>
      </c>
      <c r="E8719" t="s">
        <v>12</v>
      </c>
      <c r="F8719">
        <v>-0.13053622841835022</v>
      </c>
    </row>
    <row r="8720" spans="2:6">
      <c r="B8720">
        <v>2019</v>
      </c>
      <c r="C8720" t="s">
        <v>97</v>
      </c>
      <c r="D8720" t="s">
        <v>184</v>
      </c>
      <c r="E8720" t="s">
        <v>13</v>
      </c>
      <c r="F8720">
        <v>0.91495144367218018</v>
      </c>
    </row>
    <row r="8721" spans="2:6">
      <c r="B8721">
        <v>2019</v>
      </c>
      <c r="C8721" t="s">
        <v>97</v>
      </c>
      <c r="D8721" t="s">
        <v>184</v>
      </c>
      <c r="E8721" t="s">
        <v>14</v>
      </c>
      <c r="F8721">
        <v>0.73487991094589233</v>
      </c>
    </row>
    <row r="8722" spans="2:6">
      <c r="B8722">
        <v>2019</v>
      </c>
      <c r="C8722" t="s">
        <v>97</v>
      </c>
      <c r="D8722" t="s">
        <v>184</v>
      </c>
      <c r="E8722" t="s">
        <v>15</v>
      </c>
      <c r="F8722">
        <v>0.27342551946640015</v>
      </c>
    </row>
    <row r="8723" spans="2:6">
      <c r="B8723">
        <v>2007</v>
      </c>
      <c r="C8723" t="s">
        <v>98</v>
      </c>
      <c r="D8723" t="s">
        <v>184</v>
      </c>
      <c r="E8723" t="s">
        <v>7</v>
      </c>
      <c r="F8723">
        <v>3.7014012336730957</v>
      </c>
    </row>
    <row r="8724" spans="2:6">
      <c r="B8724">
        <v>2007</v>
      </c>
      <c r="C8724" t="s">
        <v>98</v>
      </c>
      <c r="D8724" t="s">
        <v>184</v>
      </c>
      <c r="E8724" t="s">
        <v>8</v>
      </c>
      <c r="F8724">
        <v>7.1955041885375977</v>
      </c>
    </row>
    <row r="8725" spans="2:6">
      <c r="B8725">
        <v>2007</v>
      </c>
      <c r="C8725" t="s">
        <v>98</v>
      </c>
      <c r="D8725" t="s">
        <v>184</v>
      </c>
      <c r="E8725" t="s">
        <v>9</v>
      </c>
      <c r="F8725">
        <v>0.59373170137405396</v>
      </c>
    </row>
    <row r="8726" spans="2:6">
      <c r="B8726">
        <v>2007</v>
      </c>
      <c r="C8726" t="s">
        <v>98</v>
      </c>
      <c r="D8726" t="s">
        <v>184</v>
      </c>
      <c r="E8726" t="s">
        <v>10</v>
      </c>
      <c r="F8726">
        <v>49.139999389648438</v>
      </c>
    </row>
    <row r="8727" spans="2:6">
      <c r="B8727">
        <v>2007</v>
      </c>
      <c r="C8727" t="s">
        <v>98</v>
      </c>
      <c r="D8727" t="s">
        <v>184</v>
      </c>
      <c r="E8727" t="s">
        <v>11</v>
      </c>
      <c r="F8727">
        <v>0.79037421941757202</v>
      </c>
    </row>
    <row r="8728" spans="2:6">
      <c r="B8728">
        <v>2007</v>
      </c>
      <c r="C8728" t="s">
        <v>98</v>
      </c>
      <c r="D8728" t="s">
        <v>184</v>
      </c>
      <c r="E8728" t="s">
        <v>12</v>
      </c>
      <c r="F8728">
        <v>0.11522096395492554</v>
      </c>
    </row>
    <row r="8729" spans="2:6">
      <c r="B8729">
        <v>2007</v>
      </c>
      <c r="C8729" t="s">
        <v>98</v>
      </c>
      <c r="D8729" t="s">
        <v>184</v>
      </c>
      <c r="E8729" t="s">
        <v>13</v>
      </c>
      <c r="F8729">
        <v>0.77573466300964355</v>
      </c>
    </row>
    <row r="8730" spans="2:6">
      <c r="B8730">
        <v>2007</v>
      </c>
      <c r="C8730" t="s">
        <v>98</v>
      </c>
      <c r="D8730" t="s">
        <v>184</v>
      </c>
      <c r="E8730" t="s">
        <v>14</v>
      </c>
      <c r="F8730">
        <v>0.61269742250442505</v>
      </c>
    </row>
    <row r="8731" spans="2:6">
      <c r="B8731">
        <v>2007</v>
      </c>
      <c r="C8731" t="s">
        <v>98</v>
      </c>
      <c r="D8731" t="s">
        <v>184</v>
      </c>
      <c r="E8731" t="s">
        <v>15</v>
      </c>
      <c r="F8731">
        <v>0.43541029095649719</v>
      </c>
    </row>
    <row r="8732" spans="2:6">
      <c r="B8732">
        <v>2008</v>
      </c>
      <c r="C8732" t="s">
        <v>98</v>
      </c>
      <c r="D8732" t="s">
        <v>184</v>
      </c>
      <c r="E8732" t="s">
        <v>7</v>
      </c>
      <c r="F8732">
        <v>4.2213540077209473</v>
      </c>
    </row>
    <row r="8733" spans="2:6">
      <c r="B8733">
        <v>2008</v>
      </c>
      <c r="C8733" t="s">
        <v>98</v>
      </c>
      <c r="D8733" t="s">
        <v>184</v>
      </c>
      <c r="E8733" t="s">
        <v>8</v>
      </c>
      <c r="F8733">
        <v>7.2232294082641602</v>
      </c>
    </row>
    <row r="8734" spans="2:6">
      <c r="B8734">
        <v>2008</v>
      </c>
      <c r="C8734" t="s">
        <v>98</v>
      </c>
      <c r="D8734" t="s">
        <v>184</v>
      </c>
      <c r="E8734" t="s">
        <v>9</v>
      </c>
      <c r="F8734">
        <v>0.61869251728057861</v>
      </c>
    </row>
    <row r="8735" spans="2:6">
      <c r="B8735">
        <v>2008</v>
      </c>
      <c r="C8735" t="s">
        <v>98</v>
      </c>
      <c r="D8735" t="s">
        <v>184</v>
      </c>
      <c r="E8735" t="s">
        <v>10</v>
      </c>
      <c r="F8735">
        <v>49.959999084472656</v>
      </c>
    </row>
    <row r="8736" spans="2:6">
      <c r="B8736">
        <v>2008</v>
      </c>
      <c r="C8736" t="s">
        <v>98</v>
      </c>
      <c r="D8736" t="s">
        <v>184</v>
      </c>
      <c r="E8736" t="s">
        <v>11</v>
      </c>
      <c r="F8736">
        <v>0.72408276796340942</v>
      </c>
    </row>
    <row r="8737" spans="2:6">
      <c r="B8737">
        <v>2008</v>
      </c>
      <c r="C8737" t="s">
        <v>98</v>
      </c>
      <c r="D8737" t="s">
        <v>184</v>
      </c>
      <c r="E8737" t="s">
        <v>12</v>
      </c>
      <c r="F8737">
        <v>-3.4547336399555206E-2</v>
      </c>
    </row>
    <row r="8738" spans="2:6">
      <c r="B8738">
        <v>2008</v>
      </c>
      <c r="C8738" t="s">
        <v>98</v>
      </c>
      <c r="D8738" t="s">
        <v>184</v>
      </c>
      <c r="E8738" t="s">
        <v>13</v>
      </c>
      <c r="F8738">
        <v>0.8396676778793335</v>
      </c>
    </row>
    <row r="8739" spans="2:6">
      <c r="B8739">
        <v>2008</v>
      </c>
      <c r="C8739" t="s">
        <v>98</v>
      </c>
      <c r="D8739" t="s">
        <v>184</v>
      </c>
      <c r="E8739" t="s">
        <v>14</v>
      </c>
      <c r="F8739">
        <v>0.5850672721862793</v>
      </c>
    </row>
    <row r="8740" spans="2:6">
      <c r="B8740">
        <v>2008</v>
      </c>
      <c r="C8740" t="s">
        <v>98</v>
      </c>
      <c r="D8740" t="s">
        <v>184</v>
      </c>
      <c r="E8740" t="s">
        <v>15</v>
      </c>
      <c r="F8740">
        <v>0.26113313436508179</v>
      </c>
    </row>
    <row r="8741" spans="2:6">
      <c r="B8741">
        <v>2010</v>
      </c>
      <c r="C8741" t="s">
        <v>98</v>
      </c>
      <c r="D8741" t="s">
        <v>184</v>
      </c>
      <c r="E8741" t="s">
        <v>7</v>
      </c>
      <c r="F8741">
        <v>4.1960630416870117</v>
      </c>
    </row>
    <row r="8742" spans="2:6">
      <c r="B8742">
        <v>2010</v>
      </c>
      <c r="C8742" t="s">
        <v>98</v>
      </c>
      <c r="D8742" t="s">
        <v>184</v>
      </c>
      <c r="E8742" t="s">
        <v>8</v>
      </c>
      <c r="F8742">
        <v>7.2584447860717773</v>
      </c>
    </row>
    <row r="8743" spans="2:6">
      <c r="B8743">
        <v>2010</v>
      </c>
      <c r="C8743" t="s">
        <v>98</v>
      </c>
      <c r="D8743" t="s">
        <v>184</v>
      </c>
      <c r="E8743" t="s">
        <v>9</v>
      </c>
      <c r="F8743">
        <v>0.82709872722625732</v>
      </c>
    </row>
    <row r="8744" spans="2:6">
      <c r="B8744">
        <v>2010</v>
      </c>
      <c r="C8744" t="s">
        <v>98</v>
      </c>
      <c r="D8744" t="s">
        <v>184</v>
      </c>
      <c r="E8744" t="s">
        <v>10</v>
      </c>
      <c r="F8744">
        <v>51.599998474121094</v>
      </c>
    </row>
    <row r="8745" spans="2:6">
      <c r="B8745">
        <v>2010</v>
      </c>
      <c r="C8745" t="s">
        <v>98</v>
      </c>
      <c r="D8745" t="s">
        <v>184</v>
      </c>
      <c r="E8745" t="s">
        <v>11</v>
      </c>
      <c r="F8745">
        <v>0.81900537014007568</v>
      </c>
    </row>
    <row r="8746" spans="2:6">
      <c r="B8746">
        <v>2010</v>
      </c>
      <c r="C8746" t="s">
        <v>98</v>
      </c>
      <c r="D8746" t="s">
        <v>184</v>
      </c>
      <c r="E8746" t="s">
        <v>12</v>
      </c>
      <c r="F8746">
        <v>-3.8287602365016937E-2</v>
      </c>
    </row>
    <row r="8747" spans="2:6">
      <c r="B8747">
        <v>2010</v>
      </c>
      <c r="C8747" t="s">
        <v>98</v>
      </c>
      <c r="D8747" t="s">
        <v>184</v>
      </c>
      <c r="E8747" t="s">
        <v>13</v>
      </c>
      <c r="F8747">
        <v>0.81842952966690063</v>
      </c>
    </row>
    <row r="8748" spans="2:6">
      <c r="B8748">
        <v>2010</v>
      </c>
      <c r="C8748" t="s">
        <v>98</v>
      </c>
      <c r="D8748" t="s">
        <v>184</v>
      </c>
      <c r="E8748" t="s">
        <v>14</v>
      </c>
      <c r="F8748">
        <v>0.59500837326049805</v>
      </c>
    </row>
    <row r="8749" spans="2:6">
      <c r="B8749">
        <v>2010</v>
      </c>
      <c r="C8749" t="s">
        <v>98</v>
      </c>
      <c r="D8749" t="s">
        <v>184</v>
      </c>
      <c r="E8749" t="s">
        <v>15</v>
      </c>
      <c r="F8749">
        <v>0.2168831080198288</v>
      </c>
    </row>
    <row r="8750" spans="2:6">
      <c r="B8750">
        <v>2014</v>
      </c>
      <c r="C8750" t="s">
        <v>98</v>
      </c>
      <c r="D8750" t="s">
        <v>184</v>
      </c>
      <c r="E8750" t="s">
        <v>7</v>
      </c>
      <c r="F8750">
        <v>4.5714192390441895</v>
      </c>
    </row>
    <row r="8751" spans="2:6">
      <c r="B8751">
        <v>2014</v>
      </c>
      <c r="C8751" t="s">
        <v>98</v>
      </c>
      <c r="D8751" t="s">
        <v>184</v>
      </c>
      <c r="E8751" t="s">
        <v>8</v>
      </c>
      <c r="F8751">
        <v>7.3910117149353027</v>
      </c>
    </row>
    <row r="8752" spans="2:6">
      <c r="B8752">
        <v>2014</v>
      </c>
      <c r="C8752" t="s">
        <v>98</v>
      </c>
      <c r="D8752" t="s">
        <v>184</v>
      </c>
      <c r="E8752" t="s">
        <v>9</v>
      </c>
      <c r="F8752">
        <v>0.70830178260803223</v>
      </c>
    </row>
    <row r="8753" spans="2:6">
      <c r="B8753">
        <v>2014</v>
      </c>
      <c r="C8753" t="s">
        <v>98</v>
      </c>
      <c r="D8753" t="s">
        <v>184</v>
      </c>
      <c r="E8753" t="s">
        <v>10</v>
      </c>
      <c r="F8753">
        <v>53.279998779296875</v>
      </c>
    </row>
    <row r="8754" spans="2:6">
      <c r="B8754">
        <v>2014</v>
      </c>
      <c r="C8754" t="s">
        <v>98</v>
      </c>
      <c r="D8754" t="s">
        <v>184</v>
      </c>
      <c r="E8754" t="s">
        <v>11</v>
      </c>
      <c r="F8754">
        <v>0.59045088291168213</v>
      </c>
    </row>
    <row r="8755" spans="2:6">
      <c r="B8755">
        <v>2014</v>
      </c>
      <c r="C8755" t="s">
        <v>98</v>
      </c>
      <c r="D8755" t="s">
        <v>184</v>
      </c>
      <c r="E8755" t="s">
        <v>12</v>
      </c>
      <c r="F8755">
        <v>-2.9853735119104385E-2</v>
      </c>
    </row>
    <row r="8756" spans="2:6">
      <c r="B8756">
        <v>2014</v>
      </c>
      <c r="C8756" t="s">
        <v>98</v>
      </c>
      <c r="D8756" t="s">
        <v>184</v>
      </c>
      <c r="E8756" t="s">
        <v>13</v>
      </c>
      <c r="F8756">
        <v>0.86896628141403198</v>
      </c>
    </row>
    <row r="8757" spans="2:6">
      <c r="B8757">
        <v>2014</v>
      </c>
      <c r="C8757" t="s">
        <v>98</v>
      </c>
      <c r="D8757" t="s">
        <v>184</v>
      </c>
      <c r="E8757" t="s">
        <v>14</v>
      </c>
      <c r="F8757">
        <v>0.54284924268722534</v>
      </c>
    </row>
    <row r="8758" spans="2:6">
      <c r="B8758">
        <v>2014</v>
      </c>
      <c r="C8758" t="s">
        <v>98</v>
      </c>
      <c r="D8758" t="s">
        <v>184</v>
      </c>
      <c r="E8758" t="s">
        <v>15</v>
      </c>
      <c r="F8758">
        <v>0.44285961985588074</v>
      </c>
    </row>
    <row r="8759" spans="2:6">
      <c r="B8759">
        <v>2015</v>
      </c>
      <c r="C8759" t="s">
        <v>98</v>
      </c>
      <c r="D8759" t="s">
        <v>184</v>
      </c>
      <c r="E8759" t="s">
        <v>7</v>
      </c>
      <c r="F8759">
        <v>2.7015912532806396</v>
      </c>
    </row>
    <row r="8760" spans="2:6">
      <c r="B8760">
        <v>2015</v>
      </c>
      <c r="C8760" t="s">
        <v>98</v>
      </c>
      <c r="D8760" t="s">
        <v>184</v>
      </c>
      <c r="E8760" t="s">
        <v>8</v>
      </c>
      <c r="F8760">
        <v>7.365483283996582</v>
      </c>
    </row>
    <row r="8761" spans="2:6">
      <c r="B8761">
        <v>2015</v>
      </c>
      <c r="C8761" t="s">
        <v>98</v>
      </c>
      <c r="D8761" t="s">
        <v>184</v>
      </c>
      <c r="E8761" t="s">
        <v>9</v>
      </c>
      <c r="F8761">
        <v>0.63766598701477051</v>
      </c>
    </row>
    <row r="8762" spans="2:6">
      <c r="B8762">
        <v>2015</v>
      </c>
      <c r="C8762" t="s">
        <v>98</v>
      </c>
      <c r="D8762" t="s">
        <v>184</v>
      </c>
      <c r="E8762" t="s">
        <v>10</v>
      </c>
      <c r="F8762">
        <v>53.700000762939453</v>
      </c>
    </row>
    <row r="8763" spans="2:6">
      <c r="B8763">
        <v>2015</v>
      </c>
      <c r="C8763" t="s">
        <v>98</v>
      </c>
      <c r="D8763" t="s">
        <v>184</v>
      </c>
      <c r="E8763" t="s">
        <v>11</v>
      </c>
      <c r="F8763">
        <v>0.67143088579177856</v>
      </c>
    </row>
    <row r="8764" spans="2:6">
      <c r="B8764">
        <v>2015</v>
      </c>
      <c r="C8764" t="s">
        <v>98</v>
      </c>
      <c r="D8764" t="s">
        <v>184</v>
      </c>
      <c r="E8764" t="s">
        <v>12</v>
      </c>
      <c r="F8764">
        <v>-6.1490323394536972E-2</v>
      </c>
    </row>
    <row r="8765" spans="2:6">
      <c r="B8765">
        <v>2015</v>
      </c>
      <c r="C8765" t="s">
        <v>98</v>
      </c>
      <c r="D8765" t="s">
        <v>184</v>
      </c>
      <c r="E8765" t="s">
        <v>13</v>
      </c>
      <c r="F8765">
        <v>0.90267264842987061</v>
      </c>
    </row>
    <row r="8766" spans="2:6">
      <c r="B8766">
        <v>2015</v>
      </c>
      <c r="C8766" t="s">
        <v>98</v>
      </c>
      <c r="D8766" t="s">
        <v>184</v>
      </c>
      <c r="E8766" t="s">
        <v>14</v>
      </c>
      <c r="F8766">
        <v>0.50506740808486938</v>
      </c>
    </row>
    <row r="8767" spans="2:6">
      <c r="B8767">
        <v>2015</v>
      </c>
      <c r="C8767" t="s">
        <v>98</v>
      </c>
      <c r="D8767" t="s">
        <v>184</v>
      </c>
      <c r="E8767" t="s">
        <v>15</v>
      </c>
      <c r="F8767">
        <v>0.38848862051963806</v>
      </c>
    </row>
    <row r="8768" spans="2:6">
      <c r="B8768">
        <v>2016</v>
      </c>
      <c r="C8768" t="s">
        <v>98</v>
      </c>
      <c r="D8768" t="s">
        <v>184</v>
      </c>
      <c r="E8768" t="s">
        <v>7</v>
      </c>
      <c r="F8768">
        <v>3.3546760082244873</v>
      </c>
    </row>
    <row r="8769" spans="2:6">
      <c r="B8769">
        <v>2016</v>
      </c>
      <c r="C8769" t="s">
        <v>98</v>
      </c>
      <c r="D8769" t="s">
        <v>184</v>
      </c>
      <c r="E8769" t="s">
        <v>8</v>
      </c>
      <c r="F8769">
        <v>7.3240652084350586</v>
      </c>
    </row>
    <row r="8770" spans="2:6">
      <c r="B8770">
        <v>2016</v>
      </c>
      <c r="C8770" t="s">
        <v>98</v>
      </c>
      <c r="D8770" t="s">
        <v>184</v>
      </c>
      <c r="E8770" t="s">
        <v>9</v>
      </c>
      <c r="F8770">
        <v>0.64261460304260254</v>
      </c>
    </row>
    <row r="8771" spans="2:6">
      <c r="B8771">
        <v>2016</v>
      </c>
      <c r="C8771" t="s">
        <v>98</v>
      </c>
      <c r="D8771" t="s">
        <v>184</v>
      </c>
      <c r="E8771" t="s">
        <v>10</v>
      </c>
      <c r="F8771">
        <v>54.5</v>
      </c>
    </row>
    <row r="8772" spans="2:6">
      <c r="B8772">
        <v>2016</v>
      </c>
      <c r="C8772" t="s">
        <v>98</v>
      </c>
      <c r="D8772" t="s">
        <v>184</v>
      </c>
      <c r="E8772" t="s">
        <v>11</v>
      </c>
      <c r="F8772">
        <v>0.76347601413726807</v>
      </c>
    </row>
    <row r="8773" spans="2:6">
      <c r="B8773">
        <v>2016</v>
      </c>
      <c r="C8773" t="s">
        <v>98</v>
      </c>
      <c r="D8773" t="s">
        <v>184</v>
      </c>
      <c r="E8773" t="s">
        <v>12</v>
      </c>
      <c r="F8773">
        <v>3.3053763210773468E-2</v>
      </c>
    </row>
    <row r="8774" spans="2:6">
      <c r="B8774">
        <v>2016</v>
      </c>
      <c r="C8774" t="s">
        <v>98</v>
      </c>
      <c r="D8774" t="s">
        <v>184</v>
      </c>
      <c r="E8774" t="s">
        <v>13</v>
      </c>
      <c r="F8774">
        <v>0.90126746892929077</v>
      </c>
    </row>
    <row r="8775" spans="2:6">
      <c r="B8775">
        <v>2016</v>
      </c>
      <c r="C8775" t="s">
        <v>98</v>
      </c>
      <c r="D8775" t="s">
        <v>184</v>
      </c>
      <c r="E8775" t="s">
        <v>14</v>
      </c>
      <c r="F8775">
        <v>0.63552755117416382</v>
      </c>
    </row>
    <row r="8776" spans="2:6">
      <c r="B8776">
        <v>2016</v>
      </c>
      <c r="C8776" t="s">
        <v>98</v>
      </c>
      <c r="D8776" t="s">
        <v>184</v>
      </c>
      <c r="E8776" t="s">
        <v>15</v>
      </c>
      <c r="F8776">
        <v>0.50904667377471924</v>
      </c>
    </row>
    <row r="8777" spans="2:6">
      <c r="B8777">
        <v>2017</v>
      </c>
      <c r="C8777" t="s">
        <v>98</v>
      </c>
      <c r="D8777" t="s">
        <v>184</v>
      </c>
      <c r="E8777" t="s">
        <v>7</v>
      </c>
      <c r="F8777">
        <v>4.4244909286499023</v>
      </c>
    </row>
    <row r="8778" spans="2:6">
      <c r="B8778">
        <v>2017</v>
      </c>
      <c r="C8778" t="s">
        <v>98</v>
      </c>
      <c r="D8778" t="s">
        <v>184</v>
      </c>
      <c r="E8778" t="s">
        <v>8</v>
      </c>
      <c r="F8778">
        <v>7.3235950469970703</v>
      </c>
    </row>
    <row r="8779" spans="2:6">
      <c r="B8779">
        <v>2017</v>
      </c>
      <c r="C8779" t="s">
        <v>98</v>
      </c>
      <c r="D8779" t="s">
        <v>184</v>
      </c>
      <c r="E8779" t="s">
        <v>9</v>
      </c>
      <c r="F8779">
        <v>0.68486684560775757</v>
      </c>
    </row>
    <row r="8780" spans="2:6">
      <c r="B8780">
        <v>2017</v>
      </c>
      <c r="C8780" t="s">
        <v>98</v>
      </c>
      <c r="D8780" t="s">
        <v>184</v>
      </c>
      <c r="E8780" t="s">
        <v>10</v>
      </c>
      <c r="F8780">
        <v>55.299999237060547</v>
      </c>
    </row>
    <row r="8781" spans="2:6">
      <c r="B8781">
        <v>2017</v>
      </c>
      <c r="C8781" t="s">
        <v>98</v>
      </c>
      <c r="D8781" t="s">
        <v>184</v>
      </c>
      <c r="E8781" t="s">
        <v>11</v>
      </c>
      <c r="F8781">
        <v>0.73338991403579712</v>
      </c>
    </row>
    <row r="8782" spans="2:6">
      <c r="B8782">
        <v>2017</v>
      </c>
      <c r="C8782" t="s">
        <v>98</v>
      </c>
      <c r="D8782" t="s">
        <v>184</v>
      </c>
      <c r="E8782" t="s">
        <v>12</v>
      </c>
      <c r="F8782">
        <v>-1.2056075036525726E-2</v>
      </c>
    </row>
    <row r="8783" spans="2:6">
      <c r="B8783">
        <v>2017</v>
      </c>
      <c r="C8783" t="s">
        <v>98</v>
      </c>
      <c r="D8783" t="s">
        <v>184</v>
      </c>
      <c r="E8783" t="s">
        <v>13</v>
      </c>
      <c r="F8783">
        <v>0.86680638790130615</v>
      </c>
    </row>
    <row r="8784" spans="2:6">
      <c r="B8784">
        <v>2017</v>
      </c>
      <c r="C8784" t="s">
        <v>98</v>
      </c>
      <c r="D8784" t="s">
        <v>184</v>
      </c>
      <c r="E8784" t="s">
        <v>14</v>
      </c>
      <c r="F8784">
        <v>0.667946457862854</v>
      </c>
    </row>
    <row r="8785" spans="2:6">
      <c r="B8785">
        <v>2017</v>
      </c>
      <c r="C8785" t="s">
        <v>98</v>
      </c>
      <c r="D8785" t="s">
        <v>184</v>
      </c>
      <c r="E8785" t="s">
        <v>15</v>
      </c>
      <c r="F8785">
        <v>0.3913305401802063</v>
      </c>
    </row>
    <row r="8786" spans="2:6">
      <c r="B8786">
        <v>2018</v>
      </c>
      <c r="C8786" t="s">
        <v>98</v>
      </c>
      <c r="D8786" t="s">
        <v>184</v>
      </c>
      <c r="E8786" t="s">
        <v>7</v>
      </c>
      <c r="F8786">
        <v>4.1348528861999512</v>
      </c>
    </row>
    <row r="8787" spans="2:6">
      <c r="B8787">
        <v>2018</v>
      </c>
      <c r="C8787" t="s">
        <v>98</v>
      </c>
      <c r="D8787" t="s">
        <v>184</v>
      </c>
      <c r="E8787" t="s">
        <v>8</v>
      </c>
      <c r="F8787">
        <v>7.3112215995788574</v>
      </c>
    </row>
    <row r="8788" spans="2:6">
      <c r="B8788">
        <v>2018</v>
      </c>
      <c r="C8788" t="s">
        <v>98</v>
      </c>
      <c r="D8788" t="s">
        <v>184</v>
      </c>
      <c r="E8788" t="s">
        <v>9</v>
      </c>
      <c r="F8788">
        <v>0.72675013542175293</v>
      </c>
    </row>
    <row r="8789" spans="2:6">
      <c r="B8789">
        <v>2018</v>
      </c>
      <c r="C8789" t="s">
        <v>98</v>
      </c>
      <c r="D8789" t="s">
        <v>184</v>
      </c>
      <c r="E8789" t="s">
        <v>10</v>
      </c>
      <c r="F8789">
        <v>56.099998474121094</v>
      </c>
    </row>
    <row r="8790" spans="2:6">
      <c r="B8790">
        <v>2018</v>
      </c>
      <c r="C8790" t="s">
        <v>98</v>
      </c>
      <c r="D8790" t="s">
        <v>184</v>
      </c>
      <c r="E8790" t="s">
        <v>11</v>
      </c>
      <c r="F8790">
        <v>0.76576954126358032</v>
      </c>
    </row>
    <row r="8791" spans="2:6">
      <c r="B8791">
        <v>2018</v>
      </c>
      <c r="C8791" t="s">
        <v>98</v>
      </c>
      <c r="D8791" t="s">
        <v>184</v>
      </c>
      <c r="E8791" t="s">
        <v>12</v>
      </c>
      <c r="F8791">
        <v>4.9856483936309814E-2</v>
      </c>
    </row>
    <row r="8792" spans="2:6">
      <c r="B8792">
        <v>2018</v>
      </c>
      <c r="C8792" t="s">
        <v>98</v>
      </c>
      <c r="D8792" t="s">
        <v>184</v>
      </c>
      <c r="E8792" t="s">
        <v>13</v>
      </c>
      <c r="F8792">
        <v>0.86792409420013428</v>
      </c>
    </row>
    <row r="8793" spans="2:6">
      <c r="B8793">
        <v>2018</v>
      </c>
      <c r="C8793" t="s">
        <v>98</v>
      </c>
      <c r="D8793" t="s">
        <v>184</v>
      </c>
      <c r="E8793" t="s">
        <v>14</v>
      </c>
      <c r="F8793">
        <v>0.65973156690597534</v>
      </c>
    </row>
    <row r="8794" spans="2:6">
      <c r="B8794">
        <v>2018</v>
      </c>
      <c r="C8794" t="s">
        <v>98</v>
      </c>
      <c r="D8794" t="s">
        <v>184</v>
      </c>
      <c r="E8794" t="s">
        <v>15</v>
      </c>
      <c r="F8794">
        <v>0.43609949946403503</v>
      </c>
    </row>
    <row r="8795" spans="2:6">
      <c r="B8795">
        <v>2019</v>
      </c>
      <c r="C8795" t="s">
        <v>98</v>
      </c>
      <c r="D8795" t="s">
        <v>184</v>
      </c>
      <c r="E8795" t="s">
        <v>7</v>
      </c>
      <c r="F8795">
        <v>5.1214609146118164</v>
      </c>
    </row>
    <row r="8796" spans="2:6">
      <c r="B8796">
        <v>2019</v>
      </c>
      <c r="C8796" t="s">
        <v>98</v>
      </c>
      <c r="D8796" t="s">
        <v>184</v>
      </c>
      <c r="E8796" t="s">
        <v>8</v>
      </c>
      <c r="F8796">
        <v>7.2639036178588867</v>
      </c>
    </row>
    <row r="8797" spans="2:6">
      <c r="B8797">
        <v>2019</v>
      </c>
      <c r="C8797" t="s">
        <v>98</v>
      </c>
      <c r="D8797" t="s">
        <v>184</v>
      </c>
      <c r="E8797" t="s">
        <v>9</v>
      </c>
      <c r="F8797">
        <v>0.71247375011444092</v>
      </c>
    </row>
    <row r="8798" spans="2:6">
      <c r="B8798">
        <v>2019</v>
      </c>
      <c r="C8798" t="s">
        <v>98</v>
      </c>
      <c r="D8798" t="s">
        <v>184</v>
      </c>
      <c r="E8798" t="s">
        <v>10</v>
      </c>
      <c r="F8798">
        <v>56.900001525878906</v>
      </c>
    </row>
    <row r="8799" spans="2:6">
      <c r="B8799">
        <v>2019</v>
      </c>
      <c r="C8799" t="s">
        <v>98</v>
      </c>
      <c r="D8799" t="s">
        <v>184</v>
      </c>
      <c r="E8799" t="s">
        <v>11</v>
      </c>
      <c r="F8799">
        <v>0.70587456226348877</v>
      </c>
    </row>
    <row r="8800" spans="2:6">
      <c r="B8800">
        <v>2019</v>
      </c>
      <c r="C8800" t="s">
        <v>98</v>
      </c>
      <c r="D8800" t="s">
        <v>184</v>
      </c>
      <c r="E8800" t="s">
        <v>12</v>
      </c>
      <c r="F8800">
        <v>5.0611626356840134E-2</v>
      </c>
    </row>
    <row r="8801" spans="2:6">
      <c r="B8801">
        <v>2019</v>
      </c>
      <c r="C8801" t="s">
        <v>98</v>
      </c>
      <c r="D8801" t="s">
        <v>184</v>
      </c>
      <c r="E8801" t="s">
        <v>13</v>
      </c>
      <c r="F8801">
        <v>0.82846897840499878</v>
      </c>
    </row>
    <row r="8802" spans="2:6">
      <c r="B8802">
        <v>2019</v>
      </c>
      <c r="C8802" t="s">
        <v>98</v>
      </c>
      <c r="D8802" t="s">
        <v>184</v>
      </c>
      <c r="E8802" t="s">
        <v>14</v>
      </c>
      <c r="F8802">
        <v>0.635608971118927</v>
      </c>
    </row>
    <row r="8803" spans="2:6">
      <c r="B8803">
        <v>2019</v>
      </c>
      <c r="C8803" t="s">
        <v>98</v>
      </c>
      <c r="D8803" t="s">
        <v>184</v>
      </c>
      <c r="E8803" t="s">
        <v>15</v>
      </c>
      <c r="F8803">
        <v>0.38913258910179138</v>
      </c>
    </row>
    <row r="8804" spans="2:6">
      <c r="B8804">
        <v>2012</v>
      </c>
      <c r="C8804" t="s">
        <v>99</v>
      </c>
      <c r="D8804" t="s">
        <v>184</v>
      </c>
      <c r="E8804" t="s">
        <v>7</v>
      </c>
      <c r="F8804">
        <v>5.7543940544128418</v>
      </c>
    </row>
    <row r="8805" spans="2:6">
      <c r="B8805">
        <v>2012</v>
      </c>
      <c r="C8805" t="s">
        <v>99</v>
      </c>
      <c r="D8805" t="s">
        <v>184</v>
      </c>
      <c r="E8805" t="s">
        <v>8</v>
      </c>
      <c r="F8805">
        <v>9.8419733047485352</v>
      </c>
    </row>
    <row r="8806" spans="2:6">
      <c r="B8806">
        <v>2012</v>
      </c>
      <c r="C8806" t="s">
        <v>99</v>
      </c>
      <c r="D8806" t="s">
        <v>184</v>
      </c>
      <c r="E8806" t="s">
        <v>9</v>
      </c>
      <c r="F8806">
        <v>0.85493093729019165</v>
      </c>
    </row>
    <row r="8807" spans="2:6">
      <c r="B8807">
        <v>2012</v>
      </c>
      <c r="C8807" t="s">
        <v>99</v>
      </c>
      <c r="D8807" t="s">
        <v>184</v>
      </c>
      <c r="E8807" t="s">
        <v>10</v>
      </c>
      <c r="F8807">
        <v>62.659999847412109</v>
      </c>
    </row>
    <row r="8808" spans="2:6">
      <c r="B8808">
        <v>2012</v>
      </c>
      <c r="C8808" t="s">
        <v>99</v>
      </c>
      <c r="D8808" t="s">
        <v>184</v>
      </c>
      <c r="E8808" t="s">
        <v>11</v>
      </c>
      <c r="F8808">
        <v>0.71151888370513916</v>
      </c>
    </row>
    <row r="8809" spans="2:6">
      <c r="B8809">
        <v>2012</v>
      </c>
      <c r="C8809" t="s">
        <v>99</v>
      </c>
      <c r="D8809" t="s">
        <v>184</v>
      </c>
      <c r="E8809" t="s">
        <v>12</v>
      </c>
      <c r="F8809">
        <v>-3.1700931489467621E-2</v>
      </c>
    </row>
    <row r="8810" spans="2:6">
      <c r="B8810">
        <v>2012</v>
      </c>
      <c r="C8810" t="s">
        <v>99</v>
      </c>
      <c r="D8810" t="s">
        <v>184</v>
      </c>
      <c r="E8810" t="s">
        <v>13</v>
      </c>
      <c r="F8810">
        <v>0.79055613279342651</v>
      </c>
    </row>
    <row r="8811" spans="2:6">
      <c r="B8811">
        <v>2012</v>
      </c>
      <c r="C8811" t="s">
        <v>99</v>
      </c>
      <c r="D8811" t="s">
        <v>184</v>
      </c>
      <c r="E8811" t="s">
        <v>14</v>
      </c>
      <c r="F8811">
        <v>0.69488400220870972</v>
      </c>
    </row>
    <row r="8812" spans="2:6">
      <c r="B8812">
        <v>2012</v>
      </c>
      <c r="C8812" t="s">
        <v>99</v>
      </c>
      <c r="D8812" t="s">
        <v>184</v>
      </c>
      <c r="E8812" t="s">
        <v>15</v>
      </c>
      <c r="F8812">
        <v>0.31614968180656433</v>
      </c>
    </row>
    <row r="8813" spans="2:6">
      <c r="B8813">
        <v>2015</v>
      </c>
      <c r="C8813" t="s">
        <v>99</v>
      </c>
      <c r="D8813" t="s">
        <v>184</v>
      </c>
      <c r="E8813" t="s">
        <v>7</v>
      </c>
      <c r="F8813">
        <v>5.6154046058654785</v>
      </c>
    </row>
    <row r="8814" spans="2:6">
      <c r="B8814">
        <v>2015</v>
      </c>
      <c r="C8814" t="s">
        <v>99</v>
      </c>
      <c r="D8814" t="s">
        <v>184</v>
      </c>
      <c r="E8814" t="s">
        <v>8</v>
      </c>
      <c r="F8814">
        <v>9.3076877593994141</v>
      </c>
    </row>
    <row r="8815" spans="2:6">
      <c r="B8815">
        <v>2015</v>
      </c>
      <c r="C8815" t="s">
        <v>99</v>
      </c>
      <c r="D8815" t="s">
        <v>184</v>
      </c>
      <c r="E8815" t="s">
        <v>9</v>
      </c>
      <c r="F8815">
        <v>0.86798769235610962</v>
      </c>
    </row>
    <row r="8816" spans="2:6">
      <c r="B8816">
        <v>2015</v>
      </c>
      <c r="C8816" t="s">
        <v>99</v>
      </c>
      <c r="D8816" t="s">
        <v>184</v>
      </c>
      <c r="E8816" t="s">
        <v>10</v>
      </c>
      <c r="F8816">
        <v>62.299999237060547</v>
      </c>
    </row>
    <row r="8817" spans="2:6">
      <c r="B8817">
        <v>2015</v>
      </c>
      <c r="C8817" t="s">
        <v>99</v>
      </c>
      <c r="D8817" t="s">
        <v>184</v>
      </c>
      <c r="E8817" t="s">
        <v>11</v>
      </c>
      <c r="F8817">
        <v>0.77454495429992676</v>
      </c>
    </row>
    <row r="8818" spans="2:6">
      <c r="B8818">
        <v>2015</v>
      </c>
      <c r="C8818" t="s">
        <v>99</v>
      </c>
      <c r="D8818" t="s">
        <v>184</v>
      </c>
      <c r="E8818" t="s">
        <v>12</v>
      </c>
      <c r="F8818">
        <v>-4.4114116579294205E-2</v>
      </c>
    </row>
    <row r="8819" spans="2:6">
      <c r="B8819">
        <v>2015</v>
      </c>
      <c r="C8819" t="s">
        <v>99</v>
      </c>
      <c r="D8819" t="s">
        <v>184</v>
      </c>
      <c r="E8819" t="s">
        <v>14</v>
      </c>
      <c r="F8819">
        <v>0.70394992828369141</v>
      </c>
    </row>
    <row r="8820" spans="2:6">
      <c r="B8820">
        <v>2015</v>
      </c>
      <c r="C8820" t="s">
        <v>99</v>
      </c>
      <c r="D8820" t="s">
        <v>184</v>
      </c>
      <c r="E8820" t="s">
        <v>15</v>
      </c>
      <c r="F8820">
        <v>0.36890521645545959</v>
      </c>
    </row>
    <row r="8821" spans="2:6">
      <c r="B8821">
        <v>2016</v>
      </c>
      <c r="C8821" t="s">
        <v>99</v>
      </c>
      <c r="D8821" t="s">
        <v>184</v>
      </c>
      <c r="E8821" t="s">
        <v>7</v>
      </c>
      <c r="F8821">
        <v>5.4335832595825195</v>
      </c>
    </row>
    <row r="8822" spans="2:6">
      <c r="B8822">
        <v>2016</v>
      </c>
      <c r="C8822" t="s">
        <v>99</v>
      </c>
      <c r="D8822" t="s">
        <v>184</v>
      </c>
      <c r="E8822" t="s">
        <v>8</v>
      </c>
      <c r="F8822">
        <v>9.2678947448730469</v>
      </c>
    </row>
    <row r="8823" spans="2:6">
      <c r="B8823">
        <v>2016</v>
      </c>
      <c r="C8823" t="s">
        <v>99</v>
      </c>
      <c r="D8823" t="s">
        <v>184</v>
      </c>
      <c r="E8823" t="s">
        <v>9</v>
      </c>
      <c r="F8823">
        <v>0.87606585025787354</v>
      </c>
    </row>
    <row r="8824" spans="2:6">
      <c r="B8824">
        <v>2016</v>
      </c>
      <c r="C8824" t="s">
        <v>99</v>
      </c>
      <c r="D8824" t="s">
        <v>184</v>
      </c>
      <c r="E8824" t="s">
        <v>10</v>
      </c>
      <c r="F8824">
        <v>62.299999237060547</v>
      </c>
    </row>
    <row r="8825" spans="2:6">
      <c r="B8825">
        <v>2016</v>
      </c>
      <c r="C8825" t="s">
        <v>99</v>
      </c>
      <c r="D8825" t="s">
        <v>184</v>
      </c>
      <c r="E8825" t="s">
        <v>11</v>
      </c>
      <c r="F8825">
        <v>0.82238483428955078</v>
      </c>
    </row>
    <row r="8826" spans="2:6">
      <c r="B8826">
        <v>2016</v>
      </c>
      <c r="C8826" t="s">
        <v>99</v>
      </c>
      <c r="D8826" t="s">
        <v>184</v>
      </c>
      <c r="E8826" t="s">
        <v>12</v>
      </c>
      <c r="F8826">
        <v>-8.9467927813529968E-2</v>
      </c>
    </row>
    <row r="8827" spans="2:6">
      <c r="B8827">
        <v>2016</v>
      </c>
      <c r="C8827" t="s">
        <v>99</v>
      </c>
      <c r="D8827" t="s">
        <v>184</v>
      </c>
      <c r="E8827" t="s">
        <v>14</v>
      </c>
      <c r="F8827">
        <v>0.7177850604057312</v>
      </c>
    </row>
    <row r="8828" spans="2:6">
      <c r="B8828">
        <v>2016</v>
      </c>
      <c r="C8828" t="s">
        <v>99</v>
      </c>
      <c r="D8828" t="s">
        <v>184</v>
      </c>
      <c r="E8828" t="s">
        <v>15</v>
      </c>
      <c r="F8828">
        <v>0.38307374715805054</v>
      </c>
    </row>
    <row r="8829" spans="2:6">
      <c r="B8829">
        <v>2017</v>
      </c>
      <c r="C8829" t="s">
        <v>99</v>
      </c>
      <c r="D8829" t="s">
        <v>184</v>
      </c>
      <c r="E8829" t="s">
        <v>7</v>
      </c>
      <c r="F8829">
        <v>5.6468524932861328</v>
      </c>
    </row>
    <row r="8830" spans="2:6">
      <c r="B8830">
        <v>2017</v>
      </c>
      <c r="C8830" t="s">
        <v>99</v>
      </c>
      <c r="D8830" t="s">
        <v>184</v>
      </c>
      <c r="E8830" t="s">
        <v>8</v>
      </c>
      <c r="F8830">
        <v>9.4908466339111328</v>
      </c>
    </row>
    <row r="8831" spans="2:6">
      <c r="B8831">
        <v>2017</v>
      </c>
      <c r="C8831" t="s">
        <v>99</v>
      </c>
      <c r="D8831" t="s">
        <v>184</v>
      </c>
      <c r="E8831" t="s">
        <v>9</v>
      </c>
      <c r="F8831">
        <v>0.82275879383087158</v>
      </c>
    </row>
    <row r="8832" spans="2:6">
      <c r="B8832">
        <v>2017</v>
      </c>
      <c r="C8832" t="s">
        <v>99</v>
      </c>
      <c r="D8832" t="s">
        <v>184</v>
      </c>
      <c r="E8832" t="s">
        <v>10</v>
      </c>
      <c r="F8832">
        <v>62.299999237060547</v>
      </c>
    </row>
    <row r="8833" spans="2:6">
      <c r="B8833">
        <v>2017</v>
      </c>
      <c r="C8833" t="s">
        <v>99</v>
      </c>
      <c r="D8833" t="s">
        <v>184</v>
      </c>
      <c r="E8833" t="s">
        <v>11</v>
      </c>
      <c r="F8833">
        <v>0.77869588136672974</v>
      </c>
    </row>
    <row r="8834" spans="2:6">
      <c r="B8834">
        <v>2017</v>
      </c>
      <c r="C8834" t="s">
        <v>99</v>
      </c>
      <c r="D8834" t="s">
        <v>184</v>
      </c>
      <c r="E8834" t="s">
        <v>12</v>
      </c>
      <c r="F8834">
        <v>-1.9348911941051483E-2</v>
      </c>
    </row>
    <row r="8835" spans="2:6">
      <c r="B8835">
        <v>2017</v>
      </c>
      <c r="C8835" t="s">
        <v>99</v>
      </c>
      <c r="D8835" t="s">
        <v>184</v>
      </c>
      <c r="E8835" t="s">
        <v>13</v>
      </c>
      <c r="F8835">
        <v>0.67306554317474365</v>
      </c>
    </row>
    <row r="8836" spans="2:6">
      <c r="B8836">
        <v>2017</v>
      </c>
      <c r="C8836" t="s">
        <v>99</v>
      </c>
      <c r="D8836" t="s">
        <v>184</v>
      </c>
      <c r="E8836" t="s">
        <v>14</v>
      </c>
      <c r="F8836">
        <v>0.69704931974411011</v>
      </c>
    </row>
    <row r="8837" spans="2:6">
      <c r="B8837">
        <v>2017</v>
      </c>
      <c r="C8837" t="s">
        <v>99</v>
      </c>
      <c r="D8837" t="s">
        <v>184</v>
      </c>
      <c r="E8837" t="s">
        <v>15</v>
      </c>
      <c r="F8837">
        <v>0.3793741762638092</v>
      </c>
    </row>
    <row r="8838" spans="2:6">
      <c r="B8838">
        <v>2018</v>
      </c>
      <c r="C8838" t="s">
        <v>99</v>
      </c>
      <c r="D8838" t="s">
        <v>184</v>
      </c>
      <c r="E8838" t="s">
        <v>7</v>
      </c>
      <c r="F8838">
        <v>5.4939775466918945</v>
      </c>
    </row>
    <row r="8839" spans="2:6">
      <c r="B8839">
        <v>2018</v>
      </c>
      <c r="C8839" t="s">
        <v>99</v>
      </c>
      <c r="D8839" t="s">
        <v>184</v>
      </c>
      <c r="E8839" t="s">
        <v>8</v>
      </c>
      <c r="F8839">
        <v>9.61700439453125</v>
      </c>
    </row>
    <row r="8840" spans="2:6">
      <c r="B8840">
        <v>2018</v>
      </c>
      <c r="C8840" t="s">
        <v>99</v>
      </c>
      <c r="D8840" t="s">
        <v>184</v>
      </c>
      <c r="E8840" t="s">
        <v>9</v>
      </c>
      <c r="F8840">
        <v>0.82416516542434692</v>
      </c>
    </row>
    <row r="8841" spans="2:6">
      <c r="B8841">
        <v>2018</v>
      </c>
      <c r="C8841" t="s">
        <v>99</v>
      </c>
      <c r="D8841" t="s">
        <v>184</v>
      </c>
      <c r="E8841" t="s">
        <v>10</v>
      </c>
      <c r="F8841">
        <v>62.299999237060547</v>
      </c>
    </row>
    <row r="8842" spans="2:6">
      <c r="B8842">
        <v>2018</v>
      </c>
      <c r="C8842" t="s">
        <v>99</v>
      </c>
      <c r="D8842" t="s">
        <v>184</v>
      </c>
      <c r="E8842" t="s">
        <v>11</v>
      </c>
      <c r="F8842">
        <v>0.78055852651596069</v>
      </c>
    </row>
    <row r="8843" spans="2:6">
      <c r="B8843">
        <v>2018</v>
      </c>
      <c r="C8843" t="s">
        <v>99</v>
      </c>
      <c r="D8843" t="s">
        <v>184</v>
      </c>
      <c r="E8843" t="s">
        <v>12</v>
      </c>
      <c r="F8843">
        <v>-0.10124395042657852</v>
      </c>
    </row>
    <row r="8844" spans="2:6">
      <c r="B8844">
        <v>2018</v>
      </c>
      <c r="C8844" t="s">
        <v>99</v>
      </c>
      <c r="D8844" t="s">
        <v>184</v>
      </c>
      <c r="E8844" t="s">
        <v>13</v>
      </c>
      <c r="F8844">
        <v>0.64583879709243774</v>
      </c>
    </row>
    <row r="8845" spans="2:6">
      <c r="B8845">
        <v>2018</v>
      </c>
      <c r="C8845" t="s">
        <v>99</v>
      </c>
      <c r="D8845" t="s">
        <v>184</v>
      </c>
      <c r="E8845" t="s">
        <v>14</v>
      </c>
      <c r="F8845">
        <v>0.7055354118347168</v>
      </c>
    </row>
    <row r="8846" spans="2:6">
      <c r="B8846">
        <v>2018</v>
      </c>
      <c r="C8846" t="s">
        <v>99</v>
      </c>
      <c r="D8846" t="s">
        <v>184</v>
      </c>
      <c r="E8846" t="s">
        <v>15</v>
      </c>
      <c r="F8846">
        <v>0.39890310168266296</v>
      </c>
    </row>
    <row r="8847" spans="2:6">
      <c r="B8847">
        <v>2019</v>
      </c>
      <c r="C8847" t="s">
        <v>99</v>
      </c>
      <c r="D8847" t="s">
        <v>184</v>
      </c>
      <c r="E8847" t="s">
        <v>7</v>
      </c>
      <c r="F8847">
        <v>5.3302221298217773</v>
      </c>
    </row>
    <row r="8848" spans="2:6">
      <c r="B8848">
        <v>2019</v>
      </c>
      <c r="C8848" t="s">
        <v>99</v>
      </c>
      <c r="D8848" t="s">
        <v>184</v>
      </c>
      <c r="E8848" t="s">
        <v>8</v>
      </c>
      <c r="F8848">
        <v>9.627349853515625</v>
      </c>
    </row>
    <row r="8849" spans="2:6">
      <c r="B8849">
        <v>2019</v>
      </c>
      <c r="C8849" t="s">
        <v>99</v>
      </c>
      <c r="D8849" t="s">
        <v>184</v>
      </c>
      <c r="E8849" t="s">
        <v>9</v>
      </c>
      <c r="F8849">
        <v>0.82671934366226196</v>
      </c>
    </row>
    <row r="8850" spans="2:6">
      <c r="B8850">
        <v>2019</v>
      </c>
      <c r="C8850" t="s">
        <v>99</v>
      </c>
      <c r="D8850" t="s">
        <v>184</v>
      </c>
      <c r="E8850" t="s">
        <v>10</v>
      </c>
      <c r="F8850">
        <v>62.299999237060547</v>
      </c>
    </row>
    <row r="8851" spans="2:6">
      <c r="B8851">
        <v>2019</v>
      </c>
      <c r="C8851" t="s">
        <v>99</v>
      </c>
      <c r="D8851" t="s">
        <v>184</v>
      </c>
      <c r="E8851" t="s">
        <v>11</v>
      </c>
      <c r="F8851">
        <v>0.76196432113647461</v>
      </c>
    </row>
    <row r="8852" spans="2:6">
      <c r="B8852">
        <v>2019</v>
      </c>
      <c r="C8852" t="s">
        <v>99</v>
      </c>
      <c r="D8852" t="s">
        <v>184</v>
      </c>
      <c r="E8852" t="s">
        <v>12</v>
      </c>
      <c r="F8852">
        <v>-7.2672851383686066E-2</v>
      </c>
    </row>
    <row r="8853" spans="2:6">
      <c r="B8853">
        <v>2019</v>
      </c>
      <c r="C8853" t="s">
        <v>99</v>
      </c>
      <c r="D8853" t="s">
        <v>184</v>
      </c>
      <c r="E8853" t="s">
        <v>13</v>
      </c>
      <c r="F8853">
        <v>0.6864129900932312</v>
      </c>
    </row>
    <row r="8854" spans="2:6">
      <c r="B8854">
        <v>2019</v>
      </c>
      <c r="C8854" t="s">
        <v>99</v>
      </c>
      <c r="D8854" t="s">
        <v>184</v>
      </c>
      <c r="E8854" t="s">
        <v>14</v>
      </c>
      <c r="F8854">
        <v>0.70874089002609253</v>
      </c>
    </row>
    <row r="8855" spans="2:6">
      <c r="B8855">
        <v>2019</v>
      </c>
      <c r="C8855" t="s">
        <v>99</v>
      </c>
      <c r="D8855" t="s">
        <v>184</v>
      </c>
      <c r="E8855" t="s">
        <v>15</v>
      </c>
      <c r="F8855">
        <v>0.40073743462562561</v>
      </c>
    </row>
    <row r="8856" spans="2:6">
      <c r="B8856">
        <v>2006</v>
      </c>
      <c r="C8856" t="s">
        <v>100</v>
      </c>
      <c r="D8856" t="s">
        <v>183</v>
      </c>
      <c r="E8856" t="s">
        <v>7</v>
      </c>
      <c r="F8856">
        <v>5.9544429779052734</v>
      </c>
    </row>
    <row r="8857" spans="2:6">
      <c r="B8857">
        <v>2006</v>
      </c>
      <c r="C8857" t="s">
        <v>100</v>
      </c>
      <c r="D8857" t="s">
        <v>183</v>
      </c>
      <c r="E8857" t="s">
        <v>8</v>
      </c>
      <c r="F8857">
        <v>10.045794486999512</v>
      </c>
    </row>
    <row r="8858" spans="2:6">
      <c r="B8858">
        <v>2006</v>
      </c>
      <c r="C8858" t="s">
        <v>100</v>
      </c>
      <c r="D8858" t="s">
        <v>183</v>
      </c>
      <c r="E8858" t="s">
        <v>9</v>
      </c>
      <c r="F8858">
        <v>0.93043994903564453</v>
      </c>
    </row>
    <row r="8859" spans="2:6">
      <c r="B8859">
        <v>2006</v>
      </c>
      <c r="C8859" t="s">
        <v>100</v>
      </c>
      <c r="D8859" t="s">
        <v>183</v>
      </c>
      <c r="E8859" t="s">
        <v>10</v>
      </c>
      <c r="F8859">
        <v>63.139999389648438</v>
      </c>
    </row>
    <row r="8860" spans="2:6">
      <c r="B8860">
        <v>2006</v>
      </c>
      <c r="C8860" t="s">
        <v>100</v>
      </c>
      <c r="D8860" t="s">
        <v>183</v>
      </c>
      <c r="E8860" t="s">
        <v>11</v>
      </c>
      <c r="F8860">
        <v>0.56725460290908813</v>
      </c>
    </row>
    <row r="8861" spans="2:6">
      <c r="B8861">
        <v>2006</v>
      </c>
      <c r="C8861" t="s">
        <v>100</v>
      </c>
      <c r="D8861" t="s">
        <v>183</v>
      </c>
      <c r="E8861" t="s">
        <v>12</v>
      </c>
      <c r="F8861">
        <v>-0.29509571194648743</v>
      </c>
    </row>
    <row r="8862" spans="2:6">
      <c r="B8862">
        <v>2006</v>
      </c>
      <c r="C8862" t="s">
        <v>100</v>
      </c>
      <c r="D8862" t="s">
        <v>183</v>
      </c>
      <c r="E8862" t="s">
        <v>13</v>
      </c>
      <c r="F8862">
        <v>0.96687865257263184</v>
      </c>
    </row>
    <row r="8863" spans="2:6">
      <c r="B8863">
        <v>2006</v>
      </c>
      <c r="C8863" t="s">
        <v>100</v>
      </c>
      <c r="D8863" t="s">
        <v>183</v>
      </c>
      <c r="E8863" t="s">
        <v>14</v>
      </c>
      <c r="F8863">
        <v>0.62132346630096436</v>
      </c>
    </row>
    <row r="8864" spans="2:6">
      <c r="B8864">
        <v>2006</v>
      </c>
      <c r="C8864" t="s">
        <v>100</v>
      </c>
      <c r="D8864" t="s">
        <v>183</v>
      </c>
      <c r="E8864" t="s">
        <v>15</v>
      </c>
      <c r="F8864">
        <v>0.25399824976921082</v>
      </c>
    </row>
    <row r="8865" spans="2:6">
      <c r="B8865">
        <v>2007</v>
      </c>
      <c r="C8865" t="s">
        <v>100</v>
      </c>
      <c r="D8865" t="s">
        <v>183</v>
      </c>
      <c r="E8865" t="s">
        <v>7</v>
      </c>
      <c r="F8865">
        <v>5.8082847595214844</v>
      </c>
    </row>
    <row r="8866" spans="2:6">
      <c r="B8866">
        <v>2007</v>
      </c>
      <c r="C8866" t="s">
        <v>100</v>
      </c>
      <c r="D8866" t="s">
        <v>183</v>
      </c>
      <c r="E8866" t="s">
        <v>8</v>
      </c>
      <c r="F8866">
        <v>10.162817001342773</v>
      </c>
    </row>
    <row r="8867" spans="2:6">
      <c r="B8867">
        <v>2007</v>
      </c>
      <c r="C8867" t="s">
        <v>100</v>
      </c>
      <c r="D8867" t="s">
        <v>183</v>
      </c>
      <c r="E8867" t="s">
        <v>9</v>
      </c>
      <c r="F8867">
        <v>0.94079196453094482</v>
      </c>
    </row>
    <row r="8868" spans="2:6">
      <c r="B8868">
        <v>2007</v>
      </c>
      <c r="C8868" t="s">
        <v>100</v>
      </c>
      <c r="D8868" t="s">
        <v>183</v>
      </c>
      <c r="E8868" t="s">
        <v>10</v>
      </c>
      <c r="F8868">
        <v>63.479999542236328</v>
      </c>
    </row>
    <row r="8869" spans="2:6">
      <c r="B8869">
        <v>2007</v>
      </c>
      <c r="C8869" t="s">
        <v>100</v>
      </c>
      <c r="D8869" t="s">
        <v>183</v>
      </c>
      <c r="E8869" t="s">
        <v>11</v>
      </c>
      <c r="F8869">
        <v>0.58966231346130371</v>
      </c>
    </row>
    <row r="8870" spans="2:6">
      <c r="B8870">
        <v>2007</v>
      </c>
      <c r="C8870" t="s">
        <v>100</v>
      </c>
      <c r="D8870" t="s">
        <v>183</v>
      </c>
      <c r="E8870" t="s">
        <v>12</v>
      </c>
      <c r="F8870">
        <v>-0.28180429339408875</v>
      </c>
    </row>
    <row r="8871" spans="2:6">
      <c r="B8871">
        <v>2007</v>
      </c>
      <c r="C8871" t="s">
        <v>100</v>
      </c>
      <c r="D8871" t="s">
        <v>183</v>
      </c>
      <c r="E8871" t="s">
        <v>13</v>
      </c>
      <c r="F8871">
        <v>0.96632605791091919</v>
      </c>
    </row>
    <row r="8872" spans="2:6">
      <c r="B8872">
        <v>2007</v>
      </c>
      <c r="C8872" t="s">
        <v>100</v>
      </c>
      <c r="D8872" t="s">
        <v>183</v>
      </c>
      <c r="E8872" t="s">
        <v>14</v>
      </c>
      <c r="F8872">
        <v>0.58924931287765503</v>
      </c>
    </row>
    <row r="8873" spans="2:6">
      <c r="B8873">
        <v>2007</v>
      </c>
      <c r="C8873" t="s">
        <v>100</v>
      </c>
      <c r="D8873" t="s">
        <v>183</v>
      </c>
      <c r="E8873" t="s">
        <v>15</v>
      </c>
      <c r="F8873">
        <v>0.2791842520236969</v>
      </c>
    </row>
    <row r="8874" spans="2:6">
      <c r="B8874">
        <v>2008</v>
      </c>
      <c r="C8874" t="s">
        <v>100</v>
      </c>
      <c r="D8874" t="s">
        <v>183</v>
      </c>
      <c r="E8874" t="s">
        <v>7</v>
      </c>
      <c r="F8874">
        <v>5.5539259910583496</v>
      </c>
    </row>
    <row r="8875" spans="2:6">
      <c r="B8875">
        <v>2008</v>
      </c>
      <c r="C8875" t="s">
        <v>100</v>
      </c>
      <c r="D8875" t="s">
        <v>183</v>
      </c>
      <c r="E8875" t="s">
        <v>8</v>
      </c>
      <c r="F8875">
        <v>10.199043273925781</v>
      </c>
    </row>
    <row r="8876" spans="2:6">
      <c r="B8876">
        <v>2008</v>
      </c>
      <c r="C8876" t="s">
        <v>100</v>
      </c>
      <c r="D8876" t="s">
        <v>183</v>
      </c>
      <c r="E8876" t="s">
        <v>9</v>
      </c>
      <c r="F8876">
        <v>0.91366744041442871</v>
      </c>
    </row>
    <row r="8877" spans="2:6">
      <c r="B8877">
        <v>2008</v>
      </c>
      <c r="C8877" t="s">
        <v>100</v>
      </c>
      <c r="D8877" t="s">
        <v>183</v>
      </c>
      <c r="E8877" t="s">
        <v>10</v>
      </c>
      <c r="F8877">
        <v>63.819999694824219</v>
      </c>
    </row>
    <row r="8878" spans="2:6">
      <c r="B8878">
        <v>2008</v>
      </c>
      <c r="C8878" t="s">
        <v>100</v>
      </c>
      <c r="D8878" t="s">
        <v>183</v>
      </c>
      <c r="E8878" t="s">
        <v>11</v>
      </c>
      <c r="F8878">
        <v>0.6210600733757019</v>
      </c>
    </row>
    <row r="8879" spans="2:6">
      <c r="B8879">
        <v>2008</v>
      </c>
      <c r="C8879" t="s">
        <v>100</v>
      </c>
      <c r="D8879" t="s">
        <v>183</v>
      </c>
      <c r="E8879" t="s">
        <v>12</v>
      </c>
      <c r="F8879">
        <v>-0.25944715738296509</v>
      </c>
    </row>
    <row r="8880" spans="2:6">
      <c r="B8880">
        <v>2008</v>
      </c>
      <c r="C8880" t="s">
        <v>100</v>
      </c>
      <c r="D8880" t="s">
        <v>183</v>
      </c>
      <c r="E8880" t="s">
        <v>13</v>
      </c>
      <c r="F8880">
        <v>0.96084302663803101</v>
      </c>
    </row>
    <row r="8881" spans="2:6">
      <c r="B8881">
        <v>2008</v>
      </c>
      <c r="C8881" t="s">
        <v>100</v>
      </c>
      <c r="D8881" t="s">
        <v>183</v>
      </c>
      <c r="E8881" t="s">
        <v>14</v>
      </c>
      <c r="F8881">
        <v>0.53283727169036865</v>
      </c>
    </row>
    <row r="8882" spans="2:6">
      <c r="B8882">
        <v>2008</v>
      </c>
      <c r="C8882" t="s">
        <v>100</v>
      </c>
      <c r="D8882" t="s">
        <v>183</v>
      </c>
      <c r="E8882" t="s">
        <v>15</v>
      </c>
      <c r="F8882">
        <v>0.27579569816589355</v>
      </c>
    </row>
    <row r="8883" spans="2:6">
      <c r="B8883">
        <v>2009</v>
      </c>
      <c r="C8883" t="s">
        <v>100</v>
      </c>
      <c r="D8883" t="s">
        <v>183</v>
      </c>
      <c r="E8883" t="s">
        <v>7</v>
      </c>
      <c r="F8883">
        <v>5.4669208526611328</v>
      </c>
    </row>
    <row r="8884" spans="2:6">
      <c r="B8884">
        <v>2009</v>
      </c>
      <c r="C8884" t="s">
        <v>100</v>
      </c>
      <c r="D8884" t="s">
        <v>183</v>
      </c>
      <c r="E8884" t="s">
        <v>8</v>
      </c>
      <c r="F8884">
        <v>10.049811363220215</v>
      </c>
    </row>
    <row r="8885" spans="2:6">
      <c r="B8885">
        <v>2009</v>
      </c>
      <c r="C8885" t="s">
        <v>100</v>
      </c>
      <c r="D8885" t="s">
        <v>183</v>
      </c>
      <c r="E8885" t="s">
        <v>9</v>
      </c>
      <c r="F8885">
        <v>0.932608962059021</v>
      </c>
    </row>
    <row r="8886" spans="2:6">
      <c r="B8886">
        <v>2009</v>
      </c>
      <c r="C8886" t="s">
        <v>100</v>
      </c>
      <c r="D8886" t="s">
        <v>183</v>
      </c>
      <c r="E8886" t="s">
        <v>10</v>
      </c>
      <c r="F8886">
        <v>64.160003662109375</v>
      </c>
    </row>
    <row r="8887" spans="2:6">
      <c r="B8887">
        <v>2009</v>
      </c>
      <c r="C8887" t="s">
        <v>100</v>
      </c>
      <c r="D8887" t="s">
        <v>183</v>
      </c>
      <c r="E8887" t="s">
        <v>11</v>
      </c>
      <c r="F8887">
        <v>0.49595579504966736</v>
      </c>
    </row>
    <row r="8888" spans="2:6">
      <c r="B8888">
        <v>2009</v>
      </c>
      <c r="C8888" t="s">
        <v>100</v>
      </c>
      <c r="D8888" t="s">
        <v>183</v>
      </c>
      <c r="E8888" t="s">
        <v>12</v>
      </c>
      <c r="F8888">
        <v>-0.30320385098457336</v>
      </c>
    </row>
    <row r="8889" spans="2:6">
      <c r="B8889">
        <v>2009</v>
      </c>
      <c r="C8889" t="s">
        <v>100</v>
      </c>
      <c r="D8889" t="s">
        <v>183</v>
      </c>
      <c r="E8889" t="s">
        <v>13</v>
      </c>
      <c r="F8889">
        <v>0.97880011796951294</v>
      </c>
    </row>
    <row r="8890" spans="2:6">
      <c r="B8890">
        <v>2009</v>
      </c>
      <c r="C8890" t="s">
        <v>100</v>
      </c>
      <c r="D8890" t="s">
        <v>183</v>
      </c>
      <c r="E8890" t="s">
        <v>14</v>
      </c>
      <c r="F8890">
        <v>0.52619791030883789</v>
      </c>
    </row>
    <row r="8891" spans="2:6">
      <c r="B8891">
        <v>2009</v>
      </c>
      <c r="C8891" t="s">
        <v>100</v>
      </c>
      <c r="D8891" t="s">
        <v>183</v>
      </c>
      <c r="E8891" t="s">
        <v>15</v>
      </c>
      <c r="F8891">
        <v>0.27083781361579895</v>
      </c>
    </row>
    <row r="8892" spans="2:6">
      <c r="B8892">
        <v>2010</v>
      </c>
      <c r="C8892" t="s">
        <v>100</v>
      </c>
      <c r="D8892" t="s">
        <v>183</v>
      </c>
      <c r="E8892" t="s">
        <v>7</v>
      </c>
      <c r="F8892">
        <v>5.0658249855041504</v>
      </c>
    </row>
    <row r="8893" spans="2:6">
      <c r="B8893">
        <v>2010</v>
      </c>
      <c r="C8893" t="s">
        <v>100</v>
      </c>
      <c r="D8893" t="s">
        <v>183</v>
      </c>
      <c r="E8893" t="s">
        <v>8</v>
      </c>
      <c r="F8893">
        <v>10.085494995117188</v>
      </c>
    </row>
    <row r="8894" spans="2:6">
      <c r="B8894">
        <v>2010</v>
      </c>
      <c r="C8894" t="s">
        <v>100</v>
      </c>
      <c r="D8894" t="s">
        <v>183</v>
      </c>
      <c r="E8894" t="s">
        <v>9</v>
      </c>
      <c r="F8894">
        <v>0.88181060552597046</v>
      </c>
    </row>
    <row r="8895" spans="2:6">
      <c r="B8895">
        <v>2010</v>
      </c>
      <c r="C8895" t="s">
        <v>100</v>
      </c>
      <c r="D8895" t="s">
        <v>183</v>
      </c>
      <c r="E8895" t="s">
        <v>10</v>
      </c>
      <c r="F8895">
        <v>64.5</v>
      </c>
    </row>
    <row r="8896" spans="2:6">
      <c r="B8896">
        <v>2010</v>
      </c>
      <c r="C8896" t="s">
        <v>100</v>
      </c>
      <c r="D8896" t="s">
        <v>183</v>
      </c>
      <c r="E8896" t="s">
        <v>11</v>
      </c>
      <c r="F8896">
        <v>0.5193522572517395</v>
      </c>
    </row>
    <row r="8897" spans="2:6">
      <c r="B8897">
        <v>2010</v>
      </c>
      <c r="C8897" t="s">
        <v>100</v>
      </c>
      <c r="D8897" t="s">
        <v>183</v>
      </c>
      <c r="E8897" t="s">
        <v>12</v>
      </c>
      <c r="F8897">
        <v>-0.27488023042678833</v>
      </c>
    </row>
    <row r="8898" spans="2:6">
      <c r="B8898">
        <v>2010</v>
      </c>
      <c r="C8898" t="s">
        <v>100</v>
      </c>
      <c r="D8898" t="s">
        <v>183</v>
      </c>
      <c r="E8898" t="s">
        <v>13</v>
      </c>
      <c r="F8898">
        <v>0.96216720342636108</v>
      </c>
    </row>
    <row r="8899" spans="2:6">
      <c r="B8899">
        <v>2010</v>
      </c>
      <c r="C8899" t="s">
        <v>100</v>
      </c>
      <c r="D8899" t="s">
        <v>183</v>
      </c>
      <c r="E8899" t="s">
        <v>14</v>
      </c>
      <c r="F8899">
        <v>0.47314950823783875</v>
      </c>
    </row>
    <row r="8900" spans="2:6">
      <c r="B8900">
        <v>2010</v>
      </c>
      <c r="C8900" t="s">
        <v>100</v>
      </c>
      <c r="D8900" t="s">
        <v>183</v>
      </c>
      <c r="E8900" t="s">
        <v>15</v>
      </c>
      <c r="F8900">
        <v>0.27202931046485901</v>
      </c>
    </row>
    <row r="8901" spans="2:6">
      <c r="B8901">
        <v>2011</v>
      </c>
      <c r="C8901" t="s">
        <v>100</v>
      </c>
      <c r="D8901" t="s">
        <v>183</v>
      </c>
      <c r="E8901" t="s">
        <v>7</v>
      </c>
      <c r="F8901">
        <v>5.4324374198913574</v>
      </c>
    </row>
    <row r="8902" spans="2:6">
      <c r="B8902">
        <v>2011</v>
      </c>
      <c r="C8902" t="s">
        <v>100</v>
      </c>
      <c r="D8902" t="s">
        <v>183</v>
      </c>
      <c r="E8902" t="s">
        <v>8</v>
      </c>
      <c r="F8902">
        <v>10.166589736938477</v>
      </c>
    </row>
    <row r="8903" spans="2:6">
      <c r="B8903">
        <v>2011</v>
      </c>
      <c r="C8903" t="s">
        <v>100</v>
      </c>
      <c r="D8903" t="s">
        <v>183</v>
      </c>
      <c r="E8903" t="s">
        <v>9</v>
      </c>
      <c r="F8903">
        <v>0.91141128540039063</v>
      </c>
    </row>
    <row r="8904" spans="2:6">
      <c r="B8904">
        <v>2011</v>
      </c>
      <c r="C8904" t="s">
        <v>100</v>
      </c>
      <c r="D8904" t="s">
        <v>183</v>
      </c>
      <c r="E8904" t="s">
        <v>10</v>
      </c>
      <c r="F8904">
        <v>64.699996948242188</v>
      </c>
    </row>
    <row r="8905" spans="2:6">
      <c r="B8905">
        <v>2011</v>
      </c>
      <c r="C8905" t="s">
        <v>100</v>
      </c>
      <c r="D8905" t="s">
        <v>183</v>
      </c>
      <c r="E8905" t="s">
        <v>11</v>
      </c>
      <c r="F8905">
        <v>0.56579726934432983</v>
      </c>
    </row>
    <row r="8906" spans="2:6">
      <c r="B8906">
        <v>2011</v>
      </c>
      <c r="C8906" t="s">
        <v>100</v>
      </c>
      <c r="D8906" t="s">
        <v>183</v>
      </c>
      <c r="E8906" t="s">
        <v>12</v>
      </c>
      <c r="F8906">
        <v>-0.14791226387023926</v>
      </c>
    </row>
    <row r="8907" spans="2:6">
      <c r="B8907">
        <v>2011</v>
      </c>
      <c r="C8907" t="s">
        <v>100</v>
      </c>
      <c r="D8907" t="s">
        <v>183</v>
      </c>
      <c r="E8907" t="s">
        <v>13</v>
      </c>
      <c r="F8907">
        <v>0.96351164579391479</v>
      </c>
    </row>
    <row r="8908" spans="2:6">
      <c r="B8908">
        <v>2011</v>
      </c>
      <c r="C8908" t="s">
        <v>100</v>
      </c>
      <c r="D8908" t="s">
        <v>183</v>
      </c>
      <c r="E8908" t="s">
        <v>14</v>
      </c>
      <c r="F8908">
        <v>0.56953346729278564</v>
      </c>
    </row>
    <row r="8909" spans="2:6">
      <c r="B8909">
        <v>2011</v>
      </c>
      <c r="C8909" t="s">
        <v>100</v>
      </c>
      <c r="D8909" t="s">
        <v>183</v>
      </c>
      <c r="E8909" t="s">
        <v>15</v>
      </c>
      <c r="F8909">
        <v>0.27463668584823608</v>
      </c>
    </row>
    <row r="8910" spans="2:6">
      <c r="B8910">
        <v>2012</v>
      </c>
      <c r="C8910" t="s">
        <v>100</v>
      </c>
      <c r="D8910" t="s">
        <v>183</v>
      </c>
      <c r="E8910" t="s">
        <v>7</v>
      </c>
      <c r="F8910">
        <v>5.7710371017456055</v>
      </c>
    </row>
    <row r="8911" spans="2:6">
      <c r="B8911">
        <v>2012</v>
      </c>
      <c r="C8911" t="s">
        <v>100</v>
      </c>
      <c r="D8911" t="s">
        <v>183</v>
      </c>
      <c r="E8911" t="s">
        <v>8</v>
      </c>
      <c r="F8911">
        <v>10.217618942260742</v>
      </c>
    </row>
    <row r="8912" spans="2:6">
      <c r="B8912">
        <v>2012</v>
      </c>
      <c r="C8912" t="s">
        <v>100</v>
      </c>
      <c r="D8912" t="s">
        <v>183</v>
      </c>
      <c r="E8912" t="s">
        <v>9</v>
      </c>
      <c r="F8912">
        <v>0.91869014501571655</v>
      </c>
    </row>
    <row r="8913" spans="2:6">
      <c r="B8913">
        <v>2012</v>
      </c>
      <c r="C8913" t="s">
        <v>100</v>
      </c>
      <c r="D8913" t="s">
        <v>183</v>
      </c>
      <c r="E8913" t="s">
        <v>10</v>
      </c>
      <c r="F8913">
        <v>64.900001525878906</v>
      </c>
    </row>
    <row r="8914" spans="2:6">
      <c r="B8914">
        <v>2012</v>
      </c>
      <c r="C8914" t="s">
        <v>100</v>
      </c>
      <c r="D8914" t="s">
        <v>183</v>
      </c>
      <c r="E8914" t="s">
        <v>11</v>
      </c>
      <c r="F8914">
        <v>0.50302714109420776</v>
      </c>
    </row>
    <row r="8915" spans="2:6">
      <c r="B8915">
        <v>2012</v>
      </c>
      <c r="C8915" t="s">
        <v>100</v>
      </c>
      <c r="D8915" t="s">
        <v>183</v>
      </c>
      <c r="E8915" t="s">
        <v>12</v>
      </c>
      <c r="F8915">
        <v>-0.2732120156288147</v>
      </c>
    </row>
    <row r="8916" spans="2:6">
      <c r="B8916">
        <v>2012</v>
      </c>
      <c r="C8916" t="s">
        <v>100</v>
      </c>
      <c r="D8916" t="s">
        <v>183</v>
      </c>
      <c r="E8916" t="s">
        <v>13</v>
      </c>
      <c r="F8916">
        <v>0.95695924758911133</v>
      </c>
    </row>
    <row r="8917" spans="2:6">
      <c r="B8917">
        <v>2012</v>
      </c>
      <c r="C8917" t="s">
        <v>100</v>
      </c>
      <c r="D8917" t="s">
        <v>183</v>
      </c>
      <c r="E8917" t="s">
        <v>14</v>
      </c>
      <c r="F8917">
        <v>0.58097100257873535</v>
      </c>
    </row>
    <row r="8918" spans="2:6">
      <c r="B8918">
        <v>2012</v>
      </c>
      <c r="C8918" t="s">
        <v>100</v>
      </c>
      <c r="D8918" t="s">
        <v>183</v>
      </c>
      <c r="E8918" t="s">
        <v>15</v>
      </c>
      <c r="F8918">
        <v>0.27738556265830994</v>
      </c>
    </row>
    <row r="8919" spans="2:6">
      <c r="B8919">
        <v>2013</v>
      </c>
      <c r="C8919" t="s">
        <v>100</v>
      </c>
      <c r="D8919" t="s">
        <v>183</v>
      </c>
      <c r="E8919" t="s">
        <v>7</v>
      </c>
      <c r="F8919">
        <v>5.5956892967224121</v>
      </c>
    </row>
    <row r="8920" spans="2:6">
      <c r="B8920">
        <v>2013</v>
      </c>
      <c r="C8920" t="s">
        <v>100</v>
      </c>
      <c r="D8920" t="s">
        <v>183</v>
      </c>
      <c r="E8920" t="s">
        <v>8</v>
      </c>
      <c r="F8920">
        <v>10.262703895568848</v>
      </c>
    </row>
    <row r="8921" spans="2:6">
      <c r="B8921">
        <v>2013</v>
      </c>
      <c r="C8921" t="s">
        <v>100</v>
      </c>
      <c r="D8921" t="s">
        <v>183</v>
      </c>
      <c r="E8921" t="s">
        <v>9</v>
      </c>
      <c r="F8921">
        <v>0.91251415014266968</v>
      </c>
    </row>
    <row r="8922" spans="2:6">
      <c r="B8922">
        <v>2013</v>
      </c>
      <c r="C8922" t="s">
        <v>100</v>
      </c>
      <c r="D8922" t="s">
        <v>183</v>
      </c>
      <c r="E8922" t="s">
        <v>10</v>
      </c>
      <c r="F8922">
        <v>65.099998474121094</v>
      </c>
    </row>
    <row r="8923" spans="2:6">
      <c r="B8923">
        <v>2013</v>
      </c>
      <c r="C8923" t="s">
        <v>100</v>
      </c>
      <c r="D8923" t="s">
        <v>183</v>
      </c>
      <c r="E8923" t="s">
        <v>11</v>
      </c>
      <c r="F8923">
        <v>0.55581527948379517</v>
      </c>
    </row>
    <row r="8924" spans="2:6">
      <c r="B8924">
        <v>2013</v>
      </c>
      <c r="C8924" t="s">
        <v>100</v>
      </c>
      <c r="D8924" t="s">
        <v>183</v>
      </c>
      <c r="E8924" t="s">
        <v>12</v>
      </c>
      <c r="F8924">
        <v>-0.23660990595817566</v>
      </c>
    </row>
    <row r="8925" spans="2:6">
      <c r="B8925">
        <v>2013</v>
      </c>
      <c r="C8925" t="s">
        <v>100</v>
      </c>
      <c r="D8925" t="s">
        <v>183</v>
      </c>
      <c r="E8925" t="s">
        <v>13</v>
      </c>
      <c r="F8925">
        <v>0.93633550405502319</v>
      </c>
    </row>
    <row r="8926" spans="2:6">
      <c r="B8926">
        <v>2013</v>
      </c>
      <c r="C8926" t="s">
        <v>100</v>
      </c>
      <c r="D8926" t="s">
        <v>183</v>
      </c>
      <c r="E8926" t="s">
        <v>14</v>
      </c>
      <c r="F8926">
        <v>0.58080381155014038</v>
      </c>
    </row>
    <row r="8927" spans="2:6">
      <c r="B8927">
        <v>2013</v>
      </c>
      <c r="C8927" t="s">
        <v>100</v>
      </c>
      <c r="D8927" t="s">
        <v>183</v>
      </c>
      <c r="E8927" t="s">
        <v>15</v>
      </c>
      <c r="F8927">
        <v>0.29372873902320862</v>
      </c>
    </row>
    <row r="8928" spans="2:6">
      <c r="B8928">
        <v>2014</v>
      </c>
      <c r="C8928" t="s">
        <v>100</v>
      </c>
      <c r="D8928" t="s">
        <v>183</v>
      </c>
      <c r="E8928" t="s">
        <v>7</v>
      </c>
      <c r="F8928">
        <v>6.1257238388061523</v>
      </c>
    </row>
    <row r="8929" spans="2:6">
      <c r="B8929">
        <v>2014</v>
      </c>
      <c r="C8929" t="s">
        <v>100</v>
      </c>
      <c r="D8929" t="s">
        <v>183</v>
      </c>
      <c r="E8929" t="s">
        <v>8</v>
      </c>
      <c r="F8929">
        <v>10.305781364440918</v>
      </c>
    </row>
    <row r="8930" spans="2:6">
      <c r="B8930">
        <v>2014</v>
      </c>
      <c r="C8930" t="s">
        <v>100</v>
      </c>
      <c r="D8930" t="s">
        <v>183</v>
      </c>
      <c r="E8930" t="s">
        <v>9</v>
      </c>
      <c r="F8930">
        <v>0.90823984146118164</v>
      </c>
    </row>
    <row r="8931" spans="2:6">
      <c r="B8931">
        <v>2014</v>
      </c>
      <c r="C8931" t="s">
        <v>100</v>
      </c>
      <c r="D8931" t="s">
        <v>183</v>
      </c>
      <c r="E8931" t="s">
        <v>10</v>
      </c>
      <c r="F8931">
        <v>65.300003051757813</v>
      </c>
    </row>
    <row r="8932" spans="2:6">
      <c r="B8932">
        <v>2014</v>
      </c>
      <c r="C8932" t="s">
        <v>100</v>
      </c>
      <c r="D8932" t="s">
        <v>183</v>
      </c>
      <c r="E8932" t="s">
        <v>11</v>
      </c>
      <c r="F8932">
        <v>0.50794720649719238</v>
      </c>
    </row>
    <row r="8933" spans="2:6">
      <c r="B8933">
        <v>2014</v>
      </c>
      <c r="C8933" t="s">
        <v>100</v>
      </c>
      <c r="D8933" t="s">
        <v>183</v>
      </c>
      <c r="E8933" t="s">
        <v>12</v>
      </c>
      <c r="F8933">
        <v>-0.26343473792076111</v>
      </c>
    </row>
    <row r="8934" spans="2:6">
      <c r="B8934">
        <v>2014</v>
      </c>
      <c r="C8934" t="s">
        <v>100</v>
      </c>
      <c r="D8934" t="s">
        <v>183</v>
      </c>
      <c r="E8934" t="s">
        <v>13</v>
      </c>
      <c r="F8934">
        <v>0.95634788274765015</v>
      </c>
    </row>
    <row r="8935" spans="2:6">
      <c r="B8935">
        <v>2014</v>
      </c>
      <c r="C8935" t="s">
        <v>100</v>
      </c>
      <c r="D8935" t="s">
        <v>183</v>
      </c>
      <c r="E8935" t="s">
        <v>14</v>
      </c>
      <c r="F8935">
        <v>0.61934298276901245</v>
      </c>
    </row>
    <row r="8936" spans="2:6">
      <c r="B8936">
        <v>2014</v>
      </c>
      <c r="C8936" t="s">
        <v>100</v>
      </c>
      <c r="D8936" t="s">
        <v>183</v>
      </c>
      <c r="E8936" t="s">
        <v>15</v>
      </c>
      <c r="F8936">
        <v>0.28691068291664124</v>
      </c>
    </row>
    <row r="8937" spans="2:6">
      <c r="B8937">
        <v>2015</v>
      </c>
      <c r="C8937" t="s">
        <v>100</v>
      </c>
      <c r="D8937" t="s">
        <v>183</v>
      </c>
      <c r="E8937" t="s">
        <v>7</v>
      </c>
      <c r="F8937">
        <v>5.7113780975341797</v>
      </c>
    </row>
    <row r="8938" spans="2:6">
      <c r="B8938">
        <v>2015</v>
      </c>
      <c r="C8938" t="s">
        <v>100</v>
      </c>
      <c r="D8938" t="s">
        <v>183</v>
      </c>
      <c r="E8938" t="s">
        <v>8</v>
      </c>
      <c r="F8938">
        <v>10.335315704345703</v>
      </c>
    </row>
    <row r="8939" spans="2:6">
      <c r="B8939">
        <v>2015</v>
      </c>
      <c r="C8939" t="s">
        <v>100</v>
      </c>
      <c r="D8939" t="s">
        <v>183</v>
      </c>
      <c r="E8939" t="s">
        <v>9</v>
      </c>
      <c r="F8939">
        <v>0.92852354049682617</v>
      </c>
    </row>
    <row r="8940" spans="2:6">
      <c r="B8940">
        <v>2015</v>
      </c>
      <c r="C8940" t="s">
        <v>100</v>
      </c>
      <c r="D8940" t="s">
        <v>183</v>
      </c>
      <c r="E8940" t="s">
        <v>10</v>
      </c>
      <c r="F8940">
        <v>65.5</v>
      </c>
    </row>
    <row r="8941" spans="2:6">
      <c r="B8941">
        <v>2015</v>
      </c>
      <c r="C8941" t="s">
        <v>100</v>
      </c>
      <c r="D8941" t="s">
        <v>183</v>
      </c>
      <c r="E8941" t="s">
        <v>11</v>
      </c>
      <c r="F8941">
        <v>0.64147019386291504</v>
      </c>
    </row>
    <row r="8942" spans="2:6">
      <c r="B8942">
        <v>2015</v>
      </c>
      <c r="C8942" t="s">
        <v>100</v>
      </c>
      <c r="D8942" t="s">
        <v>183</v>
      </c>
      <c r="E8942" t="s">
        <v>12</v>
      </c>
      <c r="F8942">
        <v>-0.25363197922706604</v>
      </c>
    </row>
    <row r="8943" spans="2:6">
      <c r="B8943">
        <v>2015</v>
      </c>
      <c r="C8943" t="s">
        <v>100</v>
      </c>
      <c r="D8943" t="s">
        <v>183</v>
      </c>
      <c r="E8943" t="s">
        <v>13</v>
      </c>
      <c r="F8943">
        <v>0.92417407035827637</v>
      </c>
    </row>
    <row r="8944" spans="2:6">
      <c r="B8944">
        <v>2015</v>
      </c>
      <c r="C8944" t="s">
        <v>100</v>
      </c>
      <c r="D8944" t="s">
        <v>183</v>
      </c>
      <c r="E8944" t="s">
        <v>14</v>
      </c>
      <c r="F8944">
        <v>0.59460967779159546</v>
      </c>
    </row>
    <row r="8945" spans="2:6">
      <c r="B8945">
        <v>2015</v>
      </c>
      <c r="C8945" t="s">
        <v>100</v>
      </c>
      <c r="D8945" t="s">
        <v>183</v>
      </c>
      <c r="E8945" t="s">
        <v>15</v>
      </c>
      <c r="F8945">
        <v>0.27645167708396912</v>
      </c>
    </row>
    <row r="8946" spans="2:6">
      <c r="B8946">
        <v>2016</v>
      </c>
      <c r="C8946" t="s">
        <v>100</v>
      </c>
      <c r="D8946" t="s">
        <v>183</v>
      </c>
      <c r="E8946" t="s">
        <v>7</v>
      </c>
      <c r="F8946">
        <v>5.8655524253845215</v>
      </c>
    </row>
    <row r="8947" spans="2:6">
      <c r="B8947">
        <v>2016</v>
      </c>
      <c r="C8947" t="s">
        <v>100</v>
      </c>
      <c r="D8947" t="s">
        <v>183</v>
      </c>
      <c r="E8947" t="s">
        <v>8</v>
      </c>
      <c r="F8947">
        <v>10.373261451721191</v>
      </c>
    </row>
    <row r="8948" spans="2:6">
      <c r="B8948">
        <v>2016</v>
      </c>
      <c r="C8948" t="s">
        <v>100</v>
      </c>
      <c r="D8948" t="s">
        <v>183</v>
      </c>
      <c r="E8948" t="s">
        <v>9</v>
      </c>
      <c r="F8948">
        <v>0.93787336349487305</v>
      </c>
    </row>
    <row r="8949" spans="2:6">
      <c r="B8949">
        <v>2016</v>
      </c>
      <c r="C8949" t="s">
        <v>100</v>
      </c>
      <c r="D8949" t="s">
        <v>183</v>
      </c>
      <c r="E8949" t="s">
        <v>10</v>
      </c>
      <c r="F8949">
        <v>66.099998474121094</v>
      </c>
    </row>
    <row r="8950" spans="2:6">
      <c r="B8950">
        <v>2016</v>
      </c>
      <c r="C8950" t="s">
        <v>100</v>
      </c>
      <c r="D8950" t="s">
        <v>183</v>
      </c>
      <c r="E8950" t="s">
        <v>11</v>
      </c>
      <c r="F8950">
        <v>0.61423933506011963</v>
      </c>
    </row>
    <row r="8951" spans="2:6">
      <c r="B8951">
        <v>2016</v>
      </c>
      <c r="C8951" t="s">
        <v>100</v>
      </c>
      <c r="D8951" t="s">
        <v>183</v>
      </c>
      <c r="E8951" t="s">
        <v>12</v>
      </c>
      <c r="F8951">
        <v>-0.26632648706436157</v>
      </c>
    </row>
    <row r="8952" spans="2:6">
      <c r="B8952">
        <v>2016</v>
      </c>
      <c r="C8952" t="s">
        <v>100</v>
      </c>
      <c r="D8952" t="s">
        <v>183</v>
      </c>
      <c r="E8952" t="s">
        <v>13</v>
      </c>
      <c r="F8952">
        <v>0.94939267635345459</v>
      </c>
    </row>
    <row r="8953" spans="2:6">
      <c r="B8953">
        <v>2016</v>
      </c>
      <c r="C8953" t="s">
        <v>100</v>
      </c>
      <c r="D8953" t="s">
        <v>183</v>
      </c>
      <c r="E8953" t="s">
        <v>14</v>
      </c>
      <c r="F8953">
        <v>0.59416729211807251</v>
      </c>
    </row>
    <row r="8954" spans="2:6">
      <c r="B8954">
        <v>2016</v>
      </c>
      <c r="C8954" t="s">
        <v>100</v>
      </c>
      <c r="D8954" t="s">
        <v>183</v>
      </c>
      <c r="E8954" t="s">
        <v>15</v>
      </c>
      <c r="F8954">
        <v>0.24985574185848236</v>
      </c>
    </row>
    <row r="8955" spans="2:6">
      <c r="B8955">
        <v>2017</v>
      </c>
      <c r="C8955" t="s">
        <v>100</v>
      </c>
      <c r="D8955" t="s">
        <v>183</v>
      </c>
      <c r="E8955" t="s">
        <v>7</v>
      </c>
      <c r="F8955">
        <v>6.2729406356811523</v>
      </c>
    </row>
    <row r="8956" spans="2:6">
      <c r="B8956">
        <v>2017</v>
      </c>
      <c r="C8956" t="s">
        <v>100</v>
      </c>
      <c r="D8956" t="s">
        <v>183</v>
      </c>
      <c r="E8956" t="s">
        <v>8</v>
      </c>
      <c r="F8956">
        <v>10.428842544555664</v>
      </c>
    </row>
    <row r="8957" spans="2:6">
      <c r="B8957">
        <v>2017</v>
      </c>
      <c r="C8957" t="s">
        <v>100</v>
      </c>
      <c r="D8957" t="s">
        <v>183</v>
      </c>
      <c r="E8957" t="s">
        <v>9</v>
      </c>
      <c r="F8957">
        <v>0.92631661891937256</v>
      </c>
    </row>
    <row r="8958" spans="2:6">
      <c r="B8958">
        <v>2017</v>
      </c>
      <c r="C8958" t="s">
        <v>100</v>
      </c>
      <c r="D8958" t="s">
        <v>183</v>
      </c>
      <c r="E8958" t="s">
        <v>10</v>
      </c>
      <c r="F8958">
        <v>66.699996948242188</v>
      </c>
    </row>
    <row r="8959" spans="2:6">
      <c r="B8959">
        <v>2017</v>
      </c>
      <c r="C8959" t="s">
        <v>100</v>
      </c>
      <c r="D8959" t="s">
        <v>183</v>
      </c>
      <c r="E8959" t="s">
        <v>11</v>
      </c>
      <c r="F8959">
        <v>0.74930733442306519</v>
      </c>
    </row>
    <row r="8960" spans="2:6">
      <c r="B8960">
        <v>2017</v>
      </c>
      <c r="C8960" t="s">
        <v>100</v>
      </c>
      <c r="D8960" t="s">
        <v>183</v>
      </c>
      <c r="E8960" t="s">
        <v>12</v>
      </c>
      <c r="F8960">
        <v>-0.17356120049953461</v>
      </c>
    </row>
    <row r="8961" spans="2:6">
      <c r="B8961">
        <v>2017</v>
      </c>
      <c r="C8961" t="s">
        <v>100</v>
      </c>
      <c r="D8961" t="s">
        <v>183</v>
      </c>
      <c r="E8961" t="s">
        <v>13</v>
      </c>
      <c r="F8961">
        <v>0.78970986604690552</v>
      </c>
    </row>
    <row r="8962" spans="2:6">
      <c r="B8962">
        <v>2017</v>
      </c>
      <c r="C8962" t="s">
        <v>100</v>
      </c>
      <c r="D8962" t="s">
        <v>183</v>
      </c>
      <c r="E8962" t="s">
        <v>14</v>
      </c>
      <c r="F8962">
        <v>0.60761314630508423</v>
      </c>
    </row>
    <row r="8963" spans="2:6">
      <c r="B8963">
        <v>2017</v>
      </c>
      <c r="C8963" t="s">
        <v>100</v>
      </c>
      <c r="D8963" t="s">
        <v>183</v>
      </c>
      <c r="E8963" t="s">
        <v>15</v>
      </c>
      <c r="F8963">
        <v>0.19511882960796356</v>
      </c>
    </row>
    <row r="8964" spans="2:6">
      <c r="B8964">
        <v>2018</v>
      </c>
      <c r="C8964" t="s">
        <v>100</v>
      </c>
      <c r="D8964" t="s">
        <v>183</v>
      </c>
      <c r="E8964" t="s">
        <v>7</v>
      </c>
      <c r="F8964">
        <v>6.3088788986206055</v>
      </c>
    </row>
    <row r="8965" spans="2:6">
      <c r="B8965">
        <v>2018</v>
      </c>
      <c r="C8965" t="s">
        <v>100</v>
      </c>
      <c r="D8965" t="s">
        <v>183</v>
      </c>
      <c r="E8965" t="s">
        <v>8</v>
      </c>
      <c r="F8965">
        <v>10.474184036254883</v>
      </c>
    </row>
    <row r="8966" spans="2:6">
      <c r="B8966">
        <v>2018</v>
      </c>
      <c r="C8966" t="s">
        <v>100</v>
      </c>
      <c r="D8966" t="s">
        <v>183</v>
      </c>
      <c r="E8966" t="s">
        <v>9</v>
      </c>
      <c r="F8966">
        <v>0.92935013771057129</v>
      </c>
    </row>
    <row r="8967" spans="2:6">
      <c r="B8967">
        <v>2018</v>
      </c>
      <c r="C8967" t="s">
        <v>100</v>
      </c>
      <c r="D8967" t="s">
        <v>183</v>
      </c>
      <c r="E8967" t="s">
        <v>10</v>
      </c>
      <c r="F8967">
        <v>67.300003051757813</v>
      </c>
    </row>
    <row r="8968" spans="2:6">
      <c r="B8968">
        <v>2018</v>
      </c>
      <c r="C8968" t="s">
        <v>100</v>
      </c>
      <c r="D8968" t="s">
        <v>183</v>
      </c>
      <c r="E8968" t="s">
        <v>11</v>
      </c>
      <c r="F8968">
        <v>0.69894510507583618</v>
      </c>
    </row>
    <row r="8969" spans="2:6">
      <c r="B8969">
        <v>2018</v>
      </c>
      <c r="C8969" t="s">
        <v>100</v>
      </c>
      <c r="D8969" t="s">
        <v>183</v>
      </c>
      <c r="E8969" t="s">
        <v>12</v>
      </c>
      <c r="F8969">
        <v>-0.23666846752166748</v>
      </c>
    </row>
    <row r="8970" spans="2:6">
      <c r="B8970">
        <v>2018</v>
      </c>
      <c r="C8970" t="s">
        <v>100</v>
      </c>
      <c r="D8970" t="s">
        <v>183</v>
      </c>
      <c r="E8970" t="s">
        <v>13</v>
      </c>
      <c r="F8970">
        <v>0.85174506902694702</v>
      </c>
    </row>
    <row r="8971" spans="2:6">
      <c r="B8971">
        <v>2018</v>
      </c>
      <c r="C8971" t="s">
        <v>100</v>
      </c>
      <c r="D8971" t="s">
        <v>183</v>
      </c>
      <c r="E8971" t="s">
        <v>14</v>
      </c>
      <c r="F8971">
        <v>0.51680511236190796</v>
      </c>
    </row>
    <row r="8972" spans="2:6">
      <c r="B8972">
        <v>2018</v>
      </c>
      <c r="C8972" t="s">
        <v>100</v>
      </c>
      <c r="D8972" t="s">
        <v>183</v>
      </c>
      <c r="E8972" t="s">
        <v>15</v>
      </c>
      <c r="F8972">
        <v>0.21355971693992615</v>
      </c>
    </row>
    <row r="8973" spans="2:6">
      <c r="B8973">
        <v>2019</v>
      </c>
      <c r="C8973" t="s">
        <v>100</v>
      </c>
      <c r="D8973" t="s">
        <v>183</v>
      </c>
      <c r="E8973" t="s">
        <v>7</v>
      </c>
      <c r="F8973">
        <v>6.0640978813171387</v>
      </c>
    </row>
    <row r="8974" spans="2:6">
      <c r="B8974">
        <v>2019</v>
      </c>
      <c r="C8974" t="s">
        <v>100</v>
      </c>
      <c r="D8974" t="s">
        <v>183</v>
      </c>
      <c r="E8974" t="s">
        <v>8</v>
      </c>
      <c r="F8974">
        <v>10.517995834350586</v>
      </c>
    </row>
    <row r="8975" spans="2:6">
      <c r="B8975">
        <v>2019</v>
      </c>
      <c r="C8975" t="s">
        <v>100</v>
      </c>
      <c r="D8975" t="s">
        <v>183</v>
      </c>
      <c r="E8975" t="s">
        <v>9</v>
      </c>
      <c r="F8975">
        <v>0.91757750511169434</v>
      </c>
    </row>
    <row r="8976" spans="2:6">
      <c r="B8976">
        <v>2019</v>
      </c>
      <c r="C8976" t="s">
        <v>100</v>
      </c>
      <c r="D8976" t="s">
        <v>183</v>
      </c>
      <c r="E8976" t="s">
        <v>10</v>
      </c>
      <c r="F8976">
        <v>67.900001525878906</v>
      </c>
    </row>
    <row r="8977" spans="2:6">
      <c r="B8977">
        <v>2019</v>
      </c>
      <c r="C8977" t="s">
        <v>100</v>
      </c>
      <c r="D8977" t="s">
        <v>183</v>
      </c>
      <c r="E8977" t="s">
        <v>11</v>
      </c>
      <c r="F8977">
        <v>0.78026646375656128</v>
      </c>
    </row>
    <row r="8978" spans="2:6">
      <c r="B8978">
        <v>2019</v>
      </c>
      <c r="C8978" t="s">
        <v>100</v>
      </c>
      <c r="D8978" t="s">
        <v>183</v>
      </c>
      <c r="E8978" t="s">
        <v>12</v>
      </c>
      <c r="F8978">
        <v>-0.25147512555122375</v>
      </c>
    </row>
    <row r="8979" spans="2:6">
      <c r="B8979">
        <v>2019</v>
      </c>
      <c r="C8979" t="s">
        <v>100</v>
      </c>
      <c r="D8979" t="s">
        <v>183</v>
      </c>
      <c r="E8979" t="s">
        <v>13</v>
      </c>
      <c r="F8979">
        <v>0.782501220703125</v>
      </c>
    </row>
    <row r="8980" spans="2:6">
      <c r="B8980">
        <v>2019</v>
      </c>
      <c r="C8980" t="s">
        <v>100</v>
      </c>
      <c r="D8980" t="s">
        <v>183</v>
      </c>
      <c r="E8980" t="s">
        <v>14</v>
      </c>
      <c r="F8980">
        <v>0.56602412462234497</v>
      </c>
    </row>
    <row r="8981" spans="2:6">
      <c r="B8981">
        <v>2019</v>
      </c>
      <c r="C8981" t="s">
        <v>100</v>
      </c>
      <c r="D8981" t="s">
        <v>183</v>
      </c>
      <c r="E8981" t="s">
        <v>15</v>
      </c>
      <c r="F8981">
        <v>0.27605435252189636</v>
      </c>
    </row>
    <row r="8982" spans="2:6">
      <c r="B8982">
        <v>2020</v>
      </c>
      <c r="C8982" t="s">
        <v>100</v>
      </c>
      <c r="D8982" t="s">
        <v>183</v>
      </c>
      <c r="E8982" t="s">
        <v>7</v>
      </c>
      <c r="F8982">
        <v>6.3913788795471191</v>
      </c>
    </row>
    <row r="8983" spans="2:6">
      <c r="B8983">
        <v>2020</v>
      </c>
      <c r="C8983" t="s">
        <v>100</v>
      </c>
      <c r="D8983" t="s">
        <v>183</v>
      </c>
      <c r="E8983" t="s">
        <v>8</v>
      </c>
      <c r="F8983">
        <v>10.503606796264648</v>
      </c>
    </row>
    <row r="8984" spans="2:6">
      <c r="B8984">
        <v>2020</v>
      </c>
      <c r="C8984" t="s">
        <v>100</v>
      </c>
      <c r="D8984" t="s">
        <v>183</v>
      </c>
      <c r="E8984" t="s">
        <v>9</v>
      </c>
      <c r="F8984">
        <v>0.95254409313201904</v>
      </c>
    </row>
    <row r="8985" spans="2:6">
      <c r="B8985">
        <v>2020</v>
      </c>
      <c r="C8985" t="s">
        <v>100</v>
      </c>
      <c r="D8985" t="s">
        <v>183</v>
      </c>
      <c r="E8985" t="s">
        <v>10</v>
      </c>
      <c r="F8985">
        <v>68.5</v>
      </c>
    </row>
    <row r="8986" spans="2:6">
      <c r="B8986">
        <v>2020</v>
      </c>
      <c r="C8986" t="s">
        <v>100</v>
      </c>
      <c r="D8986" t="s">
        <v>183</v>
      </c>
      <c r="E8986" t="s">
        <v>11</v>
      </c>
      <c r="F8986">
        <v>0.82406055927276611</v>
      </c>
    </row>
    <row r="8987" spans="2:6">
      <c r="B8987">
        <v>2020</v>
      </c>
      <c r="C8987" t="s">
        <v>100</v>
      </c>
      <c r="D8987" t="s">
        <v>183</v>
      </c>
      <c r="E8987" t="s">
        <v>12</v>
      </c>
      <c r="F8987">
        <v>-0.12178131192922592</v>
      </c>
    </row>
    <row r="8988" spans="2:6">
      <c r="B8988">
        <v>2020</v>
      </c>
      <c r="C8988" t="s">
        <v>100</v>
      </c>
      <c r="D8988" t="s">
        <v>183</v>
      </c>
      <c r="E8988" t="s">
        <v>13</v>
      </c>
      <c r="F8988">
        <v>0.82920479774475098</v>
      </c>
    </row>
    <row r="8989" spans="2:6">
      <c r="B8989">
        <v>2020</v>
      </c>
      <c r="C8989" t="s">
        <v>100</v>
      </c>
      <c r="D8989" t="s">
        <v>183</v>
      </c>
      <c r="E8989" t="s">
        <v>14</v>
      </c>
      <c r="F8989">
        <v>0.66022956371307373</v>
      </c>
    </row>
    <row r="8990" spans="2:6">
      <c r="B8990">
        <v>2020</v>
      </c>
      <c r="C8990" t="s">
        <v>100</v>
      </c>
      <c r="D8990" t="s">
        <v>183</v>
      </c>
      <c r="E8990" t="s">
        <v>15</v>
      </c>
      <c r="F8990">
        <v>0.20191200077533722</v>
      </c>
    </row>
    <row r="8991" spans="2:6">
      <c r="B8991">
        <v>2009</v>
      </c>
      <c r="C8991" t="s">
        <v>101</v>
      </c>
      <c r="D8991" t="s">
        <v>183</v>
      </c>
      <c r="E8991" t="s">
        <v>7</v>
      </c>
      <c r="F8991">
        <v>6.9579200744628906</v>
      </c>
    </row>
    <row r="8992" spans="2:6">
      <c r="B8992">
        <v>2009</v>
      </c>
      <c r="C8992" t="s">
        <v>101</v>
      </c>
      <c r="D8992" t="s">
        <v>183</v>
      </c>
      <c r="E8992" t="s">
        <v>8</v>
      </c>
      <c r="F8992">
        <v>11.562458038330078</v>
      </c>
    </row>
    <row r="8993" spans="2:6">
      <c r="B8993">
        <v>2009</v>
      </c>
      <c r="C8993" t="s">
        <v>101</v>
      </c>
      <c r="D8993" t="s">
        <v>183</v>
      </c>
      <c r="E8993" t="s">
        <v>9</v>
      </c>
      <c r="F8993">
        <v>0.93855935335159302</v>
      </c>
    </row>
    <row r="8994" spans="2:6">
      <c r="B8994">
        <v>2009</v>
      </c>
      <c r="C8994" t="s">
        <v>101</v>
      </c>
      <c r="D8994" t="s">
        <v>183</v>
      </c>
      <c r="E8994" t="s">
        <v>10</v>
      </c>
      <c r="F8994">
        <v>71.44000244140625</v>
      </c>
    </row>
    <row r="8995" spans="2:6">
      <c r="B8995">
        <v>2009</v>
      </c>
      <c r="C8995" t="s">
        <v>101</v>
      </c>
      <c r="D8995" t="s">
        <v>183</v>
      </c>
      <c r="E8995" t="s">
        <v>11</v>
      </c>
      <c r="F8995">
        <v>0.9391016960144043</v>
      </c>
    </row>
    <row r="8996" spans="2:6">
      <c r="B8996">
        <v>2009</v>
      </c>
      <c r="C8996" t="s">
        <v>101</v>
      </c>
      <c r="D8996" t="s">
        <v>183</v>
      </c>
      <c r="E8996" t="s">
        <v>12</v>
      </c>
      <c r="F8996">
        <v>0.12697286903858185</v>
      </c>
    </row>
    <row r="8997" spans="2:6">
      <c r="B8997">
        <v>2009</v>
      </c>
      <c r="C8997" t="s">
        <v>101</v>
      </c>
      <c r="D8997" t="s">
        <v>183</v>
      </c>
      <c r="E8997" t="s">
        <v>13</v>
      </c>
      <c r="F8997">
        <v>0.43160697817802429</v>
      </c>
    </row>
    <row r="8998" spans="2:6">
      <c r="B8998">
        <v>2009</v>
      </c>
      <c r="C8998" t="s">
        <v>101</v>
      </c>
      <c r="D8998" t="s">
        <v>183</v>
      </c>
      <c r="E8998" t="s">
        <v>14</v>
      </c>
      <c r="F8998">
        <v>0.79949265718460083</v>
      </c>
    </row>
    <row r="8999" spans="2:6">
      <c r="B8999">
        <v>2009</v>
      </c>
      <c r="C8999" t="s">
        <v>101</v>
      </c>
      <c r="D8999" t="s">
        <v>183</v>
      </c>
      <c r="E8999" t="s">
        <v>15</v>
      </c>
      <c r="F8999">
        <v>0.23802152276039124</v>
      </c>
    </row>
    <row r="9000" spans="2:6">
      <c r="B9000">
        <v>2010</v>
      </c>
      <c r="C9000" t="s">
        <v>101</v>
      </c>
      <c r="D9000" t="s">
        <v>183</v>
      </c>
      <c r="E9000" t="s">
        <v>7</v>
      </c>
      <c r="F9000">
        <v>7.0972518920898438</v>
      </c>
    </row>
    <row r="9001" spans="2:6">
      <c r="B9001">
        <v>2010</v>
      </c>
      <c r="C9001" t="s">
        <v>101</v>
      </c>
      <c r="D9001" t="s">
        <v>183</v>
      </c>
      <c r="E9001" t="s">
        <v>8</v>
      </c>
      <c r="F9001">
        <v>11.591707229614258</v>
      </c>
    </row>
    <row r="9002" spans="2:6">
      <c r="B9002">
        <v>2010</v>
      </c>
      <c r="C9002" t="s">
        <v>101</v>
      </c>
      <c r="D9002" t="s">
        <v>183</v>
      </c>
      <c r="E9002" t="s">
        <v>9</v>
      </c>
      <c r="F9002">
        <v>0.95237171649932861</v>
      </c>
    </row>
    <row r="9003" spans="2:6">
      <c r="B9003">
        <v>2010</v>
      </c>
      <c r="C9003" t="s">
        <v>101</v>
      </c>
      <c r="D9003" t="s">
        <v>183</v>
      </c>
      <c r="E9003" t="s">
        <v>10</v>
      </c>
      <c r="F9003">
        <v>71.699996948242188</v>
      </c>
    </row>
    <row r="9004" spans="2:6">
      <c r="B9004">
        <v>2010</v>
      </c>
      <c r="C9004" t="s">
        <v>101</v>
      </c>
      <c r="D9004" t="s">
        <v>183</v>
      </c>
      <c r="E9004" t="s">
        <v>11</v>
      </c>
      <c r="F9004">
        <v>0.90830308198928833</v>
      </c>
    </row>
    <row r="9005" spans="2:6">
      <c r="B9005">
        <v>2010</v>
      </c>
      <c r="C9005" t="s">
        <v>101</v>
      </c>
      <c r="D9005" t="s">
        <v>183</v>
      </c>
      <c r="E9005" t="s">
        <v>12</v>
      </c>
      <c r="F9005">
        <v>9.5851100981235504E-2</v>
      </c>
    </row>
    <row r="9006" spans="2:6">
      <c r="B9006">
        <v>2010</v>
      </c>
      <c r="C9006" t="s">
        <v>101</v>
      </c>
      <c r="D9006" t="s">
        <v>183</v>
      </c>
      <c r="E9006" t="s">
        <v>13</v>
      </c>
      <c r="F9006">
        <v>0.42334133386611938</v>
      </c>
    </row>
    <row r="9007" spans="2:6">
      <c r="B9007">
        <v>2010</v>
      </c>
      <c r="C9007" t="s">
        <v>101</v>
      </c>
      <c r="D9007" t="s">
        <v>183</v>
      </c>
      <c r="E9007" t="s">
        <v>14</v>
      </c>
      <c r="F9007">
        <v>0.80878287553787231</v>
      </c>
    </row>
    <row r="9008" spans="2:6">
      <c r="B9008">
        <v>2010</v>
      </c>
      <c r="C9008" t="s">
        <v>101</v>
      </c>
      <c r="D9008" t="s">
        <v>183</v>
      </c>
      <c r="E9008" t="s">
        <v>15</v>
      </c>
      <c r="F9008">
        <v>0.21606439352035522</v>
      </c>
    </row>
    <row r="9009" spans="2:6">
      <c r="B9009">
        <v>2011</v>
      </c>
      <c r="C9009" t="s">
        <v>101</v>
      </c>
      <c r="D9009" t="s">
        <v>183</v>
      </c>
      <c r="E9009" t="s">
        <v>7</v>
      </c>
      <c r="F9009">
        <v>7.1014003753662109</v>
      </c>
    </row>
    <row r="9010" spans="2:6">
      <c r="B9010">
        <v>2011</v>
      </c>
      <c r="C9010" t="s">
        <v>101</v>
      </c>
      <c r="D9010" t="s">
        <v>183</v>
      </c>
      <c r="E9010" t="s">
        <v>8</v>
      </c>
      <c r="F9010">
        <v>11.594555854797363</v>
      </c>
    </row>
    <row r="9011" spans="2:6">
      <c r="B9011">
        <v>2011</v>
      </c>
      <c r="C9011" t="s">
        <v>101</v>
      </c>
      <c r="D9011" t="s">
        <v>183</v>
      </c>
      <c r="E9011" t="s">
        <v>9</v>
      </c>
      <c r="F9011">
        <v>0.93409061431884766</v>
      </c>
    </row>
    <row r="9012" spans="2:6">
      <c r="B9012">
        <v>2011</v>
      </c>
      <c r="C9012" t="s">
        <v>101</v>
      </c>
      <c r="D9012" t="s">
        <v>183</v>
      </c>
      <c r="E9012" t="s">
        <v>10</v>
      </c>
      <c r="F9012">
        <v>71.879997253417969</v>
      </c>
    </row>
    <row r="9013" spans="2:6">
      <c r="B9013">
        <v>2011</v>
      </c>
      <c r="C9013" t="s">
        <v>101</v>
      </c>
      <c r="D9013" t="s">
        <v>183</v>
      </c>
      <c r="E9013" t="s">
        <v>11</v>
      </c>
      <c r="F9013">
        <v>0.961830735206604</v>
      </c>
    </row>
    <row r="9014" spans="2:6">
      <c r="B9014">
        <v>2011</v>
      </c>
      <c r="C9014" t="s">
        <v>101</v>
      </c>
      <c r="D9014" t="s">
        <v>183</v>
      </c>
      <c r="E9014" t="s">
        <v>12</v>
      </c>
      <c r="F9014">
        <v>0.10587087273597717</v>
      </c>
    </row>
    <row r="9015" spans="2:6">
      <c r="B9015">
        <v>2011</v>
      </c>
      <c r="C9015" t="s">
        <v>101</v>
      </c>
      <c r="D9015" t="s">
        <v>183</v>
      </c>
      <c r="E9015" t="s">
        <v>13</v>
      </c>
      <c r="F9015">
        <v>0.38817059993743896</v>
      </c>
    </row>
    <row r="9016" spans="2:6">
      <c r="B9016">
        <v>2011</v>
      </c>
      <c r="C9016" t="s">
        <v>101</v>
      </c>
      <c r="D9016" t="s">
        <v>183</v>
      </c>
      <c r="E9016" t="s">
        <v>14</v>
      </c>
      <c r="F9016">
        <v>0.83645856380462646</v>
      </c>
    </row>
    <row r="9017" spans="2:6">
      <c r="B9017">
        <v>2011</v>
      </c>
      <c r="C9017" t="s">
        <v>101</v>
      </c>
      <c r="D9017" t="s">
        <v>183</v>
      </c>
      <c r="E9017" t="s">
        <v>15</v>
      </c>
      <c r="F9017">
        <v>0.20013661682605743</v>
      </c>
    </row>
    <row r="9018" spans="2:6">
      <c r="B9018">
        <v>2012</v>
      </c>
      <c r="C9018" t="s">
        <v>101</v>
      </c>
      <c r="D9018" t="s">
        <v>183</v>
      </c>
      <c r="E9018" t="s">
        <v>7</v>
      </c>
      <c r="F9018">
        <v>6.9640970230102539</v>
      </c>
    </row>
    <row r="9019" spans="2:6">
      <c r="B9019">
        <v>2012</v>
      </c>
      <c r="C9019" t="s">
        <v>101</v>
      </c>
      <c r="D9019" t="s">
        <v>183</v>
      </c>
      <c r="E9019" t="s">
        <v>8</v>
      </c>
      <c r="F9019">
        <v>11.567008972167969</v>
      </c>
    </row>
    <row r="9020" spans="2:6">
      <c r="B9020">
        <v>2012</v>
      </c>
      <c r="C9020" t="s">
        <v>101</v>
      </c>
      <c r="D9020" t="s">
        <v>183</v>
      </c>
      <c r="E9020" t="s">
        <v>9</v>
      </c>
      <c r="F9020">
        <v>0.91390770673751831</v>
      </c>
    </row>
    <row r="9021" spans="2:6">
      <c r="B9021">
        <v>2012</v>
      </c>
      <c r="C9021" t="s">
        <v>101</v>
      </c>
      <c r="D9021" t="s">
        <v>183</v>
      </c>
      <c r="E9021" t="s">
        <v>10</v>
      </c>
      <c r="F9021">
        <v>72.05999755859375</v>
      </c>
    </row>
    <row r="9022" spans="2:6">
      <c r="B9022">
        <v>2012</v>
      </c>
      <c r="C9022" t="s">
        <v>101</v>
      </c>
      <c r="D9022" t="s">
        <v>183</v>
      </c>
      <c r="E9022" t="s">
        <v>11</v>
      </c>
      <c r="F9022">
        <v>0.91652095317840576</v>
      </c>
    </row>
    <row r="9023" spans="2:6">
      <c r="B9023">
        <v>2012</v>
      </c>
      <c r="C9023" t="s">
        <v>101</v>
      </c>
      <c r="D9023" t="s">
        <v>183</v>
      </c>
      <c r="E9023" t="s">
        <v>12</v>
      </c>
      <c r="F9023">
        <v>5.8670081198215485E-2</v>
      </c>
    </row>
    <row r="9024" spans="2:6">
      <c r="B9024">
        <v>2012</v>
      </c>
      <c r="C9024" t="s">
        <v>101</v>
      </c>
      <c r="D9024" t="s">
        <v>183</v>
      </c>
      <c r="E9024" t="s">
        <v>13</v>
      </c>
      <c r="F9024">
        <v>0.40275320410728455</v>
      </c>
    </row>
    <row r="9025" spans="2:6">
      <c r="B9025">
        <v>2012</v>
      </c>
      <c r="C9025" t="s">
        <v>101</v>
      </c>
      <c r="D9025" t="s">
        <v>183</v>
      </c>
      <c r="E9025" t="s">
        <v>14</v>
      </c>
      <c r="F9025">
        <v>0.81524872779846191</v>
      </c>
    </row>
    <row r="9026" spans="2:6">
      <c r="B9026">
        <v>2012</v>
      </c>
      <c r="C9026" t="s">
        <v>101</v>
      </c>
      <c r="D9026" t="s">
        <v>183</v>
      </c>
      <c r="E9026" t="s">
        <v>15</v>
      </c>
      <c r="F9026">
        <v>0.22741171717643738</v>
      </c>
    </row>
    <row r="9027" spans="2:6">
      <c r="B9027">
        <v>2013</v>
      </c>
      <c r="C9027" t="s">
        <v>101</v>
      </c>
      <c r="D9027" t="s">
        <v>183</v>
      </c>
      <c r="E9027" t="s">
        <v>7</v>
      </c>
      <c r="F9027">
        <v>7.1308093070983887</v>
      </c>
    </row>
    <row r="9028" spans="2:6">
      <c r="B9028">
        <v>2013</v>
      </c>
      <c r="C9028" t="s">
        <v>101</v>
      </c>
      <c r="D9028" t="s">
        <v>183</v>
      </c>
      <c r="E9028" t="s">
        <v>8</v>
      </c>
      <c r="F9028">
        <v>11.579789161682129</v>
      </c>
    </row>
    <row r="9029" spans="2:6">
      <c r="B9029">
        <v>2013</v>
      </c>
      <c r="C9029" t="s">
        <v>101</v>
      </c>
      <c r="D9029" t="s">
        <v>183</v>
      </c>
      <c r="E9029" t="s">
        <v>9</v>
      </c>
      <c r="F9029">
        <v>0.91668325662612915</v>
      </c>
    </row>
    <row r="9030" spans="2:6">
      <c r="B9030">
        <v>2013</v>
      </c>
      <c r="C9030" t="s">
        <v>101</v>
      </c>
      <c r="D9030" t="s">
        <v>183</v>
      </c>
      <c r="E9030" t="s">
        <v>10</v>
      </c>
      <c r="F9030">
        <v>72.239997863769531</v>
      </c>
    </row>
    <row r="9031" spans="2:6">
      <c r="B9031">
        <v>2013</v>
      </c>
      <c r="C9031" t="s">
        <v>101</v>
      </c>
      <c r="D9031" t="s">
        <v>183</v>
      </c>
      <c r="E9031" t="s">
        <v>11</v>
      </c>
      <c r="F9031">
        <v>0.78965544700622559</v>
      </c>
    </row>
    <row r="9032" spans="2:6">
      <c r="B9032">
        <v>2013</v>
      </c>
      <c r="C9032" t="s">
        <v>101</v>
      </c>
      <c r="D9032" t="s">
        <v>183</v>
      </c>
      <c r="E9032" t="s">
        <v>12</v>
      </c>
      <c r="F9032">
        <v>-5.4244194179773331E-2</v>
      </c>
    </row>
    <row r="9033" spans="2:6">
      <c r="B9033">
        <v>2013</v>
      </c>
      <c r="C9033" t="s">
        <v>101</v>
      </c>
      <c r="D9033" t="s">
        <v>183</v>
      </c>
      <c r="E9033" t="s">
        <v>13</v>
      </c>
      <c r="F9033">
        <v>0.300811767578125</v>
      </c>
    </row>
    <row r="9034" spans="2:6">
      <c r="B9034">
        <v>2013</v>
      </c>
      <c r="C9034" t="s">
        <v>101</v>
      </c>
      <c r="D9034" t="s">
        <v>183</v>
      </c>
      <c r="E9034" t="s">
        <v>14</v>
      </c>
      <c r="F9034">
        <v>0.64037996530532837</v>
      </c>
    </row>
    <row r="9035" spans="2:6">
      <c r="B9035">
        <v>2013</v>
      </c>
      <c r="C9035" t="s">
        <v>101</v>
      </c>
      <c r="D9035" t="s">
        <v>183</v>
      </c>
      <c r="E9035" t="s">
        <v>15</v>
      </c>
      <c r="F9035">
        <v>0.18479998409748077</v>
      </c>
    </row>
    <row r="9036" spans="2:6">
      <c r="B9036">
        <v>2014</v>
      </c>
      <c r="C9036" t="s">
        <v>101</v>
      </c>
      <c r="D9036" t="s">
        <v>183</v>
      </c>
      <c r="E9036" t="s">
        <v>7</v>
      </c>
      <c r="F9036">
        <v>6.8911271095275879</v>
      </c>
    </row>
    <row r="9037" spans="2:6">
      <c r="B9037">
        <v>2014</v>
      </c>
      <c r="C9037" t="s">
        <v>101</v>
      </c>
      <c r="D9037" t="s">
        <v>183</v>
      </c>
      <c r="E9037" t="s">
        <v>8</v>
      </c>
      <c r="F9037">
        <v>11.598289489746094</v>
      </c>
    </row>
    <row r="9038" spans="2:6">
      <c r="B9038">
        <v>2014</v>
      </c>
      <c r="C9038" t="s">
        <v>101</v>
      </c>
      <c r="D9038" t="s">
        <v>183</v>
      </c>
      <c r="E9038" t="s">
        <v>9</v>
      </c>
      <c r="F9038">
        <v>0.87546944618225098</v>
      </c>
    </row>
    <row r="9039" spans="2:6">
      <c r="B9039">
        <v>2014</v>
      </c>
      <c r="C9039" t="s">
        <v>101</v>
      </c>
      <c r="D9039" t="s">
        <v>183</v>
      </c>
      <c r="E9039" t="s">
        <v>10</v>
      </c>
      <c r="F9039">
        <v>72.419998168945313</v>
      </c>
    </row>
    <row r="9040" spans="2:6">
      <c r="B9040">
        <v>2014</v>
      </c>
      <c r="C9040" t="s">
        <v>101</v>
      </c>
      <c r="D9040" t="s">
        <v>183</v>
      </c>
      <c r="E9040" t="s">
        <v>11</v>
      </c>
      <c r="F9040">
        <v>0.93798768520355225</v>
      </c>
    </row>
    <row r="9041" spans="2:6">
      <c r="B9041">
        <v>2014</v>
      </c>
      <c r="C9041" t="s">
        <v>101</v>
      </c>
      <c r="D9041" t="s">
        <v>183</v>
      </c>
      <c r="E9041" t="s">
        <v>12</v>
      </c>
      <c r="F9041">
        <v>0.10585186630487442</v>
      </c>
    </row>
    <row r="9042" spans="2:6">
      <c r="B9042">
        <v>2014</v>
      </c>
      <c r="C9042" t="s">
        <v>101</v>
      </c>
      <c r="D9042" t="s">
        <v>183</v>
      </c>
      <c r="E9042" t="s">
        <v>13</v>
      </c>
      <c r="F9042">
        <v>0.36628678441047668</v>
      </c>
    </row>
    <row r="9043" spans="2:6">
      <c r="B9043">
        <v>2014</v>
      </c>
      <c r="C9043" t="s">
        <v>101</v>
      </c>
      <c r="D9043" t="s">
        <v>183</v>
      </c>
      <c r="E9043" t="s">
        <v>14</v>
      </c>
      <c r="F9043">
        <v>0.80308371782302856</v>
      </c>
    </row>
    <row r="9044" spans="2:6">
      <c r="B9044">
        <v>2014</v>
      </c>
      <c r="C9044" t="s">
        <v>101</v>
      </c>
      <c r="D9044" t="s">
        <v>183</v>
      </c>
      <c r="E9044" t="s">
        <v>15</v>
      </c>
      <c r="F9044">
        <v>0.17040939629077911</v>
      </c>
    </row>
    <row r="9045" spans="2:6">
      <c r="B9045">
        <v>2015</v>
      </c>
      <c r="C9045" t="s">
        <v>101</v>
      </c>
      <c r="D9045" t="s">
        <v>183</v>
      </c>
      <c r="E9045" t="s">
        <v>7</v>
      </c>
      <c r="F9045">
        <v>6.7015714645385742</v>
      </c>
    </row>
    <row r="9046" spans="2:6">
      <c r="B9046">
        <v>2015</v>
      </c>
      <c r="C9046" t="s">
        <v>101</v>
      </c>
      <c r="D9046" t="s">
        <v>183</v>
      </c>
      <c r="E9046" t="s">
        <v>8</v>
      </c>
      <c r="F9046">
        <v>11.616852760314941</v>
      </c>
    </row>
    <row r="9047" spans="2:6">
      <c r="B9047">
        <v>2015</v>
      </c>
      <c r="C9047" t="s">
        <v>101</v>
      </c>
      <c r="D9047" t="s">
        <v>183</v>
      </c>
      <c r="E9047" t="s">
        <v>9</v>
      </c>
      <c r="F9047">
        <v>0.93360459804534912</v>
      </c>
    </row>
    <row r="9048" spans="2:6">
      <c r="B9048">
        <v>2015</v>
      </c>
      <c r="C9048" t="s">
        <v>101</v>
      </c>
      <c r="D9048" t="s">
        <v>183</v>
      </c>
      <c r="E9048" t="s">
        <v>10</v>
      </c>
      <c r="F9048">
        <v>72.599998474121094</v>
      </c>
    </row>
    <row r="9049" spans="2:6">
      <c r="B9049">
        <v>2015</v>
      </c>
      <c r="C9049" t="s">
        <v>101</v>
      </c>
      <c r="D9049" t="s">
        <v>183</v>
      </c>
      <c r="E9049" t="s">
        <v>11</v>
      </c>
      <c r="F9049">
        <v>0.93225640058517456</v>
      </c>
    </row>
    <row r="9050" spans="2:6">
      <c r="B9050">
        <v>2015</v>
      </c>
      <c r="C9050" t="s">
        <v>101</v>
      </c>
      <c r="D9050" t="s">
        <v>183</v>
      </c>
      <c r="E9050" t="s">
        <v>12</v>
      </c>
      <c r="F9050">
        <v>5.2099939435720444E-2</v>
      </c>
    </row>
    <row r="9051" spans="2:6">
      <c r="B9051">
        <v>2015</v>
      </c>
      <c r="C9051" t="s">
        <v>101</v>
      </c>
      <c r="D9051" t="s">
        <v>183</v>
      </c>
      <c r="E9051" t="s">
        <v>13</v>
      </c>
      <c r="F9051">
        <v>0.37539047002792358</v>
      </c>
    </row>
    <row r="9052" spans="2:6">
      <c r="B9052">
        <v>2015</v>
      </c>
      <c r="C9052" t="s">
        <v>101</v>
      </c>
      <c r="D9052" t="s">
        <v>183</v>
      </c>
      <c r="E9052" t="s">
        <v>14</v>
      </c>
      <c r="F9052">
        <v>0.75744456052780151</v>
      </c>
    </row>
    <row r="9053" spans="2:6">
      <c r="B9053">
        <v>2015</v>
      </c>
      <c r="C9053" t="s">
        <v>101</v>
      </c>
      <c r="D9053" t="s">
        <v>183</v>
      </c>
      <c r="E9053" t="s">
        <v>15</v>
      </c>
      <c r="F9053">
        <v>0.19305033981800079</v>
      </c>
    </row>
    <row r="9054" spans="2:6">
      <c r="B9054">
        <v>2016</v>
      </c>
      <c r="C9054" t="s">
        <v>101</v>
      </c>
      <c r="D9054" t="s">
        <v>183</v>
      </c>
      <c r="E9054" t="s">
        <v>7</v>
      </c>
      <c r="F9054">
        <v>6.9673409461975098</v>
      </c>
    </row>
    <row r="9055" spans="2:6">
      <c r="B9055">
        <v>2016</v>
      </c>
      <c r="C9055" t="s">
        <v>101</v>
      </c>
      <c r="D9055" t="s">
        <v>183</v>
      </c>
      <c r="E9055" t="s">
        <v>8</v>
      </c>
      <c r="F9055">
        <v>11.640029907226563</v>
      </c>
    </row>
    <row r="9056" spans="2:6">
      <c r="B9056">
        <v>2016</v>
      </c>
      <c r="C9056" t="s">
        <v>101</v>
      </c>
      <c r="D9056" t="s">
        <v>183</v>
      </c>
      <c r="E9056" t="s">
        <v>9</v>
      </c>
      <c r="F9056">
        <v>0.94126057624816895</v>
      </c>
    </row>
    <row r="9057" spans="2:6">
      <c r="B9057">
        <v>2016</v>
      </c>
      <c r="C9057" t="s">
        <v>101</v>
      </c>
      <c r="D9057" t="s">
        <v>183</v>
      </c>
      <c r="E9057" t="s">
        <v>10</v>
      </c>
      <c r="F9057">
        <v>72.599998474121094</v>
      </c>
    </row>
    <row r="9058" spans="2:6">
      <c r="B9058">
        <v>2016</v>
      </c>
      <c r="C9058" t="s">
        <v>101</v>
      </c>
      <c r="D9058" t="s">
        <v>183</v>
      </c>
      <c r="E9058" t="s">
        <v>11</v>
      </c>
      <c r="F9058">
        <v>0.88236534595489502</v>
      </c>
    </row>
    <row r="9059" spans="2:6">
      <c r="B9059">
        <v>2016</v>
      </c>
      <c r="C9059" t="s">
        <v>101</v>
      </c>
      <c r="D9059" t="s">
        <v>183</v>
      </c>
      <c r="E9059" t="s">
        <v>12</v>
      </c>
      <c r="F9059">
        <v>1.8697967752814293E-2</v>
      </c>
    </row>
    <row r="9060" spans="2:6">
      <c r="B9060">
        <v>2016</v>
      </c>
      <c r="C9060" t="s">
        <v>101</v>
      </c>
      <c r="D9060" t="s">
        <v>183</v>
      </c>
      <c r="E9060" t="s">
        <v>13</v>
      </c>
      <c r="F9060">
        <v>0.3563363254070282</v>
      </c>
    </row>
    <row r="9061" spans="2:6">
      <c r="B9061">
        <v>2016</v>
      </c>
      <c r="C9061" t="s">
        <v>101</v>
      </c>
      <c r="D9061" t="s">
        <v>183</v>
      </c>
      <c r="E9061" t="s">
        <v>14</v>
      </c>
      <c r="F9061">
        <v>0.75794976949691772</v>
      </c>
    </row>
    <row r="9062" spans="2:6">
      <c r="B9062">
        <v>2016</v>
      </c>
      <c r="C9062" t="s">
        <v>101</v>
      </c>
      <c r="D9062" t="s">
        <v>183</v>
      </c>
      <c r="E9062" t="s">
        <v>15</v>
      </c>
      <c r="F9062">
        <v>0.1923007071018219</v>
      </c>
    </row>
    <row r="9063" spans="2:6">
      <c r="B9063">
        <v>2017</v>
      </c>
      <c r="C9063" t="s">
        <v>101</v>
      </c>
      <c r="D9063" t="s">
        <v>183</v>
      </c>
      <c r="E9063" t="s">
        <v>7</v>
      </c>
      <c r="F9063">
        <v>7.0613808631896973</v>
      </c>
    </row>
    <row r="9064" spans="2:6">
      <c r="B9064">
        <v>2017</v>
      </c>
      <c r="C9064" t="s">
        <v>101</v>
      </c>
      <c r="D9064" t="s">
        <v>183</v>
      </c>
      <c r="E9064" t="s">
        <v>8</v>
      </c>
      <c r="F9064">
        <v>11.633571624755859</v>
      </c>
    </row>
    <row r="9065" spans="2:6">
      <c r="B9065">
        <v>2017</v>
      </c>
      <c r="C9065" t="s">
        <v>101</v>
      </c>
      <c r="D9065" t="s">
        <v>183</v>
      </c>
      <c r="E9065" t="s">
        <v>9</v>
      </c>
      <c r="F9065">
        <v>0.90543550252914429</v>
      </c>
    </row>
    <row r="9066" spans="2:6">
      <c r="B9066">
        <v>2017</v>
      </c>
      <c r="C9066" t="s">
        <v>101</v>
      </c>
      <c r="D9066" t="s">
        <v>183</v>
      </c>
      <c r="E9066" t="s">
        <v>10</v>
      </c>
      <c r="F9066">
        <v>72.599998474121094</v>
      </c>
    </row>
    <row r="9067" spans="2:6">
      <c r="B9067">
        <v>2017</v>
      </c>
      <c r="C9067" t="s">
        <v>101</v>
      </c>
      <c r="D9067" t="s">
        <v>183</v>
      </c>
      <c r="E9067" t="s">
        <v>11</v>
      </c>
      <c r="F9067">
        <v>0.90282171964645386</v>
      </c>
    </row>
    <row r="9068" spans="2:6">
      <c r="B9068">
        <v>2017</v>
      </c>
      <c r="C9068" t="s">
        <v>101</v>
      </c>
      <c r="D9068" t="s">
        <v>183</v>
      </c>
      <c r="E9068" t="s">
        <v>12</v>
      </c>
      <c r="F9068">
        <v>4.4103316962718964E-2</v>
      </c>
    </row>
    <row r="9069" spans="2:6">
      <c r="B9069">
        <v>2017</v>
      </c>
      <c r="C9069" t="s">
        <v>101</v>
      </c>
      <c r="D9069" t="s">
        <v>183</v>
      </c>
      <c r="E9069" t="s">
        <v>13</v>
      </c>
      <c r="F9069">
        <v>0.33017358183860779</v>
      </c>
    </row>
    <row r="9070" spans="2:6">
      <c r="B9070">
        <v>2017</v>
      </c>
      <c r="C9070" t="s">
        <v>101</v>
      </c>
      <c r="D9070" t="s">
        <v>183</v>
      </c>
      <c r="E9070" t="s">
        <v>14</v>
      </c>
      <c r="F9070">
        <v>0.76581686735153198</v>
      </c>
    </row>
    <row r="9071" spans="2:6">
      <c r="B9071">
        <v>2017</v>
      </c>
      <c r="C9071" t="s">
        <v>101</v>
      </c>
      <c r="D9071" t="s">
        <v>183</v>
      </c>
      <c r="E9071" t="s">
        <v>15</v>
      </c>
      <c r="F9071">
        <v>0.18446700274944305</v>
      </c>
    </row>
    <row r="9072" spans="2:6">
      <c r="B9072">
        <v>2018</v>
      </c>
      <c r="C9072" t="s">
        <v>101</v>
      </c>
      <c r="D9072" t="s">
        <v>183</v>
      </c>
      <c r="E9072" t="s">
        <v>7</v>
      </c>
      <c r="F9072">
        <v>7.2426309585571289</v>
      </c>
    </row>
    <row r="9073" spans="2:6">
      <c r="B9073">
        <v>2018</v>
      </c>
      <c r="C9073" t="s">
        <v>101</v>
      </c>
      <c r="D9073" t="s">
        <v>183</v>
      </c>
      <c r="E9073" t="s">
        <v>8</v>
      </c>
      <c r="F9073">
        <v>11.644917488098145</v>
      </c>
    </row>
    <row r="9074" spans="2:6">
      <c r="B9074">
        <v>2018</v>
      </c>
      <c r="C9074" t="s">
        <v>101</v>
      </c>
      <c r="D9074" t="s">
        <v>183</v>
      </c>
      <c r="E9074" t="s">
        <v>9</v>
      </c>
      <c r="F9074">
        <v>0.90219241380691528</v>
      </c>
    </row>
    <row r="9075" spans="2:6">
      <c r="B9075">
        <v>2018</v>
      </c>
      <c r="C9075" t="s">
        <v>101</v>
      </c>
      <c r="D9075" t="s">
        <v>183</v>
      </c>
      <c r="E9075" t="s">
        <v>10</v>
      </c>
      <c r="F9075">
        <v>72.599998474121094</v>
      </c>
    </row>
    <row r="9076" spans="2:6">
      <c r="B9076">
        <v>2018</v>
      </c>
      <c r="C9076" t="s">
        <v>101</v>
      </c>
      <c r="D9076" t="s">
        <v>183</v>
      </c>
      <c r="E9076" t="s">
        <v>11</v>
      </c>
      <c r="F9076">
        <v>0.88392984867095947</v>
      </c>
    </row>
    <row r="9077" spans="2:6">
      <c r="B9077">
        <v>2018</v>
      </c>
      <c r="C9077" t="s">
        <v>101</v>
      </c>
      <c r="D9077" t="s">
        <v>183</v>
      </c>
      <c r="E9077" t="s">
        <v>12</v>
      </c>
      <c r="F9077">
        <v>-2.1762866526842117E-2</v>
      </c>
    </row>
    <row r="9078" spans="2:6">
      <c r="B9078">
        <v>2018</v>
      </c>
      <c r="C9078" t="s">
        <v>101</v>
      </c>
      <c r="D9078" t="s">
        <v>183</v>
      </c>
      <c r="E9078" t="s">
        <v>13</v>
      </c>
      <c r="F9078">
        <v>0.38514611124992371</v>
      </c>
    </row>
    <row r="9079" spans="2:6">
      <c r="B9079">
        <v>2018</v>
      </c>
      <c r="C9079" t="s">
        <v>101</v>
      </c>
      <c r="D9079" t="s">
        <v>183</v>
      </c>
      <c r="E9079" t="s">
        <v>14</v>
      </c>
      <c r="F9079">
        <v>0.75030946731567383</v>
      </c>
    </row>
    <row r="9080" spans="2:6">
      <c r="B9080">
        <v>2018</v>
      </c>
      <c r="C9080" t="s">
        <v>101</v>
      </c>
      <c r="D9080" t="s">
        <v>183</v>
      </c>
      <c r="E9080" t="s">
        <v>15</v>
      </c>
      <c r="F9080">
        <v>0.20189434289932251</v>
      </c>
    </row>
    <row r="9081" spans="2:6">
      <c r="B9081">
        <v>2019</v>
      </c>
      <c r="C9081" t="s">
        <v>101</v>
      </c>
      <c r="D9081" t="s">
        <v>183</v>
      </c>
      <c r="E9081" t="s">
        <v>7</v>
      </c>
      <c r="F9081">
        <v>7.4040155410766602</v>
      </c>
    </row>
    <row r="9082" spans="2:6">
      <c r="B9082">
        <v>2019</v>
      </c>
      <c r="C9082" t="s">
        <v>101</v>
      </c>
      <c r="D9082" t="s">
        <v>183</v>
      </c>
      <c r="E9082" t="s">
        <v>8</v>
      </c>
      <c r="F9082">
        <v>11.648168563842773</v>
      </c>
    </row>
    <row r="9083" spans="2:6">
      <c r="B9083">
        <v>2019</v>
      </c>
      <c r="C9083" t="s">
        <v>101</v>
      </c>
      <c r="D9083" t="s">
        <v>183</v>
      </c>
      <c r="E9083" t="s">
        <v>9</v>
      </c>
      <c r="F9083">
        <v>0.91210454702377319</v>
      </c>
    </row>
    <row r="9084" spans="2:6">
      <c r="B9084">
        <v>2019</v>
      </c>
      <c r="C9084" t="s">
        <v>101</v>
      </c>
      <c r="D9084" t="s">
        <v>183</v>
      </c>
      <c r="E9084" t="s">
        <v>10</v>
      </c>
      <c r="F9084">
        <v>72.599998474121094</v>
      </c>
    </row>
    <row r="9085" spans="2:6">
      <c r="B9085">
        <v>2019</v>
      </c>
      <c r="C9085" t="s">
        <v>101</v>
      </c>
      <c r="D9085" t="s">
        <v>183</v>
      </c>
      <c r="E9085" t="s">
        <v>11</v>
      </c>
      <c r="F9085">
        <v>0.93032121658325195</v>
      </c>
    </row>
    <row r="9086" spans="2:6">
      <c r="B9086">
        <v>2019</v>
      </c>
      <c r="C9086" t="s">
        <v>101</v>
      </c>
      <c r="D9086" t="s">
        <v>183</v>
      </c>
      <c r="E9086" t="s">
        <v>12</v>
      </c>
      <c r="F9086">
        <v>-4.5057613402605057E-2</v>
      </c>
    </row>
    <row r="9087" spans="2:6">
      <c r="B9087">
        <v>2019</v>
      </c>
      <c r="C9087" t="s">
        <v>101</v>
      </c>
      <c r="D9087" t="s">
        <v>183</v>
      </c>
      <c r="E9087" t="s">
        <v>13</v>
      </c>
      <c r="F9087">
        <v>0.38959842920303345</v>
      </c>
    </row>
    <row r="9088" spans="2:6">
      <c r="B9088">
        <v>2019</v>
      </c>
      <c r="C9088" t="s">
        <v>101</v>
      </c>
      <c r="D9088" t="s">
        <v>183</v>
      </c>
      <c r="E9088" t="s">
        <v>14</v>
      </c>
      <c r="F9088">
        <v>0.78918635845184326</v>
      </c>
    </row>
    <row r="9089" spans="2:6">
      <c r="B9089">
        <v>2019</v>
      </c>
      <c r="C9089" t="s">
        <v>101</v>
      </c>
      <c r="D9089" t="s">
        <v>183</v>
      </c>
      <c r="E9089" t="s">
        <v>15</v>
      </c>
      <c r="F9089">
        <v>0.21163980662822723</v>
      </c>
    </row>
    <row r="9090" spans="2:6">
      <c r="B9090">
        <v>2006</v>
      </c>
      <c r="C9090" t="s">
        <v>102</v>
      </c>
      <c r="D9090" t="s">
        <v>184</v>
      </c>
      <c r="E9090" t="s">
        <v>7</v>
      </c>
      <c r="F9090">
        <v>3.9797513484954834</v>
      </c>
    </row>
    <row r="9091" spans="2:6">
      <c r="B9091">
        <v>2006</v>
      </c>
      <c r="C9091" t="s">
        <v>102</v>
      </c>
      <c r="D9091" t="s">
        <v>184</v>
      </c>
      <c r="E9091" t="s">
        <v>8</v>
      </c>
      <c r="F9091">
        <v>7.375727653503418</v>
      </c>
    </row>
    <row r="9092" spans="2:6">
      <c r="B9092">
        <v>2006</v>
      </c>
      <c r="C9092" t="s">
        <v>102</v>
      </c>
      <c r="D9092" t="s">
        <v>184</v>
      </c>
      <c r="E9092" t="s">
        <v>9</v>
      </c>
      <c r="F9092">
        <v>0.71113473176956177</v>
      </c>
    </row>
    <row r="9093" spans="2:6">
      <c r="B9093">
        <v>2006</v>
      </c>
      <c r="C9093" t="s">
        <v>102</v>
      </c>
      <c r="D9093" t="s">
        <v>184</v>
      </c>
      <c r="E9093" t="s">
        <v>10</v>
      </c>
      <c r="F9093">
        <v>54.040000915527344</v>
      </c>
    </row>
    <row r="9094" spans="2:6">
      <c r="B9094">
        <v>2006</v>
      </c>
      <c r="C9094" t="s">
        <v>102</v>
      </c>
      <c r="D9094" t="s">
        <v>184</v>
      </c>
      <c r="E9094" t="s">
        <v>12</v>
      </c>
      <c r="F9094">
        <v>-3.861994668841362E-2</v>
      </c>
    </row>
    <row r="9095" spans="2:6">
      <c r="B9095">
        <v>2006</v>
      </c>
      <c r="C9095" t="s">
        <v>102</v>
      </c>
      <c r="D9095" t="s">
        <v>184</v>
      </c>
      <c r="E9095" t="s">
        <v>14</v>
      </c>
      <c r="F9095">
        <v>0.70179921388626099</v>
      </c>
    </row>
    <row r="9096" spans="2:6">
      <c r="B9096">
        <v>2006</v>
      </c>
      <c r="C9096" t="s">
        <v>102</v>
      </c>
      <c r="D9096" t="s">
        <v>184</v>
      </c>
      <c r="E9096" t="s">
        <v>15</v>
      </c>
      <c r="F9096">
        <v>0.16133344173431396</v>
      </c>
    </row>
    <row r="9097" spans="2:6">
      <c r="B9097">
        <v>2008</v>
      </c>
      <c r="C9097" t="s">
        <v>102</v>
      </c>
      <c r="D9097" t="s">
        <v>184</v>
      </c>
      <c r="E9097" t="s">
        <v>7</v>
      </c>
      <c r="F9097">
        <v>4.6400790214538574</v>
      </c>
    </row>
    <row r="9098" spans="2:6">
      <c r="B9098">
        <v>2008</v>
      </c>
      <c r="C9098" t="s">
        <v>102</v>
      </c>
      <c r="D9098" t="s">
        <v>184</v>
      </c>
      <c r="E9098" t="s">
        <v>8</v>
      </c>
      <c r="F9098">
        <v>7.4387931823730469</v>
      </c>
    </row>
    <row r="9099" spans="2:6">
      <c r="B9099">
        <v>2008</v>
      </c>
      <c r="C9099" t="s">
        <v>102</v>
      </c>
      <c r="D9099" t="s">
        <v>184</v>
      </c>
      <c r="E9099" t="s">
        <v>9</v>
      </c>
      <c r="F9099">
        <v>0.77568858861923218</v>
      </c>
    </row>
    <row r="9100" spans="2:6">
      <c r="B9100">
        <v>2008</v>
      </c>
      <c r="C9100" t="s">
        <v>102</v>
      </c>
      <c r="D9100" t="s">
        <v>184</v>
      </c>
      <c r="E9100" t="s">
        <v>10</v>
      </c>
      <c r="F9100">
        <v>54.919998168945313</v>
      </c>
    </row>
    <row r="9101" spans="2:6">
      <c r="B9101">
        <v>2008</v>
      </c>
      <c r="C9101" t="s">
        <v>102</v>
      </c>
      <c r="D9101" t="s">
        <v>184</v>
      </c>
      <c r="E9101" t="s">
        <v>11</v>
      </c>
      <c r="F9101">
        <v>0.33243611454963684</v>
      </c>
    </row>
    <row r="9102" spans="2:6">
      <c r="B9102">
        <v>2008</v>
      </c>
      <c r="C9102" t="s">
        <v>102</v>
      </c>
      <c r="D9102" t="s">
        <v>184</v>
      </c>
      <c r="E9102" t="s">
        <v>12</v>
      </c>
      <c r="F9102">
        <v>-9.9392406642436981E-2</v>
      </c>
    </row>
    <row r="9103" spans="2:6">
      <c r="B9103">
        <v>2008</v>
      </c>
      <c r="C9103" t="s">
        <v>102</v>
      </c>
      <c r="D9103" t="s">
        <v>184</v>
      </c>
      <c r="E9103" t="s">
        <v>13</v>
      </c>
      <c r="F9103">
        <v>0.77306652069091797</v>
      </c>
    </row>
    <row r="9104" spans="2:6">
      <c r="B9104">
        <v>2008</v>
      </c>
      <c r="C9104" t="s">
        <v>102</v>
      </c>
      <c r="D9104" t="s">
        <v>184</v>
      </c>
      <c r="E9104" t="s">
        <v>14</v>
      </c>
      <c r="F9104">
        <v>0.6144249439239502</v>
      </c>
    </row>
    <row r="9105" spans="2:6">
      <c r="B9105">
        <v>2008</v>
      </c>
      <c r="C9105" t="s">
        <v>102</v>
      </c>
      <c r="D9105" t="s">
        <v>184</v>
      </c>
      <c r="E9105" t="s">
        <v>15</v>
      </c>
      <c r="F9105">
        <v>0.21452517807483673</v>
      </c>
    </row>
    <row r="9106" spans="2:6">
      <c r="B9106">
        <v>2011</v>
      </c>
      <c r="C9106" t="s">
        <v>102</v>
      </c>
      <c r="D9106" t="s">
        <v>184</v>
      </c>
      <c r="E9106" t="s">
        <v>7</v>
      </c>
      <c r="F9106">
        <v>4.3814153671264648</v>
      </c>
    </row>
    <row r="9107" spans="2:6">
      <c r="B9107">
        <v>2011</v>
      </c>
      <c r="C9107" t="s">
        <v>102</v>
      </c>
      <c r="D9107" t="s">
        <v>184</v>
      </c>
      <c r="E9107" t="s">
        <v>8</v>
      </c>
      <c r="F9107">
        <v>7.3362464904785156</v>
      </c>
    </row>
    <row r="9108" spans="2:6">
      <c r="B9108">
        <v>2011</v>
      </c>
      <c r="C9108" t="s">
        <v>102</v>
      </c>
      <c r="D9108" t="s">
        <v>184</v>
      </c>
      <c r="E9108" t="s">
        <v>9</v>
      </c>
      <c r="F9108">
        <v>0.81840264797210693</v>
      </c>
    </row>
    <row r="9109" spans="2:6">
      <c r="B9109">
        <v>2011</v>
      </c>
      <c r="C9109" t="s">
        <v>102</v>
      </c>
      <c r="D9109" t="s">
        <v>184</v>
      </c>
      <c r="E9109" t="s">
        <v>10</v>
      </c>
      <c r="F9109">
        <v>56.220001220703125</v>
      </c>
    </row>
    <row r="9110" spans="2:6">
      <c r="B9110">
        <v>2011</v>
      </c>
      <c r="C9110" t="s">
        <v>102</v>
      </c>
      <c r="D9110" t="s">
        <v>184</v>
      </c>
      <c r="E9110" t="s">
        <v>11</v>
      </c>
      <c r="F9110">
        <v>0.54555559158325195</v>
      </c>
    </row>
    <row r="9111" spans="2:6">
      <c r="B9111">
        <v>2011</v>
      </c>
      <c r="C9111" t="s">
        <v>102</v>
      </c>
      <c r="D9111" t="s">
        <v>184</v>
      </c>
      <c r="E9111" t="s">
        <v>12</v>
      </c>
      <c r="F9111">
        <v>-6.1999749392271042E-2</v>
      </c>
    </row>
    <row r="9112" spans="2:6">
      <c r="B9112">
        <v>2011</v>
      </c>
      <c r="C9112" t="s">
        <v>102</v>
      </c>
      <c r="D9112" t="s">
        <v>184</v>
      </c>
      <c r="E9112" t="s">
        <v>13</v>
      </c>
      <c r="F9112">
        <v>0.89710015058517456</v>
      </c>
    </row>
    <row r="9113" spans="2:6">
      <c r="B9113">
        <v>2011</v>
      </c>
      <c r="C9113" t="s">
        <v>102</v>
      </c>
      <c r="D9113" t="s">
        <v>184</v>
      </c>
      <c r="E9113" t="s">
        <v>14</v>
      </c>
      <c r="F9113">
        <v>0.50987094640731812</v>
      </c>
    </row>
    <row r="9114" spans="2:6">
      <c r="B9114">
        <v>2011</v>
      </c>
      <c r="C9114" t="s">
        <v>102</v>
      </c>
      <c r="D9114" t="s">
        <v>184</v>
      </c>
      <c r="E9114" t="s">
        <v>15</v>
      </c>
      <c r="F9114">
        <v>0.2348259836435318</v>
      </c>
    </row>
    <row r="9115" spans="2:6">
      <c r="B9115">
        <v>2012</v>
      </c>
      <c r="C9115" t="s">
        <v>102</v>
      </c>
      <c r="D9115" t="s">
        <v>184</v>
      </c>
      <c r="E9115" t="s">
        <v>7</v>
      </c>
      <c r="F9115">
        <v>3.5506095886230469</v>
      </c>
    </row>
    <row r="9116" spans="2:6">
      <c r="B9116">
        <v>2012</v>
      </c>
      <c r="C9116" t="s">
        <v>102</v>
      </c>
      <c r="D9116" t="s">
        <v>184</v>
      </c>
      <c r="E9116" t="s">
        <v>8</v>
      </c>
      <c r="F9116">
        <v>7.3385739326477051</v>
      </c>
    </row>
    <row r="9117" spans="2:6">
      <c r="B9117">
        <v>2012</v>
      </c>
      <c r="C9117" t="s">
        <v>102</v>
      </c>
      <c r="D9117" t="s">
        <v>184</v>
      </c>
      <c r="E9117" t="s">
        <v>9</v>
      </c>
      <c r="F9117">
        <v>0.67308831214904785</v>
      </c>
    </row>
    <row r="9118" spans="2:6">
      <c r="B9118">
        <v>2012</v>
      </c>
      <c r="C9118" t="s">
        <v>102</v>
      </c>
      <c r="D9118" t="s">
        <v>184</v>
      </c>
      <c r="E9118" t="s">
        <v>10</v>
      </c>
      <c r="F9118">
        <v>56.639999389648438</v>
      </c>
    </row>
    <row r="9119" spans="2:6">
      <c r="B9119">
        <v>2012</v>
      </c>
      <c r="C9119" t="s">
        <v>102</v>
      </c>
      <c r="D9119" t="s">
        <v>184</v>
      </c>
      <c r="E9119" t="s">
        <v>11</v>
      </c>
      <c r="F9119">
        <v>0.48700788617134094</v>
      </c>
    </row>
    <row r="9120" spans="2:6">
      <c r="B9120">
        <v>2012</v>
      </c>
      <c r="C9120" t="s">
        <v>102</v>
      </c>
      <c r="D9120" t="s">
        <v>184</v>
      </c>
      <c r="E9120" t="s">
        <v>12</v>
      </c>
      <c r="F9120">
        <v>-5.4980259388685226E-2</v>
      </c>
    </row>
    <row r="9121" spans="2:6">
      <c r="B9121">
        <v>2012</v>
      </c>
      <c r="C9121" t="s">
        <v>102</v>
      </c>
      <c r="D9121" t="s">
        <v>184</v>
      </c>
      <c r="E9121" t="s">
        <v>13</v>
      </c>
      <c r="F9121">
        <v>0.85359048843383789</v>
      </c>
    </row>
    <row r="9122" spans="2:6">
      <c r="B9122">
        <v>2012</v>
      </c>
      <c r="C9122" t="s">
        <v>102</v>
      </c>
      <c r="D9122" t="s">
        <v>184</v>
      </c>
      <c r="E9122" t="s">
        <v>14</v>
      </c>
      <c r="F9122">
        <v>0.68985569477081299</v>
      </c>
    </row>
    <row r="9123" spans="2:6">
      <c r="B9123">
        <v>2012</v>
      </c>
      <c r="C9123" t="s">
        <v>102</v>
      </c>
      <c r="D9123" t="s">
        <v>184</v>
      </c>
      <c r="E9123" t="s">
        <v>15</v>
      </c>
      <c r="F9123">
        <v>0.19397741556167603</v>
      </c>
    </row>
    <row r="9124" spans="2:6">
      <c r="B9124">
        <v>2013</v>
      </c>
      <c r="C9124" t="s">
        <v>102</v>
      </c>
      <c r="D9124" t="s">
        <v>184</v>
      </c>
      <c r="E9124" t="s">
        <v>7</v>
      </c>
      <c r="F9124">
        <v>3.8156070709228516</v>
      </c>
    </row>
    <row r="9125" spans="2:6">
      <c r="B9125">
        <v>2013</v>
      </c>
      <c r="C9125" t="s">
        <v>102</v>
      </c>
      <c r="D9125" t="s">
        <v>184</v>
      </c>
      <c r="E9125" t="s">
        <v>8</v>
      </c>
      <c r="F9125">
        <v>7.3341851234436035</v>
      </c>
    </row>
    <row r="9126" spans="2:6">
      <c r="B9126">
        <v>2013</v>
      </c>
      <c r="C9126" t="s">
        <v>102</v>
      </c>
      <c r="D9126" t="s">
        <v>184</v>
      </c>
      <c r="E9126" t="s">
        <v>9</v>
      </c>
      <c r="F9126">
        <v>0.67254674434661865</v>
      </c>
    </row>
    <row r="9127" spans="2:6">
      <c r="B9127">
        <v>2013</v>
      </c>
      <c r="C9127" t="s">
        <v>102</v>
      </c>
      <c r="D9127" t="s">
        <v>184</v>
      </c>
      <c r="E9127" t="s">
        <v>10</v>
      </c>
      <c r="F9127">
        <v>57.060001373291016</v>
      </c>
    </row>
    <row r="9128" spans="2:6">
      <c r="B9128">
        <v>2013</v>
      </c>
      <c r="C9128" t="s">
        <v>102</v>
      </c>
      <c r="D9128" t="s">
        <v>184</v>
      </c>
      <c r="E9128" t="s">
        <v>11</v>
      </c>
      <c r="F9128">
        <v>0.47955039143562317</v>
      </c>
    </row>
    <row r="9129" spans="2:6">
      <c r="B9129">
        <v>2013</v>
      </c>
      <c r="C9129" t="s">
        <v>102</v>
      </c>
      <c r="D9129" t="s">
        <v>184</v>
      </c>
      <c r="E9129" t="s">
        <v>12</v>
      </c>
      <c r="F9129">
        <v>-1.8502252176403999E-2</v>
      </c>
    </row>
    <row r="9130" spans="2:6">
      <c r="B9130">
        <v>2013</v>
      </c>
      <c r="C9130" t="s">
        <v>102</v>
      </c>
      <c r="D9130" t="s">
        <v>184</v>
      </c>
      <c r="E9130" t="s">
        <v>13</v>
      </c>
      <c r="F9130">
        <v>0.86770766973495483</v>
      </c>
    </row>
    <row r="9131" spans="2:6">
      <c r="B9131">
        <v>2013</v>
      </c>
      <c r="C9131" t="s">
        <v>102</v>
      </c>
      <c r="D9131" t="s">
        <v>184</v>
      </c>
      <c r="E9131" t="s">
        <v>14</v>
      </c>
      <c r="F9131">
        <v>0.73431569337844849</v>
      </c>
    </row>
    <row r="9132" spans="2:6">
      <c r="B9132">
        <v>2013</v>
      </c>
      <c r="C9132" t="s">
        <v>102</v>
      </c>
      <c r="D9132" t="s">
        <v>184</v>
      </c>
      <c r="E9132" t="s">
        <v>15</v>
      </c>
      <c r="F9132">
        <v>0.24123084545135498</v>
      </c>
    </row>
    <row r="9133" spans="2:6">
      <c r="B9133">
        <v>2014</v>
      </c>
      <c r="C9133" t="s">
        <v>102</v>
      </c>
      <c r="D9133" t="s">
        <v>184</v>
      </c>
      <c r="E9133" t="s">
        <v>7</v>
      </c>
      <c r="F9133">
        <v>3.6756269931793213</v>
      </c>
    </row>
    <row r="9134" spans="2:6">
      <c r="B9134">
        <v>2014</v>
      </c>
      <c r="C9134" t="s">
        <v>102</v>
      </c>
      <c r="D9134" t="s">
        <v>184</v>
      </c>
      <c r="E9134" t="s">
        <v>8</v>
      </c>
      <c r="F9134">
        <v>7.3400216102600098</v>
      </c>
    </row>
    <row r="9135" spans="2:6">
      <c r="B9135">
        <v>2014</v>
      </c>
      <c r="C9135" t="s">
        <v>102</v>
      </c>
      <c r="D9135" t="s">
        <v>184</v>
      </c>
      <c r="E9135" t="s">
        <v>9</v>
      </c>
      <c r="F9135">
        <v>0.65521413087844849</v>
      </c>
    </row>
    <row r="9136" spans="2:6">
      <c r="B9136">
        <v>2014</v>
      </c>
      <c r="C9136" t="s">
        <v>102</v>
      </c>
      <c r="D9136" t="s">
        <v>184</v>
      </c>
      <c r="E9136" t="s">
        <v>10</v>
      </c>
      <c r="F9136">
        <v>57.479999542236328</v>
      </c>
    </row>
    <row r="9137" spans="2:6">
      <c r="B9137">
        <v>2014</v>
      </c>
      <c r="C9137" t="s">
        <v>102</v>
      </c>
      <c r="D9137" t="s">
        <v>184</v>
      </c>
      <c r="E9137" t="s">
        <v>11</v>
      </c>
      <c r="F9137">
        <v>0.52880501747131348</v>
      </c>
    </row>
    <row r="9138" spans="2:6">
      <c r="B9138">
        <v>2014</v>
      </c>
      <c r="C9138" t="s">
        <v>102</v>
      </c>
      <c r="D9138" t="s">
        <v>184</v>
      </c>
      <c r="E9138" t="s">
        <v>12</v>
      </c>
      <c r="F9138">
        <v>-2.3182135075330734E-2</v>
      </c>
    </row>
    <row r="9139" spans="2:6">
      <c r="B9139">
        <v>2014</v>
      </c>
      <c r="C9139" t="s">
        <v>102</v>
      </c>
      <c r="D9139" t="s">
        <v>184</v>
      </c>
      <c r="E9139" t="s">
        <v>13</v>
      </c>
      <c r="F9139">
        <v>0.79105561971664429</v>
      </c>
    </row>
    <row r="9140" spans="2:6">
      <c r="B9140">
        <v>2014</v>
      </c>
      <c r="C9140" t="s">
        <v>102</v>
      </c>
      <c r="D9140" t="s">
        <v>184</v>
      </c>
      <c r="E9140" t="s">
        <v>14</v>
      </c>
      <c r="F9140">
        <v>0.74761617183685303</v>
      </c>
    </row>
    <row r="9141" spans="2:6">
      <c r="B9141">
        <v>2014</v>
      </c>
      <c r="C9141" t="s">
        <v>102</v>
      </c>
      <c r="D9141" t="s">
        <v>184</v>
      </c>
      <c r="E9141" t="s">
        <v>15</v>
      </c>
      <c r="F9141">
        <v>0.19218175113201141</v>
      </c>
    </row>
    <row r="9142" spans="2:6">
      <c r="B9142">
        <v>2015</v>
      </c>
      <c r="C9142" t="s">
        <v>102</v>
      </c>
      <c r="D9142" t="s">
        <v>184</v>
      </c>
      <c r="E9142" t="s">
        <v>7</v>
      </c>
      <c r="F9142">
        <v>3.5925140380859375</v>
      </c>
    </row>
    <row r="9143" spans="2:6">
      <c r="B9143">
        <v>2015</v>
      </c>
      <c r="C9143" t="s">
        <v>102</v>
      </c>
      <c r="D9143" t="s">
        <v>184</v>
      </c>
      <c r="E9143" t="s">
        <v>8</v>
      </c>
      <c r="F9143">
        <v>7.3439216613769531</v>
      </c>
    </row>
    <row r="9144" spans="2:6">
      <c r="B9144">
        <v>2015</v>
      </c>
      <c r="C9144" t="s">
        <v>102</v>
      </c>
      <c r="D9144" t="s">
        <v>184</v>
      </c>
      <c r="E9144" t="s">
        <v>9</v>
      </c>
      <c r="F9144">
        <v>0.64671653509140015</v>
      </c>
    </row>
    <row r="9145" spans="2:6">
      <c r="B9145">
        <v>2015</v>
      </c>
      <c r="C9145" t="s">
        <v>102</v>
      </c>
      <c r="D9145" t="s">
        <v>184</v>
      </c>
      <c r="E9145" t="s">
        <v>10</v>
      </c>
      <c r="F9145">
        <v>57.900001525878906</v>
      </c>
    </row>
    <row r="9146" spans="2:6">
      <c r="B9146">
        <v>2015</v>
      </c>
      <c r="C9146" t="s">
        <v>102</v>
      </c>
      <c r="D9146" t="s">
        <v>184</v>
      </c>
      <c r="E9146" t="s">
        <v>11</v>
      </c>
      <c r="F9146">
        <v>0.54475361108779907</v>
      </c>
    </row>
    <row r="9147" spans="2:6">
      <c r="B9147">
        <v>2015</v>
      </c>
      <c r="C9147" t="s">
        <v>102</v>
      </c>
      <c r="D9147" t="s">
        <v>184</v>
      </c>
      <c r="E9147" t="s">
        <v>12</v>
      </c>
      <c r="F9147">
        <v>-4.082195833325386E-2</v>
      </c>
    </row>
    <row r="9148" spans="2:6">
      <c r="B9148">
        <v>2015</v>
      </c>
      <c r="C9148" t="s">
        <v>102</v>
      </c>
      <c r="D9148" t="s">
        <v>184</v>
      </c>
      <c r="E9148" t="s">
        <v>13</v>
      </c>
      <c r="F9148">
        <v>0.86095339059829712</v>
      </c>
    </row>
    <row r="9149" spans="2:6">
      <c r="B9149">
        <v>2015</v>
      </c>
      <c r="C9149" t="s">
        <v>102</v>
      </c>
      <c r="D9149" t="s">
        <v>184</v>
      </c>
      <c r="E9149" t="s">
        <v>14</v>
      </c>
      <c r="F9149">
        <v>0.80175882577896118</v>
      </c>
    </row>
    <row r="9150" spans="2:6">
      <c r="B9150">
        <v>2015</v>
      </c>
      <c r="C9150" t="s">
        <v>102</v>
      </c>
      <c r="D9150" t="s">
        <v>184</v>
      </c>
      <c r="E9150" t="s">
        <v>15</v>
      </c>
      <c r="F9150">
        <v>0.22624345123767853</v>
      </c>
    </row>
    <row r="9151" spans="2:6">
      <c r="B9151">
        <v>2016</v>
      </c>
      <c r="C9151" t="s">
        <v>102</v>
      </c>
      <c r="D9151" t="s">
        <v>184</v>
      </c>
      <c r="E9151" t="s">
        <v>7</v>
      </c>
      <c r="F9151">
        <v>3.6630859375</v>
      </c>
    </row>
    <row r="9152" spans="2:6">
      <c r="B9152">
        <v>2016</v>
      </c>
      <c r="C9152" t="s">
        <v>102</v>
      </c>
      <c r="D9152" t="s">
        <v>184</v>
      </c>
      <c r="E9152" t="s">
        <v>8</v>
      </c>
      <c r="F9152">
        <v>7.3561949729919434</v>
      </c>
    </row>
    <row r="9153" spans="2:6">
      <c r="B9153">
        <v>2016</v>
      </c>
      <c r="C9153" t="s">
        <v>102</v>
      </c>
      <c r="D9153" t="s">
        <v>184</v>
      </c>
      <c r="E9153" t="s">
        <v>9</v>
      </c>
      <c r="F9153">
        <v>0.74649697542190552</v>
      </c>
    </row>
    <row r="9154" spans="2:6">
      <c r="B9154">
        <v>2016</v>
      </c>
      <c r="C9154" t="s">
        <v>102</v>
      </c>
      <c r="D9154" t="s">
        <v>184</v>
      </c>
      <c r="E9154" t="s">
        <v>10</v>
      </c>
      <c r="F9154">
        <v>58.299999237060547</v>
      </c>
    </row>
    <row r="9155" spans="2:6">
      <c r="B9155">
        <v>2016</v>
      </c>
      <c r="C9155" t="s">
        <v>102</v>
      </c>
      <c r="D9155" t="s">
        <v>184</v>
      </c>
      <c r="E9155" t="s">
        <v>11</v>
      </c>
      <c r="F9155">
        <v>0.56964540481567383</v>
      </c>
    </row>
    <row r="9156" spans="2:6">
      <c r="B9156">
        <v>2016</v>
      </c>
      <c r="C9156" t="s">
        <v>102</v>
      </c>
      <c r="D9156" t="s">
        <v>184</v>
      </c>
      <c r="E9156" t="s">
        <v>12</v>
      </c>
      <c r="F9156">
        <v>-6.8980246782302856E-2</v>
      </c>
    </row>
    <row r="9157" spans="2:6">
      <c r="B9157">
        <v>2016</v>
      </c>
      <c r="C9157" t="s">
        <v>102</v>
      </c>
      <c r="D9157" t="s">
        <v>184</v>
      </c>
      <c r="E9157" t="s">
        <v>13</v>
      </c>
      <c r="F9157">
        <v>0.86417114734649658</v>
      </c>
    </row>
    <row r="9158" spans="2:6">
      <c r="B9158">
        <v>2016</v>
      </c>
      <c r="C9158" t="s">
        <v>102</v>
      </c>
      <c r="D9158" t="s">
        <v>184</v>
      </c>
      <c r="E9158" t="s">
        <v>14</v>
      </c>
      <c r="F9158">
        <v>0.81319135427474976</v>
      </c>
    </row>
    <row r="9159" spans="2:6">
      <c r="B9159">
        <v>2016</v>
      </c>
      <c r="C9159" t="s">
        <v>102</v>
      </c>
      <c r="D9159" t="s">
        <v>184</v>
      </c>
      <c r="E9159" t="s">
        <v>15</v>
      </c>
      <c r="F9159">
        <v>0.20425541698932648</v>
      </c>
    </row>
    <row r="9160" spans="2:6">
      <c r="B9160">
        <v>2017</v>
      </c>
      <c r="C9160" t="s">
        <v>102</v>
      </c>
      <c r="D9160" t="s">
        <v>184</v>
      </c>
      <c r="E9160" t="s">
        <v>7</v>
      </c>
      <c r="F9160">
        <v>4.078620433807373</v>
      </c>
    </row>
    <row r="9161" spans="2:6">
      <c r="B9161">
        <v>2017</v>
      </c>
      <c r="C9161" t="s">
        <v>102</v>
      </c>
      <c r="D9161" t="s">
        <v>184</v>
      </c>
      <c r="E9161" t="s">
        <v>8</v>
      </c>
      <c r="F9161">
        <v>7.3679752349853516</v>
      </c>
    </row>
    <row r="9162" spans="2:6">
      <c r="B9162">
        <v>2017</v>
      </c>
      <c r="C9162" t="s">
        <v>102</v>
      </c>
      <c r="D9162" t="s">
        <v>184</v>
      </c>
      <c r="E9162" t="s">
        <v>9</v>
      </c>
      <c r="F9162">
        <v>0.62633198499679565</v>
      </c>
    </row>
    <row r="9163" spans="2:6">
      <c r="B9163">
        <v>2017</v>
      </c>
      <c r="C9163" t="s">
        <v>102</v>
      </c>
      <c r="D9163" t="s">
        <v>184</v>
      </c>
      <c r="E9163" t="s">
        <v>10</v>
      </c>
      <c r="F9163">
        <v>58.700000762939453</v>
      </c>
    </row>
    <row r="9164" spans="2:6">
      <c r="B9164">
        <v>2017</v>
      </c>
      <c r="C9164" t="s">
        <v>102</v>
      </c>
      <c r="D9164" t="s">
        <v>184</v>
      </c>
      <c r="E9164" t="s">
        <v>11</v>
      </c>
      <c r="F9164">
        <v>0.57034790515899658</v>
      </c>
    </row>
    <row r="9165" spans="2:6">
      <c r="B9165">
        <v>2017</v>
      </c>
      <c r="C9165" t="s">
        <v>102</v>
      </c>
      <c r="D9165" t="s">
        <v>184</v>
      </c>
      <c r="E9165" t="s">
        <v>12</v>
      </c>
      <c r="F9165">
        <v>-3.3295314759016037E-2</v>
      </c>
    </row>
    <row r="9166" spans="2:6">
      <c r="B9166">
        <v>2017</v>
      </c>
      <c r="C9166" t="s">
        <v>102</v>
      </c>
      <c r="D9166" t="s">
        <v>184</v>
      </c>
      <c r="E9166" t="s">
        <v>13</v>
      </c>
      <c r="F9166">
        <v>0.84726077318191528</v>
      </c>
    </row>
    <row r="9167" spans="2:6">
      <c r="B9167">
        <v>2017</v>
      </c>
      <c r="C9167" t="s">
        <v>102</v>
      </c>
      <c r="D9167" t="s">
        <v>184</v>
      </c>
      <c r="E9167" t="s">
        <v>14</v>
      </c>
      <c r="F9167">
        <v>0.7516980767250061</v>
      </c>
    </row>
    <row r="9168" spans="2:6">
      <c r="B9168">
        <v>2017</v>
      </c>
      <c r="C9168" t="s">
        <v>102</v>
      </c>
      <c r="D9168" t="s">
        <v>184</v>
      </c>
      <c r="E9168" t="s">
        <v>15</v>
      </c>
      <c r="F9168">
        <v>0.37483802437782288</v>
      </c>
    </row>
    <row r="9169" spans="2:6">
      <c r="B9169">
        <v>2018</v>
      </c>
      <c r="C9169" t="s">
        <v>102</v>
      </c>
      <c r="D9169" t="s">
        <v>184</v>
      </c>
      <c r="E9169" t="s">
        <v>7</v>
      </c>
      <c r="F9169">
        <v>4.0705866813659668</v>
      </c>
    </row>
    <row r="9170" spans="2:6">
      <c r="B9170">
        <v>2018</v>
      </c>
      <c r="C9170" t="s">
        <v>102</v>
      </c>
      <c r="D9170" t="s">
        <v>184</v>
      </c>
      <c r="E9170" t="s">
        <v>8</v>
      </c>
      <c r="F9170">
        <v>7.3859157562255859</v>
      </c>
    </row>
    <row r="9171" spans="2:6">
      <c r="B9171">
        <v>2018</v>
      </c>
      <c r="C9171" t="s">
        <v>102</v>
      </c>
      <c r="D9171" t="s">
        <v>184</v>
      </c>
      <c r="E9171" t="s">
        <v>9</v>
      </c>
      <c r="F9171">
        <v>0.66551297903060913</v>
      </c>
    </row>
    <row r="9172" spans="2:6">
      <c r="B9172">
        <v>2018</v>
      </c>
      <c r="C9172" t="s">
        <v>102</v>
      </c>
      <c r="D9172" t="s">
        <v>184</v>
      </c>
      <c r="E9172" t="s">
        <v>10</v>
      </c>
      <c r="F9172">
        <v>59.099998474121094</v>
      </c>
    </row>
    <row r="9173" spans="2:6">
      <c r="B9173">
        <v>2018</v>
      </c>
      <c r="C9173" t="s">
        <v>102</v>
      </c>
      <c r="D9173" t="s">
        <v>184</v>
      </c>
      <c r="E9173" t="s">
        <v>11</v>
      </c>
      <c r="F9173">
        <v>0.55147308111190796</v>
      </c>
    </row>
    <row r="9174" spans="2:6">
      <c r="B9174">
        <v>2018</v>
      </c>
      <c r="C9174" t="s">
        <v>102</v>
      </c>
      <c r="D9174" t="s">
        <v>184</v>
      </c>
      <c r="E9174" t="s">
        <v>12</v>
      </c>
      <c r="F9174">
        <v>2.5956102181226015E-3</v>
      </c>
    </row>
    <row r="9175" spans="2:6">
      <c r="B9175">
        <v>2018</v>
      </c>
      <c r="C9175" t="s">
        <v>102</v>
      </c>
      <c r="D9175" t="s">
        <v>184</v>
      </c>
      <c r="E9175" t="s">
        <v>13</v>
      </c>
      <c r="F9175">
        <v>0.88914567232131958</v>
      </c>
    </row>
    <row r="9176" spans="2:6">
      <c r="B9176">
        <v>2018</v>
      </c>
      <c r="C9176" t="s">
        <v>102</v>
      </c>
      <c r="D9176" t="s">
        <v>184</v>
      </c>
      <c r="E9176" t="s">
        <v>14</v>
      </c>
      <c r="F9176">
        <v>0.75234103202819824</v>
      </c>
    </row>
    <row r="9177" spans="2:6">
      <c r="B9177">
        <v>2018</v>
      </c>
      <c r="C9177" t="s">
        <v>102</v>
      </c>
      <c r="D9177" t="s">
        <v>184</v>
      </c>
      <c r="E9177" t="s">
        <v>15</v>
      </c>
      <c r="F9177">
        <v>0.36201381683349609</v>
      </c>
    </row>
    <row r="9178" spans="2:6">
      <c r="B9178">
        <v>2019</v>
      </c>
      <c r="C9178" t="s">
        <v>102</v>
      </c>
      <c r="D9178" t="s">
        <v>184</v>
      </c>
      <c r="E9178" t="s">
        <v>7</v>
      </c>
      <c r="F9178">
        <v>4.3390874862670898</v>
      </c>
    </row>
    <row r="9179" spans="2:6">
      <c r="B9179">
        <v>2019</v>
      </c>
      <c r="C9179" t="s">
        <v>102</v>
      </c>
      <c r="D9179" t="s">
        <v>184</v>
      </c>
      <c r="E9179" t="s">
        <v>8</v>
      </c>
      <c r="F9179">
        <v>7.4062371253967285</v>
      </c>
    </row>
    <row r="9180" spans="2:6">
      <c r="B9180">
        <v>2019</v>
      </c>
      <c r="C9180" t="s">
        <v>102</v>
      </c>
      <c r="D9180" t="s">
        <v>184</v>
      </c>
      <c r="E9180" t="s">
        <v>9</v>
      </c>
      <c r="F9180">
        <v>0.70061010122299194</v>
      </c>
    </row>
    <row r="9181" spans="2:6">
      <c r="B9181">
        <v>2019</v>
      </c>
      <c r="C9181" t="s">
        <v>102</v>
      </c>
      <c r="D9181" t="s">
        <v>184</v>
      </c>
      <c r="E9181" t="s">
        <v>10</v>
      </c>
      <c r="F9181">
        <v>59.5</v>
      </c>
    </row>
    <row r="9182" spans="2:6">
      <c r="B9182">
        <v>2019</v>
      </c>
      <c r="C9182" t="s">
        <v>102</v>
      </c>
      <c r="D9182" t="s">
        <v>184</v>
      </c>
      <c r="E9182" t="s">
        <v>11</v>
      </c>
      <c r="F9182">
        <v>0.54953521490097046</v>
      </c>
    </row>
    <row r="9183" spans="2:6">
      <c r="B9183">
        <v>2019</v>
      </c>
      <c r="C9183" t="s">
        <v>102</v>
      </c>
      <c r="D9183" t="s">
        <v>184</v>
      </c>
      <c r="E9183" t="s">
        <v>12</v>
      </c>
      <c r="F9183">
        <v>-1.2468654662370682E-2</v>
      </c>
    </row>
    <row r="9184" spans="2:6">
      <c r="B9184">
        <v>2019</v>
      </c>
      <c r="C9184" t="s">
        <v>102</v>
      </c>
      <c r="D9184" t="s">
        <v>184</v>
      </c>
      <c r="E9184" t="s">
        <v>13</v>
      </c>
      <c r="F9184">
        <v>0.71998268365859985</v>
      </c>
    </row>
    <row r="9185" spans="2:6">
      <c r="B9185">
        <v>2019</v>
      </c>
      <c r="C9185" t="s">
        <v>102</v>
      </c>
      <c r="D9185" t="s">
        <v>184</v>
      </c>
      <c r="E9185" t="s">
        <v>14</v>
      </c>
      <c r="F9185">
        <v>0.7231946587562561</v>
      </c>
    </row>
    <row r="9186" spans="2:6">
      <c r="B9186">
        <v>2019</v>
      </c>
      <c r="C9186" t="s">
        <v>102</v>
      </c>
      <c r="D9186" t="s">
        <v>184</v>
      </c>
      <c r="E9186" t="s">
        <v>15</v>
      </c>
      <c r="F9186">
        <v>0.30395966768264771</v>
      </c>
    </row>
    <row r="9187" spans="2:6">
      <c r="B9187">
        <v>2006</v>
      </c>
      <c r="C9187" t="s">
        <v>103</v>
      </c>
      <c r="D9187" t="s">
        <v>184</v>
      </c>
      <c r="E9187" t="s">
        <v>7</v>
      </c>
      <c r="F9187">
        <v>3.8298680782318115</v>
      </c>
    </row>
    <row r="9188" spans="2:6">
      <c r="B9188">
        <v>2006</v>
      </c>
      <c r="C9188" t="s">
        <v>103</v>
      </c>
      <c r="D9188" t="s">
        <v>184</v>
      </c>
      <c r="E9188" t="s">
        <v>8</v>
      </c>
      <c r="F9188">
        <v>6.678227424621582</v>
      </c>
    </row>
    <row r="9189" spans="2:6">
      <c r="B9189">
        <v>2006</v>
      </c>
      <c r="C9189" t="s">
        <v>103</v>
      </c>
      <c r="D9189" t="s">
        <v>184</v>
      </c>
      <c r="E9189" t="s">
        <v>9</v>
      </c>
      <c r="F9189">
        <v>0.55387890338897705</v>
      </c>
    </row>
    <row r="9190" spans="2:6">
      <c r="B9190">
        <v>2006</v>
      </c>
      <c r="C9190" t="s">
        <v>103</v>
      </c>
      <c r="D9190" t="s">
        <v>184</v>
      </c>
      <c r="E9190" t="s">
        <v>10</v>
      </c>
      <c r="F9190">
        <v>44.880001068115234</v>
      </c>
    </row>
    <row r="9191" spans="2:6">
      <c r="B9191">
        <v>2006</v>
      </c>
      <c r="C9191" t="s">
        <v>103</v>
      </c>
      <c r="D9191" t="s">
        <v>184</v>
      </c>
      <c r="E9191" t="s">
        <v>11</v>
      </c>
      <c r="F9191">
        <v>0.76714164018630981</v>
      </c>
    </row>
    <row r="9192" spans="2:6">
      <c r="B9192">
        <v>2006</v>
      </c>
      <c r="C9192" t="s">
        <v>103</v>
      </c>
      <c r="D9192" t="s">
        <v>184</v>
      </c>
      <c r="E9192" t="s">
        <v>12</v>
      </c>
      <c r="F9192">
        <v>0.20012067258358002</v>
      </c>
    </row>
    <row r="9193" spans="2:6">
      <c r="B9193">
        <v>2006</v>
      </c>
      <c r="C9193" t="s">
        <v>103</v>
      </c>
      <c r="D9193" t="s">
        <v>184</v>
      </c>
      <c r="E9193" t="s">
        <v>13</v>
      </c>
      <c r="F9193">
        <v>0.67643916606903076</v>
      </c>
    </row>
    <row r="9194" spans="2:6">
      <c r="B9194">
        <v>2006</v>
      </c>
      <c r="C9194" t="s">
        <v>103</v>
      </c>
      <c r="D9194" t="s">
        <v>184</v>
      </c>
      <c r="E9194" t="s">
        <v>14</v>
      </c>
      <c r="F9194">
        <v>0.67013329267501831</v>
      </c>
    </row>
    <row r="9195" spans="2:6">
      <c r="B9195">
        <v>2006</v>
      </c>
      <c r="C9195" t="s">
        <v>103</v>
      </c>
      <c r="D9195" t="s">
        <v>184</v>
      </c>
      <c r="E9195" t="s">
        <v>15</v>
      </c>
      <c r="F9195">
        <v>0.22225154936313629</v>
      </c>
    </row>
    <row r="9196" spans="2:6">
      <c r="B9196">
        <v>2007</v>
      </c>
      <c r="C9196" t="s">
        <v>103</v>
      </c>
      <c r="D9196" t="s">
        <v>184</v>
      </c>
      <c r="E9196" t="s">
        <v>7</v>
      </c>
      <c r="F9196">
        <v>4.8910365104675293</v>
      </c>
    </row>
    <row r="9197" spans="2:6">
      <c r="B9197">
        <v>2007</v>
      </c>
      <c r="C9197" t="s">
        <v>103</v>
      </c>
      <c r="D9197" t="s">
        <v>184</v>
      </c>
      <c r="E9197" t="s">
        <v>8</v>
      </c>
      <c r="F9197">
        <v>6.7419161796569824</v>
      </c>
    </row>
    <row r="9198" spans="2:6">
      <c r="B9198">
        <v>2007</v>
      </c>
      <c r="C9198" t="s">
        <v>103</v>
      </c>
      <c r="D9198" t="s">
        <v>184</v>
      </c>
      <c r="E9198" t="s">
        <v>9</v>
      </c>
      <c r="F9198">
        <v>0.60026699304580688</v>
      </c>
    </row>
    <row r="9199" spans="2:6">
      <c r="B9199">
        <v>2007</v>
      </c>
      <c r="C9199" t="s">
        <v>103</v>
      </c>
      <c r="D9199" t="s">
        <v>184</v>
      </c>
      <c r="E9199" t="s">
        <v>10</v>
      </c>
      <c r="F9199">
        <v>46.259998321533203</v>
      </c>
    </row>
    <row r="9200" spans="2:6">
      <c r="B9200">
        <v>2007</v>
      </c>
      <c r="C9200" t="s">
        <v>103</v>
      </c>
      <c r="D9200" t="s">
        <v>184</v>
      </c>
      <c r="E9200" t="s">
        <v>11</v>
      </c>
      <c r="F9200">
        <v>0.90999382734298706</v>
      </c>
    </row>
    <row r="9201" spans="2:6">
      <c r="B9201">
        <v>2007</v>
      </c>
      <c r="C9201" t="s">
        <v>103</v>
      </c>
      <c r="D9201" t="s">
        <v>184</v>
      </c>
      <c r="E9201" t="s">
        <v>12</v>
      </c>
      <c r="F9201">
        <v>0.20207644999027252</v>
      </c>
    </row>
    <row r="9202" spans="2:6">
      <c r="B9202">
        <v>2007</v>
      </c>
      <c r="C9202" t="s">
        <v>103</v>
      </c>
      <c r="D9202" t="s">
        <v>184</v>
      </c>
      <c r="E9202" t="s">
        <v>13</v>
      </c>
      <c r="F9202">
        <v>0.69130545854568481</v>
      </c>
    </row>
    <row r="9203" spans="2:6">
      <c r="B9203">
        <v>2007</v>
      </c>
      <c r="C9203" t="s">
        <v>103</v>
      </c>
      <c r="D9203" t="s">
        <v>184</v>
      </c>
      <c r="E9203" t="s">
        <v>14</v>
      </c>
      <c r="F9203">
        <v>0.72748160362243652</v>
      </c>
    </row>
    <row r="9204" spans="2:6">
      <c r="B9204">
        <v>2007</v>
      </c>
      <c r="C9204" t="s">
        <v>103</v>
      </c>
      <c r="D9204" t="s">
        <v>184</v>
      </c>
      <c r="E9204" t="s">
        <v>15</v>
      </c>
      <c r="F9204">
        <v>0.17551422119140625</v>
      </c>
    </row>
    <row r="9205" spans="2:6">
      <c r="B9205">
        <v>2009</v>
      </c>
      <c r="C9205" t="s">
        <v>103</v>
      </c>
      <c r="D9205" t="s">
        <v>184</v>
      </c>
      <c r="E9205" t="s">
        <v>7</v>
      </c>
      <c r="F9205">
        <v>5.1482396125793457</v>
      </c>
    </row>
    <row r="9206" spans="2:6">
      <c r="B9206">
        <v>2009</v>
      </c>
      <c r="C9206" t="s">
        <v>103</v>
      </c>
      <c r="D9206" t="s">
        <v>184</v>
      </c>
      <c r="E9206" t="s">
        <v>8</v>
      </c>
      <c r="F9206">
        <v>6.8382635116577148</v>
      </c>
    </row>
    <row r="9207" spans="2:6">
      <c r="B9207">
        <v>2009</v>
      </c>
      <c r="C9207" t="s">
        <v>103</v>
      </c>
      <c r="D9207" t="s">
        <v>184</v>
      </c>
      <c r="E9207" t="s">
        <v>9</v>
      </c>
      <c r="F9207">
        <v>0.71845000982284546</v>
      </c>
    </row>
    <row r="9208" spans="2:6">
      <c r="B9208">
        <v>2009</v>
      </c>
      <c r="C9208" t="s">
        <v>103</v>
      </c>
      <c r="D9208" t="s">
        <v>184</v>
      </c>
      <c r="E9208" t="s">
        <v>10</v>
      </c>
      <c r="F9208">
        <v>49.020000457763672</v>
      </c>
    </row>
    <row r="9209" spans="2:6">
      <c r="B9209">
        <v>2009</v>
      </c>
      <c r="C9209" t="s">
        <v>103</v>
      </c>
      <c r="D9209" t="s">
        <v>184</v>
      </c>
      <c r="E9209" t="s">
        <v>11</v>
      </c>
      <c r="F9209">
        <v>0.87916123867034912</v>
      </c>
    </row>
    <row r="9210" spans="2:6">
      <c r="B9210">
        <v>2009</v>
      </c>
      <c r="C9210" t="s">
        <v>103</v>
      </c>
      <c r="D9210" t="s">
        <v>184</v>
      </c>
      <c r="E9210" t="s">
        <v>12</v>
      </c>
      <c r="F9210">
        <v>0.17586563527584076</v>
      </c>
    </row>
    <row r="9211" spans="2:6">
      <c r="B9211">
        <v>2009</v>
      </c>
      <c r="C9211" t="s">
        <v>103</v>
      </c>
      <c r="D9211" t="s">
        <v>184</v>
      </c>
      <c r="E9211" t="s">
        <v>13</v>
      </c>
      <c r="F9211">
        <v>0.68892627954483032</v>
      </c>
    </row>
    <row r="9212" spans="2:6">
      <c r="B9212">
        <v>2009</v>
      </c>
      <c r="C9212" t="s">
        <v>103</v>
      </c>
      <c r="D9212" t="s">
        <v>184</v>
      </c>
      <c r="E9212" t="s">
        <v>14</v>
      </c>
      <c r="F9212">
        <v>0.7653241753578186</v>
      </c>
    </row>
    <row r="9213" spans="2:6">
      <c r="B9213">
        <v>2009</v>
      </c>
      <c r="C9213" t="s">
        <v>103</v>
      </c>
      <c r="D9213" t="s">
        <v>184</v>
      </c>
      <c r="E9213" t="s">
        <v>15</v>
      </c>
      <c r="F9213">
        <v>0.13039639592170715</v>
      </c>
    </row>
    <row r="9214" spans="2:6">
      <c r="B9214">
        <v>2011</v>
      </c>
      <c r="C9214" t="s">
        <v>103</v>
      </c>
      <c r="D9214" t="s">
        <v>184</v>
      </c>
      <c r="E9214" t="s">
        <v>7</v>
      </c>
      <c r="F9214">
        <v>3.9460625648498535</v>
      </c>
    </row>
    <row r="9215" spans="2:6">
      <c r="B9215">
        <v>2011</v>
      </c>
      <c r="C9215" t="s">
        <v>103</v>
      </c>
      <c r="D9215" t="s">
        <v>184</v>
      </c>
      <c r="E9215" t="s">
        <v>8</v>
      </c>
      <c r="F9215">
        <v>6.8947920799255371</v>
      </c>
    </row>
    <row r="9216" spans="2:6">
      <c r="B9216">
        <v>2011</v>
      </c>
      <c r="C9216" t="s">
        <v>103</v>
      </c>
      <c r="D9216" t="s">
        <v>184</v>
      </c>
      <c r="E9216" t="s">
        <v>9</v>
      </c>
      <c r="F9216">
        <v>0.61273676156997681</v>
      </c>
    </row>
    <row r="9217" spans="2:6">
      <c r="B9217">
        <v>2011</v>
      </c>
      <c r="C9217" t="s">
        <v>103</v>
      </c>
      <c r="D9217" t="s">
        <v>184</v>
      </c>
      <c r="E9217" t="s">
        <v>10</v>
      </c>
      <c r="F9217">
        <v>51.419998168945313</v>
      </c>
    </row>
    <row r="9218" spans="2:6">
      <c r="B9218">
        <v>2011</v>
      </c>
      <c r="C9218" t="s">
        <v>103</v>
      </c>
      <c r="D9218" t="s">
        <v>184</v>
      </c>
      <c r="E9218" t="s">
        <v>11</v>
      </c>
      <c r="F9218">
        <v>0.7334638237953186</v>
      </c>
    </row>
    <row r="9219" spans="2:6">
      <c r="B9219">
        <v>2011</v>
      </c>
      <c r="C9219" t="s">
        <v>103</v>
      </c>
      <c r="D9219" t="s">
        <v>184</v>
      </c>
      <c r="E9219" t="s">
        <v>12</v>
      </c>
      <c r="F9219">
        <v>9.8695442080497742E-2</v>
      </c>
    </row>
    <row r="9220" spans="2:6">
      <c r="B9220">
        <v>2011</v>
      </c>
      <c r="C9220" t="s">
        <v>103</v>
      </c>
      <c r="D9220" t="s">
        <v>184</v>
      </c>
      <c r="E9220" t="s">
        <v>13</v>
      </c>
      <c r="F9220">
        <v>0.85299420356750488</v>
      </c>
    </row>
    <row r="9221" spans="2:6">
      <c r="B9221">
        <v>2011</v>
      </c>
      <c r="C9221" t="s">
        <v>103</v>
      </c>
      <c r="D9221" t="s">
        <v>184</v>
      </c>
      <c r="E9221" t="s">
        <v>14</v>
      </c>
      <c r="F9221">
        <v>0.71275883913040161</v>
      </c>
    </row>
    <row r="9222" spans="2:6">
      <c r="B9222">
        <v>2011</v>
      </c>
      <c r="C9222" t="s">
        <v>103</v>
      </c>
      <c r="D9222" t="s">
        <v>184</v>
      </c>
      <c r="E9222" t="s">
        <v>15</v>
      </c>
      <c r="F9222">
        <v>0.26847478747367859</v>
      </c>
    </row>
    <row r="9223" spans="2:6">
      <c r="B9223">
        <v>2012</v>
      </c>
      <c r="C9223" t="s">
        <v>103</v>
      </c>
      <c r="D9223" t="s">
        <v>184</v>
      </c>
      <c r="E9223" t="s">
        <v>7</v>
      </c>
      <c r="F9223">
        <v>4.2792696952819824</v>
      </c>
    </row>
    <row r="9224" spans="2:6">
      <c r="B9224">
        <v>2012</v>
      </c>
      <c r="C9224" t="s">
        <v>103</v>
      </c>
      <c r="D9224" t="s">
        <v>184</v>
      </c>
      <c r="E9224" t="s">
        <v>8</v>
      </c>
      <c r="F9224">
        <v>6.8848876953125</v>
      </c>
    </row>
    <row r="9225" spans="2:6">
      <c r="B9225">
        <v>2012</v>
      </c>
      <c r="C9225" t="s">
        <v>103</v>
      </c>
      <c r="D9225" t="s">
        <v>184</v>
      </c>
      <c r="E9225" t="s">
        <v>9</v>
      </c>
      <c r="F9225">
        <v>0.60372567176818848</v>
      </c>
    </row>
    <row r="9226" spans="2:6">
      <c r="B9226">
        <v>2012</v>
      </c>
      <c r="C9226" t="s">
        <v>103</v>
      </c>
      <c r="D9226" t="s">
        <v>184</v>
      </c>
      <c r="E9226" t="s">
        <v>10</v>
      </c>
      <c r="F9226">
        <v>52.439998626708984</v>
      </c>
    </row>
    <row r="9227" spans="2:6">
      <c r="B9227">
        <v>2012</v>
      </c>
      <c r="C9227" t="s">
        <v>103</v>
      </c>
      <c r="D9227" t="s">
        <v>184</v>
      </c>
      <c r="E9227" t="s">
        <v>11</v>
      </c>
      <c r="F9227">
        <v>0.63736271858215332</v>
      </c>
    </row>
    <row r="9228" spans="2:6">
      <c r="B9228">
        <v>2012</v>
      </c>
      <c r="C9228" t="s">
        <v>103</v>
      </c>
      <c r="D9228" t="s">
        <v>184</v>
      </c>
      <c r="E9228" t="s">
        <v>12</v>
      </c>
      <c r="F9228">
        <v>0.16919554769992828</v>
      </c>
    </row>
    <row r="9229" spans="2:6">
      <c r="B9229">
        <v>2012</v>
      </c>
      <c r="C9229" t="s">
        <v>103</v>
      </c>
      <c r="D9229" t="s">
        <v>184</v>
      </c>
      <c r="E9229" t="s">
        <v>13</v>
      </c>
      <c r="F9229">
        <v>0.88578498363494873</v>
      </c>
    </row>
    <row r="9230" spans="2:6">
      <c r="B9230">
        <v>2012</v>
      </c>
      <c r="C9230" t="s">
        <v>103</v>
      </c>
      <c r="D9230" t="s">
        <v>184</v>
      </c>
      <c r="E9230" t="s">
        <v>14</v>
      </c>
      <c r="F9230">
        <v>0.8156164288520813</v>
      </c>
    </row>
    <row r="9231" spans="2:6">
      <c r="B9231">
        <v>2012</v>
      </c>
      <c r="C9231" t="s">
        <v>103</v>
      </c>
      <c r="D9231" t="s">
        <v>184</v>
      </c>
      <c r="E9231" t="s">
        <v>15</v>
      </c>
      <c r="F9231">
        <v>0.20046292245388031</v>
      </c>
    </row>
    <row r="9232" spans="2:6">
      <c r="B9232">
        <v>2013</v>
      </c>
      <c r="C9232" t="s">
        <v>103</v>
      </c>
      <c r="D9232" t="s">
        <v>184</v>
      </c>
      <c r="E9232" t="s">
        <v>7</v>
      </c>
      <c r="F9232">
        <v>4.0350842475891113</v>
      </c>
    </row>
    <row r="9233" spans="2:6">
      <c r="B9233">
        <v>2013</v>
      </c>
      <c r="C9233" t="s">
        <v>103</v>
      </c>
      <c r="D9233" t="s">
        <v>184</v>
      </c>
      <c r="E9233" t="s">
        <v>8</v>
      </c>
      <c r="F9233">
        <v>6.9071965217590332</v>
      </c>
    </row>
    <row r="9234" spans="2:6">
      <c r="B9234">
        <v>2013</v>
      </c>
      <c r="C9234" t="s">
        <v>103</v>
      </c>
      <c r="D9234" t="s">
        <v>184</v>
      </c>
      <c r="E9234" t="s">
        <v>9</v>
      </c>
      <c r="F9234">
        <v>0.56316155195236206</v>
      </c>
    </row>
    <row r="9235" spans="2:6">
      <c r="B9235">
        <v>2013</v>
      </c>
      <c r="C9235" t="s">
        <v>103</v>
      </c>
      <c r="D9235" t="s">
        <v>184</v>
      </c>
      <c r="E9235" t="s">
        <v>10</v>
      </c>
      <c r="F9235">
        <v>53.459999084472656</v>
      </c>
    </row>
    <row r="9236" spans="2:6">
      <c r="B9236">
        <v>2013</v>
      </c>
      <c r="C9236" t="s">
        <v>103</v>
      </c>
      <c r="D9236" t="s">
        <v>184</v>
      </c>
      <c r="E9236" t="s">
        <v>11</v>
      </c>
      <c r="F9236">
        <v>0.7519952654838562</v>
      </c>
    </row>
    <row r="9237" spans="2:6">
      <c r="B9237">
        <v>2013</v>
      </c>
      <c r="C9237" t="s">
        <v>103</v>
      </c>
      <c r="D9237" t="s">
        <v>184</v>
      </c>
      <c r="E9237" t="s">
        <v>12</v>
      </c>
      <c r="F9237">
        <v>7.8464671969413757E-2</v>
      </c>
    </row>
    <row r="9238" spans="2:6">
      <c r="B9238">
        <v>2013</v>
      </c>
      <c r="C9238" t="s">
        <v>103</v>
      </c>
      <c r="D9238" t="s">
        <v>184</v>
      </c>
      <c r="E9238" t="s">
        <v>13</v>
      </c>
      <c r="F9238">
        <v>0.85666608810424805</v>
      </c>
    </row>
    <row r="9239" spans="2:6">
      <c r="B9239">
        <v>2013</v>
      </c>
      <c r="C9239" t="s">
        <v>103</v>
      </c>
      <c r="D9239" t="s">
        <v>184</v>
      </c>
      <c r="E9239" t="s">
        <v>14</v>
      </c>
      <c r="F9239">
        <v>0.80845743417739868</v>
      </c>
    </row>
    <row r="9240" spans="2:6">
      <c r="B9240">
        <v>2013</v>
      </c>
      <c r="C9240" t="s">
        <v>103</v>
      </c>
      <c r="D9240" t="s">
        <v>184</v>
      </c>
      <c r="E9240" t="s">
        <v>15</v>
      </c>
      <c r="F9240">
        <v>0.24782867729663849</v>
      </c>
    </row>
    <row r="9241" spans="2:6">
      <c r="B9241">
        <v>2014</v>
      </c>
      <c r="C9241" t="s">
        <v>103</v>
      </c>
      <c r="D9241" t="s">
        <v>184</v>
      </c>
      <c r="E9241" t="s">
        <v>7</v>
      </c>
      <c r="F9241">
        <v>4.5630803108215332</v>
      </c>
    </row>
    <row r="9242" spans="2:6">
      <c r="B9242">
        <v>2014</v>
      </c>
      <c r="C9242" t="s">
        <v>103</v>
      </c>
      <c r="D9242" t="s">
        <v>184</v>
      </c>
      <c r="E9242" t="s">
        <v>8</v>
      </c>
      <c r="F9242">
        <v>6.9346003532409668</v>
      </c>
    </row>
    <row r="9243" spans="2:6">
      <c r="B9243">
        <v>2014</v>
      </c>
      <c r="C9243" t="s">
        <v>103</v>
      </c>
      <c r="D9243" t="s">
        <v>184</v>
      </c>
      <c r="E9243" t="s">
        <v>9</v>
      </c>
      <c r="F9243">
        <v>0.51161611080169678</v>
      </c>
    </row>
    <row r="9244" spans="2:6">
      <c r="B9244">
        <v>2014</v>
      </c>
      <c r="C9244" t="s">
        <v>103</v>
      </c>
      <c r="D9244" t="s">
        <v>184</v>
      </c>
      <c r="E9244" t="s">
        <v>10</v>
      </c>
      <c r="F9244">
        <v>54.479999542236328</v>
      </c>
    </row>
    <row r="9245" spans="2:6">
      <c r="B9245">
        <v>2014</v>
      </c>
      <c r="C9245" t="s">
        <v>103</v>
      </c>
      <c r="D9245" t="s">
        <v>184</v>
      </c>
      <c r="E9245" t="s">
        <v>11</v>
      </c>
      <c r="F9245">
        <v>0.78576672077178955</v>
      </c>
    </row>
    <row r="9246" spans="2:6">
      <c r="B9246">
        <v>2014</v>
      </c>
      <c r="C9246" t="s">
        <v>103</v>
      </c>
      <c r="D9246" t="s">
        <v>184</v>
      </c>
      <c r="E9246" t="s">
        <v>12</v>
      </c>
      <c r="F9246">
        <v>6.1088211834430695E-2</v>
      </c>
    </row>
    <row r="9247" spans="2:6">
      <c r="B9247">
        <v>2014</v>
      </c>
      <c r="C9247" t="s">
        <v>103</v>
      </c>
      <c r="D9247" t="s">
        <v>184</v>
      </c>
      <c r="E9247" t="s">
        <v>13</v>
      </c>
      <c r="F9247">
        <v>0.82401788234710693</v>
      </c>
    </row>
    <row r="9248" spans="2:6">
      <c r="B9248">
        <v>2014</v>
      </c>
      <c r="C9248" t="s">
        <v>103</v>
      </c>
      <c r="D9248" t="s">
        <v>184</v>
      </c>
      <c r="E9248" t="s">
        <v>14</v>
      </c>
      <c r="F9248">
        <v>0.70374506711959839</v>
      </c>
    </row>
    <row r="9249" spans="2:6">
      <c r="B9249">
        <v>2014</v>
      </c>
      <c r="C9249" t="s">
        <v>103</v>
      </c>
      <c r="D9249" t="s">
        <v>184</v>
      </c>
      <c r="E9249" t="s">
        <v>15</v>
      </c>
      <c r="F9249">
        <v>0.26271340250968933</v>
      </c>
    </row>
    <row r="9250" spans="2:6">
      <c r="B9250">
        <v>2015</v>
      </c>
      <c r="C9250" t="s">
        <v>103</v>
      </c>
      <c r="D9250" t="s">
        <v>184</v>
      </c>
      <c r="E9250" t="s">
        <v>7</v>
      </c>
      <c r="F9250">
        <v>3.8676383495330811</v>
      </c>
    </row>
    <row r="9251" spans="2:6">
      <c r="B9251">
        <v>2015</v>
      </c>
      <c r="C9251" t="s">
        <v>103</v>
      </c>
      <c r="D9251" t="s">
        <v>184</v>
      </c>
      <c r="E9251" t="s">
        <v>8</v>
      </c>
      <c r="F9251">
        <v>6.9346208572387695</v>
      </c>
    </row>
    <row r="9252" spans="2:6">
      <c r="B9252">
        <v>2015</v>
      </c>
      <c r="C9252" t="s">
        <v>103</v>
      </c>
      <c r="D9252" t="s">
        <v>184</v>
      </c>
      <c r="E9252" t="s">
        <v>9</v>
      </c>
      <c r="F9252">
        <v>0.49438163638114929</v>
      </c>
    </row>
    <row r="9253" spans="2:6">
      <c r="B9253">
        <v>2015</v>
      </c>
      <c r="C9253" t="s">
        <v>103</v>
      </c>
      <c r="D9253" t="s">
        <v>184</v>
      </c>
      <c r="E9253" t="s">
        <v>10</v>
      </c>
      <c r="F9253">
        <v>55.5</v>
      </c>
    </row>
    <row r="9254" spans="2:6">
      <c r="B9254">
        <v>2015</v>
      </c>
      <c r="C9254" t="s">
        <v>103</v>
      </c>
      <c r="D9254" t="s">
        <v>184</v>
      </c>
      <c r="E9254" t="s">
        <v>11</v>
      </c>
      <c r="F9254">
        <v>0.80139070749282837</v>
      </c>
    </row>
    <row r="9255" spans="2:6">
      <c r="B9255">
        <v>2015</v>
      </c>
      <c r="C9255" t="s">
        <v>103</v>
      </c>
      <c r="D9255" t="s">
        <v>184</v>
      </c>
      <c r="E9255" t="s">
        <v>12</v>
      </c>
      <c r="F9255">
        <v>5.8068055659532547E-2</v>
      </c>
    </row>
    <row r="9256" spans="2:6">
      <c r="B9256">
        <v>2015</v>
      </c>
      <c r="C9256" t="s">
        <v>103</v>
      </c>
      <c r="D9256" t="s">
        <v>184</v>
      </c>
      <c r="E9256" t="s">
        <v>13</v>
      </c>
      <c r="F9256">
        <v>0.83482539653778076</v>
      </c>
    </row>
    <row r="9257" spans="2:6">
      <c r="B9257">
        <v>2015</v>
      </c>
      <c r="C9257" t="s">
        <v>103</v>
      </c>
      <c r="D9257" t="s">
        <v>184</v>
      </c>
      <c r="E9257" t="s">
        <v>14</v>
      </c>
      <c r="F9257">
        <v>0.63262128829956055</v>
      </c>
    </row>
    <row r="9258" spans="2:6">
      <c r="B9258">
        <v>2015</v>
      </c>
      <c r="C9258" t="s">
        <v>103</v>
      </c>
      <c r="D9258" t="s">
        <v>184</v>
      </c>
      <c r="E9258" t="s">
        <v>15</v>
      </c>
      <c r="F9258">
        <v>0.25976395606994629</v>
      </c>
    </row>
    <row r="9259" spans="2:6">
      <c r="B9259">
        <v>2016</v>
      </c>
      <c r="C9259" t="s">
        <v>103</v>
      </c>
      <c r="D9259" t="s">
        <v>184</v>
      </c>
      <c r="E9259" t="s">
        <v>7</v>
      </c>
      <c r="F9259">
        <v>3.4764926433563232</v>
      </c>
    </row>
    <row r="9260" spans="2:6">
      <c r="B9260">
        <v>2016</v>
      </c>
      <c r="C9260" t="s">
        <v>103</v>
      </c>
      <c r="D9260" t="s">
        <v>184</v>
      </c>
      <c r="E9260" t="s">
        <v>8</v>
      </c>
      <c r="F9260">
        <v>6.9320588111877441</v>
      </c>
    </row>
    <row r="9261" spans="2:6">
      <c r="B9261">
        <v>2016</v>
      </c>
      <c r="C9261" t="s">
        <v>103</v>
      </c>
      <c r="D9261" t="s">
        <v>184</v>
      </c>
      <c r="E9261" t="s">
        <v>9</v>
      </c>
      <c r="F9261">
        <v>0.52429962158203125</v>
      </c>
    </row>
    <row r="9262" spans="2:6">
      <c r="B9262">
        <v>2016</v>
      </c>
      <c r="C9262" t="s">
        <v>103</v>
      </c>
      <c r="D9262" t="s">
        <v>184</v>
      </c>
      <c r="E9262" t="s">
        <v>10</v>
      </c>
      <c r="F9262">
        <v>56.200000762939453</v>
      </c>
    </row>
    <row r="9263" spans="2:6">
      <c r="B9263">
        <v>2016</v>
      </c>
      <c r="C9263" t="s">
        <v>103</v>
      </c>
      <c r="D9263" t="s">
        <v>184</v>
      </c>
      <c r="E9263" t="s">
        <v>11</v>
      </c>
      <c r="F9263">
        <v>0.80988413095474243</v>
      </c>
    </row>
    <row r="9264" spans="2:6">
      <c r="B9264">
        <v>2016</v>
      </c>
      <c r="C9264" t="s">
        <v>103</v>
      </c>
      <c r="D9264" t="s">
        <v>184</v>
      </c>
      <c r="E9264" t="s">
        <v>12</v>
      </c>
      <c r="F9264">
        <v>6.585712730884552E-2</v>
      </c>
    </row>
    <row r="9265" spans="2:6">
      <c r="B9265">
        <v>2016</v>
      </c>
      <c r="C9265" t="s">
        <v>103</v>
      </c>
      <c r="D9265" t="s">
        <v>184</v>
      </c>
      <c r="E9265" t="s">
        <v>13</v>
      </c>
      <c r="F9265">
        <v>0.82361501455307007</v>
      </c>
    </row>
    <row r="9266" spans="2:6">
      <c r="B9266">
        <v>2016</v>
      </c>
      <c r="C9266" t="s">
        <v>103</v>
      </c>
      <c r="D9266" t="s">
        <v>184</v>
      </c>
      <c r="E9266" t="s">
        <v>14</v>
      </c>
      <c r="F9266">
        <v>0.60310459136962891</v>
      </c>
    </row>
    <row r="9267" spans="2:6">
      <c r="B9267">
        <v>2016</v>
      </c>
      <c r="C9267" t="s">
        <v>103</v>
      </c>
      <c r="D9267" t="s">
        <v>184</v>
      </c>
      <c r="E9267" t="s">
        <v>15</v>
      </c>
      <c r="F9267">
        <v>0.32473891973495483</v>
      </c>
    </row>
    <row r="9268" spans="2:6">
      <c r="B9268">
        <v>2017</v>
      </c>
      <c r="C9268" t="s">
        <v>103</v>
      </c>
      <c r="D9268" t="s">
        <v>184</v>
      </c>
      <c r="E9268" t="s">
        <v>7</v>
      </c>
      <c r="F9268">
        <v>3.416862964630127</v>
      </c>
    </row>
    <row r="9269" spans="2:6">
      <c r="B9269">
        <v>2017</v>
      </c>
      <c r="C9269" t="s">
        <v>103</v>
      </c>
      <c r="D9269" t="s">
        <v>184</v>
      </c>
      <c r="E9269" t="s">
        <v>8</v>
      </c>
      <c r="F9269">
        <v>6.9446134567260742</v>
      </c>
    </row>
    <row r="9270" spans="2:6">
      <c r="B9270">
        <v>2017</v>
      </c>
      <c r="C9270" t="s">
        <v>103</v>
      </c>
      <c r="D9270" t="s">
        <v>184</v>
      </c>
      <c r="E9270" t="s">
        <v>9</v>
      </c>
      <c r="F9270">
        <v>0.55542272329330444</v>
      </c>
    </row>
    <row r="9271" spans="2:6">
      <c r="B9271">
        <v>2017</v>
      </c>
      <c r="C9271" t="s">
        <v>103</v>
      </c>
      <c r="D9271" t="s">
        <v>184</v>
      </c>
      <c r="E9271" t="s">
        <v>10</v>
      </c>
      <c r="F9271">
        <v>56.900001525878906</v>
      </c>
    </row>
    <row r="9272" spans="2:6">
      <c r="B9272">
        <v>2017</v>
      </c>
      <c r="C9272" t="s">
        <v>103</v>
      </c>
      <c r="D9272" t="s">
        <v>184</v>
      </c>
      <c r="E9272" t="s">
        <v>11</v>
      </c>
      <c r="F9272">
        <v>0.84792077541351318</v>
      </c>
    </row>
    <row r="9273" spans="2:6">
      <c r="B9273">
        <v>2017</v>
      </c>
      <c r="C9273" t="s">
        <v>103</v>
      </c>
      <c r="D9273" t="s">
        <v>184</v>
      </c>
      <c r="E9273" t="s">
        <v>12</v>
      </c>
      <c r="F9273">
        <v>2.4891756474971771E-2</v>
      </c>
    </row>
    <row r="9274" spans="2:6">
      <c r="B9274">
        <v>2017</v>
      </c>
      <c r="C9274" t="s">
        <v>103</v>
      </c>
      <c r="D9274" t="s">
        <v>184</v>
      </c>
      <c r="E9274" t="s">
        <v>13</v>
      </c>
      <c r="F9274">
        <v>0.73463660478591919</v>
      </c>
    </row>
    <row r="9275" spans="2:6">
      <c r="B9275">
        <v>2017</v>
      </c>
      <c r="C9275" t="s">
        <v>103</v>
      </c>
      <c r="D9275" t="s">
        <v>184</v>
      </c>
      <c r="E9275" t="s">
        <v>14</v>
      </c>
      <c r="F9275">
        <v>0.60866653919219971</v>
      </c>
    </row>
    <row r="9276" spans="2:6">
      <c r="B9276">
        <v>2017</v>
      </c>
      <c r="C9276" t="s">
        <v>103</v>
      </c>
      <c r="D9276" t="s">
        <v>184</v>
      </c>
      <c r="E9276" t="s">
        <v>15</v>
      </c>
      <c r="F9276">
        <v>0.31208834052085876</v>
      </c>
    </row>
    <row r="9277" spans="2:6">
      <c r="B9277">
        <v>2018</v>
      </c>
      <c r="C9277" t="s">
        <v>103</v>
      </c>
      <c r="D9277" t="s">
        <v>184</v>
      </c>
      <c r="E9277" t="s">
        <v>7</v>
      </c>
      <c r="F9277">
        <v>3.3346335887908936</v>
      </c>
    </row>
    <row r="9278" spans="2:6">
      <c r="B9278">
        <v>2018</v>
      </c>
      <c r="C9278" t="s">
        <v>103</v>
      </c>
      <c r="D9278" t="s">
        <v>184</v>
      </c>
      <c r="E9278" t="s">
        <v>8</v>
      </c>
      <c r="F9278">
        <v>6.9494023323059082</v>
      </c>
    </row>
    <row r="9279" spans="2:6">
      <c r="B9279">
        <v>2018</v>
      </c>
      <c r="C9279" t="s">
        <v>103</v>
      </c>
      <c r="D9279" t="s">
        <v>184</v>
      </c>
      <c r="E9279" t="s">
        <v>9</v>
      </c>
      <c r="F9279">
        <v>0.52784347534179688</v>
      </c>
    </row>
    <row r="9280" spans="2:6">
      <c r="B9280">
        <v>2018</v>
      </c>
      <c r="C9280" t="s">
        <v>103</v>
      </c>
      <c r="D9280" t="s">
        <v>184</v>
      </c>
      <c r="E9280" t="s">
        <v>10</v>
      </c>
      <c r="F9280">
        <v>57.599998474121094</v>
      </c>
    </row>
    <row r="9281" spans="2:6">
      <c r="B9281">
        <v>2018</v>
      </c>
      <c r="C9281" t="s">
        <v>103</v>
      </c>
      <c r="D9281" t="s">
        <v>184</v>
      </c>
      <c r="E9281" t="s">
        <v>11</v>
      </c>
      <c r="F9281">
        <v>0.79891514778137207</v>
      </c>
    </row>
    <row r="9282" spans="2:6">
      <c r="B9282">
        <v>2018</v>
      </c>
      <c r="C9282" t="s">
        <v>103</v>
      </c>
      <c r="D9282" t="s">
        <v>184</v>
      </c>
      <c r="E9282" t="s">
        <v>12</v>
      </c>
      <c r="F9282">
        <v>7.2719626128673553E-2</v>
      </c>
    </row>
    <row r="9283" spans="2:6">
      <c r="B9283">
        <v>2018</v>
      </c>
      <c r="C9283" t="s">
        <v>103</v>
      </c>
      <c r="D9283" t="s">
        <v>184</v>
      </c>
      <c r="E9283" t="s">
        <v>13</v>
      </c>
      <c r="F9283">
        <v>0.76596379280090332</v>
      </c>
    </row>
    <row r="9284" spans="2:6">
      <c r="B9284">
        <v>2018</v>
      </c>
      <c r="C9284" t="s">
        <v>103</v>
      </c>
      <c r="D9284" t="s">
        <v>184</v>
      </c>
      <c r="E9284" t="s">
        <v>14</v>
      </c>
      <c r="F9284">
        <v>0.58630043268203735</v>
      </c>
    </row>
    <row r="9285" spans="2:6">
      <c r="B9285">
        <v>2018</v>
      </c>
      <c r="C9285" t="s">
        <v>103</v>
      </c>
      <c r="D9285" t="s">
        <v>184</v>
      </c>
      <c r="E9285" t="s">
        <v>15</v>
      </c>
      <c r="F9285">
        <v>0.36489403247833252</v>
      </c>
    </row>
    <row r="9286" spans="2:6">
      <c r="B9286">
        <v>2019</v>
      </c>
      <c r="C9286" t="s">
        <v>103</v>
      </c>
      <c r="D9286" t="s">
        <v>184</v>
      </c>
      <c r="E9286" t="s">
        <v>7</v>
      </c>
      <c r="F9286">
        <v>3.8691236972808838</v>
      </c>
    </row>
    <row r="9287" spans="2:6">
      <c r="B9287">
        <v>2019</v>
      </c>
      <c r="C9287" t="s">
        <v>103</v>
      </c>
      <c r="D9287" t="s">
        <v>184</v>
      </c>
      <c r="E9287" t="s">
        <v>8</v>
      </c>
      <c r="F9287">
        <v>6.9657630920410156</v>
      </c>
    </row>
    <row r="9288" spans="2:6">
      <c r="B9288">
        <v>2019</v>
      </c>
      <c r="C9288" t="s">
        <v>103</v>
      </c>
      <c r="D9288" t="s">
        <v>184</v>
      </c>
      <c r="E9288" t="s">
        <v>9</v>
      </c>
      <c r="F9288">
        <v>0.54895609617233276</v>
      </c>
    </row>
    <row r="9289" spans="2:6">
      <c r="B9289">
        <v>2019</v>
      </c>
      <c r="C9289" t="s">
        <v>103</v>
      </c>
      <c r="D9289" t="s">
        <v>184</v>
      </c>
      <c r="E9289" t="s">
        <v>10</v>
      </c>
      <c r="F9289">
        <v>58.299999237060547</v>
      </c>
    </row>
    <row r="9290" spans="2:6">
      <c r="B9290">
        <v>2019</v>
      </c>
      <c r="C9290" t="s">
        <v>103</v>
      </c>
      <c r="D9290" t="s">
        <v>184</v>
      </c>
      <c r="E9290" t="s">
        <v>11</v>
      </c>
      <c r="F9290">
        <v>0.76486420631408691</v>
      </c>
    </row>
    <row r="9291" spans="2:6">
      <c r="B9291">
        <v>2019</v>
      </c>
      <c r="C9291" t="s">
        <v>103</v>
      </c>
      <c r="D9291" t="s">
        <v>184</v>
      </c>
      <c r="E9291" t="s">
        <v>12</v>
      </c>
      <c r="F9291">
        <v>3.5968194715678692E-3</v>
      </c>
    </row>
    <row r="9292" spans="2:6">
      <c r="B9292">
        <v>2019</v>
      </c>
      <c r="C9292" t="s">
        <v>103</v>
      </c>
      <c r="D9292" t="s">
        <v>184</v>
      </c>
      <c r="E9292" t="s">
        <v>13</v>
      </c>
      <c r="F9292">
        <v>0.680247962474823</v>
      </c>
    </row>
    <row r="9293" spans="2:6">
      <c r="B9293">
        <v>2019</v>
      </c>
      <c r="C9293" t="s">
        <v>103</v>
      </c>
      <c r="D9293" t="s">
        <v>184</v>
      </c>
      <c r="E9293" t="s">
        <v>14</v>
      </c>
      <c r="F9293">
        <v>0.53669703006744385</v>
      </c>
    </row>
    <row r="9294" spans="2:6">
      <c r="B9294">
        <v>2019</v>
      </c>
      <c r="C9294" t="s">
        <v>103</v>
      </c>
      <c r="D9294" t="s">
        <v>184</v>
      </c>
      <c r="E9294" t="s">
        <v>15</v>
      </c>
      <c r="F9294">
        <v>0.348162442445755</v>
      </c>
    </row>
    <row r="9295" spans="2:6">
      <c r="B9295">
        <v>2006</v>
      </c>
      <c r="C9295" t="s">
        <v>104</v>
      </c>
      <c r="D9295" t="s">
        <v>182</v>
      </c>
      <c r="E9295" t="s">
        <v>7</v>
      </c>
      <c r="F9295">
        <v>6.0117168426513672</v>
      </c>
    </row>
    <row r="9296" spans="2:6">
      <c r="B9296">
        <v>2006</v>
      </c>
      <c r="C9296" t="s">
        <v>104</v>
      </c>
      <c r="D9296" t="s">
        <v>182</v>
      </c>
      <c r="E9296" t="s">
        <v>8</v>
      </c>
      <c r="F9296">
        <v>9.8392724990844727</v>
      </c>
    </row>
    <row r="9297" spans="2:6">
      <c r="B9297">
        <v>2006</v>
      </c>
      <c r="C9297" t="s">
        <v>104</v>
      </c>
      <c r="D9297" t="s">
        <v>182</v>
      </c>
      <c r="E9297" t="s">
        <v>9</v>
      </c>
      <c r="F9297">
        <v>0.86589980125427246</v>
      </c>
    </row>
    <row r="9298" spans="2:6">
      <c r="B9298">
        <v>2006</v>
      </c>
      <c r="C9298" t="s">
        <v>104</v>
      </c>
      <c r="D9298" t="s">
        <v>182</v>
      </c>
      <c r="E9298" t="s">
        <v>10</v>
      </c>
      <c r="F9298">
        <v>64.959999084472656</v>
      </c>
    </row>
    <row r="9299" spans="2:6">
      <c r="B9299">
        <v>2006</v>
      </c>
      <c r="C9299" t="s">
        <v>104</v>
      </c>
      <c r="D9299" t="s">
        <v>182</v>
      </c>
      <c r="E9299" t="s">
        <v>11</v>
      </c>
      <c r="F9299">
        <v>0.83676576614379883</v>
      </c>
    </row>
    <row r="9300" spans="2:6">
      <c r="B9300">
        <v>2006</v>
      </c>
      <c r="C9300" t="s">
        <v>104</v>
      </c>
      <c r="D9300" t="s">
        <v>182</v>
      </c>
      <c r="E9300" t="s">
        <v>12</v>
      </c>
      <c r="F9300">
        <v>0.20114026963710785</v>
      </c>
    </row>
    <row r="9301" spans="2:6">
      <c r="B9301">
        <v>2006</v>
      </c>
      <c r="C9301" t="s">
        <v>104</v>
      </c>
      <c r="D9301" t="s">
        <v>182</v>
      </c>
      <c r="E9301" t="s">
        <v>13</v>
      </c>
      <c r="F9301">
        <v>0.73979723453521729</v>
      </c>
    </row>
    <row r="9302" spans="2:6">
      <c r="B9302">
        <v>2006</v>
      </c>
      <c r="C9302" t="s">
        <v>104</v>
      </c>
      <c r="D9302" t="s">
        <v>182</v>
      </c>
      <c r="E9302" t="s">
        <v>14</v>
      </c>
      <c r="F9302">
        <v>0.75024253129959106</v>
      </c>
    </row>
    <row r="9303" spans="2:6">
      <c r="B9303">
        <v>2006</v>
      </c>
      <c r="C9303" t="s">
        <v>104</v>
      </c>
      <c r="D9303" t="s">
        <v>182</v>
      </c>
      <c r="E9303" t="s">
        <v>15</v>
      </c>
      <c r="F9303">
        <v>0.24282456934452057</v>
      </c>
    </row>
    <row r="9304" spans="2:6">
      <c r="B9304">
        <v>2007</v>
      </c>
      <c r="C9304" t="s">
        <v>104</v>
      </c>
      <c r="D9304" t="s">
        <v>182</v>
      </c>
      <c r="E9304" t="s">
        <v>7</v>
      </c>
      <c r="F9304">
        <v>6.2389044761657715</v>
      </c>
    </row>
    <row r="9305" spans="2:6">
      <c r="B9305">
        <v>2007</v>
      </c>
      <c r="C9305" t="s">
        <v>104</v>
      </c>
      <c r="D9305" t="s">
        <v>182</v>
      </c>
      <c r="E9305" t="s">
        <v>8</v>
      </c>
      <c r="F9305">
        <v>9.8807649612426758</v>
      </c>
    </row>
    <row r="9306" spans="2:6">
      <c r="B9306">
        <v>2007</v>
      </c>
      <c r="C9306" t="s">
        <v>104</v>
      </c>
      <c r="D9306" t="s">
        <v>182</v>
      </c>
      <c r="E9306" t="s">
        <v>9</v>
      </c>
      <c r="F9306">
        <v>0.87149709463119507</v>
      </c>
    </row>
    <row r="9307" spans="2:6">
      <c r="B9307">
        <v>2007</v>
      </c>
      <c r="C9307" t="s">
        <v>104</v>
      </c>
      <c r="D9307" t="s">
        <v>182</v>
      </c>
      <c r="E9307" t="s">
        <v>10</v>
      </c>
      <c r="F9307">
        <v>65.120002746582031</v>
      </c>
    </row>
    <row r="9308" spans="2:6">
      <c r="B9308">
        <v>2007</v>
      </c>
      <c r="C9308" t="s">
        <v>104</v>
      </c>
      <c r="D9308" t="s">
        <v>182</v>
      </c>
      <c r="E9308" t="s">
        <v>11</v>
      </c>
      <c r="F9308">
        <v>0.84362763166427612</v>
      </c>
    </row>
    <row r="9309" spans="2:6">
      <c r="B9309">
        <v>2007</v>
      </c>
      <c r="C9309" t="s">
        <v>104</v>
      </c>
      <c r="D9309" t="s">
        <v>182</v>
      </c>
      <c r="E9309" t="s">
        <v>12</v>
      </c>
      <c r="F9309">
        <v>8.9405827224254608E-2</v>
      </c>
    </row>
    <row r="9310" spans="2:6">
      <c r="B9310">
        <v>2007</v>
      </c>
      <c r="C9310" t="s">
        <v>104</v>
      </c>
      <c r="D9310" t="s">
        <v>182</v>
      </c>
      <c r="E9310" t="s">
        <v>13</v>
      </c>
      <c r="F9310">
        <v>0.79905205965042114</v>
      </c>
    </row>
    <row r="9311" spans="2:6">
      <c r="B9311">
        <v>2007</v>
      </c>
      <c r="C9311" t="s">
        <v>104</v>
      </c>
      <c r="D9311" t="s">
        <v>182</v>
      </c>
      <c r="E9311" t="s">
        <v>14</v>
      </c>
      <c r="F9311">
        <v>0.77507197856903076</v>
      </c>
    </row>
    <row r="9312" spans="2:6">
      <c r="B9312">
        <v>2007</v>
      </c>
      <c r="C9312" t="s">
        <v>104</v>
      </c>
      <c r="D9312" t="s">
        <v>182</v>
      </c>
      <c r="E9312" t="s">
        <v>15</v>
      </c>
      <c r="F9312">
        <v>0.16226157546043396</v>
      </c>
    </row>
    <row r="9313" spans="2:6">
      <c r="B9313">
        <v>2008</v>
      </c>
      <c r="C9313" t="s">
        <v>104</v>
      </c>
      <c r="D9313" t="s">
        <v>182</v>
      </c>
      <c r="E9313" t="s">
        <v>7</v>
      </c>
      <c r="F9313">
        <v>5.8067817687988281</v>
      </c>
    </row>
    <row r="9314" spans="2:6">
      <c r="B9314">
        <v>2008</v>
      </c>
      <c r="C9314" t="s">
        <v>104</v>
      </c>
      <c r="D9314" t="s">
        <v>182</v>
      </c>
      <c r="E9314" t="s">
        <v>8</v>
      </c>
      <c r="F9314">
        <v>9.9088373184204102</v>
      </c>
    </row>
    <row r="9315" spans="2:6">
      <c r="B9315">
        <v>2008</v>
      </c>
      <c r="C9315" t="s">
        <v>104</v>
      </c>
      <c r="D9315" t="s">
        <v>182</v>
      </c>
      <c r="E9315" t="s">
        <v>9</v>
      </c>
      <c r="F9315">
        <v>0.8028113842010498</v>
      </c>
    </row>
    <row r="9316" spans="2:6">
      <c r="B9316">
        <v>2008</v>
      </c>
      <c r="C9316" t="s">
        <v>104</v>
      </c>
      <c r="D9316" t="s">
        <v>182</v>
      </c>
      <c r="E9316" t="s">
        <v>10</v>
      </c>
      <c r="F9316">
        <v>65.279998779296875</v>
      </c>
    </row>
    <row r="9317" spans="2:6">
      <c r="B9317">
        <v>2008</v>
      </c>
      <c r="C9317" t="s">
        <v>104</v>
      </c>
      <c r="D9317" t="s">
        <v>182</v>
      </c>
      <c r="E9317" t="s">
        <v>11</v>
      </c>
      <c r="F9317">
        <v>0.77956598997116089</v>
      </c>
    </row>
    <row r="9318" spans="2:6">
      <c r="B9318">
        <v>2008</v>
      </c>
      <c r="C9318" t="s">
        <v>104</v>
      </c>
      <c r="D9318" t="s">
        <v>182</v>
      </c>
      <c r="E9318" t="s">
        <v>12</v>
      </c>
      <c r="F9318">
        <v>4.4362157583236694E-2</v>
      </c>
    </row>
    <row r="9319" spans="2:6">
      <c r="B9319">
        <v>2008</v>
      </c>
      <c r="C9319" t="s">
        <v>104</v>
      </c>
      <c r="D9319" t="s">
        <v>182</v>
      </c>
      <c r="E9319" t="s">
        <v>13</v>
      </c>
      <c r="F9319">
        <v>0.88376551866531372</v>
      </c>
    </row>
    <row r="9320" spans="2:6">
      <c r="B9320">
        <v>2008</v>
      </c>
      <c r="C9320" t="s">
        <v>104</v>
      </c>
      <c r="D9320" t="s">
        <v>182</v>
      </c>
      <c r="E9320" t="s">
        <v>14</v>
      </c>
      <c r="F9320">
        <v>0.8154144287109375</v>
      </c>
    </row>
    <row r="9321" spans="2:6">
      <c r="B9321">
        <v>2008</v>
      </c>
      <c r="C9321" t="s">
        <v>104</v>
      </c>
      <c r="D9321" t="s">
        <v>182</v>
      </c>
      <c r="E9321" t="s">
        <v>15</v>
      </c>
      <c r="F9321">
        <v>0.1857449859380722</v>
      </c>
    </row>
    <row r="9322" spans="2:6">
      <c r="B9322">
        <v>2009</v>
      </c>
      <c r="C9322" t="s">
        <v>104</v>
      </c>
      <c r="D9322" t="s">
        <v>182</v>
      </c>
      <c r="E9322" t="s">
        <v>7</v>
      </c>
      <c r="F9322">
        <v>5.3847017288208008</v>
      </c>
    </row>
    <row r="9323" spans="2:6">
      <c r="B9323">
        <v>2009</v>
      </c>
      <c r="C9323" t="s">
        <v>104</v>
      </c>
      <c r="D9323" t="s">
        <v>182</v>
      </c>
      <c r="E9323" t="s">
        <v>8</v>
      </c>
      <c r="F9323">
        <v>9.8754301071166992</v>
      </c>
    </row>
    <row r="9324" spans="2:6">
      <c r="B9324">
        <v>2009</v>
      </c>
      <c r="C9324" t="s">
        <v>104</v>
      </c>
      <c r="D9324" t="s">
        <v>182</v>
      </c>
      <c r="E9324" t="s">
        <v>9</v>
      </c>
      <c r="F9324">
        <v>0.79166638851165771</v>
      </c>
    </row>
    <row r="9325" spans="2:6">
      <c r="B9325">
        <v>2009</v>
      </c>
      <c r="C9325" t="s">
        <v>104</v>
      </c>
      <c r="D9325" t="s">
        <v>182</v>
      </c>
      <c r="E9325" t="s">
        <v>10</v>
      </c>
      <c r="F9325">
        <v>65.44000244140625</v>
      </c>
    </row>
    <row r="9326" spans="2:6">
      <c r="B9326">
        <v>2009</v>
      </c>
      <c r="C9326" t="s">
        <v>104</v>
      </c>
      <c r="D9326" t="s">
        <v>182</v>
      </c>
      <c r="E9326" t="s">
        <v>11</v>
      </c>
      <c r="F9326">
        <v>0.87431979179382324</v>
      </c>
    </row>
    <row r="9327" spans="2:6">
      <c r="B9327">
        <v>2009</v>
      </c>
      <c r="C9327" t="s">
        <v>104</v>
      </c>
      <c r="D9327" t="s">
        <v>182</v>
      </c>
      <c r="E9327" t="s">
        <v>12</v>
      </c>
      <c r="F9327">
        <v>-8.6781904101371765E-3</v>
      </c>
    </row>
    <row r="9328" spans="2:6">
      <c r="B9328">
        <v>2009</v>
      </c>
      <c r="C9328" t="s">
        <v>104</v>
      </c>
      <c r="D9328" t="s">
        <v>182</v>
      </c>
      <c r="E9328" t="s">
        <v>13</v>
      </c>
      <c r="F9328">
        <v>0.85809522867202759</v>
      </c>
    </row>
    <row r="9329" spans="2:6">
      <c r="B9329">
        <v>2009</v>
      </c>
      <c r="C9329" t="s">
        <v>104</v>
      </c>
      <c r="D9329" t="s">
        <v>182</v>
      </c>
      <c r="E9329" t="s">
        <v>14</v>
      </c>
      <c r="F9329">
        <v>0.82161074876785278</v>
      </c>
    </row>
    <row r="9330" spans="2:6">
      <c r="B9330">
        <v>2009</v>
      </c>
      <c r="C9330" t="s">
        <v>104</v>
      </c>
      <c r="D9330" t="s">
        <v>182</v>
      </c>
      <c r="E9330" t="s">
        <v>15</v>
      </c>
      <c r="F9330">
        <v>0.1635497510433197</v>
      </c>
    </row>
    <row r="9331" spans="2:6">
      <c r="B9331">
        <v>2010</v>
      </c>
      <c r="C9331" t="s">
        <v>104</v>
      </c>
      <c r="D9331" t="s">
        <v>182</v>
      </c>
      <c r="E9331" t="s">
        <v>7</v>
      </c>
      <c r="F9331">
        <v>5.5802817344665527</v>
      </c>
    </row>
    <row r="9332" spans="2:6">
      <c r="B9332">
        <v>2010</v>
      </c>
      <c r="C9332" t="s">
        <v>104</v>
      </c>
      <c r="D9332" t="s">
        <v>182</v>
      </c>
      <c r="E9332" t="s">
        <v>8</v>
      </c>
      <c r="F9332">
        <v>9.930140495300293</v>
      </c>
    </row>
    <row r="9333" spans="2:6">
      <c r="B9333">
        <v>2010</v>
      </c>
      <c r="C9333" t="s">
        <v>104</v>
      </c>
      <c r="D9333" t="s">
        <v>182</v>
      </c>
      <c r="E9333" t="s">
        <v>9</v>
      </c>
      <c r="F9333">
        <v>0.83909577131271362</v>
      </c>
    </row>
    <row r="9334" spans="2:6">
      <c r="B9334">
        <v>2010</v>
      </c>
      <c r="C9334" t="s">
        <v>104</v>
      </c>
      <c r="D9334" t="s">
        <v>182</v>
      </c>
      <c r="E9334" t="s">
        <v>10</v>
      </c>
      <c r="F9334">
        <v>65.599998474121094</v>
      </c>
    </row>
    <row r="9335" spans="2:6">
      <c r="B9335">
        <v>2010</v>
      </c>
      <c r="C9335" t="s">
        <v>104</v>
      </c>
      <c r="D9335" t="s">
        <v>182</v>
      </c>
      <c r="E9335" t="s">
        <v>11</v>
      </c>
      <c r="F9335">
        <v>0.76919066905975342</v>
      </c>
    </row>
    <row r="9336" spans="2:6">
      <c r="B9336">
        <v>2010</v>
      </c>
      <c r="C9336" t="s">
        <v>104</v>
      </c>
      <c r="D9336" t="s">
        <v>182</v>
      </c>
      <c r="E9336" t="s">
        <v>12</v>
      </c>
      <c r="F9336">
        <v>3.2386027276515961E-2</v>
      </c>
    </row>
    <row r="9337" spans="2:6">
      <c r="B9337">
        <v>2010</v>
      </c>
      <c r="C9337" t="s">
        <v>104</v>
      </c>
      <c r="D9337" t="s">
        <v>182</v>
      </c>
      <c r="E9337" t="s">
        <v>13</v>
      </c>
      <c r="F9337">
        <v>0.84369105100631714</v>
      </c>
    </row>
    <row r="9338" spans="2:6">
      <c r="B9338">
        <v>2010</v>
      </c>
      <c r="C9338" t="s">
        <v>104</v>
      </c>
      <c r="D9338" t="s">
        <v>182</v>
      </c>
      <c r="E9338" t="s">
        <v>14</v>
      </c>
      <c r="F9338">
        <v>0.83244794607162476</v>
      </c>
    </row>
    <row r="9339" spans="2:6">
      <c r="B9339">
        <v>2010</v>
      </c>
      <c r="C9339" t="s">
        <v>104</v>
      </c>
      <c r="D9339" t="s">
        <v>182</v>
      </c>
      <c r="E9339" t="s">
        <v>15</v>
      </c>
      <c r="F9339">
        <v>0.19194766879081726</v>
      </c>
    </row>
    <row r="9340" spans="2:6">
      <c r="B9340">
        <v>2011</v>
      </c>
      <c r="C9340" t="s">
        <v>104</v>
      </c>
      <c r="D9340" t="s">
        <v>182</v>
      </c>
      <c r="E9340" t="s">
        <v>7</v>
      </c>
      <c r="F9340">
        <v>5.7863674163818359</v>
      </c>
    </row>
    <row r="9341" spans="2:6">
      <c r="B9341">
        <v>2011</v>
      </c>
      <c r="C9341" t="s">
        <v>104</v>
      </c>
      <c r="D9341" t="s">
        <v>182</v>
      </c>
      <c r="E9341" t="s">
        <v>8</v>
      </c>
      <c r="F9341">
        <v>9.9661464691162109</v>
      </c>
    </row>
    <row r="9342" spans="2:6">
      <c r="B9342">
        <v>2011</v>
      </c>
      <c r="C9342" t="s">
        <v>104</v>
      </c>
      <c r="D9342" t="s">
        <v>182</v>
      </c>
      <c r="E9342" t="s">
        <v>9</v>
      </c>
      <c r="F9342">
        <v>0.77042299509048462</v>
      </c>
    </row>
    <row r="9343" spans="2:6">
      <c r="B9343">
        <v>2011</v>
      </c>
      <c r="C9343" t="s">
        <v>104</v>
      </c>
      <c r="D9343" t="s">
        <v>182</v>
      </c>
      <c r="E9343" t="s">
        <v>10</v>
      </c>
      <c r="F9343">
        <v>65.760002136230469</v>
      </c>
    </row>
    <row r="9344" spans="2:6">
      <c r="B9344">
        <v>2011</v>
      </c>
      <c r="C9344" t="s">
        <v>104</v>
      </c>
      <c r="D9344" t="s">
        <v>182</v>
      </c>
      <c r="E9344" t="s">
        <v>11</v>
      </c>
      <c r="F9344">
        <v>0.84035909175872803</v>
      </c>
    </row>
    <row r="9345" spans="2:6">
      <c r="B9345">
        <v>2011</v>
      </c>
      <c r="C9345" t="s">
        <v>104</v>
      </c>
      <c r="D9345" t="s">
        <v>182</v>
      </c>
      <c r="E9345" t="s">
        <v>12</v>
      </c>
      <c r="F9345">
        <v>-1.6248295083642006E-2</v>
      </c>
    </row>
    <row r="9346" spans="2:6">
      <c r="B9346">
        <v>2011</v>
      </c>
      <c r="C9346" t="s">
        <v>104</v>
      </c>
      <c r="D9346" t="s">
        <v>182</v>
      </c>
      <c r="E9346" t="s">
        <v>13</v>
      </c>
      <c r="F9346">
        <v>0.84150457382202148</v>
      </c>
    </row>
    <row r="9347" spans="2:6">
      <c r="B9347">
        <v>2011</v>
      </c>
      <c r="C9347" t="s">
        <v>104</v>
      </c>
      <c r="D9347" t="s">
        <v>182</v>
      </c>
      <c r="E9347" t="s">
        <v>14</v>
      </c>
      <c r="F9347">
        <v>0.88732701539993286</v>
      </c>
    </row>
    <row r="9348" spans="2:6">
      <c r="B9348">
        <v>2011</v>
      </c>
      <c r="C9348" t="s">
        <v>104</v>
      </c>
      <c r="D9348" t="s">
        <v>182</v>
      </c>
      <c r="E9348" t="s">
        <v>15</v>
      </c>
      <c r="F9348">
        <v>0.15487496554851532</v>
      </c>
    </row>
    <row r="9349" spans="2:6">
      <c r="B9349">
        <v>2012</v>
      </c>
      <c r="C9349" t="s">
        <v>104</v>
      </c>
      <c r="D9349" t="s">
        <v>182</v>
      </c>
      <c r="E9349" t="s">
        <v>7</v>
      </c>
      <c r="F9349">
        <v>5.9142837524414063</v>
      </c>
    </row>
    <row r="9350" spans="2:6">
      <c r="B9350">
        <v>2012</v>
      </c>
      <c r="C9350" t="s">
        <v>104</v>
      </c>
      <c r="D9350" t="s">
        <v>182</v>
      </c>
      <c r="E9350" t="s">
        <v>8</v>
      </c>
      <c r="F9350">
        <v>10.004979133605957</v>
      </c>
    </row>
    <row r="9351" spans="2:6">
      <c r="B9351">
        <v>2012</v>
      </c>
      <c r="C9351" t="s">
        <v>104</v>
      </c>
      <c r="D9351" t="s">
        <v>182</v>
      </c>
      <c r="E9351" t="s">
        <v>9</v>
      </c>
      <c r="F9351">
        <v>0.84121894836425781</v>
      </c>
    </row>
    <row r="9352" spans="2:6">
      <c r="B9352">
        <v>2012</v>
      </c>
      <c r="C9352" t="s">
        <v>104</v>
      </c>
      <c r="D9352" t="s">
        <v>182</v>
      </c>
      <c r="E9352" t="s">
        <v>10</v>
      </c>
      <c r="F9352">
        <v>65.919998168945313</v>
      </c>
    </row>
    <row r="9353" spans="2:6">
      <c r="B9353">
        <v>2012</v>
      </c>
      <c r="C9353" t="s">
        <v>104</v>
      </c>
      <c r="D9353" t="s">
        <v>182</v>
      </c>
      <c r="E9353" t="s">
        <v>11</v>
      </c>
      <c r="F9353">
        <v>0.84807181358337402</v>
      </c>
    </row>
    <row r="9354" spans="2:6">
      <c r="B9354">
        <v>2012</v>
      </c>
      <c r="C9354" t="s">
        <v>104</v>
      </c>
      <c r="D9354" t="s">
        <v>182</v>
      </c>
      <c r="E9354" t="s">
        <v>12</v>
      </c>
      <c r="F9354">
        <v>1.7118064686655998E-2</v>
      </c>
    </row>
    <row r="9355" spans="2:6">
      <c r="B9355">
        <v>2012</v>
      </c>
      <c r="C9355" t="s">
        <v>104</v>
      </c>
      <c r="D9355" t="s">
        <v>182</v>
      </c>
      <c r="E9355" t="s">
        <v>13</v>
      </c>
      <c r="F9355">
        <v>0.84661847352981567</v>
      </c>
    </row>
    <row r="9356" spans="2:6">
      <c r="B9356">
        <v>2012</v>
      </c>
      <c r="C9356" t="s">
        <v>104</v>
      </c>
      <c r="D9356" t="s">
        <v>182</v>
      </c>
      <c r="E9356" t="s">
        <v>14</v>
      </c>
      <c r="F9356">
        <v>0.86735290288925171</v>
      </c>
    </row>
    <row r="9357" spans="2:6">
      <c r="B9357">
        <v>2012</v>
      </c>
      <c r="C9357" t="s">
        <v>104</v>
      </c>
      <c r="D9357" t="s">
        <v>182</v>
      </c>
      <c r="E9357" t="s">
        <v>15</v>
      </c>
      <c r="F9357">
        <v>0.17688189446926117</v>
      </c>
    </row>
    <row r="9358" spans="2:6">
      <c r="B9358">
        <v>2013</v>
      </c>
      <c r="C9358" t="s">
        <v>104</v>
      </c>
      <c r="D9358" t="s">
        <v>182</v>
      </c>
      <c r="E9358" t="s">
        <v>7</v>
      </c>
      <c r="F9358">
        <v>5.7701997756958008</v>
      </c>
    </row>
    <row r="9359" spans="2:6">
      <c r="B9359">
        <v>2013</v>
      </c>
      <c r="C9359" t="s">
        <v>104</v>
      </c>
      <c r="D9359" t="s">
        <v>182</v>
      </c>
      <c r="E9359" t="s">
        <v>8</v>
      </c>
      <c r="F9359">
        <v>10.03715705871582</v>
      </c>
    </row>
    <row r="9360" spans="2:6">
      <c r="B9360">
        <v>2013</v>
      </c>
      <c r="C9360" t="s">
        <v>104</v>
      </c>
      <c r="D9360" t="s">
        <v>182</v>
      </c>
      <c r="E9360" t="s">
        <v>9</v>
      </c>
      <c r="F9360">
        <v>0.83090013265609741</v>
      </c>
    </row>
    <row r="9361" spans="2:6">
      <c r="B9361">
        <v>2013</v>
      </c>
      <c r="C9361" t="s">
        <v>104</v>
      </c>
      <c r="D9361" t="s">
        <v>182</v>
      </c>
      <c r="E9361" t="s">
        <v>10</v>
      </c>
      <c r="F9361">
        <v>66.080001831054688</v>
      </c>
    </row>
    <row r="9362" spans="2:6">
      <c r="B9362">
        <v>2013</v>
      </c>
      <c r="C9362" t="s">
        <v>104</v>
      </c>
      <c r="D9362" t="s">
        <v>182</v>
      </c>
      <c r="E9362" t="s">
        <v>11</v>
      </c>
      <c r="F9362">
        <v>0.79131042957305908</v>
      </c>
    </row>
    <row r="9363" spans="2:6">
      <c r="B9363">
        <v>2013</v>
      </c>
      <c r="C9363" t="s">
        <v>104</v>
      </c>
      <c r="D9363" t="s">
        <v>182</v>
      </c>
      <c r="E9363" t="s">
        <v>12</v>
      </c>
      <c r="F9363">
        <v>0.26411533355712891</v>
      </c>
    </row>
    <row r="9364" spans="2:6">
      <c r="B9364">
        <v>2013</v>
      </c>
      <c r="C9364" t="s">
        <v>104</v>
      </c>
      <c r="D9364" t="s">
        <v>182</v>
      </c>
      <c r="E9364" t="s">
        <v>13</v>
      </c>
      <c r="F9364">
        <v>0.75538349151611328</v>
      </c>
    </row>
    <row r="9365" spans="2:6">
      <c r="B9365">
        <v>2013</v>
      </c>
      <c r="C9365" t="s">
        <v>104</v>
      </c>
      <c r="D9365" t="s">
        <v>182</v>
      </c>
      <c r="E9365" t="s">
        <v>14</v>
      </c>
      <c r="F9365">
        <v>0.73649746179580688</v>
      </c>
    </row>
    <row r="9366" spans="2:6">
      <c r="B9366">
        <v>2013</v>
      </c>
      <c r="C9366" t="s">
        <v>104</v>
      </c>
      <c r="D9366" t="s">
        <v>182</v>
      </c>
      <c r="E9366" t="s">
        <v>15</v>
      </c>
      <c r="F9366">
        <v>0.31655162572860718</v>
      </c>
    </row>
    <row r="9367" spans="2:6">
      <c r="B9367">
        <v>2014</v>
      </c>
      <c r="C9367" t="s">
        <v>104</v>
      </c>
      <c r="D9367" t="s">
        <v>182</v>
      </c>
      <c r="E9367" t="s">
        <v>7</v>
      </c>
      <c r="F9367">
        <v>5.9629216194152832</v>
      </c>
    </row>
    <row r="9368" spans="2:6">
      <c r="B9368">
        <v>2014</v>
      </c>
      <c r="C9368" t="s">
        <v>104</v>
      </c>
      <c r="D9368" t="s">
        <v>182</v>
      </c>
      <c r="E9368" t="s">
        <v>8</v>
      </c>
      <c r="F9368">
        <v>10.082083702087402</v>
      </c>
    </row>
    <row r="9369" spans="2:6">
      <c r="B9369">
        <v>2014</v>
      </c>
      <c r="C9369" t="s">
        <v>104</v>
      </c>
      <c r="D9369" t="s">
        <v>182</v>
      </c>
      <c r="E9369" t="s">
        <v>9</v>
      </c>
      <c r="F9369">
        <v>0.86306703090667725</v>
      </c>
    </row>
    <row r="9370" spans="2:6">
      <c r="B9370">
        <v>2014</v>
      </c>
      <c r="C9370" t="s">
        <v>104</v>
      </c>
      <c r="D9370" t="s">
        <v>182</v>
      </c>
      <c r="E9370" t="s">
        <v>10</v>
      </c>
      <c r="F9370">
        <v>66.239997863769531</v>
      </c>
    </row>
    <row r="9371" spans="2:6">
      <c r="B9371">
        <v>2014</v>
      </c>
      <c r="C9371" t="s">
        <v>104</v>
      </c>
      <c r="D9371" t="s">
        <v>182</v>
      </c>
      <c r="E9371" t="s">
        <v>11</v>
      </c>
      <c r="F9371">
        <v>0.80838435888290405</v>
      </c>
    </row>
    <row r="9372" spans="2:6">
      <c r="B9372">
        <v>2014</v>
      </c>
      <c r="C9372" t="s">
        <v>104</v>
      </c>
      <c r="D9372" t="s">
        <v>182</v>
      </c>
      <c r="E9372" t="s">
        <v>12</v>
      </c>
      <c r="F9372">
        <v>0.23934306204319</v>
      </c>
    </row>
    <row r="9373" spans="2:6">
      <c r="B9373">
        <v>2014</v>
      </c>
      <c r="C9373" t="s">
        <v>104</v>
      </c>
      <c r="D9373" t="s">
        <v>182</v>
      </c>
      <c r="E9373" t="s">
        <v>13</v>
      </c>
      <c r="F9373">
        <v>0.84481543302536011</v>
      </c>
    </row>
    <row r="9374" spans="2:6">
      <c r="B9374">
        <v>2014</v>
      </c>
      <c r="C9374" t="s">
        <v>104</v>
      </c>
      <c r="D9374" t="s">
        <v>182</v>
      </c>
      <c r="E9374" t="s">
        <v>14</v>
      </c>
      <c r="F9374">
        <v>0.76953434944152832</v>
      </c>
    </row>
    <row r="9375" spans="2:6">
      <c r="B9375">
        <v>2014</v>
      </c>
      <c r="C9375" t="s">
        <v>104</v>
      </c>
      <c r="D9375" t="s">
        <v>182</v>
      </c>
      <c r="E9375" t="s">
        <v>15</v>
      </c>
      <c r="F9375">
        <v>0.26089349389076233</v>
      </c>
    </row>
    <row r="9376" spans="2:6">
      <c r="B9376">
        <v>2015</v>
      </c>
      <c r="C9376" t="s">
        <v>104</v>
      </c>
      <c r="D9376" t="s">
        <v>182</v>
      </c>
      <c r="E9376" t="s">
        <v>7</v>
      </c>
      <c r="F9376">
        <v>6.3221211433410645</v>
      </c>
    </row>
    <row r="9377" spans="2:6">
      <c r="B9377">
        <v>2015</v>
      </c>
      <c r="C9377" t="s">
        <v>104</v>
      </c>
      <c r="D9377" t="s">
        <v>182</v>
      </c>
      <c r="E9377" t="s">
        <v>8</v>
      </c>
      <c r="F9377">
        <v>10.118295669555664</v>
      </c>
    </row>
    <row r="9378" spans="2:6">
      <c r="B9378">
        <v>2015</v>
      </c>
      <c r="C9378" t="s">
        <v>104</v>
      </c>
      <c r="D9378" t="s">
        <v>182</v>
      </c>
      <c r="E9378" t="s">
        <v>9</v>
      </c>
      <c r="F9378">
        <v>0.81761628389358521</v>
      </c>
    </row>
    <row r="9379" spans="2:6">
      <c r="B9379">
        <v>2015</v>
      </c>
      <c r="C9379" t="s">
        <v>104</v>
      </c>
      <c r="D9379" t="s">
        <v>182</v>
      </c>
      <c r="E9379" t="s">
        <v>10</v>
      </c>
      <c r="F9379">
        <v>66.400001525878906</v>
      </c>
    </row>
    <row r="9380" spans="2:6">
      <c r="B9380">
        <v>2015</v>
      </c>
      <c r="C9380" t="s">
        <v>104</v>
      </c>
      <c r="D9380" t="s">
        <v>182</v>
      </c>
      <c r="E9380" t="s">
        <v>11</v>
      </c>
      <c r="F9380">
        <v>0.6745944619178772</v>
      </c>
    </row>
    <row r="9381" spans="2:6">
      <c r="B9381">
        <v>2015</v>
      </c>
      <c r="C9381" t="s">
        <v>104</v>
      </c>
      <c r="D9381" t="s">
        <v>182</v>
      </c>
      <c r="E9381" t="s">
        <v>12</v>
      </c>
      <c r="F9381">
        <v>0.22231447696685791</v>
      </c>
    </row>
    <row r="9382" spans="2:6">
      <c r="B9382">
        <v>2015</v>
      </c>
      <c r="C9382" t="s">
        <v>104</v>
      </c>
      <c r="D9382" t="s">
        <v>182</v>
      </c>
      <c r="E9382" t="s">
        <v>13</v>
      </c>
      <c r="F9382">
        <v>0.83789223432540894</v>
      </c>
    </row>
    <row r="9383" spans="2:6">
      <c r="B9383">
        <v>2015</v>
      </c>
      <c r="C9383" t="s">
        <v>104</v>
      </c>
      <c r="D9383" t="s">
        <v>182</v>
      </c>
      <c r="E9383" t="s">
        <v>14</v>
      </c>
      <c r="F9383">
        <v>0.77471619844436646</v>
      </c>
    </row>
    <row r="9384" spans="2:6">
      <c r="B9384">
        <v>2015</v>
      </c>
      <c r="C9384" t="s">
        <v>104</v>
      </c>
      <c r="D9384" t="s">
        <v>182</v>
      </c>
      <c r="E9384" t="s">
        <v>15</v>
      </c>
      <c r="F9384">
        <v>0.31373274326324463</v>
      </c>
    </row>
    <row r="9385" spans="2:6">
      <c r="B9385">
        <v>2018</v>
      </c>
      <c r="C9385" t="s">
        <v>104</v>
      </c>
      <c r="D9385" t="s">
        <v>182</v>
      </c>
      <c r="E9385" t="s">
        <v>7</v>
      </c>
      <c r="F9385">
        <v>5.3388175964355469</v>
      </c>
    </row>
    <row r="9386" spans="2:6">
      <c r="B9386">
        <v>2018</v>
      </c>
      <c r="C9386" t="s">
        <v>104</v>
      </c>
      <c r="D9386" t="s">
        <v>182</v>
      </c>
      <c r="E9386" t="s">
        <v>8</v>
      </c>
      <c r="F9386">
        <v>10.223282814025879</v>
      </c>
    </row>
    <row r="9387" spans="2:6">
      <c r="B9387">
        <v>2018</v>
      </c>
      <c r="C9387" t="s">
        <v>104</v>
      </c>
      <c r="D9387" t="s">
        <v>182</v>
      </c>
      <c r="E9387" t="s">
        <v>9</v>
      </c>
      <c r="F9387">
        <v>0.78940856456756592</v>
      </c>
    </row>
    <row r="9388" spans="2:6">
      <c r="B9388">
        <v>2018</v>
      </c>
      <c r="C9388" t="s">
        <v>104</v>
      </c>
      <c r="D9388" t="s">
        <v>182</v>
      </c>
      <c r="E9388" t="s">
        <v>10</v>
      </c>
      <c r="F9388">
        <v>67</v>
      </c>
    </row>
    <row r="9389" spans="2:6">
      <c r="B9389">
        <v>2018</v>
      </c>
      <c r="C9389" t="s">
        <v>104</v>
      </c>
      <c r="D9389" t="s">
        <v>182</v>
      </c>
      <c r="E9389" t="s">
        <v>11</v>
      </c>
      <c r="F9389">
        <v>0.87454825639724731</v>
      </c>
    </row>
    <row r="9390" spans="2:6">
      <c r="B9390">
        <v>2018</v>
      </c>
      <c r="C9390" t="s">
        <v>104</v>
      </c>
      <c r="D9390" t="s">
        <v>182</v>
      </c>
      <c r="E9390" t="s">
        <v>12</v>
      </c>
      <c r="F9390">
        <v>0.12735450267791748</v>
      </c>
    </row>
    <row r="9391" spans="2:6">
      <c r="B9391">
        <v>2018</v>
      </c>
      <c r="C9391" t="s">
        <v>104</v>
      </c>
      <c r="D9391" t="s">
        <v>182</v>
      </c>
      <c r="E9391" t="s">
        <v>13</v>
      </c>
      <c r="F9391">
        <v>0.8941311240196228</v>
      </c>
    </row>
    <row r="9392" spans="2:6">
      <c r="B9392">
        <v>2018</v>
      </c>
      <c r="C9392" t="s">
        <v>104</v>
      </c>
      <c r="D9392" t="s">
        <v>182</v>
      </c>
      <c r="E9392" t="s">
        <v>14</v>
      </c>
      <c r="F9392">
        <v>0.824454665184021</v>
      </c>
    </row>
    <row r="9393" spans="2:6">
      <c r="B9393">
        <v>2018</v>
      </c>
      <c r="C9393" t="s">
        <v>104</v>
      </c>
      <c r="D9393" t="s">
        <v>182</v>
      </c>
      <c r="E9393" t="s">
        <v>15</v>
      </c>
      <c r="F9393">
        <v>0.20036673545837402</v>
      </c>
    </row>
    <row r="9394" spans="2:6">
      <c r="B9394">
        <v>2019</v>
      </c>
      <c r="C9394" t="s">
        <v>104</v>
      </c>
      <c r="D9394" t="s">
        <v>182</v>
      </c>
      <c r="E9394" t="s">
        <v>7</v>
      </c>
      <c r="F9394">
        <v>5.4279541969299316</v>
      </c>
    </row>
    <row r="9395" spans="2:6">
      <c r="B9395">
        <v>2019</v>
      </c>
      <c r="C9395" t="s">
        <v>104</v>
      </c>
      <c r="D9395" t="s">
        <v>182</v>
      </c>
      <c r="E9395" t="s">
        <v>8</v>
      </c>
      <c r="F9395">
        <v>10.252403259277344</v>
      </c>
    </row>
    <row r="9396" spans="2:6">
      <c r="B9396">
        <v>2019</v>
      </c>
      <c r="C9396" t="s">
        <v>104</v>
      </c>
      <c r="D9396" t="s">
        <v>182</v>
      </c>
      <c r="E9396" t="s">
        <v>9</v>
      </c>
      <c r="F9396">
        <v>0.84249883890151978</v>
      </c>
    </row>
    <row r="9397" spans="2:6">
      <c r="B9397">
        <v>2019</v>
      </c>
      <c r="C9397" t="s">
        <v>104</v>
      </c>
      <c r="D9397" t="s">
        <v>182</v>
      </c>
      <c r="E9397" t="s">
        <v>10</v>
      </c>
      <c r="F9397">
        <v>67.199996948242188</v>
      </c>
    </row>
    <row r="9398" spans="2:6">
      <c r="B9398">
        <v>2019</v>
      </c>
      <c r="C9398" t="s">
        <v>104</v>
      </c>
      <c r="D9398" t="s">
        <v>182</v>
      </c>
      <c r="E9398" t="s">
        <v>11</v>
      </c>
      <c r="F9398">
        <v>0.91577869653701782</v>
      </c>
    </row>
    <row r="9399" spans="2:6">
      <c r="B9399">
        <v>2019</v>
      </c>
      <c r="C9399" t="s">
        <v>104</v>
      </c>
      <c r="D9399" t="s">
        <v>182</v>
      </c>
      <c r="E9399" t="s">
        <v>12</v>
      </c>
      <c r="F9399">
        <v>0.12332413345575333</v>
      </c>
    </row>
    <row r="9400" spans="2:6">
      <c r="B9400">
        <v>2019</v>
      </c>
      <c r="C9400" t="s">
        <v>104</v>
      </c>
      <c r="D9400" t="s">
        <v>182</v>
      </c>
      <c r="E9400" t="s">
        <v>13</v>
      </c>
      <c r="F9400">
        <v>0.7819439172744751</v>
      </c>
    </row>
    <row r="9401" spans="2:6">
      <c r="B9401">
        <v>2019</v>
      </c>
      <c r="C9401" t="s">
        <v>104</v>
      </c>
      <c r="D9401" t="s">
        <v>182</v>
      </c>
      <c r="E9401" t="s">
        <v>14</v>
      </c>
      <c r="F9401">
        <v>0.83417749404907227</v>
      </c>
    </row>
    <row r="9402" spans="2:6">
      <c r="B9402">
        <v>2019</v>
      </c>
      <c r="C9402" t="s">
        <v>104</v>
      </c>
      <c r="D9402" t="s">
        <v>182</v>
      </c>
      <c r="E9402" t="s">
        <v>15</v>
      </c>
      <c r="F9402">
        <v>0.17607168853282928</v>
      </c>
    </row>
    <row r="9403" spans="2:6">
      <c r="B9403">
        <v>2018</v>
      </c>
      <c r="C9403" t="s">
        <v>105</v>
      </c>
      <c r="D9403" t="s">
        <v>182</v>
      </c>
      <c r="E9403" t="s">
        <v>7</v>
      </c>
      <c r="F9403">
        <v>5.1975746154785156</v>
      </c>
    </row>
    <row r="9404" spans="2:6">
      <c r="B9404">
        <v>2018</v>
      </c>
      <c r="C9404" t="s">
        <v>105</v>
      </c>
      <c r="D9404" t="s">
        <v>182</v>
      </c>
      <c r="E9404" t="s">
        <v>8</v>
      </c>
      <c r="F9404">
        <v>9.8259859085083008</v>
      </c>
    </row>
    <row r="9405" spans="2:6">
      <c r="B9405">
        <v>2018</v>
      </c>
      <c r="C9405" t="s">
        <v>105</v>
      </c>
      <c r="D9405" t="s">
        <v>182</v>
      </c>
      <c r="E9405" t="s">
        <v>9</v>
      </c>
      <c r="F9405">
        <v>0.9133150577545166</v>
      </c>
    </row>
    <row r="9406" spans="2:6">
      <c r="B9406">
        <v>2018</v>
      </c>
      <c r="C9406" t="s">
        <v>105</v>
      </c>
      <c r="D9406" t="s">
        <v>182</v>
      </c>
      <c r="E9406" t="s">
        <v>10</v>
      </c>
      <c r="F9406">
        <v>70.599998474121094</v>
      </c>
    </row>
    <row r="9407" spans="2:6">
      <c r="B9407">
        <v>2018</v>
      </c>
      <c r="C9407" t="s">
        <v>105</v>
      </c>
      <c r="D9407" t="s">
        <v>182</v>
      </c>
      <c r="E9407" t="s">
        <v>11</v>
      </c>
      <c r="F9407">
        <v>0.85475927591323853</v>
      </c>
    </row>
    <row r="9408" spans="2:6">
      <c r="B9408">
        <v>2018</v>
      </c>
      <c r="C9408" t="s">
        <v>105</v>
      </c>
      <c r="D9408" t="s">
        <v>182</v>
      </c>
      <c r="E9408" t="s">
        <v>12</v>
      </c>
      <c r="F9408">
        <v>2.3997833952307701E-2</v>
      </c>
    </row>
    <row r="9409" spans="2:6">
      <c r="B9409">
        <v>2006</v>
      </c>
      <c r="C9409" t="s">
        <v>106</v>
      </c>
      <c r="D9409" t="s">
        <v>184</v>
      </c>
      <c r="E9409" t="s">
        <v>7</v>
      </c>
      <c r="F9409">
        <v>4.014075756072998</v>
      </c>
    </row>
    <row r="9410" spans="2:6">
      <c r="B9410">
        <v>2006</v>
      </c>
      <c r="C9410" t="s">
        <v>106</v>
      </c>
      <c r="D9410" t="s">
        <v>184</v>
      </c>
      <c r="E9410" t="s">
        <v>8</v>
      </c>
      <c r="F9410">
        <v>7.5929298400878906</v>
      </c>
    </row>
    <row r="9411" spans="2:6">
      <c r="B9411">
        <v>2006</v>
      </c>
      <c r="C9411" t="s">
        <v>106</v>
      </c>
      <c r="D9411" t="s">
        <v>184</v>
      </c>
      <c r="E9411" t="s">
        <v>9</v>
      </c>
      <c r="F9411">
        <v>0.7611161470413208</v>
      </c>
    </row>
    <row r="9412" spans="2:6">
      <c r="B9412">
        <v>2006</v>
      </c>
      <c r="C9412" t="s">
        <v>106</v>
      </c>
      <c r="D9412" t="s">
        <v>184</v>
      </c>
      <c r="E9412" t="s">
        <v>10</v>
      </c>
      <c r="F9412">
        <v>45.919998168945313</v>
      </c>
    </row>
    <row r="9413" spans="2:6">
      <c r="B9413">
        <v>2006</v>
      </c>
      <c r="C9413" t="s">
        <v>106</v>
      </c>
      <c r="D9413" t="s">
        <v>184</v>
      </c>
      <c r="E9413" t="s">
        <v>11</v>
      </c>
      <c r="F9413">
        <v>0.55507564544677734</v>
      </c>
    </row>
    <row r="9414" spans="2:6">
      <c r="B9414">
        <v>2006</v>
      </c>
      <c r="C9414" t="s">
        <v>106</v>
      </c>
      <c r="D9414" t="s">
        <v>184</v>
      </c>
      <c r="E9414" t="s">
        <v>12</v>
      </c>
      <c r="F9414">
        <v>-7.1815080940723419E-2</v>
      </c>
    </row>
    <row r="9415" spans="2:6">
      <c r="B9415">
        <v>2006</v>
      </c>
      <c r="C9415" t="s">
        <v>106</v>
      </c>
      <c r="D9415" t="s">
        <v>184</v>
      </c>
      <c r="E9415" t="s">
        <v>13</v>
      </c>
      <c r="F9415">
        <v>0.76104575395584106</v>
      </c>
    </row>
    <row r="9416" spans="2:6">
      <c r="B9416">
        <v>2006</v>
      </c>
      <c r="C9416" t="s">
        <v>106</v>
      </c>
      <c r="D9416" t="s">
        <v>184</v>
      </c>
      <c r="E9416" t="s">
        <v>14</v>
      </c>
      <c r="F9416">
        <v>0.76673483848571777</v>
      </c>
    </row>
    <row r="9417" spans="2:6">
      <c r="B9417">
        <v>2006</v>
      </c>
      <c r="C9417" t="s">
        <v>106</v>
      </c>
      <c r="D9417" t="s">
        <v>184</v>
      </c>
      <c r="E9417" t="s">
        <v>15</v>
      </c>
      <c r="F9417">
        <v>0.20856268703937531</v>
      </c>
    </row>
    <row r="9418" spans="2:6">
      <c r="B9418">
        <v>2008</v>
      </c>
      <c r="C9418" t="s">
        <v>106</v>
      </c>
      <c r="D9418" t="s">
        <v>184</v>
      </c>
      <c r="E9418" t="s">
        <v>7</v>
      </c>
      <c r="F9418">
        <v>4.1146640777587891</v>
      </c>
    </row>
    <row r="9419" spans="2:6">
      <c r="B9419">
        <v>2008</v>
      </c>
      <c r="C9419" t="s">
        <v>106</v>
      </c>
      <c r="D9419" t="s">
        <v>184</v>
      </c>
      <c r="E9419" t="s">
        <v>8</v>
      </c>
      <c r="F9419">
        <v>7.6072325706481934</v>
      </c>
    </row>
    <row r="9420" spans="2:6">
      <c r="B9420">
        <v>2008</v>
      </c>
      <c r="C9420" t="s">
        <v>106</v>
      </c>
      <c r="D9420" t="s">
        <v>184</v>
      </c>
      <c r="E9420" t="s">
        <v>9</v>
      </c>
      <c r="F9420">
        <v>0.74660062789916992</v>
      </c>
    </row>
    <row r="9421" spans="2:6">
      <c r="B9421">
        <v>2008</v>
      </c>
      <c r="C9421" t="s">
        <v>106</v>
      </c>
      <c r="D9421" t="s">
        <v>184</v>
      </c>
      <c r="E9421" t="s">
        <v>10</v>
      </c>
      <c r="F9421">
        <v>47.159999847412109</v>
      </c>
    </row>
    <row r="9422" spans="2:6">
      <c r="B9422">
        <v>2008</v>
      </c>
      <c r="C9422" t="s">
        <v>106</v>
      </c>
      <c r="D9422" t="s">
        <v>184</v>
      </c>
      <c r="E9422" t="s">
        <v>11</v>
      </c>
      <c r="F9422">
        <v>0.49484005570411682</v>
      </c>
    </row>
    <row r="9423" spans="2:6">
      <c r="B9423">
        <v>2008</v>
      </c>
      <c r="C9423" t="s">
        <v>106</v>
      </c>
      <c r="D9423" t="s">
        <v>184</v>
      </c>
      <c r="E9423" t="s">
        <v>12</v>
      </c>
      <c r="F9423">
        <v>-1.2124172411859035E-2</v>
      </c>
    </row>
    <row r="9424" spans="2:6">
      <c r="B9424">
        <v>2008</v>
      </c>
      <c r="C9424" t="s">
        <v>106</v>
      </c>
      <c r="D9424" t="s">
        <v>184</v>
      </c>
      <c r="E9424" t="s">
        <v>13</v>
      </c>
      <c r="F9424">
        <v>0.91758966445922852</v>
      </c>
    </row>
    <row r="9425" spans="2:6">
      <c r="B9425">
        <v>2008</v>
      </c>
      <c r="C9425" t="s">
        <v>106</v>
      </c>
      <c r="D9425" t="s">
        <v>184</v>
      </c>
      <c r="E9425" t="s">
        <v>14</v>
      </c>
      <c r="F9425">
        <v>0.68215364217758179</v>
      </c>
    </row>
    <row r="9426" spans="2:6">
      <c r="B9426">
        <v>2008</v>
      </c>
      <c r="C9426" t="s">
        <v>106</v>
      </c>
      <c r="D9426" t="s">
        <v>184</v>
      </c>
      <c r="E9426" t="s">
        <v>15</v>
      </c>
      <c r="F9426">
        <v>0.16449066996574402</v>
      </c>
    </row>
    <row r="9427" spans="2:6">
      <c r="B9427">
        <v>2009</v>
      </c>
      <c r="C9427" t="s">
        <v>106</v>
      </c>
      <c r="D9427" t="s">
        <v>184</v>
      </c>
      <c r="E9427" t="s">
        <v>7</v>
      </c>
      <c r="F9427">
        <v>3.9765985012054443</v>
      </c>
    </row>
    <row r="9428" spans="2:6">
      <c r="B9428">
        <v>2009</v>
      </c>
      <c r="C9428" t="s">
        <v>106</v>
      </c>
      <c r="D9428" t="s">
        <v>184</v>
      </c>
      <c r="E9428" t="s">
        <v>8</v>
      </c>
      <c r="F9428">
        <v>7.6215648651123047</v>
      </c>
    </row>
    <row r="9429" spans="2:6">
      <c r="B9429">
        <v>2009</v>
      </c>
      <c r="C9429" t="s">
        <v>106</v>
      </c>
      <c r="D9429" t="s">
        <v>184</v>
      </c>
      <c r="E9429" t="s">
        <v>9</v>
      </c>
      <c r="F9429">
        <v>0.73255705833435059</v>
      </c>
    </row>
    <row r="9430" spans="2:6">
      <c r="B9430">
        <v>2009</v>
      </c>
      <c r="C9430" t="s">
        <v>106</v>
      </c>
      <c r="D9430" t="s">
        <v>184</v>
      </c>
      <c r="E9430" t="s">
        <v>10</v>
      </c>
      <c r="F9430">
        <v>47.779998779296875</v>
      </c>
    </row>
    <row r="9431" spans="2:6">
      <c r="B9431">
        <v>2009</v>
      </c>
      <c r="C9431" t="s">
        <v>106</v>
      </c>
      <c r="D9431" t="s">
        <v>184</v>
      </c>
      <c r="E9431" t="s">
        <v>11</v>
      </c>
      <c r="F9431">
        <v>0.6338159441947937</v>
      </c>
    </row>
    <row r="9432" spans="2:6">
      <c r="B9432">
        <v>2009</v>
      </c>
      <c r="C9432" t="s">
        <v>106</v>
      </c>
      <c r="D9432" t="s">
        <v>184</v>
      </c>
      <c r="E9432" t="s">
        <v>12</v>
      </c>
      <c r="F9432">
        <v>8.3190714940428734E-3</v>
      </c>
    </row>
    <row r="9433" spans="2:6">
      <c r="B9433">
        <v>2009</v>
      </c>
      <c r="C9433" t="s">
        <v>106</v>
      </c>
      <c r="D9433" t="s">
        <v>184</v>
      </c>
      <c r="E9433" t="s">
        <v>13</v>
      </c>
      <c r="F9433">
        <v>0.81920772790908813</v>
      </c>
    </row>
    <row r="9434" spans="2:6">
      <c r="B9434">
        <v>2009</v>
      </c>
      <c r="C9434" t="s">
        <v>106</v>
      </c>
      <c r="D9434" t="s">
        <v>184</v>
      </c>
      <c r="E9434" t="s">
        <v>14</v>
      </c>
      <c r="F9434">
        <v>0.76044577360153198</v>
      </c>
    </row>
    <row r="9435" spans="2:6">
      <c r="B9435">
        <v>2009</v>
      </c>
      <c r="C9435" t="s">
        <v>106</v>
      </c>
      <c r="D9435" t="s">
        <v>184</v>
      </c>
      <c r="E9435" t="s">
        <v>15</v>
      </c>
      <c r="F9435">
        <v>0.14975149929523468</v>
      </c>
    </row>
    <row r="9436" spans="2:6">
      <c r="B9436">
        <v>2010</v>
      </c>
      <c r="C9436" t="s">
        <v>106</v>
      </c>
      <c r="D9436" t="s">
        <v>184</v>
      </c>
      <c r="E9436" t="s">
        <v>7</v>
      </c>
      <c r="F9436">
        <v>3.7623050212860107</v>
      </c>
    </row>
    <row r="9437" spans="2:6">
      <c r="B9437">
        <v>2010</v>
      </c>
      <c r="C9437" t="s">
        <v>106</v>
      </c>
      <c r="D9437" t="s">
        <v>184</v>
      </c>
      <c r="E9437" t="s">
        <v>8</v>
      </c>
      <c r="F9437">
        <v>7.641754150390625</v>
      </c>
    </row>
    <row r="9438" spans="2:6">
      <c r="B9438">
        <v>2010</v>
      </c>
      <c r="C9438" t="s">
        <v>106</v>
      </c>
      <c r="D9438" t="s">
        <v>184</v>
      </c>
      <c r="E9438" t="s">
        <v>9</v>
      </c>
      <c r="F9438">
        <v>0.75092226266860962</v>
      </c>
    </row>
    <row r="9439" spans="2:6">
      <c r="B9439">
        <v>2010</v>
      </c>
      <c r="C9439" t="s">
        <v>106</v>
      </c>
      <c r="D9439" t="s">
        <v>184</v>
      </c>
      <c r="E9439" t="s">
        <v>10</v>
      </c>
      <c r="F9439">
        <v>48.400001525878906</v>
      </c>
    </row>
    <row r="9440" spans="2:6">
      <c r="B9440">
        <v>2010</v>
      </c>
      <c r="C9440" t="s">
        <v>106</v>
      </c>
      <c r="D9440" t="s">
        <v>184</v>
      </c>
      <c r="E9440" t="s">
        <v>11</v>
      </c>
      <c r="F9440">
        <v>0.74904972314834595</v>
      </c>
    </row>
    <row r="9441" spans="2:6">
      <c r="B9441">
        <v>2010</v>
      </c>
      <c r="C9441" t="s">
        <v>106</v>
      </c>
      <c r="D9441" t="s">
        <v>184</v>
      </c>
      <c r="E9441" t="s">
        <v>12</v>
      </c>
      <c r="F9441">
        <v>-2.7934813871979713E-2</v>
      </c>
    </row>
    <row r="9442" spans="2:6">
      <c r="B9442">
        <v>2010</v>
      </c>
      <c r="C9442" t="s">
        <v>106</v>
      </c>
      <c r="D9442" t="s">
        <v>184</v>
      </c>
      <c r="E9442" t="s">
        <v>13</v>
      </c>
      <c r="F9442">
        <v>0.81059116125106812</v>
      </c>
    </row>
    <row r="9443" spans="2:6">
      <c r="B9443">
        <v>2010</v>
      </c>
      <c r="C9443" t="s">
        <v>106</v>
      </c>
      <c r="D9443" t="s">
        <v>184</v>
      </c>
      <c r="E9443" t="s">
        <v>14</v>
      </c>
      <c r="F9443">
        <v>0.79652541875839233</v>
      </c>
    </row>
    <row r="9444" spans="2:6">
      <c r="B9444">
        <v>2010</v>
      </c>
      <c r="C9444" t="s">
        <v>106</v>
      </c>
      <c r="D9444" t="s">
        <v>184</v>
      </c>
      <c r="E9444" t="s">
        <v>15</v>
      </c>
      <c r="F9444">
        <v>0.16166616976261139</v>
      </c>
    </row>
    <row r="9445" spans="2:6">
      <c r="B9445">
        <v>2011</v>
      </c>
      <c r="C9445" t="s">
        <v>106</v>
      </c>
      <c r="D9445" t="s">
        <v>184</v>
      </c>
      <c r="E9445" t="s">
        <v>7</v>
      </c>
      <c r="F9445">
        <v>4.6668329238891602</v>
      </c>
    </row>
    <row r="9446" spans="2:6">
      <c r="B9446">
        <v>2011</v>
      </c>
      <c r="C9446" t="s">
        <v>106</v>
      </c>
      <c r="D9446" t="s">
        <v>184</v>
      </c>
      <c r="E9446" t="s">
        <v>8</v>
      </c>
      <c r="F9446">
        <v>7.6429343223571777</v>
      </c>
    </row>
    <row r="9447" spans="2:6">
      <c r="B9447">
        <v>2011</v>
      </c>
      <c r="C9447" t="s">
        <v>106</v>
      </c>
      <c r="D9447" t="s">
        <v>184</v>
      </c>
      <c r="E9447" t="s">
        <v>9</v>
      </c>
      <c r="F9447">
        <v>0.79550504684448242</v>
      </c>
    </row>
    <row r="9448" spans="2:6">
      <c r="B9448">
        <v>2011</v>
      </c>
      <c r="C9448" t="s">
        <v>106</v>
      </c>
      <c r="D9448" t="s">
        <v>184</v>
      </c>
      <c r="E9448" t="s">
        <v>10</v>
      </c>
      <c r="F9448">
        <v>48.759998321533203</v>
      </c>
    </row>
    <row r="9449" spans="2:6">
      <c r="B9449">
        <v>2011</v>
      </c>
      <c r="C9449" t="s">
        <v>106</v>
      </c>
      <c r="D9449" t="s">
        <v>184</v>
      </c>
      <c r="E9449" t="s">
        <v>11</v>
      </c>
      <c r="F9449">
        <v>0.82284760475158691</v>
      </c>
    </row>
    <row r="9450" spans="2:6">
      <c r="B9450">
        <v>2011</v>
      </c>
      <c r="C9450" t="s">
        <v>106</v>
      </c>
      <c r="D9450" t="s">
        <v>184</v>
      </c>
      <c r="E9450" t="s">
        <v>12</v>
      </c>
      <c r="F9450">
        <v>-0.1008056178689003</v>
      </c>
    </row>
    <row r="9451" spans="2:6">
      <c r="B9451">
        <v>2011</v>
      </c>
      <c r="C9451" t="s">
        <v>106</v>
      </c>
      <c r="D9451" t="s">
        <v>184</v>
      </c>
      <c r="E9451" t="s">
        <v>13</v>
      </c>
      <c r="F9451">
        <v>0.72606247663497925</v>
      </c>
    </row>
    <row r="9452" spans="2:6">
      <c r="B9452">
        <v>2011</v>
      </c>
      <c r="C9452" t="s">
        <v>106</v>
      </c>
      <c r="D9452" t="s">
        <v>184</v>
      </c>
      <c r="E9452" t="s">
        <v>14</v>
      </c>
      <c r="F9452">
        <v>0.75827044248580933</v>
      </c>
    </row>
    <row r="9453" spans="2:6">
      <c r="B9453">
        <v>2011</v>
      </c>
      <c r="C9453" t="s">
        <v>106</v>
      </c>
      <c r="D9453" t="s">
        <v>184</v>
      </c>
      <c r="E9453" t="s">
        <v>15</v>
      </c>
      <c r="F9453">
        <v>0.13182123005390167</v>
      </c>
    </row>
    <row r="9454" spans="2:6">
      <c r="B9454">
        <v>2012</v>
      </c>
      <c r="C9454" t="s">
        <v>106</v>
      </c>
      <c r="D9454" t="s">
        <v>184</v>
      </c>
      <c r="E9454" t="s">
        <v>7</v>
      </c>
      <c r="F9454">
        <v>4.3130168914794922</v>
      </c>
    </row>
    <row r="9455" spans="2:6">
      <c r="B9455">
        <v>2012</v>
      </c>
      <c r="C9455" t="s">
        <v>106</v>
      </c>
      <c r="D9455" t="s">
        <v>184</v>
      </c>
      <c r="E9455" t="s">
        <v>8</v>
      </c>
      <c r="F9455">
        <v>7.6050071716308594</v>
      </c>
    </row>
    <row r="9456" spans="2:6">
      <c r="B9456">
        <v>2012</v>
      </c>
      <c r="C9456" t="s">
        <v>106</v>
      </c>
      <c r="D9456" t="s">
        <v>184</v>
      </c>
      <c r="E9456" t="s">
        <v>9</v>
      </c>
      <c r="F9456">
        <v>0.82343506813049316</v>
      </c>
    </row>
    <row r="9457" spans="2:6">
      <c r="B9457">
        <v>2012</v>
      </c>
      <c r="C9457" t="s">
        <v>106</v>
      </c>
      <c r="D9457" t="s">
        <v>184</v>
      </c>
      <c r="E9457" t="s">
        <v>10</v>
      </c>
      <c r="F9457">
        <v>49.119998931884766</v>
      </c>
    </row>
    <row r="9458" spans="2:6">
      <c r="B9458">
        <v>2012</v>
      </c>
      <c r="C9458" t="s">
        <v>106</v>
      </c>
      <c r="D9458" t="s">
        <v>184</v>
      </c>
      <c r="E9458" t="s">
        <v>11</v>
      </c>
      <c r="F9458">
        <v>0.7042192816734314</v>
      </c>
    </row>
    <row r="9459" spans="2:6">
      <c r="B9459">
        <v>2012</v>
      </c>
      <c r="C9459" t="s">
        <v>106</v>
      </c>
      <c r="D9459" t="s">
        <v>184</v>
      </c>
      <c r="E9459" t="s">
        <v>12</v>
      </c>
      <c r="F9459">
        <v>-8.8332980871200562E-2</v>
      </c>
    </row>
    <row r="9460" spans="2:6">
      <c r="B9460">
        <v>2012</v>
      </c>
      <c r="C9460" t="s">
        <v>106</v>
      </c>
      <c r="D9460" t="s">
        <v>184</v>
      </c>
      <c r="E9460" t="s">
        <v>13</v>
      </c>
      <c r="F9460">
        <v>0.78671950101852417</v>
      </c>
    </row>
    <row r="9461" spans="2:6">
      <c r="B9461">
        <v>2012</v>
      </c>
      <c r="C9461" t="s">
        <v>106</v>
      </c>
      <c r="D9461" t="s">
        <v>184</v>
      </c>
      <c r="E9461" t="s">
        <v>14</v>
      </c>
      <c r="F9461">
        <v>0.68075037002563477</v>
      </c>
    </row>
    <row r="9462" spans="2:6">
      <c r="B9462">
        <v>2012</v>
      </c>
      <c r="C9462" t="s">
        <v>106</v>
      </c>
      <c r="D9462" t="s">
        <v>184</v>
      </c>
      <c r="E9462" t="s">
        <v>15</v>
      </c>
      <c r="F9462">
        <v>0.10944750159978867</v>
      </c>
    </row>
    <row r="9463" spans="2:6">
      <c r="B9463">
        <v>2013</v>
      </c>
      <c r="C9463" t="s">
        <v>106</v>
      </c>
      <c r="D9463" t="s">
        <v>184</v>
      </c>
      <c r="E9463" t="s">
        <v>7</v>
      </c>
      <c r="F9463">
        <v>3.6762771606445313</v>
      </c>
    </row>
    <row r="9464" spans="2:6">
      <c r="B9464">
        <v>2013</v>
      </c>
      <c r="C9464" t="s">
        <v>106</v>
      </c>
      <c r="D9464" t="s">
        <v>184</v>
      </c>
      <c r="E9464" t="s">
        <v>8</v>
      </c>
      <c r="F9464">
        <v>7.5987730026245117</v>
      </c>
    </row>
    <row r="9465" spans="2:6">
      <c r="B9465">
        <v>2013</v>
      </c>
      <c r="C9465" t="s">
        <v>106</v>
      </c>
      <c r="D9465" t="s">
        <v>184</v>
      </c>
      <c r="E9465" t="s">
        <v>9</v>
      </c>
      <c r="F9465">
        <v>0.81969141960144043</v>
      </c>
    </row>
    <row r="9466" spans="2:6">
      <c r="B9466">
        <v>2013</v>
      </c>
      <c r="C9466" t="s">
        <v>106</v>
      </c>
      <c r="D9466" t="s">
        <v>184</v>
      </c>
      <c r="E9466" t="s">
        <v>10</v>
      </c>
      <c r="F9466">
        <v>49.479999542236328</v>
      </c>
    </row>
    <row r="9467" spans="2:6">
      <c r="B9467">
        <v>2013</v>
      </c>
      <c r="C9467" t="s">
        <v>106</v>
      </c>
      <c r="D9467" t="s">
        <v>184</v>
      </c>
      <c r="E9467" t="s">
        <v>11</v>
      </c>
      <c r="F9467">
        <v>0.66471105813980103</v>
      </c>
    </row>
    <row r="9468" spans="2:6">
      <c r="B9468">
        <v>2013</v>
      </c>
      <c r="C9468" t="s">
        <v>106</v>
      </c>
      <c r="D9468" t="s">
        <v>184</v>
      </c>
      <c r="E9468" t="s">
        <v>12</v>
      </c>
      <c r="F9468">
        <v>-5.3348276764154434E-2</v>
      </c>
    </row>
    <row r="9469" spans="2:6">
      <c r="B9469">
        <v>2013</v>
      </c>
      <c r="C9469" t="s">
        <v>106</v>
      </c>
      <c r="D9469" t="s">
        <v>184</v>
      </c>
      <c r="E9469" t="s">
        <v>13</v>
      </c>
      <c r="F9469">
        <v>0.75480735301971436</v>
      </c>
    </row>
    <row r="9470" spans="2:6">
      <c r="B9470">
        <v>2013</v>
      </c>
      <c r="C9470" t="s">
        <v>106</v>
      </c>
      <c r="D9470" t="s">
        <v>184</v>
      </c>
      <c r="E9470" t="s">
        <v>14</v>
      </c>
      <c r="F9470">
        <v>0.72391992807388306</v>
      </c>
    </row>
    <row r="9471" spans="2:6">
      <c r="B9471">
        <v>2013</v>
      </c>
      <c r="C9471" t="s">
        <v>106</v>
      </c>
      <c r="D9471" t="s">
        <v>184</v>
      </c>
      <c r="E9471" t="s">
        <v>15</v>
      </c>
      <c r="F9471">
        <v>0.19290071725845337</v>
      </c>
    </row>
    <row r="9472" spans="2:6">
      <c r="B9472">
        <v>2014</v>
      </c>
      <c r="C9472" t="s">
        <v>106</v>
      </c>
      <c r="D9472" t="s">
        <v>184</v>
      </c>
      <c r="E9472" t="s">
        <v>7</v>
      </c>
      <c r="F9472">
        <v>3.9747142791748047</v>
      </c>
    </row>
    <row r="9473" spans="2:6">
      <c r="B9473">
        <v>2014</v>
      </c>
      <c r="C9473" t="s">
        <v>106</v>
      </c>
      <c r="D9473" t="s">
        <v>184</v>
      </c>
      <c r="E9473" t="s">
        <v>8</v>
      </c>
      <c r="F9473">
        <v>7.638359546661377</v>
      </c>
    </row>
    <row r="9474" spans="2:6">
      <c r="B9474">
        <v>2014</v>
      </c>
      <c r="C9474" t="s">
        <v>106</v>
      </c>
      <c r="D9474" t="s">
        <v>184</v>
      </c>
      <c r="E9474" t="s">
        <v>9</v>
      </c>
      <c r="F9474">
        <v>0.84312343597412109</v>
      </c>
    </row>
    <row r="9475" spans="2:6">
      <c r="B9475">
        <v>2014</v>
      </c>
      <c r="C9475" t="s">
        <v>106</v>
      </c>
      <c r="D9475" t="s">
        <v>184</v>
      </c>
      <c r="E9475" t="s">
        <v>10</v>
      </c>
      <c r="F9475">
        <v>49.840000152587891</v>
      </c>
    </row>
    <row r="9476" spans="2:6">
      <c r="B9476">
        <v>2014</v>
      </c>
      <c r="C9476" t="s">
        <v>106</v>
      </c>
      <c r="D9476" t="s">
        <v>184</v>
      </c>
      <c r="E9476" t="s">
        <v>11</v>
      </c>
      <c r="F9476">
        <v>0.65151387453079224</v>
      </c>
    </row>
    <row r="9477" spans="2:6">
      <c r="B9477">
        <v>2014</v>
      </c>
      <c r="C9477" t="s">
        <v>106</v>
      </c>
      <c r="D9477" t="s">
        <v>184</v>
      </c>
      <c r="E9477" t="s">
        <v>12</v>
      </c>
      <c r="F9477">
        <v>-3.7456214427947998E-2</v>
      </c>
    </row>
    <row r="9478" spans="2:6">
      <c r="B9478">
        <v>2014</v>
      </c>
      <c r="C9478" t="s">
        <v>106</v>
      </c>
      <c r="D9478" t="s">
        <v>184</v>
      </c>
      <c r="E9478" t="s">
        <v>13</v>
      </c>
      <c r="F9478">
        <v>0.65793055295944214</v>
      </c>
    </row>
    <row r="9479" spans="2:6">
      <c r="B9479">
        <v>2014</v>
      </c>
      <c r="C9479" t="s">
        <v>106</v>
      </c>
      <c r="D9479" t="s">
        <v>184</v>
      </c>
      <c r="E9479" t="s">
        <v>14</v>
      </c>
      <c r="F9479">
        <v>0.7409014105796814</v>
      </c>
    </row>
    <row r="9480" spans="2:6">
      <c r="B9480">
        <v>2014</v>
      </c>
      <c r="C9480" t="s">
        <v>106</v>
      </c>
      <c r="D9480" t="s">
        <v>184</v>
      </c>
      <c r="E9480" t="s">
        <v>15</v>
      </c>
      <c r="F9480">
        <v>0.18563412129878998</v>
      </c>
    </row>
    <row r="9481" spans="2:6">
      <c r="B9481">
        <v>2015</v>
      </c>
      <c r="C9481" t="s">
        <v>106</v>
      </c>
      <c r="D9481" t="s">
        <v>184</v>
      </c>
      <c r="E9481" t="s">
        <v>7</v>
      </c>
      <c r="F9481">
        <v>4.5820984840393066</v>
      </c>
    </row>
    <row r="9482" spans="2:6">
      <c r="B9482">
        <v>2015</v>
      </c>
      <c r="C9482" t="s">
        <v>106</v>
      </c>
      <c r="D9482" t="s">
        <v>184</v>
      </c>
      <c r="E9482" t="s">
        <v>8</v>
      </c>
      <c r="F9482">
        <v>7.6688475608825684</v>
      </c>
    </row>
    <row r="9483" spans="2:6">
      <c r="B9483">
        <v>2015</v>
      </c>
      <c r="C9483" t="s">
        <v>106</v>
      </c>
      <c r="D9483" t="s">
        <v>184</v>
      </c>
      <c r="E9483" t="s">
        <v>9</v>
      </c>
      <c r="F9483">
        <v>0.83018916845321655</v>
      </c>
    </row>
    <row r="9484" spans="2:6">
      <c r="B9484">
        <v>2015</v>
      </c>
      <c r="C9484" t="s">
        <v>106</v>
      </c>
      <c r="D9484" t="s">
        <v>184</v>
      </c>
      <c r="E9484" t="s">
        <v>10</v>
      </c>
      <c r="F9484">
        <v>50.200000762939453</v>
      </c>
    </row>
    <row r="9485" spans="2:6">
      <c r="B9485">
        <v>2015</v>
      </c>
      <c r="C9485" t="s">
        <v>106</v>
      </c>
      <c r="D9485" t="s">
        <v>184</v>
      </c>
      <c r="E9485" t="s">
        <v>11</v>
      </c>
      <c r="F9485">
        <v>0.63375353813171387</v>
      </c>
    </row>
    <row r="9486" spans="2:6">
      <c r="B9486">
        <v>2015</v>
      </c>
      <c r="C9486" t="s">
        <v>106</v>
      </c>
      <c r="D9486" t="s">
        <v>184</v>
      </c>
      <c r="E9486" t="s">
        <v>12</v>
      </c>
      <c r="F9486">
        <v>-6.7582294344902039E-2</v>
      </c>
    </row>
    <row r="9487" spans="2:6">
      <c r="B9487">
        <v>2015</v>
      </c>
      <c r="C9487" t="s">
        <v>106</v>
      </c>
      <c r="D9487" t="s">
        <v>184</v>
      </c>
      <c r="E9487" t="s">
        <v>13</v>
      </c>
      <c r="F9487">
        <v>0.80004674196243286</v>
      </c>
    </row>
    <row r="9488" spans="2:6">
      <c r="B9488">
        <v>2015</v>
      </c>
      <c r="C9488" t="s">
        <v>106</v>
      </c>
      <c r="D9488" t="s">
        <v>184</v>
      </c>
      <c r="E9488" t="s">
        <v>14</v>
      </c>
      <c r="F9488">
        <v>0.70894831418991089</v>
      </c>
    </row>
    <row r="9489" spans="2:6">
      <c r="B9489">
        <v>2015</v>
      </c>
      <c r="C9489" t="s">
        <v>106</v>
      </c>
      <c r="D9489" t="s">
        <v>184</v>
      </c>
      <c r="E9489" t="s">
        <v>15</v>
      </c>
      <c r="F9489">
        <v>0.24300301074981689</v>
      </c>
    </row>
    <row r="9490" spans="2:6">
      <c r="B9490">
        <v>2016</v>
      </c>
      <c r="C9490" t="s">
        <v>106</v>
      </c>
      <c r="D9490" t="s">
        <v>184</v>
      </c>
      <c r="E9490" t="s">
        <v>7</v>
      </c>
      <c r="F9490">
        <v>4.0160279273986816</v>
      </c>
    </row>
    <row r="9491" spans="2:6">
      <c r="B9491">
        <v>2016</v>
      </c>
      <c r="C9491" t="s">
        <v>106</v>
      </c>
      <c r="D9491" t="s">
        <v>184</v>
      </c>
      <c r="E9491" t="s">
        <v>8</v>
      </c>
      <c r="F9491">
        <v>7.6951351165771484</v>
      </c>
    </row>
    <row r="9492" spans="2:6">
      <c r="B9492">
        <v>2016</v>
      </c>
      <c r="C9492" t="s">
        <v>106</v>
      </c>
      <c r="D9492" t="s">
        <v>184</v>
      </c>
      <c r="E9492" t="s">
        <v>9</v>
      </c>
      <c r="F9492">
        <v>0.8362545371055603</v>
      </c>
    </row>
    <row r="9493" spans="2:6">
      <c r="B9493">
        <v>2016</v>
      </c>
      <c r="C9493" t="s">
        <v>106</v>
      </c>
      <c r="D9493" t="s">
        <v>184</v>
      </c>
      <c r="E9493" t="s">
        <v>10</v>
      </c>
      <c r="F9493">
        <v>50.700000762939453</v>
      </c>
    </row>
    <row r="9494" spans="2:6">
      <c r="B9494">
        <v>2016</v>
      </c>
      <c r="C9494" t="s">
        <v>106</v>
      </c>
      <c r="D9494" t="s">
        <v>184</v>
      </c>
      <c r="E9494" t="s">
        <v>11</v>
      </c>
      <c r="F9494">
        <v>0.6960073709487915</v>
      </c>
    </row>
    <row r="9495" spans="2:6">
      <c r="B9495">
        <v>2016</v>
      </c>
      <c r="C9495" t="s">
        <v>106</v>
      </c>
      <c r="D9495" t="s">
        <v>184</v>
      </c>
      <c r="E9495" t="s">
        <v>12</v>
      </c>
      <c r="F9495">
        <v>-6.9865085184574127E-2</v>
      </c>
    </row>
    <row r="9496" spans="2:6">
      <c r="B9496">
        <v>2016</v>
      </c>
      <c r="C9496" t="s">
        <v>106</v>
      </c>
      <c r="D9496" t="s">
        <v>184</v>
      </c>
      <c r="E9496" t="s">
        <v>13</v>
      </c>
      <c r="F9496">
        <v>0.86232668161392212</v>
      </c>
    </row>
    <row r="9497" spans="2:6">
      <c r="B9497">
        <v>2016</v>
      </c>
      <c r="C9497" t="s">
        <v>106</v>
      </c>
      <c r="D9497" t="s">
        <v>184</v>
      </c>
      <c r="E9497" t="s">
        <v>14</v>
      </c>
      <c r="F9497">
        <v>0.80690133571624756</v>
      </c>
    </row>
    <row r="9498" spans="2:6">
      <c r="B9498">
        <v>2016</v>
      </c>
      <c r="C9498" t="s">
        <v>106</v>
      </c>
      <c r="D9498" t="s">
        <v>184</v>
      </c>
      <c r="E9498" t="s">
        <v>15</v>
      </c>
      <c r="F9498">
        <v>0.30529943108558655</v>
      </c>
    </row>
    <row r="9499" spans="2:6">
      <c r="B9499">
        <v>2017</v>
      </c>
      <c r="C9499" t="s">
        <v>106</v>
      </c>
      <c r="D9499" t="s">
        <v>184</v>
      </c>
      <c r="E9499" t="s">
        <v>7</v>
      </c>
      <c r="F9499">
        <v>4.7418503761291504</v>
      </c>
    </row>
    <row r="9500" spans="2:6">
      <c r="B9500">
        <v>2017</v>
      </c>
      <c r="C9500" t="s">
        <v>106</v>
      </c>
      <c r="D9500" t="s">
        <v>184</v>
      </c>
      <c r="E9500" t="s">
        <v>8</v>
      </c>
      <c r="F9500">
        <v>7.7179121971130371</v>
      </c>
    </row>
    <row r="9501" spans="2:6">
      <c r="B9501">
        <v>2017</v>
      </c>
      <c r="C9501" t="s">
        <v>106</v>
      </c>
      <c r="D9501" t="s">
        <v>184</v>
      </c>
      <c r="E9501" t="s">
        <v>9</v>
      </c>
      <c r="F9501">
        <v>0.7413594126701355</v>
      </c>
    </row>
    <row r="9502" spans="2:6">
      <c r="B9502">
        <v>2017</v>
      </c>
      <c r="C9502" t="s">
        <v>106</v>
      </c>
      <c r="D9502" t="s">
        <v>184</v>
      </c>
      <c r="E9502" t="s">
        <v>10</v>
      </c>
      <c r="F9502">
        <v>51.200000762939453</v>
      </c>
    </row>
    <row r="9503" spans="2:6">
      <c r="B9503">
        <v>2017</v>
      </c>
      <c r="C9503" t="s">
        <v>106</v>
      </c>
      <c r="D9503" t="s">
        <v>184</v>
      </c>
      <c r="E9503" t="s">
        <v>11</v>
      </c>
      <c r="F9503">
        <v>0.75321334600448608</v>
      </c>
    </row>
    <row r="9504" spans="2:6">
      <c r="B9504">
        <v>2017</v>
      </c>
      <c r="C9504" t="s">
        <v>106</v>
      </c>
      <c r="D9504" t="s">
        <v>184</v>
      </c>
      <c r="E9504" t="s">
        <v>12</v>
      </c>
      <c r="F9504">
        <v>-6.947905570268631E-2</v>
      </c>
    </row>
    <row r="9505" spans="2:6">
      <c r="B9505">
        <v>2017</v>
      </c>
      <c r="C9505" t="s">
        <v>106</v>
      </c>
      <c r="D9505" t="s">
        <v>184</v>
      </c>
      <c r="E9505" t="s">
        <v>13</v>
      </c>
      <c r="F9505">
        <v>0.8626551628112793</v>
      </c>
    </row>
    <row r="9506" spans="2:6">
      <c r="B9506">
        <v>2017</v>
      </c>
      <c r="C9506" t="s">
        <v>106</v>
      </c>
      <c r="D9506" t="s">
        <v>184</v>
      </c>
      <c r="E9506" t="s">
        <v>14</v>
      </c>
      <c r="F9506">
        <v>0.74183577299118042</v>
      </c>
    </row>
    <row r="9507" spans="2:6">
      <c r="B9507">
        <v>2017</v>
      </c>
      <c r="C9507" t="s">
        <v>106</v>
      </c>
      <c r="D9507" t="s">
        <v>184</v>
      </c>
      <c r="E9507" t="s">
        <v>15</v>
      </c>
      <c r="F9507">
        <v>0.39278414845466614</v>
      </c>
    </row>
    <row r="9508" spans="2:6">
      <c r="B9508">
        <v>2018</v>
      </c>
      <c r="C9508" t="s">
        <v>106</v>
      </c>
      <c r="D9508" t="s">
        <v>184</v>
      </c>
      <c r="E9508" t="s">
        <v>7</v>
      </c>
      <c r="F9508">
        <v>4.4157295227050781</v>
      </c>
    </row>
    <row r="9509" spans="2:6">
      <c r="B9509">
        <v>2018</v>
      </c>
      <c r="C9509" t="s">
        <v>106</v>
      </c>
      <c r="D9509" t="s">
        <v>184</v>
      </c>
      <c r="E9509" t="s">
        <v>8</v>
      </c>
      <c r="F9509">
        <v>7.7332897186279297</v>
      </c>
    </row>
    <row r="9510" spans="2:6">
      <c r="B9510">
        <v>2018</v>
      </c>
      <c r="C9510" t="s">
        <v>106</v>
      </c>
      <c r="D9510" t="s">
        <v>184</v>
      </c>
      <c r="E9510" t="s">
        <v>9</v>
      </c>
      <c r="F9510">
        <v>0.69185906648635864</v>
      </c>
    </row>
    <row r="9511" spans="2:6">
      <c r="B9511">
        <v>2018</v>
      </c>
      <c r="C9511" t="s">
        <v>106</v>
      </c>
      <c r="D9511" t="s">
        <v>184</v>
      </c>
      <c r="E9511" t="s">
        <v>10</v>
      </c>
      <c r="F9511">
        <v>51.700000762939453</v>
      </c>
    </row>
    <row r="9512" spans="2:6">
      <c r="B9512">
        <v>2018</v>
      </c>
      <c r="C9512" t="s">
        <v>106</v>
      </c>
      <c r="D9512" t="s">
        <v>184</v>
      </c>
      <c r="E9512" t="s">
        <v>11</v>
      </c>
      <c r="F9512">
        <v>0.73720455169677734</v>
      </c>
    </row>
    <row r="9513" spans="2:6">
      <c r="B9513">
        <v>2018</v>
      </c>
      <c r="C9513" t="s">
        <v>106</v>
      </c>
      <c r="D9513" t="s">
        <v>184</v>
      </c>
      <c r="E9513" t="s">
        <v>12</v>
      </c>
      <c r="F9513">
        <v>-3.3900391310453415E-2</v>
      </c>
    </row>
    <row r="9514" spans="2:6">
      <c r="B9514">
        <v>2018</v>
      </c>
      <c r="C9514" t="s">
        <v>106</v>
      </c>
      <c r="D9514" t="s">
        <v>184</v>
      </c>
      <c r="E9514" t="s">
        <v>13</v>
      </c>
      <c r="F9514">
        <v>0.79309141635894775</v>
      </c>
    </row>
    <row r="9515" spans="2:6">
      <c r="B9515">
        <v>2018</v>
      </c>
      <c r="C9515" t="s">
        <v>106</v>
      </c>
      <c r="D9515" t="s">
        <v>184</v>
      </c>
      <c r="E9515" t="s">
        <v>14</v>
      </c>
      <c r="F9515">
        <v>0.77001726627349854</v>
      </c>
    </row>
    <row r="9516" spans="2:6">
      <c r="B9516">
        <v>2018</v>
      </c>
      <c r="C9516" t="s">
        <v>106</v>
      </c>
      <c r="D9516" t="s">
        <v>184</v>
      </c>
      <c r="E9516" t="s">
        <v>15</v>
      </c>
      <c r="F9516">
        <v>0.36964818835258484</v>
      </c>
    </row>
    <row r="9517" spans="2:6">
      <c r="B9517">
        <v>2019</v>
      </c>
      <c r="C9517" t="s">
        <v>106</v>
      </c>
      <c r="D9517" t="s">
        <v>184</v>
      </c>
      <c r="E9517" t="s">
        <v>7</v>
      </c>
      <c r="F9517">
        <v>4.9879918098449707</v>
      </c>
    </row>
    <row r="9518" spans="2:6">
      <c r="B9518">
        <v>2019</v>
      </c>
      <c r="C9518" t="s">
        <v>106</v>
      </c>
      <c r="D9518" t="s">
        <v>184</v>
      </c>
      <c r="E9518" t="s">
        <v>8</v>
      </c>
      <c r="F9518">
        <v>7.7524948120117188</v>
      </c>
    </row>
    <row r="9519" spans="2:6">
      <c r="B9519">
        <v>2019</v>
      </c>
      <c r="C9519" t="s">
        <v>106</v>
      </c>
      <c r="D9519" t="s">
        <v>184</v>
      </c>
      <c r="E9519" t="s">
        <v>9</v>
      </c>
      <c r="F9519">
        <v>0.75455808639526367</v>
      </c>
    </row>
    <row r="9520" spans="2:6">
      <c r="B9520">
        <v>2019</v>
      </c>
      <c r="C9520" t="s">
        <v>106</v>
      </c>
      <c r="D9520" t="s">
        <v>184</v>
      </c>
      <c r="E9520" t="s">
        <v>10</v>
      </c>
      <c r="F9520">
        <v>52.200000762939453</v>
      </c>
    </row>
    <row r="9521" spans="2:6">
      <c r="B9521">
        <v>2019</v>
      </c>
      <c r="C9521" t="s">
        <v>106</v>
      </c>
      <c r="D9521" t="s">
        <v>184</v>
      </c>
      <c r="E9521" t="s">
        <v>11</v>
      </c>
      <c r="F9521">
        <v>0.67040508985519409</v>
      </c>
    </row>
    <row r="9522" spans="2:6">
      <c r="B9522">
        <v>2019</v>
      </c>
      <c r="C9522" t="s">
        <v>106</v>
      </c>
      <c r="D9522" t="s">
        <v>184</v>
      </c>
      <c r="E9522" t="s">
        <v>12</v>
      </c>
      <c r="F9522">
        <v>-3.7851758301258087E-2</v>
      </c>
    </row>
    <row r="9523" spans="2:6">
      <c r="B9523">
        <v>2019</v>
      </c>
      <c r="C9523" t="s">
        <v>106</v>
      </c>
      <c r="D9523" t="s">
        <v>184</v>
      </c>
      <c r="E9523" t="s">
        <v>13</v>
      </c>
      <c r="F9523">
        <v>0.84634000062942505</v>
      </c>
    </row>
    <row r="9524" spans="2:6">
      <c r="B9524">
        <v>2019</v>
      </c>
      <c r="C9524" t="s">
        <v>106</v>
      </c>
      <c r="D9524" t="s">
        <v>184</v>
      </c>
      <c r="E9524" t="s">
        <v>14</v>
      </c>
      <c r="F9524">
        <v>0.71152269840240479</v>
      </c>
    </row>
    <row r="9525" spans="2:6">
      <c r="B9525">
        <v>2019</v>
      </c>
      <c r="C9525" t="s">
        <v>106</v>
      </c>
      <c r="D9525" t="s">
        <v>184</v>
      </c>
      <c r="E9525" t="s">
        <v>15</v>
      </c>
      <c r="F9525">
        <v>0.35776451230049133</v>
      </c>
    </row>
    <row r="9526" spans="2:6">
      <c r="B9526">
        <v>2009</v>
      </c>
      <c r="C9526" t="s">
        <v>107</v>
      </c>
      <c r="D9526" t="s">
        <v>183</v>
      </c>
      <c r="E9526" t="s">
        <v>7</v>
      </c>
      <c r="F9526">
        <v>6.3276395797729492</v>
      </c>
    </row>
    <row r="9527" spans="2:6">
      <c r="B9527">
        <v>2009</v>
      </c>
      <c r="C9527" t="s">
        <v>107</v>
      </c>
      <c r="D9527" t="s">
        <v>183</v>
      </c>
      <c r="E9527" t="s">
        <v>8</v>
      </c>
      <c r="F9527">
        <v>10.331231117248535</v>
      </c>
    </row>
    <row r="9528" spans="2:6">
      <c r="B9528">
        <v>2009</v>
      </c>
      <c r="C9528" t="s">
        <v>107</v>
      </c>
      <c r="D9528" t="s">
        <v>183</v>
      </c>
      <c r="E9528" t="s">
        <v>9</v>
      </c>
      <c r="F9528">
        <v>0.91577214002609253</v>
      </c>
    </row>
    <row r="9529" spans="2:6">
      <c r="B9529">
        <v>2009</v>
      </c>
      <c r="C9529" t="s">
        <v>107</v>
      </c>
      <c r="D9529" t="s">
        <v>183</v>
      </c>
      <c r="E9529" t="s">
        <v>10</v>
      </c>
      <c r="F9529">
        <v>71.379997253417969</v>
      </c>
    </row>
    <row r="9530" spans="2:6">
      <c r="B9530">
        <v>2009</v>
      </c>
      <c r="C9530" t="s">
        <v>107</v>
      </c>
      <c r="D9530" t="s">
        <v>183</v>
      </c>
      <c r="E9530" t="s">
        <v>11</v>
      </c>
      <c r="F9530">
        <v>0.80317980051040649</v>
      </c>
    </row>
    <row r="9531" spans="2:6">
      <c r="B9531">
        <v>2009</v>
      </c>
      <c r="C9531" t="s">
        <v>107</v>
      </c>
      <c r="D9531" t="s">
        <v>183</v>
      </c>
      <c r="E9531" t="s">
        <v>12</v>
      </c>
      <c r="F9531">
        <v>0.46361663937568665</v>
      </c>
    </row>
    <row r="9532" spans="2:6">
      <c r="B9532">
        <v>2009</v>
      </c>
      <c r="C9532" t="s">
        <v>107</v>
      </c>
      <c r="D9532" t="s">
        <v>183</v>
      </c>
      <c r="E9532" t="s">
        <v>14</v>
      </c>
      <c r="F9532">
        <v>0.71477991342544556</v>
      </c>
    </row>
    <row r="9533" spans="2:6">
      <c r="B9533">
        <v>2009</v>
      </c>
      <c r="C9533" t="s">
        <v>107</v>
      </c>
      <c r="D9533" t="s">
        <v>183</v>
      </c>
      <c r="E9533" t="s">
        <v>15</v>
      </c>
      <c r="F9533">
        <v>0.35787433385848999</v>
      </c>
    </row>
    <row r="9534" spans="2:6">
      <c r="B9534">
        <v>2010</v>
      </c>
      <c r="C9534" t="s">
        <v>107</v>
      </c>
      <c r="D9534" t="s">
        <v>183</v>
      </c>
      <c r="E9534" t="s">
        <v>7</v>
      </c>
      <c r="F9534">
        <v>5.7738747596740723</v>
      </c>
    </row>
    <row r="9535" spans="2:6">
      <c r="B9535">
        <v>2010</v>
      </c>
      <c r="C9535" t="s">
        <v>107</v>
      </c>
      <c r="D9535" t="s">
        <v>183</v>
      </c>
      <c r="E9535" t="s">
        <v>8</v>
      </c>
      <c r="F9535">
        <v>10.361133575439453</v>
      </c>
    </row>
    <row r="9536" spans="2:6">
      <c r="B9536">
        <v>2010</v>
      </c>
      <c r="C9536" t="s">
        <v>107</v>
      </c>
      <c r="D9536" t="s">
        <v>183</v>
      </c>
      <c r="E9536" t="s">
        <v>9</v>
      </c>
      <c r="F9536">
        <v>0.90832149982452393</v>
      </c>
    </row>
    <row r="9537" spans="2:6">
      <c r="B9537">
        <v>2010</v>
      </c>
      <c r="C9537" t="s">
        <v>107</v>
      </c>
      <c r="D9537" t="s">
        <v>183</v>
      </c>
      <c r="E9537" t="s">
        <v>10</v>
      </c>
      <c r="F9537">
        <v>71.599998474121094</v>
      </c>
    </row>
    <row r="9538" spans="2:6">
      <c r="B9538">
        <v>2010</v>
      </c>
      <c r="C9538" t="s">
        <v>107</v>
      </c>
      <c r="D9538" t="s">
        <v>183</v>
      </c>
      <c r="E9538" t="s">
        <v>11</v>
      </c>
      <c r="F9538">
        <v>0.80204439163208008</v>
      </c>
    </row>
    <row r="9539" spans="2:6">
      <c r="B9539">
        <v>2010</v>
      </c>
      <c r="C9539" t="s">
        <v>107</v>
      </c>
      <c r="D9539" t="s">
        <v>183</v>
      </c>
      <c r="E9539" t="s">
        <v>12</v>
      </c>
      <c r="F9539">
        <v>0.28680714964866638</v>
      </c>
    </row>
    <row r="9540" spans="2:6">
      <c r="B9540">
        <v>2010</v>
      </c>
      <c r="C9540" t="s">
        <v>107</v>
      </c>
      <c r="D9540" t="s">
        <v>183</v>
      </c>
      <c r="E9540" t="s">
        <v>14</v>
      </c>
      <c r="F9540">
        <v>0.69691956043243408</v>
      </c>
    </row>
    <row r="9541" spans="2:6">
      <c r="B9541">
        <v>2010</v>
      </c>
      <c r="C9541" t="s">
        <v>107</v>
      </c>
      <c r="D9541" t="s">
        <v>183</v>
      </c>
      <c r="E9541" t="s">
        <v>15</v>
      </c>
      <c r="F9541">
        <v>0.37530267238616943</v>
      </c>
    </row>
    <row r="9542" spans="2:6">
      <c r="B9542">
        <v>2011</v>
      </c>
      <c r="C9542" t="s">
        <v>107</v>
      </c>
      <c r="D9542" t="s">
        <v>183</v>
      </c>
      <c r="E9542" t="s">
        <v>7</v>
      </c>
      <c r="F9542">
        <v>6.1547183990478516</v>
      </c>
    </row>
    <row r="9543" spans="2:6">
      <c r="B9543">
        <v>2011</v>
      </c>
      <c r="C9543" t="s">
        <v>107</v>
      </c>
      <c r="D9543" t="s">
        <v>183</v>
      </c>
      <c r="E9543" t="s">
        <v>8</v>
      </c>
      <c r="F9543">
        <v>10.370395660400391</v>
      </c>
    </row>
    <row r="9544" spans="2:6">
      <c r="B9544">
        <v>2011</v>
      </c>
      <c r="C9544" t="s">
        <v>107</v>
      </c>
      <c r="D9544" t="s">
        <v>183</v>
      </c>
      <c r="E9544" t="s">
        <v>9</v>
      </c>
      <c r="F9544">
        <v>0.92263972759246826</v>
      </c>
    </row>
    <row r="9545" spans="2:6">
      <c r="B9545">
        <v>2011</v>
      </c>
      <c r="C9545" t="s">
        <v>107</v>
      </c>
      <c r="D9545" t="s">
        <v>183</v>
      </c>
      <c r="E9545" t="s">
        <v>10</v>
      </c>
      <c r="F9545">
        <v>71.720001220703125</v>
      </c>
    </row>
    <row r="9546" spans="2:6">
      <c r="B9546">
        <v>2011</v>
      </c>
      <c r="C9546" t="s">
        <v>107</v>
      </c>
      <c r="D9546" t="s">
        <v>183</v>
      </c>
      <c r="E9546" t="s">
        <v>11</v>
      </c>
      <c r="F9546">
        <v>0.88192182779312134</v>
      </c>
    </row>
    <row r="9547" spans="2:6">
      <c r="B9547">
        <v>2011</v>
      </c>
      <c r="C9547" t="s">
        <v>107</v>
      </c>
      <c r="D9547" t="s">
        <v>183</v>
      </c>
      <c r="E9547" t="s">
        <v>12</v>
      </c>
      <c r="F9547">
        <v>0.29586002230644226</v>
      </c>
    </row>
    <row r="9548" spans="2:6">
      <c r="B9548">
        <v>2011</v>
      </c>
      <c r="C9548" t="s">
        <v>107</v>
      </c>
      <c r="D9548" t="s">
        <v>183</v>
      </c>
      <c r="E9548" t="s">
        <v>14</v>
      </c>
      <c r="F9548">
        <v>0.73618441820144653</v>
      </c>
    </row>
    <row r="9549" spans="2:6">
      <c r="B9549">
        <v>2011</v>
      </c>
      <c r="C9549" t="s">
        <v>107</v>
      </c>
      <c r="D9549" t="s">
        <v>183</v>
      </c>
      <c r="E9549" t="s">
        <v>15</v>
      </c>
      <c r="F9549">
        <v>0.33970287442207336</v>
      </c>
    </row>
    <row r="9550" spans="2:6">
      <c r="B9550">
        <v>2012</v>
      </c>
      <c r="C9550" t="s">
        <v>107</v>
      </c>
      <c r="D9550" t="s">
        <v>183</v>
      </c>
      <c r="E9550" t="s">
        <v>7</v>
      </c>
      <c r="F9550">
        <v>5.9628720283508301</v>
      </c>
    </row>
    <row r="9551" spans="2:6">
      <c r="B9551">
        <v>2012</v>
      </c>
      <c r="C9551" t="s">
        <v>107</v>
      </c>
      <c r="D9551" t="s">
        <v>183</v>
      </c>
      <c r="E9551" t="s">
        <v>8</v>
      </c>
      <c r="F9551">
        <v>10.388961791992188</v>
      </c>
    </row>
    <row r="9552" spans="2:6">
      <c r="B9552">
        <v>2012</v>
      </c>
      <c r="C9552" t="s">
        <v>107</v>
      </c>
      <c r="D9552" t="s">
        <v>183</v>
      </c>
      <c r="E9552" t="s">
        <v>9</v>
      </c>
      <c r="F9552">
        <v>0.92175203561782837</v>
      </c>
    </row>
    <row r="9553" spans="2:6">
      <c r="B9553">
        <v>2012</v>
      </c>
      <c r="C9553" t="s">
        <v>107</v>
      </c>
      <c r="D9553" t="s">
        <v>183</v>
      </c>
      <c r="E9553" t="s">
        <v>10</v>
      </c>
      <c r="F9553">
        <v>71.839996337890625</v>
      </c>
    </row>
    <row r="9554" spans="2:6">
      <c r="B9554">
        <v>2012</v>
      </c>
      <c r="C9554" t="s">
        <v>107</v>
      </c>
      <c r="D9554" t="s">
        <v>183</v>
      </c>
      <c r="E9554" t="s">
        <v>11</v>
      </c>
      <c r="F9554">
        <v>0.86068987846374512</v>
      </c>
    </row>
    <row r="9555" spans="2:6">
      <c r="B9555">
        <v>2012</v>
      </c>
      <c r="C9555" t="s">
        <v>107</v>
      </c>
      <c r="D9555" t="s">
        <v>183</v>
      </c>
      <c r="E9555" t="s">
        <v>12</v>
      </c>
      <c r="F9555">
        <v>0.3522007167339325</v>
      </c>
    </row>
    <row r="9556" spans="2:6">
      <c r="B9556">
        <v>2012</v>
      </c>
      <c r="C9556" t="s">
        <v>107</v>
      </c>
      <c r="D9556" t="s">
        <v>183</v>
      </c>
      <c r="E9556" t="s">
        <v>14</v>
      </c>
      <c r="F9556">
        <v>0.74428063631057739</v>
      </c>
    </row>
    <row r="9557" spans="2:6">
      <c r="B9557">
        <v>2012</v>
      </c>
      <c r="C9557" t="s">
        <v>107</v>
      </c>
      <c r="D9557" t="s">
        <v>183</v>
      </c>
      <c r="E9557" t="s">
        <v>15</v>
      </c>
      <c r="F9557">
        <v>0.39050397276878357</v>
      </c>
    </row>
    <row r="9558" spans="2:6">
      <c r="B9558">
        <v>2013</v>
      </c>
      <c r="C9558" t="s">
        <v>107</v>
      </c>
      <c r="D9558" t="s">
        <v>183</v>
      </c>
      <c r="E9558" t="s">
        <v>7</v>
      </c>
      <c r="F9558">
        <v>6.3799247741699219</v>
      </c>
    </row>
    <row r="9559" spans="2:6">
      <c r="B9559">
        <v>2013</v>
      </c>
      <c r="C9559" t="s">
        <v>107</v>
      </c>
      <c r="D9559" t="s">
        <v>183</v>
      </c>
      <c r="E9559" t="s">
        <v>8</v>
      </c>
      <c r="F9559">
        <v>10.422175407409668</v>
      </c>
    </row>
    <row r="9560" spans="2:6">
      <c r="B9560">
        <v>2013</v>
      </c>
      <c r="C9560" t="s">
        <v>107</v>
      </c>
      <c r="D9560" t="s">
        <v>183</v>
      </c>
      <c r="E9560" t="s">
        <v>9</v>
      </c>
      <c r="F9560">
        <v>0.94223141670227051</v>
      </c>
    </row>
    <row r="9561" spans="2:6">
      <c r="B9561">
        <v>2013</v>
      </c>
      <c r="C9561" t="s">
        <v>107</v>
      </c>
      <c r="D9561" t="s">
        <v>183</v>
      </c>
      <c r="E9561" t="s">
        <v>10</v>
      </c>
      <c r="F9561">
        <v>71.959999084472656</v>
      </c>
    </row>
    <row r="9562" spans="2:6">
      <c r="B9562">
        <v>2013</v>
      </c>
      <c r="C9562" t="s">
        <v>107</v>
      </c>
      <c r="D9562" t="s">
        <v>183</v>
      </c>
      <c r="E9562" t="s">
        <v>11</v>
      </c>
      <c r="F9562">
        <v>0.90943628549575806</v>
      </c>
    </row>
    <row r="9563" spans="2:6">
      <c r="B9563">
        <v>2013</v>
      </c>
      <c r="C9563" t="s">
        <v>107</v>
      </c>
      <c r="D9563" t="s">
        <v>183</v>
      </c>
      <c r="E9563" t="s">
        <v>12</v>
      </c>
      <c r="F9563">
        <v>0.41002246737480164</v>
      </c>
    </row>
    <row r="9564" spans="2:6">
      <c r="B9564">
        <v>2013</v>
      </c>
      <c r="C9564" t="s">
        <v>107</v>
      </c>
      <c r="D9564" t="s">
        <v>183</v>
      </c>
      <c r="E9564" t="s">
        <v>14</v>
      </c>
      <c r="F9564">
        <v>0.66035270690917969</v>
      </c>
    </row>
    <row r="9565" spans="2:6">
      <c r="B9565">
        <v>2013</v>
      </c>
      <c r="C9565" t="s">
        <v>107</v>
      </c>
      <c r="D9565" t="s">
        <v>183</v>
      </c>
      <c r="E9565" t="s">
        <v>15</v>
      </c>
      <c r="F9565">
        <v>0.36955812573432922</v>
      </c>
    </row>
    <row r="9566" spans="2:6">
      <c r="B9566">
        <v>2014</v>
      </c>
      <c r="C9566" t="s">
        <v>107</v>
      </c>
      <c r="D9566" t="s">
        <v>183</v>
      </c>
      <c r="E9566" t="s">
        <v>7</v>
      </c>
      <c r="F9566">
        <v>6.452117919921875</v>
      </c>
    </row>
    <row r="9567" spans="2:6">
      <c r="B9567">
        <v>2014</v>
      </c>
      <c r="C9567" t="s">
        <v>107</v>
      </c>
      <c r="D9567" t="s">
        <v>183</v>
      </c>
      <c r="E9567" t="s">
        <v>8</v>
      </c>
      <c r="F9567">
        <v>10.486462593078613</v>
      </c>
    </row>
    <row r="9568" spans="2:6">
      <c r="B9568">
        <v>2014</v>
      </c>
      <c r="C9568" t="s">
        <v>107</v>
      </c>
      <c r="D9568" t="s">
        <v>183</v>
      </c>
      <c r="E9568" t="s">
        <v>9</v>
      </c>
      <c r="F9568">
        <v>0.9412158727645874</v>
      </c>
    </row>
    <row r="9569" spans="2:6">
      <c r="B9569">
        <v>2014</v>
      </c>
      <c r="C9569" t="s">
        <v>107</v>
      </c>
      <c r="D9569" t="s">
        <v>183</v>
      </c>
      <c r="E9569" t="s">
        <v>10</v>
      </c>
      <c r="F9569">
        <v>72.080001831054688</v>
      </c>
    </row>
    <row r="9570" spans="2:6">
      <c r="B9570">
        <v>2014</v>
      </c>
      <c r="C9570" t="s">
        <v>107</v>
      </c>
      <c r="D9570" t="s">
        <v>183</v>
      </c>
      <c r="E9570" t="s">
        <v>11</v>
      </c>
      <c r="F9570">
        <v>0.90393662452697754</v>
      </c>
    </row>
    <row r="9571" spans="2:6">
      <c r="B9571">
        <v>2014</v>
      </c>
      <c r="C9571" t="s">
        <v>107</v>
      </c>
      <c r="D9571" t="s">
        <v>183</v>
      </c>
      <c r="E9571" t="s">
        <v>12</v>
      </c>
      <c r="F9571">
        <v>0.40398237109184265</v>
      </c>
    </row>
    <row r="9572" spans="2:6">
      <c r="B9572">
        <v>2014</v>
      </c>
      <c r="C9572" t="s">
        <v>107</v>
      </c>
      <c r="D9572" t="s">
        <v>183</v>
      </c>
      <c r="E9572" t="s">
        <v>13</v>
      </c>
      <c r="F9572">
        <v>0.66964530944824219</v>
      </c>
    </row>
    <row r="9573" spans="2:6">
      <c r="B9573">
        <v>2014</v>
      </c>
      <c r="C9573" t="s">
        <v>107</v>
      </c>
      <c r="D9573" t="s">
        <v>183</v>
      </c>
      <c r="E9573" t="s">
        <v>14</v>
      </c>
      <c r="F9573">
        <v>0.65230429172515869</v>
      </c>
    </row>
    <row r="9574" spans="2:6">
      <c r="B9574">
        <v>2014</v>
      </c>
      <c r="C9574" t="s">
        <v>107</v>
      </c>
      <c r="D9574" t="s">
        <v>183</v>
      </c>
      <c r="E9574" t="s">
        <v>15</v>
      </c>
      <c r="F9574">
        <v>0.35206559300422668</v>
      </c>
    </row>
    <row r="9575" spans="2:6">
      <c r="B9575">
        <v>2015</v>
      </c>
      <c r="C9575" t="s">
        <v>107</v>
      </c>
      <c r="D9575" t="s">
        <v>183</v>
      </c>
      <c r="E9575" t="s">
        <v>7</v>
      </c>
      <c r="F9575">
        <v>6.6133942604064941</v>
      </c>
    </row>
    <row r="9576" spans="2:6">
      <c r="B9576">
        <v>2015</v>
      </c>
      <c r="C9576" t="s">
        <v>107</v>
      </c>
      <c r="D9576" t="s">
        <v>183</v>
      </c>
      <c r="E9576" t="s">
        <v>8</v>
      </c>
      <c r="F9576">
        <v>10.565675735473633</v>
      </c>
    </row>
    <row r="9577" spans="2:6">
      <c r="B9577">
        <v>2015</v>
      </c>
      <c r="C9577" t="s">
        <v>107</v>
      </c>
      <c r="D9577" t="s">
        <v>183</v>
      </c>
      <c r="E9577" t="s">
        <v>9</v>
      </c>
      <c r="F9577">
        <v>0.91876488924026489</v>
      </c>
    </row>
    <row r="9578" spans="2:6">
      <c r="B9578">
        <v>2015</v>
      </c>
      <c r="C9578" t="s">
        <v>107</v>
      </c>
      <c r="D9578" t="s">
        <v>183</v>
      </c>
      <c r="E9578" t="s">
        <v>10</v>
      </c>
      <c r="F9578">
        <v>72.199996948242188</v>
      </c>
    </row>
    <row r="9579" spans="2:6">
      <c r="B9579">
        <v>2015</v>
      </c>
      <c r="C9579" t="s">
        <v>107</v>
      </c>
      <c r="D9579" t="s">
        <v>183</v>
      </c>
      <c r="E9579" t="s">
        <v>11</v>
      </c>
      <c r="F9579">
        <v>0.91217803955078125</v>
      </c>
    </row>
    <row r="9580" spans="2:6">
      <c r="B9580">
        <v>2015</v>
      </c>
      <c r="C9580" t="s">
        <v>107</v>
      </c>
      <c r="D9580" t="s">
        <v>183</v>
      </c>
      <c r="E9580" t="s">
        <v>12</v>
      </c>
      <c r="F9580">
        <v>0.34702906012535095</v>
      </c>
    </row>
    <row r="9581" spans="2:6">
      <c r="B9581">
        <v>2015</v>
      </c>
      <c r="C9581" t="s">
        <v>107</v>
      </c>
      <c r="D9581" t="s">
        <v>183</v>
      </c>
      <c r="E9581" t="s">
        <v>13</v>
      </c>
      <c r="F9581">
        <v>0.66388630867004395</v>
      </c>
    </row>
    <row r="9582" spans="2:6">
      <c r="B9582">
        <v>2015</v>
      </c>
      <c r="C9582" t="s">
        <v>107</v>
      </c>
      <c r="D9582" t="s">
        <v>183</v>
      </c>
      <c r="E9582" t="s">
        <v>14</v>
      </c>
      <c r="F9582">
        <v>0.67982125282287598</v>
      </c>
    </row>
    <row r="9583" spans="2:6">
      <c r="B9583">
        <v>2015</v>
      </c>
      <c r="C9583" t="s">
        <v>107</v>
      </c>
      <c r="D9583" t="s">
        <v>183</v>
      </c>
      <c r="E9583" t="s">
        <v>15</v>
      </c>
      <c r="F9583">
        <v>0.35504058003425598</v>
      </c>
    </row>
    <row r="9584" spans="2:6">
      <c r="B9584">
        <v>2016</v>
      </c>
      <c r="C9584" t="s">
        <v>107</v>
      </c>
      <c r="D9584" t="s">
        <v>183</v>
      </c>
      <c r="E9584" t="s">
        <v>7</v>
      </c>
      <c r="F9584">
        <v>6.5908422470092773</v>
      </c>
    </row>
    <row r="9585" spans="2:6">
      <c r="B9585">
        <v>2016</v>
      </c>
      <c r="C9585" t="s">
        <v>107</v>
      </c>
      <c r="D9585" t="s">
        <v>183</v>
      </c>
      <c r="E9585" t="s">
        <v>8</v>
      </c>
      <c r="F9585">
        <v>10.599453926086426</v>
      </c>
    </row>
    <row r="9586" spans="2:6">
      <c r="B9586">
        <v>2016</v>
      </c>
      <c r="C9586" t="s">
        <v>107</v>
      </c>
      <c r="D9586" t="s">
        <v>183</v>
      </c>
      <c r="E9586" t="s">
        <v>9</v>
      </c>
      <c r="F9586">
        <v>0.93036937713623047</v>
      </c>
    </row>
    <row r="9587" spans="2:6">
      <c r="B9587">
        <v>2016</v>
      </c>
      <c r="C9587" t="s">
        <v>107</v>
      </c>
      <c r="D9587" t="s">
        <v>183</v>
      </c>
      <c r="E9587" t="s">
        <v>10</v>
      </c>
      <c r="F9587">
        <v>72.199996948242188</v>
      </c>
    </row>
    <row r="9588" spans="2:6">
      <c r="B9588">
        <v>2016</v>
      </c>
      <c r="C9588" t="s">
        <v>107</v>
      </c>
      <c r="D9588" t="s">
        <v>183</v>
      </c>
      <c r="E9588" t="s">
        <v>11</v>
      </c>
      <c r="F9588">
        <v>0.9160236120223999</v>
      </c>
    </row>
    <row r="9589" spans="2:6">
      <c r="B9589">
        <v>2016</v>
      </c>
      <c r="C9589" t="s">
        <v>107</v>
      </c>
      <c r="D9589" t="s">
        <v>183</v>
      </c>
      <c r="E9589" t="s">
        <v>12</v>
      </c>
      <c r="F9589">
        <v>0.34539696574211121</v>
      </c>
    </row>
    <row r="9590" spans="2:6">
      <c r="B9590">
        <v>2016</v>
      </c>
      <c r="C9590" t="s">
        <v>107</v>
      </c>
      <c r="D9590" t="s">
        <v>183</v>
      </c>
      <c r="E9590" t="s">
        <v>13</v>
      </c>
      <c r="F9590">
        <v>0.69649463891983032</v>
      </c>
    </row>
    <row r="9591" spans="2:6">
      <c r="B9591">
        <v>2016</v>
      </c>
      <c r="C9591" t="s">
        <v>107</v>
      </c>
      <c r="D9591" t="s">
        <v>183</v>
      </c>
      <c r="E9591" t="s">
        <v>14</v>
      </c>
      <c r="F9591">
        <v>0.6872715950012207</v>
      </c>
    </row>
    <row r="9592" spans="2:6">
      <c r="B9592">
        <v>2016</v>
      </c>
      <c r="C9592" t="s">
        <v>107</v>
      </c>
      <c r="D9592" t="s">
        <v>183</v>
      </c>
      <c r="E9592" t="s">
        <v>15</v>
      </c>
      <c r="F9592">
        <v>0.35544377565383911</v>
      </c>
    </row>
    <row r="9593" spans="2:6">
      <c r="B9593">
        <v>2017</v>
      </c>
      <c r="C9593" t="s">
        <v>107</v>
      </c>
      <c r="D9593" t="s">
        <v>183</v>
      </c>
      <c r="E9593" t="s">
        <v>7</v>
      </c>
      <c r="F9593">
        <v>6.6756658554077148</v>
      </c>
    </row>
    <row r="9594" spans="2:6">
      <c r="B9594">
        <v>2017</v>
      </c>
      <c r="C9594" t="s">
        <v>107</v>
      </c>
      <c r="D9594" t="s">
        <v>183</v>
      </c>
      <c r="E9594" t="s">
        <v>8</v>
      </c>
      <c r="F9594">
        <v>10.634771347045898</v>
      </c>
    </row>
    <row r="9595" spans="2:6">
      <c r="B9595">
        <v>2017</v>
      </c>
      <c r="C9595" t="s">
        <v>107</v>
      </c>
      <c r="D9595" t="s">
        <v>183</v>
      </c>
      <c r="E9595" t="s">
        <v>9</v>
      </c>
      <c r="F9595">
        <v>0.93733179569244385</v>
      </c>
    </row>
    <row r="9596" spans="2:6">
      <c r="B9596">
        <v>2017</v>
      </c>
      <c r="C9596" t="s">
        <v>107</v>
      </c>
      <c r="D9596" t="s">
        <v>183</v>
      </c>
      <c r="E9596" t="s">
        <v>10</v>
      </c>
      <c r="F9596">
        <v>72.199996948242188</v>
      </c>
    </row>
    <row r="9597" spans="2:6">
      <c r="B9597">
        <v>2017</v>
      </c>
      <c r="C9597" t="s">
        <v>107</v>
      </c>
      <c r="D9597" t="s">
        <v>183</v>
      </c>
      <c r="E9597" t="s">
        <v>11</v>
      </c>
      <c r="F9597">
        <v>0.92364293336868286</v>
      </c>
    </row>
    <row r="9598" spans="2:6">
      <c r="B9598">
        <v>2017</v>
      </c>
      <c r="C9598" t="s">
        <v>107</v>
      </c>
      <c r="D9598" t="s">
        <v>183</v>
      </c>
      <c r="E9598" t="s">
        <v>12</v>
      </c>
      <c r="F9598">
        <v>0.25282451510429382</v>
      </c>
    </row>
    <row r="9599" spans="2:6">
      <c r="B9599">
        <v>2017</v>
      </c>
      <c r="C9599" t="s">
        <v>107</v>
      </c>
      <c r="D9599" t="s">
        <v>183</v>
      </c>
      <c r="E9599" t="s">
        <v>13</v>
      </c>
      <c r="F9599">
        <v>0.69049453735351563</v>
      </c>
    </row>
    <row r="9600" spans="2:6">
      <c r="B9600">
        <v>2017</v>
      </c>
      <c r="C9600" t="s">
        <v>107</v>
      </c>
      <c r="D9600" t="s">
        <v>183</v>
      </c>
      <c r="E9600" t="s">
        <v>14</v>
      </c>
      <c r="F9600">
        <v>0.72075337171554565</v>
      </c>
    </row>
    <row r="9601" spans="2:6">
      <c r="B9601">
        <v>2017</v>
      </c>
      <c r="C9601" t="s">
        <v>107</v>
      </c>
      <c r="D9601" t="s">
        <v>183</v>
      </c>
      <c r="E9601" t="s">
        <v>15</v>
      </c>
      <c r="F9601">
        <v>0.30244311690330505</v>
      </c>
    </row>
    <row r="9602" spans="2:6">
      <c r="B9602">
        <v>2018</v>
      </c>
      <c r="C9602" t="s">
        <v>107</v>
      </c>
      <c r="D9602" t="s">
        <v>183</v>
      </c>
      <c r="E9602" t="s">
        <v>7</v>
      </c>
      <c r="F9602">
        <v>6.9097108840942383</v>
      </c>
    </row>
    <row r="9603" spans="2:6">
      <c r="B9603">
        <v>2018</v>
      </c>
      <c r="C9603" t="s">
        <v>107</v>
      </c>
      <c r="D9603" t="s">
        <v>183</v>
      </c>
      <c r="E9603" t="s">
        <v>8</v>
      </c>
      <c r="F9603">
        <v>10.670443534851074</v>
      </c>
    </row>
    <row r="9604" spans="2:6">
      <c r="B9604">
        <v>2018</v>
      </c>
      <c r="C9604" t="s">
        <v>107</v>
      </c>
      <c r="D9604" t="s">
        <v>183</v>
      </c>
      <c r="E9604" t="s">
        <v>9</v>
      </c>
      <c r="F9604">
        <v>0.93154150247573853</v>
      </c>
    </row>
    <row r="9605" spans="2:6">
      <c r="B9605">
        <v>2018</v>
      </c>
      <c r="C9605" t="s">
        <v>107</v>
      </c>
      <c r="D9605" t="s">
        <v>183</v>
      </c>
      <c r="E9605" t="s">
        <v>10</v>
      </c>
      <c r="F9605">
        <v>72.199996948242188</v>
      </c>
    </row>
    <row r="9606" spans="2:6">
      <c r="B9606">
        <v>2018</v>
      </c>
      <c r="C9606" t="s">
        <v>107</v>
      </c>
      <c r="D9606" t="s">
        <v>183</v>
      </c>
      <c r="E9606" t="s">
        <v>11</v>
      </c>
      <c r="F9606">
        <v>0.92734068632125854</v>
      </c>
    </row>
    <row r="9607" spans="2:6">
      <c r="B9607">
        <v>2018</v>
      </c>
      <c r="C9607" t="s">
        <v>107</v>
      </c>
      <c r="D9607" t="s">
        <v>183</v>
      </c>
      <c r="E9607" t="s">
        <v>12</v>
      </c>
      <c r="F9607">
        <v>0.17877195775508881</v>
      </c>
    </row>
    <row r="9608" spans="2:6">
      <c r="B9608">
        <v>2018</v>
      </c>
      <c r="C9608" t="s">
        <v>107</v>
      </c>
      <c r="D9608" t="s">
        <v>183</v>
      </c>
      <c r="E9608" t="s">
        <v>13</v>
      </c>
      <c r="F9608">
        <v>0.59519988298416138</v>
      </c>
    </row>
    <row r="9609" spans="2:6">
      <c r="B9609">
        <v>2018</v>
      </c>
      <c r="C9609" t="s">
        <v>107</v>
      </c>
      <c r="D9609" t="s">
        <v>183</v>
      </c>
      <c r="E9609" t="s">
        <v>14</v>
      </c>
      <c r="F9609">
        <v>0.72122442722320557</v>
      </c>
    </row>
    <row r="9610" spans="2:6">
      <c r="B9610">
        <v>2018</v>
      </c>
      <c r="C9610" t="s">
        <v>107</v>
      </c>
      <c r="D9610" t="s">
        <v>183</v>
      </c>
      <c r="E9610" t="s">
        <v>15</v>
      </c>
      <c r="F9610">
        <v>0.29569879174232483</v>
      </c>
    </row>
    <row r="9611" spans="2:6">
      <c r="B9611">
        <v>2019</v>
      </c>
      <c r="C9611" t="s">
        <v>107</v>
      </c>
      <c r="D9611" t="s">
        <v>183</v>
      </c>
      <c r="E9611" t="s">
        <v>7</v>
      </c>
      <c r="F9611">
        <v>6.7329773902893066</v>
      </c>
    </row>
    <row r="9612" spans="2:6">
      <c r="B9612">
        <v>2019</v>
      </c>
      <c r="C9612" t="s">
        <v>107</v>
      </c>
      <c r="D9612" t="s">
        <v>183</v>
      </c>
      <c r="E9612" t="s">
        <v>8</v>
      </c>
      <c r="F9612">
        <v>10.676836013793945</v>
      </c>
    </row>
    <row r="9613" spans="2:6">
      <c r="B9613">
        <v>2019</v>
      </c>
      <c r="C9613" t="s">
        <v>107</v>
      </c>
      <c r="D9613" t="s">
        <v>183</v>
      </c>
      <c r="E9613" t="s">
        <v>9</v>
      </c>
      <c r="F9613">
        <v>0.92157852649688721</v>
      </c>
    </row>
    <row r="9614" spans="2:6">
      <c r="B9614">
        <v>2019</v>
      </c>
      <c r="C9614" t="s">
        <v>107</v>
      </c>
      <c r="D9614" t="s">
        <v>183</v>
      </c>
      <c r="E9614" t="s">
        <v>10</v>
      </c>
      <c r="F9614">
        <v>72.199996948242188</v>
      </c>
    </row>
    <row r="9615" spans="2:6">
      <c r="B9615">
        <v>2019</v>
      </c>
      <c r="C9615" t="s">
        <v>107</v>
      </c>
      <c r="D9615" t="s">
        <v>183</v>
      </c>
      <c r="E9615" t="s">
        <v>11</v>
      </c>
      <c r="F9615">
        <v>0.92396682500839233</v>
      </c>
    </row>
    <row r="9616" spans="2:6">
      <c r="B9616">
        <v>2019</v>
      </c>
      <c r="C9616" t="s">
        <v>107</v>
      </c>
      <c r="D9616" t="s">
        <v>183</v>
      </c>
      <c r="E9616" t="s">
        <v>12</v>
      </c>
      <c r="F9616">
        <v>8.719172328710556E-2</v>
      </c>
    </row>
    <row r="9617" spans="2:6">
      <c r="B9617">
        <v>2019</v>
      </c>
      <c r="C9617" t="s">
        <v>107</v>
      </c>
      <c r="D9617" t="s">
        <v>183</v>
      </c>
      <c r="E9617" t="s">
        <v>13</v>
      </c>
      <c r="F9617">
        <v>0.68941056728363037</v>
      </c>
    </row>
    <row r="9618" spans="2:6">
      <c r="B9618">
        <v>2019</v>
      </c>
      <c r="C9618" t="s">
        <v>107</v>
      </c>
      <c r="D9618" t="s">
        <v>183</v>
      </c>
      <c r="E9618" t="s">
        <v>14</v>
      </c>
      <c r="F9618">
        <v>0.70659613609313965</v>
      </c>
    </row>
    <row r="9619" spans="2:6">
      <c r="B9619">
        <v>2019</v>
      </c>
      <c r="C9619" t="s">
        <v>107</v>
      </c>
      <c r="D9619" t="s">
        <v>183</v>
      </c>
      <c r="E9619" t="s">
        <v>15</v>
      </c>
      <c r="F9619">
        <v>0.35624393820762634</v>
      </c>
    </row>
    <row r="9620" spans="2:6">
      <c r="B9620">
        <v>2020</v>
      </c>
      <c r="C9620" t="s">
        <v>107</v>
      </c>
      <c r="D9620" t="s">
        <v>183</v>
      </c>
      <c r="E9620" t="s">
        <v>7</v>
      </c>
      <c r="F9620">
        <v>6.156822681427002</v>
      </c>
    </row>
    <row r="9621" spans="2:6">
      <c r="B9621">
        <v>2020</v>
      </c>
      <c r="C9621" t="s">
        <v>107</v>
      </c>
      <c r="D9621" t="s">
        <v>183</v>
      </c>
      <c r="E9621" t="s">
        <v>9</v>
      </c>
      <c r="F9621">
        <v>0.93792027235031128</v>
      </c>
    </row>
    <row r="9622" spans="2:6">
      <c r="B9622">
        <v>2020</v>
      </c>
      <c r="C9622" t="s">
        <v>107</v>
      </c>
      <c r="D9622" t="s">
        <v>183</v>
      </c>
      <c r="E9622" t="s">
        <v>10</v>
      </c>
      <c r="F9622">
        <v>72.199996948242188</v>
      </c>
    </row>
    <row r="9623" spans="2:6">
      <c r="B9623">
        <v>2020</v>
      </c>
      <c r="C9623" t="s">
        <v>107</v>
      </c>
      <c r="D9623" t="s">
        <v>183</v>
      </c>
      <c r="E9623" t="s">
        <v>11</v>
      </c>
      <c r="F9623">
        <v>0.93060046434402466</v>
      </c>
    </row>
    <row r="9624" spans="2:6">
      <c r="B9624">
        <v>2020</v>
      </c>
      <c r="C9624" t="s">
        <v>107</v>
      </c>
      <c r="D9624" t="s">
        <v>183</v>
      </c>
      <c r="E9624" t="s">
        <v>13</v>
      </c>
      <c r="F9624">
        <v>0.67462635040283203</v>
      </c>
    </row>
    <row r="9625" spans="2:6">
      <c r="B9625">
        <v>2020</v>
      </c>
      <c r="C9625" t="s">
        <v>107</v>
      </c>
      <c r="D9625" t="s">
        <v>183</v>
      </c>
      <c r="E9625" t="s">
        <v>14</v>
      </c>
      <c r="F9625">
        <v>0.60149586200714111</v>
      </c>
    </row>
    <row r="9626" spans="2:6">
      <c r="B9626">
        <v>2020</v>
      </c>
      <c r="C9626" t="s">
        <v>107</v>
      </c>
      <c r="D9626" t="s">
        <v>183</v>
      </c>
      <c r="E9626" t="s">
        <v>15</v>
      </c>
      <c r="F9626">
        <v>0.41091322898864746</v>
      </c>
    </row>
    <row r="9627" spans="2:6">
      <c r="B9627">
        <v>2007</v>
      </c>
      <c r="C9627" t="s">
        <v>108</v>
      </c>
      <c r="D9627" t="s">
        <v>184</v>
      </c>
      <c r="E9627" t="s">
        <v>7</v>
      </c>
      <c r="F9627">
        <v>4.149043083190918</v>
      </c>
    </row>
    <row r="9628" spans="2:6">
      <c r="B9628">
        <v>2007</v>
      </c>
      <c r="C9628" t="s">
        <v>108</v>
      </c>
      <c r="D9628" t="s">
        <v>184</v>
      </c>
      <c r="E9628" t="s">
        <v>8</v>
      </c>
      <c r="F9628">
        <v>8.5331916809082031</v>
      </c>
    </row>
    <row r="9629" spans="2:6">
      <c r="B9629">
        <v>2007</v>
      </c>
      <c r="C9629" t="s">
        <v>108</v>
      </c>
      <c r="D9629" t="s">
        <v>184</v>
      </c>
      <c r="E9629" t="s">
        <v>9</v>
      </c>
      <c r="F9629">
        <v>0.68190902471542358</v>
      </c>
    </row>
    <row r="9630" spans="2:6">
      <c r="B9630">
        <v>2007</v>
      </c>
      <c r="C9630" t="s">
        <v>108</v>
      </c>
      <c r="D9630" t="s">
        <v>184</v>
      </c>
      <c r="E9630" t="s">
        <v>10</v>
      </c>
      <c r="F9630">
        <v>53.659999847412109</v>
      </c>
    </row>
    <row r="9631" spans="2:6">
      <c r="B9631">
        <v>2007</v>
      </c>
      <c r="C9631" t="s">
        <v>108</v>
      </c>
      <c r="D9631" t="s">
        <v>184</v>
      </c>
      <c r="E9631" t="s">
        <v>11</v>
      </c>
      <c r="F9631">
        <v>0.57288837432861328</v>
      </c>
    </row>
    <row r="9632" spans="2:6">
      <c r="B9632">
        <v>2007</v>
      </c>
      <c r="C9632" t="s">
        <v>108</v>
      </c>
      <c r="D9632" t="s">
        <v>184</v>
      </c>
      <c r="E9632" t="s">
        <v>12</v>
      </c>
      <c r="F9632">
        <v>-7.1879714727401733E-2</v>
      </c>
    </row>
    <row r="9633" spans="2:6">
      <c r="B9633">
        <v>2007</v>
      </c>
      <c r="C9633" t="s">
        <v>108</v>
      </c>
      <c r="D9633" t="s">
        <v>184</v>
      </c>
      <c r="E9633" t="s">
        <v>13</v>
      </c>
      <c r="F9633">
        <v>0.58645051717758179</v>
      </c>
    </row>
    <row r="9634" spans="2:6">
      <c r="B9634">
        <v>2007</v>
      </c>
      <c r="C9634" t="s">
        <v>108</v>
      </c>
      <c r="D9634" t="s">
        <v>184</v>
      </c>
      <c r="E9634" t="s">
        <v>14</v>
      </c>
      <c r="F9634">
        <v>0.73282158374786377</v>
      </c>
    </row>
    <row r="9635" spans="2:6">
      <c r="B9635">
        <v>2007</v>
      </c>
      <c r="C9635" t="s">
        <v>108</v>
      </c>
      <c r="D9635" t="s">
        <v>184</v>
      </c>
      <c r="E9635" t="s">
        <v>15</v>
      </c>
      <c r="F9635">
        <v>0.17422868311405182</v>
      </c>
    </row>
    <row r="9636" spans="2:6">
      <c r="B9636">
        <v>2008</v>
      </c>
      <c r="C9636" t="s">
        <v>108</v>
      </c>
      <c r="D9636" t="s">
        <v>184</v>
      </c>
      <c r="E9636" t="s">
        <v>7</v>
      </c>
      <c r="F9636">
        <v>4.248075008392334</v>
      </c>
    </row>
    <row r="9637" spans="2:6">
      <c r="B9637">
        <v>2008</v>
      </c>
      <c r="C9637" t="s">
        <v>108</v>
      </c>
      <c r="D9637" t="s">
        <v>184</v>
      </c>
      <c r="E9637" t="s">
        <v>8</v>
      </c>
      <c r="F9637">
        <v>8.5010309219360352</v>
      </c>
    </row>
    <row r="9638" spans="2:6">
      <c r="B9638">
        <v>2008</v>
      </c>
      <c r="C9638" t="s">
        <v>108</v>
      </c>
      <c r="D9638" t="s">
        <v>184</v>
      </c>
      <c r="E9638" t="s">
        <v>9</v>
      </c>
      <c r="F9638">
        <v>0.67025262117385864</v>
      </c>
    </row>
    <row r="9639" spans="2:6">
      <c r="B9639">
        <v>2008</v>
      </c>
      <c r="C9639" t="s">
        <v>108</v>
      </c>
      <c r="D9639" t="s">
        <v>184</v>
      </c>
      <c r="E9639" t="s">
        <v>10</v>
      </c>
      <c r="F9639">
        <v>53.939998626708984</v>
      </c>
    </row>
    <row r="9640" spans="2:6">
      <c r="B9640">
        <v>2008</v>
      </c>
      <c r="C9640" t="s">
        <v>108</v>
      </c>
      <c r="D9640" t="s">
        <v>184</v>
      </c>
      <c r="E9640" t="s">
        <v>11</v>
      </c>
      <c r="F9640">
        <v>0.5932648777961731</v>
      </c>
    </row>
    <row r="9641" spans="2:6">
      <c r="B9641">
        <v>2008</v>
      </c>
      <c r="C9641" t="s">
        <v>108</v>
      </c>
      <c r="D9641" t="s">
        <v>184</v>
      </c>
      <c r="E9641" t="s">
        <v>12</v>
      </c>
      <c r="F9641">
        <v>-1.7986290156841278E-2</v>
      </c>
    </row>
    <row r="9642" spans="2:6">
      <c r="B9642">
        <v>2008</v>
      </c>
      <c r="C9642" t="s">
        <v>108</v>
      </c>
      <c r="D9642" t="s">
        <v>184</v>
      </c>
      <c r="E9642" t="s">
        <v>13</v>
      </c>
      <c r="F9642">
        <v>0.84094750881195068</v>
      </c>
    </row>
    <row r="9643" spans="2:6">
      <c r="B9643">
        <v>2008</v>
      </c>
      <c r="C9643" t="s">
        <v>108</v>
      </c>
      <c r="D9643" t="s">
        <v>184</v>
      </c>
      <c r="E9643" t="s">
        <v>14</v>
      </c>
      <c r="F9643">
        <v>0.73189109563827515</v>
      </c>
    </row>
    <row r="9644" spans="2:6">
      <c r="B9644">
        <v>2008</v>
      </c>
      <c r="C9644" t="s">
        <v>108</v>
      </c>
      <c r="D9644" t="s">
        <v>184</v>
      </c>
      <c r="E9644" t="s">
        <v>15</v>
      </c>
      <c r="F9644">
        <v>0.17608644068241119</v>
      </c>
    </row>
    <row r="9645" spans="2:6">
      <c r="B9645">
        <v>2009</v>
      </c>
      <c r="C9645" t="s">
        <v>108</v>
      </c>
      <c r="D9645" t="s">
        <v>184</v>
      </c>
      <c r="E9645" t="s">
        <v>7</v>
      </c>
      <c r="F9645">
        <v>4.5004315376281738</v>
      </c>
    </row>
    <row r="9646" spans="2:6">
      <c r="B9646">
        <v>2009</v>
      </c>
      <c r="C9646" t="s">
        <v>108</v>
      </c>
      <c r="D9646" t="s">
        <v>184</v>
      </c>
      <c r="E9646" t="s">
        <v>8</v>
      </c>
      <c r="F9646">
        <v>8.4729557037353516</v>
      </c>
    </row>
    <row r="9647" spans="2:6">
      <c r="B9647">
        <v>2009</v>
      </c>
      <c r="C9647" t="s">
        <v>108</v>
      </c>
      <c r="D9647" t="s">
        <v>184</v>
      </c>
      <c r="E9647" t="s">
        <v>9</v>
      </c>
      <c r="F9647">
        <v>0.81933379173278809</v>
      </c>
    </row>
    <row r="9648" spans="2:6">
      <c r="B9648">
        <v>2009</v>
      </c>
      <c r="C9648" t="s">
        <v>108</v>
      </c>
      <c r="D9648" t="s">
        <v>184</v>
      </c>
      <c r="E9648" t="s">
        <v>10</v>
      </c>
      <c r="F9648">
        <v>54.220001220703125</v>
      </c>
    </row>
    <row r="9649" spans="2:6">
      <c r="B9649">
        <v>2009</v>
      </c>
      <c r="C9649" t="s">
        <v>108</v>
      </c>
      <c r="D9649" t="s">
        <v>184</v>
      </c>
      <c r="E9649" t="s">
        <v>11</v>
      </c>
      <c r="F9649">
        <v>0.73507118225097656</v>
      </c>
    </row>
    <row r="9650" spans="2:6">
      <c r="B9650">
        <v>2009</v>
      </c>
      <c r="C9650" t="s">
        <v>108</v>
      </c>
      <c r="D9650" t="s">
        <v>184</v>
      </c>
      <c r="E9650" t="s">
        <v>12</v>
      </c>
      <c r="F9650">
        <v>3.9241518825292587E-2</v>
      </c>
    </row>
    <row r="9651" spans="2:6">
      <c r="B9651">
        <v>2009</v>
      </c>
      <c r="C9651" t="s">
        <v>108</v>
      </c>
      <c r="D9651" t="s">
        <v>184</v>
      </c>
      <c r="E9651" t="s">
        <v>13</v>
      </c>
      <c r="F9651">
        <v>0.84829378128051758</v>
      </c>
    </row>
    <row r="9652" spans="2:6">
      <c r="B9652">
        <v>2009</v>
      </c>
      <c r="C9652" t="s">
        <v>108</v>
      </c>
      <c r="D9652" t="s">
        <v>184</v>
      </c>
      <c r="E9652" t="s">
        <v>14</v>
      </c>
      <c r="F9652">
        <v>0.73765116930007935</v>
      </c>
    </row>
    <row r="9653" spans="2:6">
      <c r="B9653">
        <v>2009</v>
      </c>
      <c r="C9653" t="s">
        <v>108</v>
      </c>
      <c r="D9653" t="s">
        <v>184</v>
      </c>
      <c r="E9653" t="s">
        <v>15</v>
      </c>
      <c r="F9653">
        <v>0.16982859373092651</v>
      </c>
    </row>
    <row r="9654" spans="2:6">
      <c r="B9654">
        <v>2010</v>
      </c>
      <c r="C9654" t="s">
        <v>108</v>
      </c>
      <c r="D9654" t="s">
        <v>184</v>
      </c>
      <c r="E9654" t="s">
        <v>7</v>
      </c>
      <c r="F9654">
        <v>4.7723069190979004</v>
      </c>
    </row>
    <row r="9655" spans="2:6">
      <c r="B9655">
        <v>2010</v>
      </c>
      <c r="C9655" t="s">
        <v>108</v>
      </c>
      <c r="D9655" t="s">
        <v>184</v>
      </c>
      <c r="E9655" t="s">
        <v>8</v>
      </c>
      <c r="F9655">
        <v>8.4695529937744141</v>
      </c>
    </row>
    <row r="9656" spans="2:6">
      <c r="B9656">
        <v>2010</v>
      </c>
      <c r="C9656" t="s">
        <v>108</v>
      </c>
      <c r="D9656" t="s">
        <v>184</v>
      </c>
      <c r="E9656" t="s">
        <v>9</v>
      </c>
      <c r="F9656">
        <v>0.85650783777236938</v>
      </c>
    </row>
    <row r="9657" spans="2:6">
      <c r="B9657">
        <v>2010</v>
      </c>
      <c r="C9657" t="s">
        <v>108</v>
      </c>
      <c r="D9657" t="s">
        <v>184</v>
      </c>
      <c r="E9657" t="s">
        <v>10</v>
      </c>
      <c r="F9657">
        <v>54.5</v>
      </c>
    </row>
    <row r="9658" spans="2:6">
      <c r="B9658">
        <v>2010</v>
      </c>
      <c r="C9658" t="s">
        <v>108</v>
      </c>
      <c r="D9658" t="s">
        <v>184</v>
      </c>
      <c r="E9658" t="s">
        <v>11</v>
      </c>
      <c r="F9658">
        <v>0.66893059015274048</v>
      </c>
    </row>
    <row r="9659" spans="2:6">
      <c r="B9659">
        <v>2010</v>
      </c>
      <c r="C9659" t="s">
        <v>108</v>
      </c>
      <c r="D9659" t="s">
        <v>184</v>
      </c>
      <c r="E9659" t="s">
        <v>12</v>
      </c>
      <c r="F9659">
        <v>5.5053651332855225E-2</v>
      </c>
    </row>
    <row r="9660" spans="2:6">
      <c r="B9660">
        <v>2010</v>
      </c>
      <c r="C9660" t="s">
        <v>108</v>
      </c>
      <c r="D9660" t="s">
        <v>184</v>
      </c>
      <c r="E9660" t="s">
        <v>13</v>
      </c>
      <c r="F9660">
        <v>0.72736448049545288</v>
      </c>
    </row>
    <row r="9661" spans="2:6">
      <c r="B9661">
        <v>2010</v>
      </c>
      <c r="C9661" t="s">
        <v>108</v>
      </c>
      <c r="D9661" t="s">
        <v>184</v>
      </c>
      <c r="E9661" t="s">
        <v>14</v>
      </c>
      <c r="F9661">
        <v>0.77799403667449951</v>
      </c>
    </row>
    <row r="9662" spans="2:6">
      <c r="B9662">
        <v>2010</v>
      </c>
      <c r="C9662" t="s">
        <v>108</v>
      </c>
      <c r="D9662" t="s">
        <v>184</v>
      </c>
      <c r="E9662" t="s">
        <v>15</v>
      </c>
      <c r="F9662">
        <v>0.12867562472820282</v>
      </c>
    </row>
    <row r="9663" spans="2:6">
      <c r="B9663">
        <v>2011</v>
      </c>
      <c r="C9663" t="s">
        <v>108</v>
      </c>
      <c r="D9663" t="s">
        <v>184</v>
      </c>
      <c r="E9663" t="s">
        <v>7</v>
      </c>
      <c r="F9663">
        <v>4.7848043441772461</v>
      </c>
    </row>
    <row r="9664" spans="2:6">
      <c r="B9664">
        <v>2011</v>
      </c>
      <c r="C9664" t="s">
        <v>108</v>
      </c>
      <c r="D9664" t="s">
        <v>184</v>
      </c>
      <c r="E9664" t="s">
        <v>8</v>
      </c>
      <c r="F9664">
        <v>8.4809789657592773</v>
      </c>
    </row>
    <row r="9665" spans="2:6">
      <c r="B9665">
        <v>2011</v>
      </c>
      <c r="C9665" t="s">
        <v>108</v>
      </c>
      <c r="D9665" t="s">
        <v>184</v>
      </c>
      <c r="E9665" t="s">
        <v>9</v>
      </c>
      <c r="F9665">
        <v>0.75027656555175781</v>
      </c>
    </row>
    <row r="9666" spans="2:6">
      <c r="B9666">
        <v>2011</v>
      </c>
      <c r="C9666" t="s">
        <v>108</v>
      </c>
      <c r="D9666" t="s">
        <v>184</v>
      </c>
      <c r="E9666" t="s">
        <v>10</v>
      </c>
      <c r="F9666">
        <v>54.819999694824219</v>
      </c>
    </row>
    <row r="9667" spans="2:6">
      <c r="B9667">
        <v>2011</v>
      </c>
      <c r="C9667" t="s">
        <v>108</v>
      </c>
      <c r="D9667" t="s">
        <v>184</v>
      </c>
      <c r="E9667" t="s">
        <v>11</v>
      </c>
      <c r="F9667">
        <v>0.56692022085189819</v>
      </c>
    </row>
    <row r="9668" spans="2:6">
      <c r="B9668">
        <v>2011</v>
      </c>
      <c r="C9668" t="s">
        <v>108</v>
      </c>
      <c r="D9668" t="s">
        <v>184</v>
      </c>
      <c r="E9668" t="s">
        <v>12</v>
      </c>
      <c r="F9668">
        <v>5.1922854036092758E-2</v>
      </c>
    </row>
    <row r="9669" spans="2:6">
      <c r="B9669">
        <v>2011</v>
      </c>
      <c r="C9669" t="s">
        <v>108</v>
      </c>
      <c r="D9669" t="s">
        <v>184</v>
      </c>
      <c r="E9669" t="s">
        <v>13</v>
      </c>
      <c r="F9669">
        <v>0.74693787097930908</v>
      </c>
    </row>
    <row r="9670" spans="2:6">
      <c r="B9670">
        <v>2011</v>
      </c>
      <c r="C9670" t="s">
        <v>108</v>
      </c>
      <c r="D9670" t="s">
        <v>184</v>
      </c>
      <c r="E9670" t="s">
        <v>14</v>
      </c>
      <c r="F9670">
        <v>0.76200830936431885</v>
      </c>
    </row>
    <row r="9671" spans="2:6">
      <c r="B9671">
        <v>2011</v>
      </c>
      <c r="C9671" t="s">
        <v>108</v>
      </c>
      <c r="D9671" t="s">
        <v>184</v>
      </c>
      <c r="E9671" t="s">
        <v>15</v>
      </c>
      <c r="F9671">
        <v>0.1748625785112381</v>
      </c>
    </row>
    <row r="9672" spans="2:6">
      <c r="B9672">
        <v>2012</v>
      </c>
      <c r="C9672" t="s">
        <v>108</v>
      </c>
      <c r="D9672" t="s">
        <v>184</v>
      </c>
      <c r="E9672" t="s">
        <v>7</v>
      </c>
      <c r="F9672">
        <v>4.6732039451599121</v>
      </c>
    </row>
    <row r="9673" spans="2:6">
      <c r="B9673">
        <v>2012</v>
      </c>
      <c r="C9673" t="s">
        <v>108</v>
      </c>
      <c r="D9673" t="s">
        <v>184</v>
      </c>
      <c r="E9673" t="s">
        <v>8</v>
      </c>
      <c r="F9673">
        <v>8.4951639175415039</v>
      </c>
    </row>
    <row r="9674" spans="2:6">
      <c r="B9674">
        <v>2012</v>
      </c>
      <c r="C9674" t="s">
        <v>108</v>
      </c>
      <c r="D9674" t="s">
        <v>184</v>
      </c>
      <c r="E9674" t="s">
        <v>9</v>
      </c>
      <c r="F9674">
        <v>0.76333272457122803</v>
      </c>
    </row>
    <row r="9675" spans="2:6">
      <c r="B9675">
        <v>2012</v>
      </c>
      <c r="C9675" t="s">
        <v>108</v>
      </c>
      <c r="D9675" t="s">
        <v>184</v>
      </c>
      <c r="E9675" t="s">
        <v>10</v>
      </c>
      <c r="F9675">
        <v>55.139999389648438</v>
      </c>
    </row>
    <row r="9676" spans="2:6">
      <c r="B9676">
        <v>2012</v>
      </c>
      <c r="C9676" t="s">
        <v>108</v>
      </c>
      <c r="D9676" t="s">
        <v>184</v>
      </c>
      <c r="E9676" t="s">
        <v>11</v>
      </c>
      <c r="F9676">
        <v>0.4873727560043335</v>
      </c>
    </row>
    <row r="9677" spans="2:6">
      <c r="B9677">
        <v>2012</v>
      </c>
      <c r="C9677" t="s">
        <v>108</v>
      </c>
      <c r="D9677" t="s">
        <v>184</v>
      </c>
      <c r="E9677" t="s">
        <v>12</v>
      </c>
      <c r="F9677">
        <v>-2.1221498027443886E-2</v>
      </c>
    </row>
    <row r="9678" spans="2:6">
      <c r="B9678">
        <v>2012</v>
      </c>
      <c r="C9678" t="s">
        <v>108</v>
      </c>
      <c r="D9678" t="s">
        <v>184</v>
      </c>
      <c r="E9678" t="s">
        <v>13</v>
      </c>
      <c r="F9678">
        <v>0.70700579881668091</v>
      </c>
    </row>
    <row r="9679" spans="2:6">
      <c r="B9679">
        <v>2012</v>
      </c>
      <c r="C9679" t="s">
        <v>108</v>
      </c>
      <c r="D9679" t="s">
        <v>184</v>
      </c>
      <c r="E9679" t="s">
        <v>14</v>
      </c>
      <c r="F9679">
        <v>0.78206759691238403</v>
      </c>
    </row>
    <row r="9680" spans="2:6">
      <c r="B9680">
        <v>2012</v>
      </c>
      <c r="C9680" t="s">
        <v>108</v>
      </c>
      <c r="D9680" t="s">
        <v>184</v>
      </c>
      <c r="E9680" t="s">
        <v>15</v>
      </c>
      <c r="F9680">
        <v>0.16368149220943451</v>
      </c>
    </row>
    <row r="9681" spans="2:6">
      <c r="B9681">
        <v>2013</v>
      </c>
      <c r="C9681" t="s">
        <v>108</v>
      </c>
      <c r="D9681" t="s">
        <v>184</v>
      </c>
      <c r="E9681" t="s">
        <v>7</v>
      </c>
      <c r="F9681">
        <v>4.1990151405334473</v>
      </c>
    </row>
    <row r="9682" spans="2:6">
      <c r="B9682">
        <v>2013</v>
      </c>
      <c r="C9682" t="s">
        <v>108</v>
      </c>
      <c r="D9682" t="s">
        <v>184</v>
      </c>
      <c r="E9682" t="s">
        <v>8</v>
      </c>
      <c r="F9682">
        <v>8.5063419342041016</v>
      </c>
    </row>
    <row r="9683" spans="2:6">
      <c r="B9683">
        <v>2013</v>
      </c>
      <c r="C9683" t="s">
        <v>108</v>
      </c>
      <c r="D9683" t="s">
        <v>184</v>
      </c>
      <c r="E9683" t="s">
        <v>9</v>
      </c>
      <c r="F9683">
        <v>0.74115580320358276</v>
      </c>
    </row>
    <row r="9684" spans="2:6">
      <c r="B9684">
        <v>2013</v>
      </c>
      <c r="C9684" t="s">
        <v>108</v>
      </c>
      <c r="D9684" t="s">
        <v>184</v>
      </c>
      <c r="E9684" t="s">
        <v>10</v>
      </c>
      <c r="F9684">
        <v>55.459999084472656</v>
      </c>
    </row>
    <row r="9685" spans="2:6">
      <c r="B9685">
        <v>2013</v>
      </c>
      <c r="C9685" t="s">
        <v>108</v>
      </c>
      <c r="D9685" t="s">
        <v>184</v>
      </c>
      <c r="E9685" t="s">
        <v>11</v>
      </c>
      <c r="F9685">
        <v>0.60280025005340576</v>
      </c>
    </row>
    <row r="9686" spans="2:6">
      <c r="B9686">
        <v>2013</v>
      </c>
      <c r="C9686" t="s">
        <v>108</v>
      </c>
      <c r="D9686" t="s">
        <v>184</v>
      </c>
      <c r="E9686" t="s">
        <v>12</v>
      </c>
      <c r="F9686">
        <v>-7.8656040132045746E-2</v>
      </c>
    </row>
    <row r="9687" spans="2:6">
      <c r="B9687">
        <v>2013</v>
      </c>
      <c r="C9687" t="s">
        <v>108</v>
      </c>
      <c r="D9687" t="s">
        <v>184</v>
      </c>
      <c r="E9687" t="s">
        <v>13</v>
      </c>
      <c r="F9687">
        <v>0.67555373907089233</v>
      </c>
    </row>
    <row r="9688" spans="2:6">
      <c r="B9688">
        <v>2013</v>
      </c>
      <c r="C9688" t="s">
        <v>108</v>
      </c>
      <c r="D9688" t="s">
        <v>184</v>
      </c>
      <c r="E9688" t="s">
        <v>14</v>
      </c>
      <c r="F9688">
        <v>0.79304009675979614</v>
      </c>
    </row>
    <row r="9689" spans="2:6">
      <c r="B9689">
        <v>2013</v>
      </c>
      <c r="C9689" t="s">
        <v>108</v>
      </c>
      <c r="D9689" t="s">
        <v>184</v>
      </c>
      <c r="E9689" t="s">
        <v>15</v>
      </c>
      <c r="F9689">
        <v>0.1956903487443924</v>
      </c>
    </row>
    <row r="9690" spans="2:6">
      <c r="B9690">
        <v>2014</v>
      </c>
      <c r="C9690" t="s">
        <v>108</v>
      </c>
      <c r="D9690" t="s">
        <v>184</v>
      </c>
      <c r="E9690" t="s">
        <v>7</v>
      </c>
      <c r="F9690">
        <v>4.4828052520751953</v>
      </c>
    </row>
    <row r="9691" spans="2:6">
      <c r="B9691">
        <v>2014</v>
      </c>
      <c r="C9691" t="s">
        <v>108</v>
      </c>
      <c r="D9691" t="s">
        <v>184</v>
      </c>
      <c r="E9691" t="s">
        <v>8</v>
      </c>
      <c r="F9691">
        <v>8.5189285278320313</v>
      </c>
    </row>
    <row r="9692" spans="2:6">
      <c r="B9692">
        <v>2014</v>
      </c>
      <c r="C9692" t="s">
        <v>108</v>
      </c>
      <c r="D9692" t="s">
        <v>184</v>
      </c>
      <c r="E9692" t="s">
        <v>9</v>
      </c>
      <c r="F9692">
        <v>0.85277795791625977</v>
      </c>
    </row>
    <row r="9693" spans="2:6">
      <c r="B9693">
        <v>2014</v>
      </c>
      <c r="C9693" t="s">
        <v>108</v>
      </c>
      <c r="D9693" t="s">
        <v>184</v>
      </c>
      <c r="E9693" t="s">
        <v>10</v>
      </c>
      <c r="F9693">
        <v>55.779998779296875</v>
      </c>
    </row>
    <row r="9694" spans="2:6">
      <c r="B9694">
        <v>2014</v>
      </c>
      <c r="C9694" t="s">
        <v>108</v>
      </c>
      <c r="D9694" t="s">
        <v>184</v>
      </c>
      <c r="E9694" t="s">
        <v>11</v>
      </c>
      <c r="F9694">
        <v>0.46831813454627991</v>
      </c>
    </row>
    <row r="9695" spans="2:6">
      <c r="B9695">
        <v>2014</v>
      </c>
      <c r="C9695" t="s">
        <v>108</v>
      </c>
      <c r="D9695" t="s">
        <v>184</v>
      </c>
      <c r="E9695" t="s">
        <v>12</v>
      </c>
      <c r="F9695">
        <v>-5.4139655083417892E-2</v>
      </c>
    </row>
    <row r="9696" spans="2:6">
      <c r="B9696">
        <v>2014</v>
      </c>
      <c r="C9696" t="s">
        <v>108</v>
      </c>
      <c r="D9696" t="s">
        <v>184</v>
      </c>
      <c r="E9696" t="s">
        <v>13</v>
      </c>
      <c r="F9696">
        <v>0.58948308229446411</v>
      </c>
    </row>
    <row r="9697" spans="2:6">
      <c r="B9697">
        <v>2014</v>
      </c>
      <c r="C9697" t="s">
        <v>108</v>
      </c>
      <c r="D9697" t="s">
        <v>184</v>
      </c>
      <c r="E9697" t="s">
        <v>14</v>
      </c>
      <c r="F9697">
        <v>0.75496846437454224</v>
      </c>
    </row>
    <row r="9698" spans="2:6">
      <c r="B9698">
        <v>2014</v>
      </c>
      <c r="C9698" t="s">
        <v>108</v>
      </c>
      <c r="D9698" t="s">
        <v>184</v>
      </c>
      <c r="E9698" t="s">
        <v>15</v>
      </c>
      <c r="F9698">
        <v>0.16345243155956268</v>
      </c>
    </row>
    <row r="9699" spans="2:6">
      <c r="B9699">
        <v>2015</v>
      </c>
      <c r="C9699" t="s">
        <v>108</v>
      </c>
      <c r="D9699" t="s">
        <v>184</v>
      </c>
      <c r="E9699" t="s">
        <v>7</v>
      </c>
      <c r="F9699">
        <v>3.9226641654968262</v>
      </c>
    </row>
    <row r="9700" spans="2:6">
      <c r="B9700">
        <v>2015</v>
      </c>
      <c r="C9700" t="s">
        <v>108</v>
      </c>
      <c r="D9700" t="s">
        <v>184</v>
      </c>
      <c r="E9700" t="s">
        <v>8</v>
      </c>
      <c r="F9700">
        <v>8.5423612594604492</v>
      </c>
    </row>
    <row r="9701" spans="2:6">
      <c r="B9701">
        <v>2015</v>
      </c>
      <c r="C9701" t="s">
        <v>108</v>
      </c>
      <c r="D9701" t="s">
        <v>184</v>
      </c>
      <c r="E9701" t="s">
        <v>9</v>
      </c>
      <c r="F9701">
        <v>0.87494593858718872</v>
      </c>
    </row>
    <row r="9702" spans="2:6">
      <c r="B9702">
        <v>2015</v>
      </c>
      <c r="C9702" t="s">
        <v>108</v>
      </c>
      <c r="D9702" t="s">
        <v>184</v>
      </c>
      <c r="E9702" t="s">
        <v>10</v>
      </c>
      <c r="F9702">
        <v>56.099998474121094</v>
      </c>
    </row>
    <row r="9703" spans="2:6">
      <c r="B9703">
        <v>2015</v>
      </c>
      <c r="C9703" t="s">
        <v>108</v>
      </c>
      <c r="D9703" t="s">
        <v>184</v>
      </c>
      <c r="E9703" t="s">
        <v>11</v>
      </c>
      <c r="F9703">
        <v>0.44708657264709473</v>
      </c>
    </row>
    <row r="9704" spans="2:6">
      <c r="B9704">
        <v>2015</v>
      </c>
      <c r="C9704" t="s">
        <v>108</v>
      </c>
      <c r="D9704" t="s">
        <v>184</v>
      </c>
      <c r="E9704" t="s">
        <v>12</v>
      </c>
      <c r="F9704">
        <v>5.5479399859905243E-2</v>
      </c>
    </row>
    <row r="9705" spans="2:6">
      <c r="B9705">
        <v>2015</v>
      </c>
      <c r="C9705" t="s">
        <v>108</v>
      </c>
      <c r="D9705" t="s">
        <v>184</v>
      </c>
      <c r="E9705" t="s">
        <v>13</v>
      </c>
      <c r="F9705">
        <v>0.7153584361076355</v>
      </c>
    </row>
    <row r="9706" spans="2:6">
      <c r="B9706">
        <v>2015</v>
      </c>
      <c r="C9706" t="s">
        <v>108</v>
      </c>
      <c r="D9706" t="s">
        <v>184</v>
      </c>
      <c r="E9706" t="s">
        <v>14</v>
      </c>
      <c r="F9706">
        <v>0.81952208280563354</v>
      </c>
    </row>
    <row r="9707" spans="2:6">
      <c r="B9707">
        <v>2015</v>
      </c>
      <c r="C9707" t="s">
        <v>108</v>
      </c>
      <c r="D9707" t="s">
        <v>184</v>
      </c>
      <c r="E9707" t="s">
        <v>15</v>
      </c>
      <c r="F9707">
        <v>0.1938997209072113</v>
      </c>
    </row>
    <row r="9708" spans="2:6">
      <c r="B9708">
        <v>2016</v>
      </c>
      <c r="C9708" t="s">
        <v>108</v>
      </c>
      <c r="D9708" t="s">
        <v>184</v>
      </c>
      <c r="E9708" t="s">
        <v>7</v>
      </c>
      <c r="F9708">
        <v>4.4721493721008301</v>
      </c>
    </row>
    <row r="9709" spans="2:6">
      <c r="B9709">
        <v>2016</v>
      </c>
      <c r="C9709" t="s">
        <v>108</v>
      </c>
      <c r="D9709" t="s">
        <v>184</v>
      </c>
      <c r="E9709" t="s">
        <v>8</v>
      </c>
      <c r="F9709">
        <v>8.5263299942016602</v>
      </c>
    </row>
    <row r="9710" spans="2:6">
      <c r="B9710">
        <v>2016</v>
      </c>
      <c r="C9710" t="s">
        <v>108</v>
      </c>
      <c r="D9710" t="s">
        <v>184</v>
      </c>
      <c r="E9710" t="s">
        <v>9</v>
      </c>
      <c r="F9710">
        <v>0.78482687473297119</v>
      </c>
    </row>
    <row r="9711" spans="2:6">
      <c r="B9711">
        <v>2016</v>
      </c>
      <c r="C9711" t="s">
        <v>108</v>
      </c>
      <c r="D9711" t="s">
        <v>184</v>
      </c>
      <c r="E9711" t="s">
        <v>10</v>
      </c>
      <c r="F9711">
        <v>56.400001525878906</v>
      </c>
    </row>
    <row r="9712" spans="2:6">
      <c r="B9712">
        <v>2016</v>
      </c>
      <c r="C9712" t="s">
        <v>108</v>
      </c>
      <c r="D9712" t="s">
        <v>184</v>
      </c>
      <c r="E9712" t="s">
        <v>11</v>
      </c>
      <c r="F9712">
        <v>0.46656146645545959</v>
      </c>
    </row>
    <row r="9713" spans="2:6">
      <c r="B9713">
        <v>2016</v>
      </c>
      <c r="C9713" t="s">
        <v>108</v>
      </c>
      <c r="D9713" t="s">
        <v>184</v>
      </c>
      <c r="E9713" t="s">
        <v>12</v>
      </c>
      <c r="F9713">
        <v>-0.17485088109970093</v>
      </c>
    </row>
    <row r="9714" spans="2:6">
      <c r="B9714">
        <v>2016</v>
      </c>
      <c r="C9714" t="s">
        <v>108</v>
      </c>
      <c r="D9714" t="s">
        <v>184</v>
      </c>
      <c r="E9714" t="s">
        <v>13</v>
      </c>
      <c r="F9714">
        <v>0.8418351411819458</v>
      </c>
    </row>
    <row r="9715" spans="2:6">
      <c r="B9715">
        <v>2016</v>
      </c>
      <c r="C9715" t="s">
        <v>108</v>
      </c>
      <c r="D9715" t="s">
        <v>184</v>
      </c>
      <c r="E9715" t="s">
        <v>14</v>
      </c>
      <c r="F9715">
        <v>0.73455607891082764</v>
      </c>
    </row>
    <row r="9716" spans="2:6">
      <c r="B9716">
        <v>2016</v>
      </c>
      <c r="C9716" t="s">
        <v>108</v>
      </c>
      <c r="D9716" t="s">
        <v>184</v>
      </c>
      <c r="E9716" t="s">
        <v>15</v>
      </c>
      <c r="F9716">
        <v>0.22166614234447479</v>
      </c>
    </row>
    <row r="9717" spans="2:6">
      <c r="B9717">
        <v>2017</v>
      </c>
      <c r="C9717" t="s">
        <v>108</v>
      </c>
      <c r="D9717" t="s">
        <v>184</v>
      </c>
      <c r="E9717" t="s">
        <v>7</v>
      </c>
      <c r="F9717">
        <v>4.6781597137451172</v>
      </c>
    </row>
    <row r="9718" spans="2:6">
      <c r="B9718">
        <v>2017</v>
      </c>
      <c r="C9718" t="s">
        <v>108</v>
      </c>
      <c r="D9718" t="s">
        <v>184</v>
      </c>
      <c r="E9718" t="s">
        <v>8</v>
      </c>
      <c r="F9718">
        <v>8.5325145721435547</v>
      </c>
    </row>
    <row r="9719" spans="2:6">
      <c r="B9719">
        <v>2017</v>
      </c>
      <c r="C9719" t="s">
        <v>108</v>
      </c>
      <c r="D9719" t="s">
        <v>184</v>
      </c>
      <c r="E9719" t="s">
        <v>9</v>
      </c>
      <c r="F9719">
        <v>0.77922523021697998</v>
      </c>
    </row>
    <row r="9720" spans="2:6">
      <c r="B9720">
        <v>2017</v>
      </c>
      <c r="C9720" t="s">
        <v>108</v>
      </c>
      <c r="D9720" t="s">
        <v>184</v>
      </c>
      <c r="E9720" t="s">
        <v>10</v>
      </c>
      <c r="F9720">
        <v>56.700000762939453</v>
      </c>
    </row>
    <row r="9721" spans="2:6">
      <c r="B9721">
        <v>2017</v>
      </c>
      <c r="C9721" t="s">
        <v>108</v>
      </c>
      <c r="D9721" t="s">
        <v>184</v>
      </c>
      <c r="E9721" t="s">
        <v>11</v>
      </c>
      <c r="F9721">
        <v>0.52744680643081665</v>
      </c>
    </row>
    <row r="9722" spans="2:6">
      <c r="B9722">
        <v>2017</v>
      </c>
      <c r="C9722" t="s">
        <v>108</v>
      </c>
      <c r="D9722" t="s">
        <v>184</v>
      </c>
      <c r="E9722" t="s">
        <v>12</v>
      </c>
      <c r="F9722">
        <v>-0.15297763049602509</v>
      </c>
    </row>
    <row r="9723" spans="2:6">
      <c r="B9723">
        <v>2017</v>
      </c>
      <c r="C9723" t="s">
        <v>108</v>
      </c>
      <c r="D9723" t="s">
        <v>184</v>
      </c>
      <c r="E9723" t="s">
        <v>13</v>
      </c>
      <c r="F9723">
        <v>0.77731406688690186</v>
      </c>
    </row>
    <row r="9724" spans="2:6">
      <c r="B9724">
        <v>2017</v>
      </c>
      <c r="C9724" t="s">
        <v>108</v>
      </c>
      <c r="D9724" t="s">
        <v>184</v>
      </c>
      <c r="E9724" t="s">
        <v>14</v>
      </c>
      <c r="F9724">
        <v>0.63710707426071167</v>
      </c>
    </row>
    <row r="9725" spans="2:6">
      <c r="B9725">
        <v>2017</v>
      </c>
      <c r="C9725" t="s">
        <v>108</v>
      </c>
      <c r="D9725" t="s">
        <v>184</v>
      </c>
      <c r="E9725" t="s">
        <v>15</v>
      </c>
      <c r="F9725">
        <v>0.27232193946838379</v>
      </c>
    </row>
    <row r="9726" spans="2:6">
      <c r="B9726">
        <v>2018</v>
      </c>
      <c r="C9726" t="s">
        <v>108</v>
      </c>
      <c r="D9726" t="s">
        <v>184</v>
      </c>
      <c r="E9726" t="s">
        <v>7</v>
      </c>
      <c r="F9726">
        <v>4.3136153221130371</v>
      </c>
    </row>
    <row r="9727" spans="2:6">
      <c r="B9727">
        <v>2018</v>
      </c>
      <c r="C9727" t="s">
        <v>108</v>
      </c>
      <c r="D9727" t="s">
        <v>184</v>
      </c>
      <c r="E9727" t="s">
        <v>8</v>
      </c>
      <c r="F9727">
        <v>8.5256423950195313</v>
      </c>
    </row>
    <row r="9728" spans="2:6">
      <c r="B9728">
        <v>2018</v>
      </c>
      <c r="C9728" t="s">
        <v>108</v>
      </c>
      <c r="D9728" t="s">
        <v>184</v>
      </c>
      <c r="E9728" t="s">
        <v>9</v>
      </c>
      <c r="F9728">
        <v>0.80159550905227661</v>
      </c>
    </row>
    <row r="9729" spans="2:6">
      <c r="B9729">
        <v>2018</v>
      </c>
      <c r="C9729" t="s">
        <v>108</v>
      </c>
      <c r="D9729" t="s">
        <v>184</v>
      </c>
      <c r="E9729" t="s">
        <v>10</v>
      </c>
      <c r="F9729">
        <v>57</v>
      </c>
    </row>
    <row r="9730" spans="2:6">
      <c r="B9730">
        <v>2018</v>
      </c>
      <c r="C9730" t="s">
        <v>108</v>
      </c>
      <c r="D9730" t="s">
        <v>184</v>
      </c>
      <c r="E9730" t="s">
        <v>11</v>
      </c>
      <c r="F9730">
        <v>0.46688854694366455</v>
      </c>
    </row>
    <row r="9731" spans="2:6">
      <c r="B9731">
        <v>2018</v>
      </c>
      <c r="C9731" t="s">
        <v>108</v>
      </c>
      <c r="D9731" t="s">
        <v>184</v>
      </c>
      <c r="E9731" t="s">
        <v>12</v>
      </c>
      <c r="F9731">
        <v>-0.11163802444934845</v>
      </c>
    </row>
    <row r="9732" spans="2:6">
      <c r="B9732">
        <v>2018</v>
      </c>
      <c r="C9732" t="s">
        <v>108</v>
      </c>
      <c r="D9732" t="s">
        <v>184</v>
      </c>
      <c r="E9732" t="s">
        <v>13</v>
      </c>
      <c r="F9732">
        <v>0.71052926778793335</v>
      </c>
    </row>
    <row r="9733" spans="2:6">
      <c r="B9733">
        <v>2018</v>
      </c>
      <c r="C9733" t="s">
        <v>108</v>
      </c>
      <c r="D9733" t="s">
        <v>184</v>
      </c>
      <c r="E9733" t="s">
        <v>14</v>
      </c>
      <c r="F9733">
        <v>0.66338247060775757</v>
      </c>
    </row>
    <row r="9734" spans="2:6">
      <c r="B9734">
        <v>2018</v>
      </c>
      <c r="C9734" t="s">
        <v>108</v>
      </c>
      <c r="D9734" t="s">
        <v>184</v>
      </c>
      <c r="E9734" t="s">
        <v>15</v>
      </c>
      <c r="F9734">
        <v>0.2755579948425293</v>
      </c>
    </row>
    <row r="9735" spans="2:6">
      <c r="B9735">
        <v>2019</v>
      </c>
      <c r="C9735" t="s">
        <v>108</v>
      </c>
      <c r="D9735" t="s">
        <v>184</v>
      </c>
      <c r="E9735" t="s">
        <v>7</v>
      </c>
      <c r="F9735">
        <v>4.1526193618774414</v>
      </c>
    </row>
    <row r="9736" spans="2:6">
      <c r="B9736">
        <v>2019</v>
      </c>
      <c r="C9736" t="s">
        <v>108</v>
      </c>
      <c r="D9736" t="s">
        <v>184</v>
      </c>
      <c r="E9736" t="s">
        <v>8</v>
      </c>
      <c r="F9736">
        <v>8.555842399597168</v>
      </c>
    </row>
    <row r="9737" spans="2:6">
      <c r="B9737">
        <v>2019</v>
      </c>
      <c r="C9737" t="s">
        <v>108</v>
      </c>
      <c r="D9737" t="s">
        <v>184</v>
      </c>
      <c r="E9737" t="s">
        <v>9</v>
      </c>
      <c r="F9737">
        <v>0.79810196161270142</v>
      </c>
    </row>
    <row r="9738" spans="2:6">
      <c r="B9738">
        <v>2019</v>
      </c>
      <c r="C9738" t="s">
        <v>108</v>
      </c>
      <c r="D9738" t="s">
        <v>184</v>
      </c>
      <c r="E9738" t="s">
        <v>10</v>
      </c>
      <c r="F9738">
        <v>57.299999237060547</v>
      </c>
    </row>
    <row r="9739" spans="2:6">
      <c r="B9739">
        <v>2019</v>
      </c>
      <c r="C9739" t="s">
        <v>108</v>
      </c>
      <c r="D9739" t="s">
        <v>184</v>
      </c>
      <c r="E9739" t="s">
        <v>11</v>
      </c>
      <c r="F9739">
        <v>0.62750518321990967</v>
      </c>
    </row>
    <row r="9740" spans="2:6">
      <c r="B9740">
        <v>2019</v>
      </c>
      <c r="C9740" t="s">
        <v>108</v>
      </c>
      <c r="D9740" t="s">
        <v>184</v>
      </c>
      <c r="E9740" t="s">
        <v>12</v>
      </c>
      <c r="F9740">
        <v>-0.10185665637254715</v>
      </c>
    </row>
    <row r="9741" spans="2:6">
      <c r="B9741">
        <v>2019</v>
      </c>
      <c r="C9741" t="s">
        <v>108</v>
      </c>
      <c r="D9741" t="s">
        <v>184</v>
      </c>
      <c r="E9741" t="s">
        <v>13</v>
      </c>
      <c r="F9741">
        <v>0.74289029836654663</v>
      </c>
    </row>
    <row r="9742" spans="2:6">
      <c r="B9742">
        <v>2019</v>
      </c>
      <c r="C9742" t="s">
        <v>108</v>
      </c>
      <c r="D9742" t="s">
        <v>184</v>
      </c>
      <c r="E9742" t="s">
        <v>14</v>
      </c>
      <c r="F9742">
        <v>0.69183146953582764</v>
      </c>
    </row>
    <row r="9743" spans="2:6">
      <c r="B9743">
        <v>2019</v>
      </c>
      <c r="C9743" t="s">
        <v>108</v>
      </c>
      <c r="D9743" t="s">
        <v>184</v>
      </c>
      <c r="E9743" t="s">
        <v>15</v>
      </c>
      <c r="F9743">
        <v>0.2597385048866272</v>
      </c>
    </row>
    <row r="9744" spans="2:6">
      <c r="B9744">
        <v>2011</v>
      </c>
      <c r="C9744" t="s">
        <v>109</v>
      </c>
      <c r="D9744" t="s">
        <v>184</v>
      </c>
      <c r="E9744" t="s">
        <v>7</v>
      </c>
      <c r="F9744">
        <v>5.4770731925964355</v>
      </c>
    </row>
    <row r="9745" spans="2:6">
      <c r="B9745">
        <v>2011</v>
      </c>
      <c r="C9745" t="s">
        <v>109</v>
      </c>
      <c r="D9745" t="s">
        <v>184</v>
      </c>
      <c r="E9745" t="s">
        <v>8</v>
      </c>
      <c r="F9745">
        <v>9.7673683166503906</v>
      </c>
    </row>
    <row r="9746" spans="2:6">
      <c r="B9746">
        <v>2011</v>
      </c>
      <c r="C9746" t="s">
        <v>109</v>
      </c>
      <c r="D9746" t="s">
        <v>184</v>
      </c>
      <c r="E9746" t="s">
        <v>9</v>
      </c>
      <c r="F9746">
        <v>0.80027318000793457</v>
      </c>
    </row>
    <row r="9747" spans="2:6">
      <c r="B9747">
        <v>2011</v>
      </c>
      <c r="C9747" t="s">
        <v>109</v>
      </c>
      <c r="D9747" t="s">
        <v>184</v>
      </c>
      <c r="E9747" t="s">
        <v>10</v>
      </c>
      <c r="F9747">
        <v>64.699996948242188</v>
      </c>
    </row>
    <row r="9748" spans="2:6">
      <c r="B9748">
        <v>2011</v>
      </c>
      <c r="C9748" t="s">
        <v>109</v>
      </c>
      <c r="D9748" t="s">
        <v>184</v>
      </c>
      <c r="E9748" t="s">
        <v>11</v>
      </c>
      <c r="F9748">
        <v>0.84819376468658447</v>
      </c>
    </row>
    <row r="9749" spans="2:6">
      <c r="B9749">
        <v>2011</v>
      </c>
      <c r="C9749" t="s">
        <v>109</v>
      </c>
      <c r="D9749" t="s">
        <v>184</v>
      </c>
      <c r="E9749" t="s">
        <v>12</v>
      </c>
      <c r="F9749">
        <v>0.1914285272359848</v>
      </c>
    </row>
    <row r="9750" spans="2:6">
      <c r="B9750">
        <v>2011</v>
      </c>
      <c r="C9750" t="s">
        <v>109</v>
      </c>
      <c r="D9750" t="s">
        <v>184</v>
      </c>
      <c r="E9750" t="s">
        <v>13</v>
      </c>
      <c r="F9750">
        <v>0.84676140546798706</v>
      </c>
    </row>
    <row r="9751" spans="2:6">
      <c r="B9751">
        <v>2011</v>
      </c>
      <c r="C9751" t="s">
        <v>109</v>
      </c>
      <c r="D9751" t="s">
        <v>184</v>
      </c>
      <c r="E9751" t="s">
        <v>14</v>
      </c>
      <c r="F9751">
        <v>0.73843437433242798</v>
      </c>
    </row>
    <row r="9752" spans="2:6">
      <c r="B9752">
        <v>2011</v>
      </c>
      <c r="C9752" t="s">
        <v>109</v>
      </c>
      <c r="D9752" t="s">
        <v>184</v>
      </c>
      <c r="E9752" t="s">
        <v>15</v>
      </c>
      <c r="F9752">
        <v>0.25250482559204102</v>
      </c>
    </row>
    <row r="9753" spans="2:6">
      <c r="B9753">
        <v>2014</v>
      </c>
      <c r="C9753" t="s">
        <v>109</v>
      </c>
      <c r="D9753" t="s">
        <v>184</v>
      </c>
      <c r="E9753" t="s">
        <v>7</v>
      </c>
      <c r="F9753">
        <v>5.6477799415588379</v>
      </c>
    </row>
    <row r="9754" spans="2:6">
      <c r="B9754">
        <v>2014</v>
      </c>
      <c r="C9754" t="s">
        <v>109</v>
      </c>
      <c r="D9754" t="s">
        <v>184</v>
      </c>
      <c r="E9754" t="s">
        <v>8</v>
      </c>
      <c r="F9754">
        <v>9.8647584915161133</v>
      </c>
    </row>
    <row r="9755" spans="2:6">
      <c r="B9755">
        <v>2014</v>
      </c>
      <c r="C9755" t="s">
        <v>109</v>
      </c>
      <c r="D9755" t="s">
        <v>184</v>
      </c>
      <c r="E9755" t="s">
        <v>9</v>
      </c>
      <c r="F9755">
        <v>0.78482204675674438</v>
      </c>
    </row>
    <row r="9756" spans="2:6">
      <c r="B9756">
        <v>2014</v>
      </c>
      <c r="C9756" t="s">
        <v>109</v>
      </c>
      <c r="D9756" t="s">
        <v>184</v>
      </c>
      <c r="E9756" t="s">
        <v>10</v>
      </c>
      <c r="F9756">
        <v>65.300003051757813</v>
      </c>
    </row>
    <row r="9757" spans="2:6">
      <c r="B9757">
        <v>2014</v>
      </c>
      <c r="C9757" t="s">
        <v>109</v>
      </c>
      <c r="D9757" t="s">
        <v>184</v>
      </c>
      <c r="E9757" t="s">
        <v>11</v>
      </c>
      <c r="F9757">
        <v>0.82423031330108643</v>
      </c>
    </row>
    <row r="9758" spans="2:6">
      <c r="B9758">
        <v>2014</v>
      </c>
      <c r="C9758" t="s">
        <v>109</v>
      </c>
      <c r="D9758" t="s">
        <v>184</v>
      </c>
      <c r="E9758" t="s">
        <v>12</v>
      </c>
      <c r="F9758">
        <v>0.17628702521324158</v>
      </c>
    </row>
    <row r="9759" spans="2:6">
      <c r="B9759">
        <v>2014</v>
      </c>
      <c r="C9759" t="s">
        <v>109</v>
      </c>
      <c r="D9759" t="s">
        <v>184</v>
      </c>
      <c r="E9759" t="s">
        <v>13</v>
      </c>
      <c r="F9759">
        <v>0.87940555810928345</v>
      </c>
    </row>
    <row r="9760" spans="2:6">
      <c r="B9760">
        <v>2014</v>
      </c>
      <c r="C9760" t="s">
        <v>109</v>
      </c>
      <c r="D9760" t="s">
        <v>184</v>
      </c>
      <c r="E9760" t="s">
        <v>14</v>
      </c>
      <c r="F9760">
        <v>0.80802452564239502</v>
      </c>
    </row>
    <row r="9761" spans="2:6">
      <c r="B9761">
        <v>2014</v>
      </c>
      <c r="C9761" t="s">
        <v>109</v>
      </c>
      <c r="D9761" t="s">
        <v>184</v>
      </c>
      <c r="E9761" t="s">
        <v>15</v>
      </c>
      <c r="F9761">
        <v>0.22239960730075836</v>
      </c>
    </row>
    <row r="9762" spans="2:6">
      <c r="B9762">
        <v>2016</v>
      </c>
      <c r="C9762" t="s">
        <v>109</v>
      </c>
      <c r="D9762" t="s">
        <v>184</v>
      </c>
      <c r="E9762" t="s">
        <v>7</v>
      </c>
      <c r="F9762">
        <v>5.6100034713745117</v>
      </c>
    </row>
    <row r="9763" spans="2:6">
      <c r="B9763">
        <v>2016</v>
      </c>
      <c r="C9763" t="s">
        <v>109</v>
      </c>
      <c r="D9763" t="s">
        <v>184</v>
      </c>
      <c r="E9763" t="s">
        <v>8</v>
      </c>
      <c r="F9763">
        <v>9.9353218078613281</v>
      </c>
    </row>
    <row r="9764" spans="2:6">
      <c r="B9764">
        <v>2016</v>
      </c>
      <c r="C9764" t="s">
        <v>109</v>
      </c>
      <c r="D9764" t="s">
        <v>184</v>
      </c>
      <c r="E9764" t="s">
        <v>9</v>
      </c>
      <c r="F9764">
        <v>0.83603215217590332</v>
      </c>
    </row>
    <row r="9765" spans="2:6">
      <c r="B9765">
        <v>2016</v>
      </c>
      <c r="C9765" t="s">
        <v>109</v>
      </c>
      <c r="D9765" t="s">
        <v>184</v>
      </c>
      <c r="E9765" t="s">
        <v>10</v>
      </c>
      <c r="F9765">
        <v>65.800003051757813</v>
      </c>
    </row>
    <row r="9766" spans="2:6">
      <c r="B9766">
        <v>2016</v>
      </c>
      <c r="C9766" t="s">
        <v>109</v>
      </c>
      <c r="D9766" t="s">
        <v>184</v>
      </c>
      <c r="E9766" t="s">
        <v>11</v>
      </c>
      <c r="F9766">
        <v>0.81917566061019897</v>
      </c>
    </row>
    <row r="9767" spans="2:6">
      <c r="B9767">
        <v>2016</v>
      </c>
      <c r="C9767" t="s">
        <v>109</v>
      </c>
      <c r="D9767" t="s">
        <v>184</v>
      </c>
      <c r="E9767" t="s">
        <v>12</v>
      </c>
      <c r="F9767">
        <v>0.13946434855461121</v>
      </c>
    </row>
    <row r="9768" spans="2:6">
      <c r="B9768">
        <v>2016</v>
      </c>
      <c r="C9768" t="s">
        <v>109</v>
      </c>
      <c r="D9768" t="s">
        <v>184</v>
      </c>
      <c r="E9768" t="s">
        <v>13</v>
      </c>
      <c r="F9768">
        <v>0.89066135883331299</v>
      </c>
    </row>
    <row r="9769" spans="2:6">
      <c r="B9769">
        <v>2016</v>
      </c>
      <c r="C9769" t="s">
        <v>109</v>
      </c>
      <c r="D9769" t="s">
        <v>184</v>
      </c>
      <c r="E9769" t="s">
        <v>14</v>
      </c>
      <c r="F9769">
        <v>0.78489828109741211</v>
      </c>
    </row>
    <row r="9770" spans="2:6">
      <c r="B9770">
        <v>2016</v>
      </c>
      <c r="C9770" t="s">
        <v>109</v>
      </c>
      <c r="D9770" t="s">
        <v>184</v>
      </c>
      <c r="E9770" t="s">
        <v>15</v>
      </c>
      <c r="F9770">
        <v>0.24571189284324646</v>
      </c>
    </row>
    <row r="9771" spans="2:6">
      <c r="B9771">
        <v>2017</v>
      </c>
      <c r="C9771" t="s">
        <v>109</v>
      </c>
      <c r="D9771" t="s">
        <v>184</v>
      </c>
      <c r="E9771" t="s">
        <v>7</v>
      </c>
      <c r="F9771">
        <v>6.1741175651550293</v>
      </c>
    </row>
    <row r="9772" spans="2:6">
      <c r="B9772">
        <v>2017</v>
      </c>
      <c r="C9772" t="s">
        <v>109</v>
      </c>
      <c r="D9772" t="s">
        <v>184</v>
      </c>
      <c r="E9772" t="s">
        <v>8</v>
      </c>
      <c r="F9772">
        <v>9.9718523025512695</v>
      </c>
    </row>
    <row r="9773" spans="2:6">
      <c r="B9773">
        <v>2017</v>
      </c>
      <c r="C9773" t="s">
        <v>109</v>
      </c>
      <c r="D9773" t="s">
        <v>184</v>
      </c>
      <c r="E9773" t="s">
        <v>9</v>
      </c>
      <c r="F9773">
        <v>0.91014224290847778</v>
      </c>
    </row>
    <row r="9774" spans="2:6">
      <c r="B9774">
        <v>2017</v>
      </c>
      <c r="C9774" t="s">
        <v>109</v>
      </c>
      <c r="D9774" t="s">
        <v>184</v>
      </c>
      <c r="E9774" t="s">
        <v>10</v>
      </c>
      <c r="F9774">
        <v>66.099998474121094</v>
      </c>
    </row>
    <row r="9775" spans="2:6">
      <c r="B9775">
        <v>2017</v>
      </c>
      <c r="C9775" t="s">
        <v>109</v>
      </c>
      <c r="D9775" t="s">
        <v>184</v>
      </c>
      <c r="E9775" t="s">
        <v>11</v>
      </c>
      <c r="F9775">
        <v>0.9123075008392334</v>
      </c>
    </row>
    <row r="9776" spans="2:6">
      <c r="B9776">
        <v>2017</v>
      </c>
      <c r="C9776" t="s">
        <v>109</v>
      </c>
      <c r="D9776" t="s">
        <v>184</v>
      </c>
      <c r="E9776" t="s">
        <v>12</v>
      </c>
      <c r="F9776">
        <v>8.6756341159343719E-2</v>
      </c>
    </row>
    <row r="9777" spans="2:6">
      <c r="B9777">
        <v>2017</v>
      </c>
      <c r="C9777" t="s">
        <v>109</v>
      </c>
      <c r="D9777" t="s">
        <v>184</v>
      </c>
      <c r="E9777" t="s">
        <v>13</v>
      </c>
      <c r="F9777">
        <v>0.8181799054145813</v>
      </c>
    </row>
    <row r="9778" spans="2:6">
      <c r="B9778">
        <v>2017</v>
      </c>
      <c r="C9778" t="s">
        <v>109</v>
      </c>
      <c r="D9778" t="s">
        <v>184</v>
      </c>
      <c r="E9778" t="s">
        <v>14</v>
      </c>
      <c r="F9778">
        <v>0.74776017665863037</v>
      </c>
    </row>
    <row r="9779" spans="2:6">
      <c r="B9779">
        <v>2017</v>
      </c>
      <c r="C9779" t="s">
        <v>109</v>
      </c>
      <c r="D9779" t="s">
        <v>184</v>
      </c>
      <c r="E9779" t="s">
        <v>15</v>
      </c>
      <c r="F9779">
        <v>0.16872118413448334</v>
      </c>
    </row>
    <row r="9780" spans="2:6">
      <c r="B9780">
        <v>2018</v>
      </c>
      <c r="C9780" t="s">
        <v>109</v>
      </c>
      <c r="D9780" t="s">
        <v>184</v>
      </c>
      <c r="E9780" t="s">
        <v>7</v>
      </c>
      <c r="F9780">
        <v>5.8817405700683594</v>
      </c>
    </row>
    <row r="9781" spans="2:6">
      <c r="B9781">
        <v>2018</v>
      </c>
      <c r="C9781" t="s">
        <v>109</v>
      </c>
      <c r="D9781" t="s">
        <v>184</v>
      </c>
      <c r="E9781" t="s">
        <v>8</v>
      </c>
      <c r="F9781">
        <v>10.008216857910156</v>
      </c>
    </row>
    <row r="9782" spans="2:6">
      <c r="B9782">
        <v>2018</v>
      </c>
      <c r="C9782" t="s">
        <v>109</v>
      </c>
      <c r="D9782" t="s">
        <v>184</v>
      </c>
      <c r="E9782" t="s">
        <v>9</v>
      </c>
      <c r="F9782">
        <v>0.90884155035018921</v>
      </c>
    </row>
    <row r="9783" spans="2:6">
      <c r="B9783">
        <v>2018</v>
      </c>
      <c r="C9783" t="s">
        <v>109</v>
      </c>
      <c r="D9783" t="s">
        <v>184</v>
      </c>
      <c r="E9783" t="s">
        <v>10</v>
      </c>
      <c r="F9783">
        <v>66.400001525878906</v>
      </c>
    </row>
    <row r="9784" spans="2:6">
      <c r="B9784">
        <v>2018</v>
      </c>
      <c r="C9784" t="s">
        <v>109</v>
      </c>
      <c r="D9784" t="s">
        <v>184</v>
      </c>
      <c r="E9784" t="s">
        <v>11</v>
      </c>
      <c r="F9784">
        <v>0.8669281005859375</v>
      </c>
    </row>
    <row r="9785" spans="2:6">
      <c r="B9785">
        <v>2018</v>
      </c>
      <c r="C9785" t="s">
        <v>109</v>
      </c>
      <c r="D9785" t="s">
        <v>184</v>
      </c>
      <c r="E9785" t="s">
        <v>12</v>
      </c>
      <c r="F9785">
        <v>-7.3091126978397369E-2</v>
      </c>
    </row>
    <row r="9786" spans="2:6">
      <c r="B9786">
        <v>2018</v>
      </c>
      <c r="C9786" t="s">
        <v>109</v>
      </c>
      <c r="D9786" t="s">
        <v>184</v>
      </c>
      <c r="E9786" t="s">
        <v>13</v>
      </c>
      <c r="F9786">
        <v>0.78524971008300781</v>
      </c>
    </row>
    <row r="9787" spans="2:6">
      <c r="B9787">
        <v>2018</v>
      </c>
      <c r="C9787" t="s">
        <v>109</v>
      </c>
      <c r="D9787" t="s">
        <v>184</v>
      </c>
      <c r="E9787" t="s">
        <v>14</v>
      </c>
      <c r="F9787">
        <v>0.77395164966583252</v>
      </c>
    </row>
    <row r="9788" spans="2:6">
      <c r="B9788">
        <v>2018</v>
      </c>
      <c r="C9788" t="s">
        <v>109</v>
      </c>
      <c r="D9788" t="s">
        <v>184</v>
      </c>
      <c r="E9788" t="s">
        <v>15</v>
      </c>
      <c r="F9788">
        <v>0.15799325704574585</v>
      </c>
    </row>
    <row r="9789" spans="2:6">
      <c r="B9789">
        <v>2019</v>
      </c>
      <c r="C9789" t="s">
        <v>109</v>
      </c>
      <c r="D9789" t="s">
        <v>184</v>
      </c>
      <c r="E9789" t="s">
        <v>7</v>
      </c>
      <c r="F9789">
        <v>6.2411651611328125</v>
      </c>
    </row>
    <row r="9790" spans="2:6">
      <c r="B9790">
        <v>2019</v>
      </c>
      <c r="C9790" t="s">
        <v>109</v>
      </c>
      <c r="D9790" t="s">
        <v>184</v>
      </c>
      <c r="E9790" t="s">
        <v>8</v>
      </c>
      <c r="F9790">
        <v>10.04278564453125</v>
      </c>
    </row>
    <row r="9791" spans="2:6">
      <c r="B9791">
        <v>2019</v>
      </c>
      <c r="C9791" t="s">
        <v>109</v>
      </c>
      <c r="D9791" t="s">
        <v>184</v>
      </c>
      <c r="E9791" t="s">
        <v>9</v>
      </c>
      <c r="F9791">
        <v>0.91313427686691284</v>
      </c>
    </row>
    <row r="9792" spans="2:6">
      <c r="B9792">
        <v>2019</v>
      </c>
      <c r="C9792" t="s">
        <v>109</v>
      </c>
      <c r="D9792" t="s">
        <v>184</v>
      </c>
      <c r="E9792" t="s">
        <v>10</v>
      </c>
      <c r="F9792">
        <v>66.699996948242188</v>
      </c>
    </row>
    <row r="9793" spans="2:6">
      <c r="B9793">
        <v>2019</v>
      </c>
      <c r="C9793" t="s">
        <v>109</v>
      </c>
      <c r="D9793" t="s">
        <v>184</v>
      </c>
      <c r="E9793" t="s">
        <v>11</v>
      </c>
      <c r="F9793">
        <v>0.89315789937973022</v>
      </c>
    </row>
    <row r="9794" spans="2:6">
      <c r="B9794">
        <v>2019</v>
      </c>
      <c r="C9794" t="s">
        <v>109</v>
      </c>
      <c r="D9794" t="s">
        <v>184</v>
      </c>
      <c r="E9794" t="s">
        <v>12</v>
      </c>
      <c r="F9794">
        <v>-5.2766896784305573E-2</v>
      </c>
    </row>
    <row r="9795" spans="2:6">
      <c r="B9795">
        <v>2019</v>
      </c>
      <c r="C9795" t="s">
        <v>109</v>
      </c>
      <c r="D9795" t="s">
        <v>184</v>
      </c>
      <c r="E9795" t="s">
        <v>13</v>
      </c>
      <c r="F9795">
        <v>0.81020081043243408</v>
      </c>
    </row>
    <row r="9796" spans="2:6">
      <c r="B9796">
        <v>2019</v>
      </c>
      <c r="C9796" t="s">
        <v>109</v>
      </c>
      <c r="D9796" t="s">
        <v>184</v>
      </c>
      <c r="E9796" t="s">
        <v>14</v>
      </c>
      <c r="F9796">
        <v>0.80823791027069092</v>
      </c>
    </row>
    <row r="9797" spans="2:6">
      <c r="B9797">
        <v>2019</v>
      </c>
      <c r="C9797" t="s">
        <v>109</v>
      </c>
      <c r="D9797" t="s">
        <v>184</v>
      </c>
      <c r="E9797" t="s">
        <v>15</v>
      </c>
      <c r="F9797">
        <v>0.14936272799968719</v>
      </c>
    </row>
    <row r="9798" spans="2:6">
      <c r="B9798">
        <v>2020</v>
      </c>
      <c r="C9798" t="s">
        <v>109</v>
      </c>
      <c r="D9798" t="s">
        <v>184</v>
      </c>
      <c r="E9798" t="s">
        <v>7</v>
      </c>
      <c r="F9798">
        <v>6.0153002738952637</v>
      </c>
    </row>
    <row r="9799" spans="2:6">
      <c r="B9799">
        <v>2020</v>
      </c>
      <c r="C9799" t="s">
        <v>109</v>
      </c>
      <c r="D9799" t="s">
        <v>184</v>
      </c>
      <c r="E9799" t="s">
        <v>8</v>
      </c>
      <c r="F9799">
        <v>9.9720172882080078</v>
      </c>
    </row>
    <row r="9800" spans="2:6">
      <c r="B9800">
        <v>2020</v>
      </c>
      <c r="C9800" t="s">
        <v>109</v>
      </c>
      <c r="D9800" t="s">
        <v>184</v>
      </c>
      <c r="E9800" t="s">
        <v>9</v>
      </c>
      <c r="F9800">
        <v>0.89256596565246582</v>
      </c>
    </row>
    <row r="9801" spans="2:6">
      <c r="B9801">
        <v>2020</v>
      </c>
      <c r="C9801" t="s">
        <v>109</v>
      </c>
      <c r="D9801" t="s">
        <v>184</v>
      </c>
      <c r="E9801" t="s">
        <v>10</v>
      </c>
      <c r="F9801">
        <v>67</v>
      </c>
    </row>
    <row r="9802" spans="2:6">
      <c r="B9802">
        <v>2020</v>
      </c>
      <c r="C9802" t="s">
        <v>109</v>
      </c>
      <c r="D9802" t="s">
        <v>184</v>
      </c>
      <c r="E9802" t="s">
        <v>11</v>
      </c>
      <c r="F9802">
        <v>0.8425980806350708</v>
      </c>
    </row>
    <row r="9803" spans="2:6">
      <c r="B9803">
        <v>2020</v>
      </c>
      <c r="C9803" t="s">
        <v>109</v>
      </c>
      <c r="D9803" t="s">
        <v>184</v>
      </c>
      <c r="E9803" t="s">
        <v>12</v>
      </c>
      <c r="F9803">
        <v>-3.6692719906568527E-2</v>
      </c>
    </row>
    <row r="9804" spans="2:6">
      <c r="B9804">
        <v>2020</v>
      </c>
      <c r="C9804" t="s">
        <v>109</v>
      </c>
      <c r="D9804" t="s">
        <v>184</v>
      </c>
      <c r="E9804" t="s">
        <v>13</v>
      </c>
      <c r="F9804">
        <v>0.77179008722305298</v>
      </c>
    </row>
    <row r="9805" spans="2:6">
      <c r="B9805">
        <v>2020</v>
      </c>
      <c r="C9805" t="s">
        <v>109</v>
      </c>
      <c r="D9805" t="s">
        <v>184</v>
      </c>
      <c r="E9805" t="s">
        <v>14</v>
      </c>
      <c r="F9805">
        <v>0.76698446273803711</v>
      </c>
    </row>
    <row r="9806" spans="2:6">
      <c r="B9806">
        <v>2020</v>
      </c>
      <c r="C9806" t="s">
        <v>109</v>
      </c>
      <c r="D9806" t="s">
        <v>184</v>
      </c>
      <c r="E9806" t="s">
        <v>15</v>
      </c>
      <c r="F9806">
        <v>0.13840179145336151</v>
      </c>
    </row>
    <row r="9807" spans="2:6">
      <c r="B9807">
        <v>2005</v>
      </c>
      <c r="C9807" t="s">
        <v>110</v>
      </c>
      <c r="D9807" t="s">
        <v>185</v>
      </c>
      <c r="E9807" t="s">
        <v>7</v>
      </c>
      <c r="F9807">
        <v>6.580657958984375</v>
      </c>
    </row>
    <row r="9808" spans="2:6">
      <c r="B9808">
        <v>2005</v>
      </c>
      <c r="C9808" t="s">
        <v>110</v>
      </c>
      <c r="D9808" t="s">
        <v>185</v>
      </c>
      <c r="E9808" t="s">
        <v>8</v>
      </c>
      <c r="F9808">
        <v>9.7878074645996094</v>
      </c>
    </row>
    <row r="9809" spans="2:6">
      <c r="B9809">
        <v>2005</v>
      </c>
      <c r="C9809" t="s">
        <v>110</v>
      </c>
      <c r="D9809" t="s">
        <v>185</v>
      </c>
      <c r="E9809" t="s">
        <v>9</v>
      </c>
      <c r="F9809">
        <v>0.90280765295028687</v>
      </c>
    </row>
    <row r="9810" spans="2:6">
      <c r="B9810">
        <v>2005</v>
      </c>
      <c r="C9810" t="s">
        <v>110</v>
      </c>
      <c r="D9810" t="s">
        <v>185</v>
      </c>
      <c r="E9810" t="s">
        <v>10</v>
      </c>
      <c r="F9810">
        <v>66.199996948242188</v>
      </c>
    </row>
    <row r="9811" spans="2:6">
      <c r="B9811">
        <v>2005</v>
      </c>
      <c r="C9811" t="s">
        <v>110</v>
      </c>
      <c r="D9811" t="s">
        <v>185</v>
      </c>
      <c r="E9811" t="s">
        <v>11</v>
      </c>
      <c r="F9811">
        <v>0.81374549865722656</v>
      </c>
    </row>
    <row r="9812" spans="2:6">
      <c r="B9812">
        <v>2005</v>
      </c>
      <c r="C9812" t="s">
        <v>110</v>
      </c>
      <c r="D9812" t="s">
        <v>185</v>
      </c>
      <c r="E9812" t="s">
        <v>13</v>
      </c>
      <c r="F9812">
        <v>0.76424902677536011</v>
      </c>
    </row>
    <row r="9813" spans="2:6">
      <c r="B9813">
        <v>2005</v>
      </c>
      <c r="C9813" t="s">
        <v>110</v>
      </c>
      <c r="D9813" t="s">
        <v>185</v>
      </c>
      <c r="E9813" t="s">
        <v>14</v>
      </c>
      <c r="F9813">
        <v>0.81980329751968384</v>
      </c>
    </row>
    <row r="9814" spans="2:6">
      <c r="B9814">
        <v>2005</v>
      </c>
      <c r="C9814" t="s">
        <v>110</v>
      </c>
      <c r="D9814" t="s">
        <v>185</v>
      </c>
      <c r="E9814" t="s">
        <v>15</v>
      </c>
      <c r="F9814">
        <v>0.21894286572933197</v>
      </c>
    </row>
    <row r="9815" spans="2:6">
      <c r="B9815">
        <v>2007</v>
      </c>
      <c r="C9815" t="s">
        <v>110</v>
      </c>
      <c r="D9815" t="s">
        <v>185</v>
      </c>
      <c r="E9815" t="s">
        <v>7</v>
      </c>
      <c r="F9815">
        <v>6.5253782272338867</v>
      </c>
    </row>
    <row r="9816" spans="2:6">
      <c r="B9816">
        <v>2007</v>
      </c>
      <c r="C9816" t="s">
        <v>110</v>
      </c>
      <c r="D9816" t="s">
        <v>185</v>
      </c>
      <c r="E9816" t="s">
        <v>8</v>
      </c>
      <c r="F9816">
        <v>9.8250102996826172</v>
      </c>
    </row>
    <row r="9817" spans="2:6">
      <c r="B9817">
        <v>2007</v>
      </c>
      <c r="C9817" t="s">
        <v>110</v>
      </c>
      <c r="D9817" t="s">
        <v>185</v>
      </c>
      <c r="E9817" t="s">
        <v>9</v>
      </c>
      <c r="F9817">
        <v>0.87880563735961914</v>
      </c>
    </row>
    <row r="9818" spans="2:6">
      <c r="B9818">
        <v>2007</v>
      </c>
      <c r="C9818" t="s">
        <v>110</v>
      </c>
      <c r="D9818" t="s">
        <v>185</v>
      </c>
      <c r="E9818" t="s">
        <v>10</v>
      </c>
      <c r="F9818">
        <v>66.319999694824219</v>
      </c>
    </row>
    <row r="9819" spans="2:6">
      <c r="B9819">
        <v>2007</v>
      </c>
      <c r="C9819" t="s">
        <v>110</v>
      </c>
      <c r="D9819" t="s">
        <v>185</v>
      </c>
      <c r="E9819" t="s">
        <v>11</v>
      </c>
      <c r="F9819">
        <v>0.67043036222457886</v>
      </c>
    </row>
    <row r="9820" spans="2:6">
      <c r="B9820">
        <v>2007</v>
      </c>
      <c r="C9820" t="s">
        <v>110</v>
      </c>
      <c r="D9820" t="s">
        <v>185</v>
      </c>
      <c r="E9820" t="s">
        <v>12</v>
      </c>
      <c r="F9820">
        <v>-9.4635419547557831E-2</v>
      </c>
    </row>
    <row r="9821" spans="2:6">
      <c r="B9821">
        <v>2007</v>
      </c>
      <c r="C9821" t="s">
        <v>110</v>
      </c>
      <c r="D9821" t="s">
        <v>185</v>
      </c>
      <c r="E9821" t="s">
        <v>13</v>
      </c>
      <c r="F9821">
        <v>0.74668103456497192</v>
      </c>
    </row>
    <row r="9822" spans="2:6">
      <c r="B9822">
        <v>2007</v>
      </c>
      <c r="C9822" t="s">
        <v>110</v>
      </c>
      <c r="D9822" t="s">
        <v>185</v>
      </c>
      <c r="E9822" t="s">
        <v>14</v>
      </c>
      <c r="F9822">
        <v>0.81572121381759644</v>
      </c>
    </row>
    <row r="9823" spans="2:6">
      <c r="B9823">
        <v>2007</v>
      </c>
      <c r="C9823" t="s">
        <v>110</v>
      </c>
      <c r="D9823" t="s">
        <v>185</v>
      </c>
      <c r="E9823" t="s">
        <v>15</v>
      </c>
      <c r="F9823">
        <v>0.24849776923656464</v>
      </c>
    </row>
    <row r="9824" spans="2:6">
      <c r="B9824">
        <v>2008</v>
      </c>
      <c r="C9824" t="s">
        <v>110</v>
      </c>
      <c r="D9824" t="s">
        <v>185</v>
      </c>
      <c r="E9824" t="s">
        <v>7</v>
      </c>
      <c r="F9824">
        <v>6.8290362358093262</v>
      </c>
    </row>
    <row r="9825" spans="2:6">
      <c r="B9825">
        <v>2008</v>
      </c>
      <c r="C9825" t="s">
        <v>110</v>
      </c>
      <c r="D9825" t="s">
        <v>185</v>
      </c>
      <c r="E9825" t="s">
        <v>8</v>
      </c>
      <c r="F9825">
        <v>9.8214273452758789</v>
      </c>
    </row>
    <row r="9826" spans="2:6">
      <c r="B9826">
        <v>2008</v>
      </c>
      <c r="C9826" t="s">
        <v>110</v>
      </c>
      <c r="D9826" t="s">
        <v>185</v>
      </c>
      <c r="E9826" t="s">
        <v>9</v>
      </c>
      <c r="F9826">
        <v>0.87632781267166138</v>
      </c>
    </row>
    <row r="9827" spans="2:6">
      <c r="B9827">
        <v>2008</v>
      </c>
      <c r="C9827" t="s">
        <v>110</v>
      </c>
      <c r="D9827" t="s">
        <v>185</v>
      </c>
      <c r="E9827" t="s">
        <v>10</v>
      </c>
      <c r="F9827">
        <v>66.379997253417969</v>
      </c>
    </row>
    <row r="9828" spans="2:6">
      <c r="B9828">
        <v>2008</v>
      </c>
      <c r="C9828" t="s">
        <v>110</v>
      </c>
      <c r="D9828" t="s">
        <v>185</v>
      </c>
      <c r="E9828" t="s">
        <v>11</v>
      </c>
      <c r="F9828">
        <v>0.67747730016708374</v>
      </c>
    </row>
    <row r="9829" spans="2:6">
      <c r="B9829">
        <v>2008</v>
      </c>
      <c r="C9829" t="s">
        <v>110</v>
      </c>
      <c r="D9829" t="s">
        <v>185</v>
      </c>
      <c r="E9829" t="s">
        <v>12</v>
      </c>
      <c r="F9829">
        <v>-0.12759920954704285</v>
      </c>
    </row>
    <row r="9830" spans="2:6">
      <c r="B9830">
        <v>2008</v>
      </c>
      <c r="C9830" t="s">
        <v>110</v>
      </c>
      <c r="D9830" t="s">
        <v>185</v>
      </c>
      <c r="E9830" t="s">
        <v>13</v>
      </c>
      <c r="F9830">
        <v>0.78489792346954346</v>
      </c>
    </row>
    <row r="9831" spans="2:6">
      <c r="B9831">
        <v>2008</v>
      </c>
      <c r="C9831" t="s">
        <v>110</v>
      </c>
      <c r="D9831" t="s">
        <v>185</v>
      </c>
      <c r="E9831" t="s">
        <v>14</v>
      </c>
      <c r="F9831">
        <v>0.82542645931243896</v>
      </c>
    </row>
    <row r="9832" spans="2:6">
      <c r="B9832">
        <v>2008</v>
      </c>
      <c r="C9832" t="s">
        <v>110</v>
      </c>
      <c r="D9832" t="s">
        <v>185</v>
      </c>
      <c r="E9832" t="s">
        <v>15</v>
      </c>
      <c r="F9832">
        <v>0.20117530226707458</v>
      </c>
    </row>
    <row r="9833" spans="2:6">
      <c r="B9833">
        <v>2009</v>
      </c>
      <c r="C9833" t="s">
        <v>110</v>
      </c>
      <c r="D9833" t="s">
        <v>185</v>
      </c>
      <c r="E9833" t="s">
        <v>7</v>
      </c>
      <c r="F9833">
        <v>6.9628190994262695</v>
      </c>
    </row>
    <row r="9834" spans="2:6">
      <c r="B9834">
        <v>2009</v>
      </c>
      <c r="C9834" t="s">
        <v>110</v>
      </c>
      <c r="D9834" t="s">
        <v>185</v>
      </c>
      <c r="E9834" t="s">
        <v>8</v>
      </c>
      <c r="F9834">
        <v>9.7523536682128906</v>
      </c>
    </row>
    <row r="9835" spans="2:6">
      <c r="B9835">
        <v>2009</v>
      </c>
      <c r="C9835" t="s">
        <v>110</v>
      </c>
      <c r="D9835" t="s">
        <v>185</v>
      </c>
      <c r="E9835" t="s">
        <v>9</v>
      </c>
      <c r="F9835">
        <v>0.8682207465171814</v>
      </c>
    </row>
    <row r="9836" spans="2:6">
      <c r="B9836">
        <v>2009</v>
      </c>
      <c r="C9836" t="s">
        <v>110</v>
      </c>
      <c r="D9836" t="s">
        <v>185</v>
      </c>
      <c r="E9836" t="s">
        <v>10</v>
      </c>
      <c r="F9836">
        <v>66.44000244140625</v>
      </c>
    </row>
    <row r="9837" spans="2:6">
      <c r="B9837">
        <v>2009</v>
      </c>
      <c r="C9837" t="s">
        <v>110</v>
      </c>
      <c r="D9837" t="s">
        <v>185</v>
      </c>
      <c r="E9837" t="s">
        <v>11</v>
      </c>
      <c r="F9837">
        <v>0.68246340751647949</v>
      </c>
    </row>
    <row r="9838" spans="2:6">
      <c r="B9838">
        <v>2009</v>
      </c>
      <c r="C9838" t="s">
        <v>110</v>
      </c>
      <c r="D9838" t="s">
        <v>185</v>
      </c>
      <c r="E9838" t="s">
        <v>12</v>
      </c>
      <c r="F9838">
        <v>-7.5909979641437531E-2</v>
      </c>
    </row>
    <row r="9839" spans="2:6">
      <c r="B9839">
        <v>2009</v>
      </c>
      <c r="C9839" t="s">
        <v>110</v>
      </c>
      <c r="D9839" t="s">
        <v>185</v>
      </c>
      <c r="E9839" t="s">
        <v>13</v>
      </c>
      <c r="F9839">
        <v>0.7642255425453186</v>
      </c>
    </row>
    <row r="9840" spans="2:6">
      <c r="B9840">
        <v>2009</v>
      </c>
      <c r="C9840" t="s">
        <v>110</v>
      </c>
      <c r="D9840" t="s">
        <v>185</v>
      </c>
      <c r="E9840" t="s">
        <v>14</v>
      </c>
      <c r="F9840">
        <v>0.84876161813735962</v>
      </c>
    </row>
    <row r="9841" spans="2:6">
      <c r="B9841">
        <v>2009</v>
      </c>
      <c r="C9841" t="s">
        <v>110</v>
      </c>
      <c r="D9841" t="s">
        <v>185</v>
      </c>
      <c r="E9841" t="s">
        <v>15</v>
      </c>
      <c r="F9841">
        <v>0.19607076048851013</v>
      </c>
    </row>
    <row r="9842" spans="2:6">
      <c r="B9842">
        <v>2010</v>
      </c>
      <c r="C9842" t="s">
        <v>110</v>
      </c>
      <c r="D9842" t="s">
        <v>185</v>
      </c>
      <c r="E9842" t="s">
        <v>7</v>
      </c>
      <c r="F9842">
        <v>6.8023886680603027</v>
      </c>
    </row>
    <row r="9843" spans="2:6">
      <c r="B9843">
        <v>2010</v>
      </c>
      <c r="C9843" t="s">
        <v>110</v>
      </c>
      <c r="D9843" t="s">
        <v>185</v>
      </c>
      <c r="E9843" t="s">
        <v>8</v>
      </c>
      <c r="F9843">
        <v>9.7878866195678711</v>
      </c>
    </row>
    <row r="9844" spans="2:6">
      <c r="B9844">
        <v>2010</v>
      </c>
      <c r="C9844" t="s">
        <v>110</v>
      </c>
      <c r="D9844" t="s">
        <v>185</v>
      </c>
      <c r="E9844" t="s">
        <v>9</v>
      </c>
      <c r="F9844">
        <v>0.87638968229293823</v>
      </c>
    </row>
    <row r="9845" spans="2:6">
      <c r="B9845">
        <v>2010</v>
      </c>
      <c r="C9845" t="s">
        <v>110</v>
      </c>
      <c r="D9845" t="s">
        <v>185</v>
      </c>
      <c r="E9845" t="s">
        <v>10</v>
      </c>
      <c r="F9845">
        <v>66.5</v>
      </c>
    </row>
    <row r="9846" spans="2:6">
      <c r="B9846">
        <v>2010</v>
      </c>
      <c r="C9846" t="s">
        <v>110</v>
      </c>
      <c r="D9846" t="s">
        <v>185</v>
      </c>
      <c r="E9846" t="s">
        <v>11</v>
      </c>
      <c r="F9846">
        <v>0.77812075614929199</v>
      </c>
    </row>
    <row r="9847" spans="2:6">
      <c r="B9847">
        <v>2010</v>
      </c>
      <c r="C9847" t="s">
        <v>110</v>
      </c>
      <c r="D9847" t="s">
        <v>185</v>
      </c>
      <c r="E9847" t="s">
        <v>12</v>
      </c>
      <c r="F9847">
        <v>-4.8390477895736694E-2</v>
      </c>
    </row>
    <row r="9848" spans="2:6">
      <c r="B9848">
        <v>2010</v>
      </c>
      <c r="C9848" t="s">
        <v>110</v>
      </c>
      <c r="D9848" t="s">
        <v>185</v>
      </c>
      <c r="E9848" t="s">
        <v>13</v>
      </c>
      <c r="F9848">
        <v>0.69289189577102661</v>
      </c>
    </row>
    <row r="9849" spans="2:6">
      <c r="B9849">
        <v>2010</v>
      </c>
      <c r="C9849" t="s">
        <v>110</v>
      </c>
      <c r="D9849" t="s">
        <v>185</v>
      </c>
      <c r="E9849" t="s">
        <v>14</v>
      </c>
      <c r="F9849">
        <v>0.84005916118621826</v>
      </c>
    </row>
    <row r="9850" spans="2:6">
      <c r="B9850">
        <v>2010</v>
      </c>
      <c r="C9850" t="s">
        <v>110</v>
      </c>
      <c r="D9850" t="s">
        <v>185</v>
      </c>
      <c r="E9850" t="s">
        <v>15</v>
      </c>
      <c r="F9850">
        <v>0.21549467742443085</v>
      </c>
    </row>
    <row r="9851" spans="2:6">
      <c r="B9851">
        <v>2011</v>
      </c>
      <c r="C9851" t="s">
        <v>110</v>
      </c>
      <c r="D9851" t="s">
        <v>185</v>
      </c>
      <c r="E9851" t="s">
        <v>7</v>
      </c>
      <c r="F9851">
        <v>6.909515380859375</v>
      </c>
    </row>
    <row r="9852" spans="2:6">
      <c r="B9852">
        <v>2011</v>
      </c>
      <c r="C9852" t="s">
        <v>110</v>
      </c>
      <c r="D9852" t="s">
        <v>185</v>
      </c>
      <c r="E9852" t="s">
        <v>8</v>
      </c>
      <c r="F9852">
        <v>9.8099145889282227</v>
      </c>
    </row>
    <row r="9853" spans="2:6">
      <c r="B9853">
        <v>2011</v>
      </c>
      <c r="C9853" t="s">
        <v>110</v>
      </c>
      <c r="D9853" t="s">
        <v>185</v>
      </c>
      <c r="E9853" t="s">
        <v>9</v>
      </c>
      <c r="F9853">
        <v>0.82406407594680786</v>
      </c>
    </row>
    <row r="9854" spans="2:6">
      <c r="B9854">
        <v>2011</v>
      </c>
      <c r="C9854" t="s">
        <v>110</v>
      </c>
      <c r="D9854" t="s">
        <v>185</v>
      </c>
      <c r="E9854" t="s">
        <v>10</v>
      </c>
      <c r="F9854">
        <v>66.680000305175781</v>
      </c>
    </row>
    <row r="9855" spans="2:6">
      <c r="B9855">
        <v>2011</v>
      </c>
      <c r="C9855" t="s">
        <v>110</v>
      </c>
      <c r="D9855" t="s">
        <v>185</v>
      </c>
      <c r="E9855" t="s">
        <v>11</v>
      </c>
      <c r="F9855">
        <v>0.831368088722229</v>
      </c>
    </row>
    <row r="9856" spans="2:6">
      <c r="B9856">
        <v>2011</v>
      </c>
      <c r="C9856" t="s">
        <v>110</v>
      </c>
      <c r="D9856" t="s">
        <v>185</v>
      </c>
      <c r="E9856" t="s">
        <v>12</v>
      </c>
      <c r="F9856">
        <v>-9.9408313632011414E-2</v>
      </c>
    </row>
    <row r="9857" spans="2:6">
      <c r="B9857">
        <v>2011</v>
      </c>
      <c r="C9857" t="s">
        <v>110</v>
      </c>
      <c r="D9857" t="s">
        <v>185</v>
      </c>
      <c r="E9857" t="s">
        <v>13</v>
      </c>
      <c r="F9857">
        <v>0.69758021831512451</v>
      </c>
    </row>
    <row r="9858" spans="2:6">
      <c r="B9858">
        <v>2011</v>
      </c>
      <c r="C9858" t="s">
        <v>110</v>
      </c>
      <c r="D9858" t="s">
        <v>185</v>
      </c>
      <c r="E9858" t="s">
        <v>14</v>
      </c>
      <c r="F9858">
        <v>0.79009872674942017</v>
      </c>
    </row>
    <row r="9859" spans="2:6">
      <c r="B9859">
        <v>2011</v>
      </c>
      <c r="C9859" t="s">
        <v>110</v>
      </c>
      <c r="D9859" t="s">
        <v>185</v>
      </c>
      <c r="E9859" t="s">
        <v>15</v>
      </c>
      <c r="F9859">
        <v>0.22755588591098785</v>
      </c>
    </row>
    <row r="9860" spans="2:6">
      <c r="B9860">
        <v>2012</v>
      </c>
      <c r="C9860" t="s">
        <v>110</v>
      </c>
      <c r="D9860" t="s">
        <v>185</v>
      </c>
      <c r="E9860" t="s">
        <v>7</v>
      </c>
      <c r="F9860">
        <v>7.3201851844787598</v>
      </c>
    </row>
    <row r="9861" spans="2:6">
      <c r="B9861">
        <v>2012</v>
      </c>
      <c r="C9861" t="s">
        <v>110</v>
      </c>
      <c r="D9861" t="s">
        <v>185</v>
      </c>
      <c r="E9861" t="s">
        <v>8</v>
      </c>
      <c r="F9861">
        <v>9.8321371078491211</v>
      </c>
    </row>
    <row r="9862" spans="2:6">
      <c r="B9862">
        <v>2012</v>
      </c>
      <c r="C9862" t="s">
        <v>110</v>
      </c>
      <c r="D9862" t="s">
        <v>185</v>
      </c>
      <c r="E9862" t="s">
        <v>9</v>
      </c>
      <c r="F9862">
        <v>0.76727944612503052</v>
      </c>
    </row>
    <row r="9863" spans="2:6">
      <c r="B9863">
        <v>2012</v>
      </c>
      <c r="C9863" t="s">
        <v>110</v>
      </c>
      <c r="D9863" t="s">
        <v>185</v>
      </c>
      <c r="E9863" t="s">
        <v>10</v>
      </c>
      <c r="F9863">
        <v>66.860000610351563</v>
      </c>
    </row>
    <row r="9864" spans="2:6">
      <c r="B9864">
        <v>2012</v>
      </c>
      <c r="C9864" t="s">
        <v>110</v>
      </c>
      <c r="D9864" t="s">
        <v>185</v>
      </c>
      <c r="E9864" t="s">
        <v>11</v>
      </c>
      <c r="F9864">
        <v>0.78776830434799194</v>
      </c>
    </row>
    <row r="9865" spans="2:6">
      <c r="B9865">
        <v>2012</v>
      </c>
      <c r="C9865" t="s">
        <v>110</v>
      </c>
      <c r="D9865" t="s">
        <v>185</v>
      </c>
      <c r="E9865" t="s">
        <v>12</v>
      </c>
      <c r="F9865">
        <v>-9.2894375324249268E-2</v>
      </c>
    </row>
    <row r="9866" spans="2:6">
      <c r="B9866">
        <v>2012</v>
      </c>
      <c r="C9866" t="s">
        <v>110</v>
      </c>
      <c r="D9866" t="s">
        <v>185</v>
      </c>
      <c r="E9866" t="s">
        <v>13</v>
      </c>
      <c r="F9866">
        <v>0.63328111171722412</v>
      </c>
    </row>
    <row r="9867" spans="2:6">
      <c r="B9867">
        <v>2012</v>
      </c>
      <c r="C9867" t="s">
        <v>110</v>
      </c>
      <c r="D9867" t="s">
        <v>185</v>
      </c>
      <c r="E9867" t="s">
        <v>14</v>
      </c>
      <c r="F9867">
        <v>0.78447920083999634</v>
      </c>
    </row>
    <row r="9868" spans="2:6">
      <c r="B9868">
        <v>2012</v>
      </c>
      <c r="C9868" t="s">
        <v>110</v>
      </c>
      <c r="D9868" t="s">
        <v>185</v>
      </c>
      <c r="E9868" t="s">
        <v>15</v>
      </c>
      <c r="F9868">
        <v>0.27811053395271301</v>
      </c>
    </row>
    <row r="9869" spans="2:6">
      <c r="B9869">
        <v>2013</v>
      </c>
      <c r="C9869" t="s">
        <v>110</v>
      </c>
      <c r="D9869" t="s">
        <v>185</v>
      </c>
      <c r="E9869" t="s">
        <v>7</v>
      </c>
      <c r="F9869">
        <v>7.4425463676452637</v>
      </c>
    </row>
    <row r="9870" spans="2:6">
      <c r="B9870">
        <v>2013</v>
      </c>
      <c r="C9870" t="s">
        <v>110</v>
      </c>
      <c r="D9870" t="s">
        <v>185</v>
      </c>
      <c r="E9870" t="s">
        <v>8</v>
      </c>
      <c r="F9870">
        <v>9.8324317932128906</v>
      </c>
    </row>
    <row r="9871" spans="2:6">
      <c r="B9871">
        <v>2013</v>
      </c>
      <c r="C9871" t="s">
        <v>110</v>
      </c>
      <c r="D9871" t="s">
        <v>185</v>
      </c>
      <c r="E9871" t="s">
        <v>9</v>
      </c>
      <c r="F9871">
        <v>0.75913840532302856</v>
      </c>
    </row>
    <row r="9872" spans="2:6">
      <c r="B9872">
        <v>2013</v>
      </c>
      <c r="C9872" t="s">
        <v>110</v>
      </c>
      <c r="D9872" t="s">
        <v>185</v>
      </c>
      <c r="E9872" t="s">
        <v>10</v>
      </c>
      <c r="F9872">
        <v>67.040000915527344</v>
      </c>
    </row>
    <row r="9873" spans="2:6">
      <c r="B9873">
        <v>2013</v>
      </c>
      <c r="C9873" t="s">
        <v>110</v>
      </c>
      <c r="D9873" t="s">
        <v>185</v>
      </c>
      <c r="E9873" t="s">
        <v>11</v>
      </c>
      <c r="F9873">
        <v>0.73871666193008423</v>
      </c>
    </row>
    <row r="9874" spans="2:6">
      <c r="B9874">
        <v>2013</v>
      </c>
      <c r="C9874" t="s">
        <v>110</v>
      </c>
      <c r="D9874" t="s">
        <v>185</v>
      </c>
      <c r="E9874" t="s">
        <v>12</v>
      </c>
      <c r="F9874">
        <v>-0.16475372016429901</v>
      </c>
    </row>
    <row r="9875" spans="2:6">
      <c r="B9875">
        <v>2013</v>
      </c>
      <c r="C9875" t="s">
        <v>110</v>
      </c>
      <c r="D9875" t="s">
        <v>185</v>
      </c>
      <c r="E9875" t="s">
        <v>13</v>
      </c>
      <c r="F9875">
        <v>0.61474704742431641</v>
      </c>
    </row>
    <row r="9876" spans="2:6">
      <c r="B9876">
        <v>2013</v>
      </c>
      <c r="C9876" t="s">
        <v>110</v>
      </c>
      <c r="D9876" t="s">
        <v>185</v>
      </c>
      <c r="E9876" t="s">
        <v>14</v>
      </c>
      <c r="F9876">
        <v>0.78968542814254761</v>
      </c>
    </row>
    <row r="9877" spans="2:6">
      <c r="B9877">
        <v>2013</v>
      </c>
      <c r="C9877" t="s">
        <v>110</v>
      </c>
      <c r="D9877" t="s">
        <v>185</v>
      </c>
      <c r="E9877" t="s">
        <v>15</v>
      </c>
      <c r="F9877">
        <v>0.22294872999191284</v>
      </c>
    </row>
    <row r="9878" spans="2:6">
      <c r="B9878">
        <v>2014</v>
      </c>
      <c r="C9878" t="s">
        <v>110</v>
      </c>
      <c r="D9878" t="s">
        <v>185</v>
      </c>
      <c r="E9878" t="s">
        <v>7</v>
      </c>
      <c r="F9878">
        <v>6.6798310279846191</v>
      </c>
    </row>
    <row r="9879" spans="2:6">
      <c r="B9879">
        <v>2014</v>
      </c>
      <c r="C9879" t="s">
        <v>110</v>
      </c>
      <c r="D9879" t="s">
        <v>185</v>
      </c>
      <c r="E9879" t="s">
        <v>8</v>
      </c>
      <c r="F9879">
        <v>9.8473119735717773</v>
      </c>
    </row>
    <row r="9880" spans="2:6">
      <c r="B9880">
        <v>2014</v>
      </c>
      <c r="C9880" t="s">
        <v>110</v>
      </c>
      <c r="D9880" t="s">
        <v>185</v>
      </c>
      <c r="E9880" t="s">
        <v>9</v>
      </c>
      <c r="F9880">
        <v>0.78196495771408081</v>
      </c>
    </row>
    <row r="9881" spans="2:6">
      <c r="B9881">
        <v>2014</v>
      </c>
      <c r="C9881" t="s">
        <v>110</v>
      </c>
      <c r="D9881" t="s">
        <v>185</v>
      </c>
      <c r="E9881" t="s">
        <v>10</v>
      </c>
      <c r="F9881">
        <v>67.220001220703125</v>
      </c>
    </row>
    <row r="9882" spans="2:6">
      <c r="B9882">
        <v>2014</v>
      </c>
      <c r="C9882" t="s">
        <v>110</v>
      </c>
      <c r="D9882" t="s">
        <v>185</v>
      </c>
      <c r="E9882" t="s">
        <v>11</v>
      </c>
      <c r="F9882">
        <v>0.7791329026222229</v>
      </c>
    </row>
    <row r="9883" spans="2:6">
      <c r="B9883">
        <v>2014</v>
      </c>
      <c r="C9883" t="s">
        <v>110</v>
      </c>
      <c r="D9883" t="s">
        <v>185</v>
      </c>
      <c r="E9883" t="s">
        <v>12</v>
      </c>
      <c r="F9883">
        <v>-9.4295181334018707E-2</v>
      </c>
    </row>
    <row r="9884" spans="2:6">
      <c r="B9884">
        <v>2014</v>
      </c>
      <c r="C9884" t="s">
        <v>110</v>
      </c>
      <c r="D9884" t="s">
        <v>185</v>
      </c>
      <c r="E9884" t="s">
        <v>13</v>
      </c>
      <c r="F9884">
        <v>0.62985116243362427</v>
      </c>
    </row>
    <row r="9885" spans="2:6">
      <c r="B9885">
        <v>2014</v>
      </c>
      <c r="C9885" t="s">
        <v>110</v>
      </c>
      <c r="D9885" t="s">
        <v>185</v>
      </c>
      <c r="E9885" t="s">
        <v>14</v>
      </c>
      <c r="F9885">
        <v>0.80164963006973267</v>
      </c>
    </row>
    <row r="9886" spans="2:6">
      <c r="B9886">
        <v>2014</v>
      </c>
      <c r="C9886" t="s">
        <v>110</v>
      </c>
      <c r="D9886" t="s">
        <v>185</v>
      </c>
      <c r="E9886" t="s">
        <v>15</v>
      </c>
      <c r="F9886">
        <v>0.22873041033744812</v>
      </c>
    </row>
    <row r="9887" spans="2:6">
      <c r="B9887">
        <v>2015</v>
      </c>
      <c r="C9887" t="s">
        <v>110</v>
      </c>
      <c r="D9887" t="s">
        <v>185</v>
      </c>
      <c r="E9887" t="s">
        <v>7</v>
      </c>
      <c r="F9887">
        <v>6.2362871170043945</v>
      </c>
    </row>
    <row r="9888" spans="2:6">
      <c r="B9888">
        <v>2015</v>
      </c>
      <c r="C9888" t="s">
        <v>110</v>
      </c>
      <c r="D9888" t="s">
        <v>185</v>
      </c>
      <c r="E9888" t="s">
        <v>8</v>
      </c>
      <c r="F9888">
        <v>9.8672513961791992</v>
      </c>
    </row>
    <row r="9889" spans="2:6">
      <c r="B9889">
        <v>2015</v>
      </c>
      <c r="C9889" t="s">
        <v>110</v>
      </c>
      <c r="D9889" t="s">
        <v>185</v>
      </c>
      <c r="E9889" t="s">
        <v>9</v>
      </c>
      <c r="F9889">
        <v>0.76061427593231201</v>
      </c>
    </row>
    <row r="9890" spans="2:6">
      <c r="B9890">
        <v>2015</v>
      </c>
      <c r="C9890" t="s">
        <v>110</v>
      </c>
      <c r="D9890" t="s">
        <v>185</v>
      </c>
      <c r="E9890" t="s">
        <v>10</v>
      </c>
      <c r="F9890">
        <v>67.400001525878906</v>
      </c>
    </row>
    <row r="9891" spans="2:6">
      <c r="B9891">
        <v>2015</v>
      </c>
      <c r="C9891" t="s">
        <v>110</v>
      </c>
      <c r="D9891" t="s">
        <v>185</v>
      </c>
      <c r="E9891" t="s">
        <v>11</v>
      </c>
      <c r="F9891">
        <v>0.71946597099304199</v>
      </c>
    </row>
    <row r="9892" spans="2:6">
      <c r="B9892">
        <v>2015</v>
      </c>
      <c r="C9892" t="s">
        <v>110</v>
      </c>
      <c r="D9892" t="s">
        <v>185</v>
      </c>
      <c r="E9892" t="s">
        <v>12</v>
      </c>
      <c r="F9892">
        <v>-0.15175363421440125</v>
      </c>
    </row>
    <row r="9893" spans="2:6">
      <c r="B9893">
        <v>2015</v>
      </c>
      <c r="C9893" t="s">
        <v>110</v>
      </c>
      <c r="D9893" t="s">
        <v>185</v>
      </c>
      <c r="E9893" t="s">
        <v>13</v>
      </c>
      <c r="F9893">
        <v>0.70797193050384521</v>
      </c>
    </row>
    <row r="9894" spans="2:6">
      <c r="B9894">
        <v>2015</v>
      </c>
      <c r="C9894" t="s">
        <v>110</v>
      </c>
      <c r="D9894" t="s">
        <v>185</v>
      </c>
      <c r="E9894" t="s">
        <v>14</v>
      </c>
      <c r="F9894">
        <v>0.74482131004333496</v>
      </c>
    </row>
    <row r="9895" spans="2:6">
      <c r="B9895">
        <v>2015</v>
      </c>
      <c r="C9895" t="s">
        <v>110</v>
      </c>
      <c r="D9895" t="s">
        <v>185</v>
      </c>
      <c r="E9895" t="s">
        <v>15</v>
      </c>
      <c r="F9895">
        <v>0.23718804121017456</v>
      </c>
    </row>
    <row r="9896" spans="2:6">
      <c r="B9896">
        <v>2016</v>
      </c>
      <c r="C9896" t="s">
        <v>110</v>
      </c>
      <c r="D9896" t="s">
        <v>185</v>
      </c>
      <c r="E9896" t="s">
        <v>7</v>
      </c>
      <c r="F9896">
        <v>6.8241729736328125</v>
      </c>
    </row>
    <row r="9897" spans="2:6">
      <c r="B9897">
        <v>2016</v>
      </c>
      <c r="C9897" t="s">
        <v>110</v>
      </c>
      <c r="D9897" t="s">
        <v>185</v>
      </c>
      <c r="E9897" t="s">
        <v>8</v>
      </c>
      <c r="F9897">
        <v>9.8839082717895508</v>
      </c>
    </row>
    <row r="9898" spans="2:6">
      <c r="B9898">
        <v>2016</v>
      </c>
      <c r="C9898" t="s">
        <v>110</v>
      </c>
      <c r="D9898" t="s">
        <v>185</v>
      </c>
      <c r="E9898" t="s">
        <v>9</v>
      </c>
      <c r="F9898">
        <v>0.89349257946014404</v>
      </c>
    </row>
    <row r="9899" spans="2:6">
      <c r="B9899">
        <v>2016</v>
      </c>
      <c r="C9899" t="s">
        <v>110</v>
      </c>
      <c r="D9899" t="s">
        <v>185</v>
      </c>
      <c r="E9899" t="s">
        <v>10</v>
      </c>
      <c r="F9899">
        <v>67.699996948242188</v>
      </c>
    </row>
    <row r="9900" spans="2:6">
      <c r="B9900">
        <v>2016</v>
      </c>
      <c r="C9900" t="s">
        <v>110</v>
      </c>
      <c r="D9900" t="s">
        <v>185</v>
      </c>
      <c r="E9900" t="s">
        <v>11</v>
      </c>
      <c r="F9900">
        <v>0.7516130805015564</v>
      </c>
    </row>
    <row r="9901" spans="2:6">
      <c r="B9901">
        <v>2016</v>
      </c>
      <c r="C9901" t="s">
        <v>110</v>
      </c>
      <c r="D9901" t="s">
        <v>185</v>
      </c>
      <c r="E9901" t="s">
        <v>12</v>
      </c>
      <c r="F9901">
        <v>-0.1530999094247818</v>
      </c>
    </row>
    <row r="9902" spans="2:6">
      <c r="B9902">
        <v>2016</v>
      </c>
      <c r="C9902" t="s">
        <v>110</v>
      </c>
      <c r="D9902" t="s">
        <v>185</v>
      </c>
      <c r="E9902" t="s">
        <v>13</v>
      </c>
      <c r="F9902">
        <v>0.80857944488525391</v>
      </c>
    </row>
    <row r="9903" spans="2:6">
      <c r="B9903">
        <v>2016</v>
      </c>
      <c r="C9903" t="s">
        <v>110</v>
      </c>
      <c r="D9903" t="s">
        <v>185</v>
      </c>
      <c r="E9903" t="s">
        <v>14</v>
      </c>
      <c r="F9903">
        <v>0.85910642147064209</v>
      </c>
    </row>
    <row r="9904" spans="2:6">
      <c r="B9904">
        <v>2016</v>
      </c>
      <c r="C9904" t="s">
        <v>110</v>
      </c>
      <c r="D9904" t="s">
        <v>185</v>
      </c>
      <c r="E9904" t="s">
        <v>15</v>
      </c>
      <c r="F9904">
        <v>0.21957148611545563</v>
      </c>
    </row>
    <row r="9905" spans="2:6">
      <c r="B9905">
        <v>2017</v>
      </c>
      <c r="C9905" t="s">
        <v>110</v>
      </c>
      <c r="D9905" t="s">
        <v>185</v>
      </c>
      <c r="E9905" t="s">
        <v>7</v>
      </c>
      <c r="F9905">
        <v>6.4102993011474609</v>
      </c>
    </row>
    <row r="9906" spans="2:6">
      <c r="B9906">
        <v>2017</v>
      </c>
      <c r="C9906" t="s">
        <v>110</v>
      </c>
      <c r="D9906" t="s">
        <v>185</v>
      </c>
      <c r="E9906" t="s">
        <v>8</v>
      </c>
      <c r="F9906">
        <v>9.8932285308837891</v>
      </c>
    </row>
    <row r="9907" spans="2:6">
      <c r="B9907">
        <v>2017</v>
      </c>
      <c r="C9907" t="s">
        <v>110</v>
      </c>
      <c r="D9907" t="s">
        <v>185</v>
      </c>
      <c r="E9907" t="s">
        <v>9</v>
      </c>
      <c r="F9907">
        <v>0.79983937740325928</v>
      </c>
    </row>
    <row r="9908" spans="2:6">
      <c r="B9908">
        <v>2017</v>
      </c>
      <c r="C9908" t="s">
        <v>110</v>
      </c>
      <c r="D9908" t="s">
        <v>185</v>
      </c>
      <c r="E9908" t="s">
        <v>10</v>
      </c>
      <c r="F9908">
        <v>68</v>
      </c>
    </row>
    <row r="9909" spans="2:6">
      <c r="B9909">
        <v>2017</v>
      </c>
      <c r="C9909" t="s">
        <v>110</v>
      </c>
      <c r="D9909" t="s">
        <v>185</v>
      </c>
      <c r="E9909" t="s">
        <v>11</v>
      </c>
      <c r="F9909">
        <v>0.8614051342010498</v>
      </c>
    </row>
    <row r="9910" spans="2:6">
      <c r="B9910">
        <v>2017</v>
      </c>
      <c r="C9910" t="s">
        <v>110</v>
      </c>
      <c r="D9910" t="s">
        <v>185</v>
      </c>
      <c r="E9910" t="s">
        <v>12</v>
      </c>
      <c r="F9910">
        <v>-0.20157690346240997</v>
      </c>
    </row>
    <row r="9911" spans="2:6">
      <c r="B9911">
        <v>2017</v>
      </c>
      <c r="C9911" t="s">
        <v>110</v>
      </c>
      <c r="D9911" t="s">
        <v>185</v>
      </c>
      <c r="E9911" t="s">
        <v>13</v>
      </c>
      <c r="F9911">
        <v>0.80089306831359863</v>
      </c>
    </row>
    <row r="9912" spans="2:6">
      <c r="B9912">
        <v>2017</v>
      </c>
      <c r="C9912" t="s">
        <v>110</v>
      </c>
      <c r="D9912" t="s">
        <v>185</v>
      </c>
      <c r="E9912" t="s">
        <v>14</v>
      </c>
      <c r="F9912">
        <v>0.84264230728149414</v>
      </c>
    </row>
    <row r="9913" spans="2:6">
      <c r="B9913">
        <v>2017</v>
      </c>
      <c r="C9913" t="s">
        <v>110</v>
      </c>
      <c r="D9913" t="s">
        <v>185</v>
      </c>
      <c r="E9913" t="s">
        <v>15</v>
      </c>
      <c r="F9913">
        <v>0.23099088668823242</v>
      </c>
    </row>
    <row r="9914" spans="2:6">
      <c r="B9914">
        <v>2018</v>
      </c>
      <c r="C9914" t="s">
        <v>110</v>
      </c>
      <c r="D9914" t="s">
        <v>185</v>
      </c>
      <c r="E9914" t="s">
        <v>7</v>
      </c>
      <c r="F9914">
        <v>6.5495786666870117</v>
      </c>
    </row>
    <row r="9915" spans="2:6">
      <c r="B9915">
        <v>2018</v>
      </c>
      <c r="C9915" t="s">
        <v>110</v>
      </c>
      <c r="D9915" t="s">
        <v>185</v>
      </c>
      <c r="E9915" t="s">
        <v>8</v>
      </c>
      <c r="F9915">
        <v>9.9030990600585938</v>
      </c>
    </row>
    <row r="9916" spans="2:6">
      <c r="B9916">
        <v>2018</v>
      </c>
      <c r="C9916" t="s">
        <v>110</v>
      </c>
      <c r="D9916" t="s">
        <v>185</v>
      </c>
      <c r="E9916" t="s">
        <v>9</v>
      </c>
      <c r="F9916">
        <v>0.85806888341903687</v>
      </c>
    </row>
    <row r="9917" spans="2:6">
      <c r="B9917">
        <v>2018</v>
      </c>
      <c r="C9917" t="s">
        <v>110</v>
      </c>
      <c r="D9917" t="s">
        <v>185</v>
      </c>
      <c r="E9917" t="s">
        <v>10</v>
      </c>
      <c r="F9917">
        <v>68.300003051757813</v>
      </c>
    </row>
    <row r="9918" spans="2:6">
      <c r="B9918">
        <v>2018</v>
      </c>
      <c r="C9918" t="s">
        <v>110</v>
      </c>
      <c r="D9918" t="s">
        <v>185</v>
      </c>
      <c r="E9918" t="s">
        <v>11</v>
      </c>
      <c r="F9918">
        <v>0.81620049476623535</v>
      </c>
    </row>
    <row r="9919" spans="2:6">
      <c r="B9919">
        <v>2018</v>
      </c>
      <c r="C9919" t="s">
        <v>110</v>
      </c>
      <c r="D9919" t="s">
        <v>185</v>
      </c>
      <c r="E9919" t="s">
        <v>12</v>
      </c>
      <c r="F9919">
        <v>-0.17916139960289001</v>
      </c>
    </row>
    <row r="9920" spans="2:6">
      <c r="B9920">
        <v>2018</v>
      </c>
      <c r="C9920" t="s">
        <v>110</v>
      </c>
      <c r="D9920" t="s">
        <v>185</v>
      </c>
      <c r="E9920" t="s">
        <v>13</v>
      </c>
      <c r="F9920">
        <v>0.80863809585571289</v>
      </c>
    </row>
    <row r="9921" spans="2:6">
      <c r="B9921">
        <v>2018</v>
      </c>
      <c r="C9921" t="s">
        <v>110</v>
      </c>
      <c r="D9921" t="s">
        <v>185</v>
      </c>
      <c r="E9921" t="s">
        <v>14</v>
      </c>
      <c r="F9921">
        <v>0.88171344995498657</v>
      </c>
    </row>
    <row r="9922" spans="2:6">
      <c r="B9922">
        <v>2018</v>
      </c>
      <c r="C9922" t="s">
        <v>110</v>
      </c>
      <c r="D9922" t="s">
        <v>185</v>
      </c>
      <c r="E9922" t="s">
        <v>15</v>
      </c>
      <c r="F9922">
        <v>0.21325436234474182</v>
      </c>
    </row>
    <row r="9923" spans="2:6">
      <c r="B9923">
        <v>2019</v>
      </c>
      <c r="C9923" t="s">
        <v>110</v>
      </c>
      <c r="D9923" t="s">
        <v>185</v>
      </c>
      <c r="E9923" t="s">
        <v>7</v>
      </c>
      <c r="F9923">
        <v>6.4319453239440918</v>
      </c>
    </row>
    <row r="9924" spans="2:6">
      <c r="B9924">
        <v>2019</v>
      </c>
      <c r="C9924" t="s">
        <v>110</v>
      </c>
      <c r="D9924" t="s">
        <v>185</v>
      </c>
      <c r="E9924" t="s">
        <v>8</v>
      </c>
      <c r="F9924">
        <v>9.8907279968261719</v>
      </c>
    </row>
    <row r="9925" spans="2:6">
      <c r="B9925">
        <v>2019</v>
      </c>
      <c r="C9925" t="s">
        <v>110</v>
      </c>
      <c r="D9925" t="s">
        <v>185</v>
      </c>
      <c r="E9925" t="s">
        <v>9</v>
      </c>
      <c r="F9925">
        <v>0.85168582201004028</v>
      </c>
    </row>
    <row r="9926" spans="2:6">
      <c r="B9926">
        <v>2019</v>
      </c>
      <c r="C9926" t="s">
        <v>110</v>
      </c>
      <c r="D9926" t="s">
        <v>185</v>
      </c>
      <c r="E9926" t="s">
        <v>10</v>
      </c>
      <c r="F9926">
        <v>68.599998474121094</v>
      </c>
    </row>
    <row r="9927" spans="2:6">
      <c r="B9927">
        <v>2019</v>
      </c>
      <c r="C9927" t="s">
        <v>110</v>
      </c>
      <c r="D9927" t="s">
        <v>185</v>
      </c>
      <c r="E9927" t="s">
        <v>11</v>
      </c>
      <c r="F9927">
        <v>0.90338444709777832</v>
      </c>
    </row>
    <row r="9928" spans="2:6">
      <c r="B9928">
        <v>2019</v>
      </c>
      <c r="C9928" t="s">
        <v>110</v>
      </c>
      <c r="D9928" t="s">
        <v>185</v>
      </c>
      <c r="E9928" t="s">
        <v>12</v>
      </c>
      <c r="F9928">
        <v>-0.14089472591876984</v>
      </c>
    </row>
    <row r="9929" spans="2:6">
      <c r="B9929">
        <v>2019</v>
      </c>
      <c r="C9929" t="s">
        <v>110</v>
      </c>
      <c r="D9929" t="s">
        <v>185</v>
      </c>
      <c r="E9929" t="s">
        <v>13</v>
      </c>
      <c r="F9929">
        <v>0.80853760242462158</v>
      </c>
    </row>
    <row r="9930" spans="2:6">
      <c r="B9930">
        <v>2019</v>
      </c>
      <c r="C9930" t="s">
        <v>110</v>
      </c>
      <c r="D9930" t="s">
        <v>185</v>
      </c>
      <c r="E9930" t="s">
        <v>14</v>
      </c>
      <c r="F9930">
        <v>0.8644745945930481</v>
      </c>
    </row>
    <row r="9931" spans="2:6">
      <c r="B9931">
        <v>2019</v>
      </c>
      <c r="C9931" t="s">
        <v>110</v>
      </c>
      <c r="D9931" t="s">
        <v>185</v>
      </c>
      <c r="E9931" t="s">
        <v>15</v>
      </c>
      <c r="F9931">
        <v>0.25198301672935486</v>
      </c>
    </row>
    <row r="9932" spans="2:6">
      <c r="B9932">
        <v>2020</v>
      </c>
      <c r="C9932" t="s">
        <v>110</v>
      </c>
      <c r="D9932" t="s">
        <v>185</v>
      </c>
      <c r="E9932" t="s">
        <v>7</v>
      </c>
      <c r="F9932">
        <v>5.9642210006713867</v>
      </c>
    </row>
    <row r="9933" spans="2:6">
      <c r="B9933">
        <v>2020</v>
      </c>
      <c r="C9933" t="s">
        <v>110</v>
      </c>
      <c r="D9933" t="s">
        <v>185</v>
      </c>
      <c r="E9933" t="s">
        <v>8</v>
      </c>
      <c r="F9933">
        <v>9.7821893692016602</v>
      </c>
    </row>
    <row r="9934" spans="2:6">
      <c r="B9934">
        <v>2020</v>
      </c>
      <c r="C9934" t="s">
        <v>110</v>
      </c>
      <c r="D9934" t="s">
        <v>185</v>
      </c>
      <c r="E9934" t="s">
        <v>9</v>
      </c>
      <c r="F9934">
        <v>0.77881622314453125</v>
      </c>
    </row>
    <row r="9935" spans="2:6">
      <c r="B9935">
        <v>2020</v>
      </c>
      <c r="C9935" t="s">
        <v>110</v>
      </c>
      <c r="D9935" t="s">
        <v>185</v>
      </c>
      <c r="E9935" t="s">
        <v>10</v>
      </c>
      <c r="F9935">
        <v>68.900001525878906</v>
      </c>
    </row>
    <row r="9936" spans="2:6">
      <c r="B9936">
        <v>2020</v>
      </c>
      <c r="C9936" t="s">
        <v>110</v>
      </c>
      <c r="D9936" t="s">
        <v>185</v>
      </c>
      <c r="E9936" t="s">
        <v>11</v>
      </c>
      <c r="F9936">
        <v>0.87334698438644409</v>
      </c>
    </row>
    <row r="9937" spans="2:6">
      <c r="B9937">
        <v>2020</v>
      </c>
      <c r="C9937" t="s">
        <v>110</v>
      </c>
      <c r="D9937" t="s">
        <v>185</v>
      </c>
      <c r="E9937" t="s">
        <v>12</v>
      </c>
      <c r="F9937">
        <v>-0.1193898618221283</v>
      </c>
    </row>
    <row r="9938" spans="2:6">
      <c r="B9938">
        <v>2020</v>
      </c>
      <c r="C9938" t="s">
        <v>110</v>
      </c>
      <c r="D9938" t="s">
        <v>185</v>
      </c>
      <c r="E9938" t="s">
        <v>13</v>
      </c>
      <c r="F9938">
        <v>0.77816587686538696</v>
      </c>
    </row>
    <row r="9939" spans="2:6">
      <c r="B9939">
        <v>2020</v>
      </c>
      <c r="C9939" t="s">
        <v>110</v>
      </c>
      <c r="D9939" t="s">
        <v>185</v>
      </c>
      <c r="E9939" t="s">
        <v>14</v>
      </c>
      <c r="F9939">
        <v>0.81010913848876953</v>
      </c>
    </row>
    <row r="9940" spans="2:6">
      <c r="B9940">
        <v>2020</v>
      </c>
      <c r="C9940" t="s">
        <v>110</v>
      </c>
      <c r="D9940" t="s">
        <v>185</v>
      </c>
      <c r="E9940" t="s">
        <v>15</v>
      </c>
      <c r="F9940">
        <v>0.29155611991882324</v>
      </c>
    </row>
    <row r="9941" spans="2:6">
      <c r="B9941">
        <v>2006</v>
      </c>
      <c r="C9941" t="s">
        <v>111</v>
      </c>
      <c r="D9941" t="s">
        <v>183</v>
      </c>
      <c r="E9941" t="s">
        <v>7</v>
      </c>
      <c r="F9941">
        <v>5.1020712852478027</v>
      </c>
    </row>
    <row r="9942" spans="2:6">
      <c r="B9942">
        <v>2006</v>
      </c>
      <c r="C9942" t="s">
        <v>111</v>
      </c>
      <c r="D9942" t="s">
        <v>183</v>
      </c>
      <c r="E9942" t="s">
        <v>8</v>
      </c>
      <c r="F9942">
        <v>8.9358406066894531</v>
      </c>
    </row>
    <row r="9943" spans="2:6">
      <c r="B9943">
        <v>2006</v>
      </c>
      <c r="C9943" t="s">
        <v>111</v>
      </c>
      <c r="D9943" t="s">
        <v>183</v>
      </c>
      <c r="E9943" t="s">
        <v>9</v>
      </c>
      <c r="F9943">
        <v>0.81218260526657104</v>
      </c>
    </row>
    <row r="9944" spans="2:6">
      <c r="B9944">
        <v>2006</v>
      </c>
      <c r="C9944" t="s">
        <v>111</v>
      </c>
      <c r="D9944" t="s">
        <v>183</v>
      </c>
      <c r="E9944" t="s">
        <v>10</v>
      </c>
      <c r="F9944">
        <v>60.580001831054688</v>
      </c>
    </row>
    <row r="9945" spans="2:6">
      <c r="B9945">
        <v>2006</v>
      </c>
      <c r="C9945" t="s">
        <v>111</v>
      </c>
      <c r="D9945" t="s">
        <v>183</v>
      </c>
      <c r="E9945" t="s">
        <v>11</v>
      </c>
      <c r="F9945">
        <v>0.55447810888290405</v>
      </c>
    </row>
    <row r="9946" spans="2:6">
      <c r="B9946">
        <v>2006</v>
      </c>
      <c r="C9946" t="s">
        <v>111</v>
      </c>
      <c r="D9946" t="s">
        <v>183</v>
      </c>
      <c r="E9946" t="s">
        <v>12</v>
      </c>
      <c r="F9946">
        <v>-0.16425831615924835</v>
      </c>
    </row>
    <row r="9947" spans="2:6">
      <c r="B9947">
        <v>2006</v>
      </c>
      <c r="C9947" t="s">
        <v>111</v>
      </c>
      <c r="D9947" t="s">
        <v>183</v>
      </c>
      <c r="E9947" t="s">
        <v>13</v>
      </c>
      <c r="F9947">
        <v>0.9260554313659668</v>
      </c>
    </row>
    <row r="9948" spans="2:6">
      <c r="B9948">
        <v>2006</v>
      </c>
      <c r="C9948" t="s">
        <v>111</v>
      </c>
      <c r="D9948" t="s">
        <v>183</v>
      </c>
      <c r="E9948" t="s">
        <v>14</v>
      </c>
      <c r="F9948">
        <v>0.6187712550163269</v>
      </c>
    </row>
    <row r="9949" spans="2:6">
      <c r="B9949">
        <v>2006</v>
      </c>
      <c r="C9949" t="s">
        <v>111</v>
      </c>
      <c r="D9949" t="s">
        <v>183</v>
      </c>
      <c r="E9949" t="s">
        <v>15</v>
      </c>
      <c r="F9949">
        <v>0.254923015832901</v>
      </c>
    </row>
    <row r="9950" spans="2:6">
      <c r="B9950">
        <v>2007</v>
      </c>
      <c r="C9950" t="s">
        <v>111</v>
      </c>
      <c r="D9950" t="s">
        <v>183</v>
      </c>
      <c r="E9950" t="s">
        <v>7</v>
      </c>
      <c r="F9950">
        <v>4.7749180793762207</v>
      </c>
    </row>
    <row r="9951" spans="2:6">
      <c r="B9951">
        <v>2007</v>
      </c>
      <c r="C9951" t="s">
        <v>111</v>
      </c>
      <c r="D9951" t="s">
        <v>183</v>
      </c>
      <c r="E9951" t="s">
        <v>8</v>
      </c>
      <c r="F9951">
        <v>8.967717170715332</v>
      </c>
    </row>
    <row r="9952" spans="2:6">
      <c r="B9952">
        <v>2007</v>
      </c>
      <c r="C9952" t="s">
        <v>111</v>
      </c>
      <c r="D9952" t="s">
        <v>183</v>
      </c>
      <c r="E9952" t="s">
        <v>9</v>
      </c>
      <c r="F9952">
        <v>0.8041917085647583</v>
      </c>
    </row>
    <row r="9953" spans="2:6">
      <c r="B9953">
        <v>2007</v>
      </c>
      <c r="C9953" t="s">
        <v>111</v>
      </c>
      <c r="D9953" t="s">
        <v>183</v>
      </c>
      <c r="E9953" t="s">
        <v>10</v>
      </c>
      <c r="F9953">
        <v>60.759998321533203</v>
      </c>
    </row>
    <row r="9954" spans="2:6">
      <c r="B9954">
        <v>2007</v>
      </c>
      <c r="C9954" t="s">
        <v>111</v>
      </c>
      <c r="D9954" t="s">
        <v>183</v>
      </c>
      <c r="E9954" t="s">
        <v>11</v>
      </c>
      <c r="F9954">
        <v>0.69619494676589966</v>
      </c>
    </row>
    <row r="9955" spans="2:6">
      <c r="B9955">
        <v>2007</v>
      </c>
      <c r="C9955" t="s">
        <v>111</v>
      </c>
      <c r="D9955" t="s">
        <v>183</v>
      </c>
      <c r="E9955" t="s">
        <v>12</v>
      </c>
      <c r="F9955">
        <v>-0.18556311726570129</v>
      </c>
    </row>
    <row r="9956" spans="2:6">
      <c r="B9956">
        <v>2007</v>
      </c>
      <c r="C9956" t="s">
        <v>111</v>
      </c>
      <c r="D9956" t="s">
        <v>183</v>
      </c>
      <c r="E9956" t="s">
        <v>13</v>
      </c>
      <c r="F9956">
        <v>0.92956036329269409</v>
      </c>
    </row>
    <row r="9957" spans="2:6">
      <c r="B9957">
        <v>2007</v>
      </c>
      <c r="C9957" t="s">
        <v>111</v>
      </c>
      <c r="D9957" t="s">
        <v>183</v>
      </c>
      <c r="E9957" t="s">
        <v>14</v>
      </c>
      <c r="F9957">
        <v>0.57128769159317017</v>
      </c>
    </row>
    <row r="9958" spans="2:6">
      <c r="B9958">
        <v>2007</v>
      </c>
      <c r="C9958" t="s">
        <v>111</v>
      </c>
      <c r="D9958" t="s">
        <v>183</v>
      </c>
      <c r="E9958" t="s">
        <v>15</v>
      </c>
      <c r="F9958">
        <v>0.30551150441169739</v>
      </c>
    </row>
    <row r="9959" spans="2:6">
      <c r="B9959">
        <v>2008</v>
      </c>
      <c r="C9959" t="s">
        <v>111</v>
      </c>
      <c r="D9959" t="s">
        <v>183</v>
      </c>
      <c r="E9959" t="s">
        <v>7</v>
      </c>
      <c r="F9959">
        <v>5.5027561187744141</v>
      </c>
    </row>
    <row r="9960" spans="2:6">
      <c r="B9960">
        <v>2008</v>
      </c>
      <c r="C9960" t="s">
        <v>111</v>
      </c>
      <c r="D9960" t="s">
        <v>183</v>
      </c>
      <c r="E9960" t="s">
        <v>8</v>
      </c>
      <c r="F9960">
        <v>9.0447282791137695</v>
      </c>
    </row>
    <row r="9961" spans="2:6">
      <c r="B9961">
        <v>2008</v>
      </c>
      <c r="C9961" t="s">
        <v>111</v>
      </c>
      <c r="D9961" t="s">
        <v>183</v>
      </c>
      <c r="E9961" t="s">
        <v>9</v>
      </c>
      <c r="F9961">
        <v>0.87155258655548096</v>
      </c>
    </row>
    <row r="9962" spans="2:6">
      <c r="B9962">
        <v>2008</v>
      </c>
      <c r="C9962" t="s">
        <v>111</v>
      </c>
      <c r="D9962" t="s">
        <v>183</v>
      </c>
      <c r="E9962" t="s">
        <v>10</v>
      </c>
      <c r="F9962">
        <v>60.939998626708984</v>
      </c>
    </row>
    <row r="9963" spans="2:6">
      <c r="B9963">
        <v>2008</v>
      </c>
      <c r="C9963" t="s">
        <v>111</v>
      </c>
      <c r="D9963" t="s">
        <v>183</v>
      </c>
      <c r="E9963" t="s">
        <v>11</v>
      </c>
      <c r="F9963">
        <v>0.64061713218688965</v>
      </c>
    </row>
    <row r="9964" spans="2:6">
      <c r="B9964">
        <v>2008</v>
      </c>
      <c r="C9964" t="s">
        <v>111</v>
      </c>
      <c r="D9964" t="s">
        <v>183</v>
      </c>
      <c r="E9964" t="s">
        <v>12</v>
      </c>
      <c r="F9964">
        <v>-5.5607832968235016E-2</v>
      </c>
    </row>
    <row r="9965" spans="2:6">
      <c r="B9965">
        <v>2008</v>
      </c>
      <c r="C9965" t="s">
        <v>111</v>
      </c>
      <c r="D9965" t="s">
        <v>183</v>
      </c>
      <c r="E9965" t="s">
        <v>13</v>
      </c>
      <c r="F9965">
        <v>0.92566376924514771</v>
      </c>
    </row>
    <row r="9966" spans="2:6">
      <c r="B9966">
        <v>2008</v>
      </c>
      <c r="C9966" t="s">
        <v>111</v>
      </c>
      <c r="D9966" t="s">
        <v>183</v>
      </c>
      <c r="E9966" t="s">
        <v>14</v>
      </c>
      <c r="F9966">
        <v>0.58373934030532837</v>
      </c>
    </row>
    <row r="9967" spans="2:6">
      <c r="B9967">
        <v>2008</v>
      </c>
      <c r="C9967" t="s">
        <v>111</v>
      </c>
      <c r="D9967" t="s">
        <v>183</v>
      </c>
      <c r="E9967" t="s">
        <v>15</v>
      </c>
      <c r="F9967">
        <v>0.28358924388885498</v>
      </c>
    </row>
    <row r="9968" spans="2:6">
      <c r="B9968">
        <v>2009</v>
      </c>
      <c r="C9968" t="s">
        <v>111</v>
      </c>
      <c r="D9968" t="s">
        <v>183</v>
      </c>
      <c r="E9968" t="s">
        <v>7</v>
      </c>
      <c r="F9968">
        <v>5.5543742179870605</v>
      </c>
    </row>
    <row r="9969" spans="2:6">
      <c r="B9969">
        <v>2009</v>
      </c>
      <c r="C9969" t="s">
        <v>111</v>
      </c>
      <c r="D9969" t="s">
        <v>183</v>
      </c>
      <c r="E9969" t="s">
        <v>8</v>
      </c>
      <c r="F9969">
        <v>8.9841146469116211</v>
      </c>
    </row>
    <row r="9970" spans="2:6">
      <c r="B9970">
        <v>2009</v>
      </c>
      <c r="C9970" t="s">
        <v>111</v>
      </c>
      <c r="D9970" t="s">
        <v>183</v>
      </c>
      <c r="E9970" t="s">
        <v>9</v>
      </c>
      <c r="F9970">
        <v>0.85588306188583374</v>
      </c>
    </row>
    <row r="9971" spans="2:6">
      <c r="B9971">
        <v>2009</v>
      </c>
      <c r="C9971" t="s">
        <v>111</v>
      </c>
      <c r="D9971" t="s">
        <v>183</v>
      </c>
      <c r="E9971" t="s">
        <v>10</v>
      </c>
      <c r="F9971">
        <v>61.119998931884766</v>
      </c>
    </row>
    <row r="9972" spans="2:6">
      <c r="B9972">
        <v>2009</v>
      </c>
      <c r="C9972" t="s">
        <v>111</v>
      </c>
      <c r="D9972" t="s">
        <v>183</v>
      </c>
      <c r="E9972" t="s">
        <v>11</v>
      </c>
      <c r="F9972">
        <v>0.55085861682891846</v>
      </c>
    </row>
    <row r="9973" spans="2:6">
      <c r="B9973">
        <v>2009</v>
      </c>
      <c r="C9973" t="s">
        <v>111</v>
      </c>
      <c r="D9973" t="s">
        <v>183</v>
      </c>
      <c r="E9973" t="s">
        <v>12</v>
      </c>
      <c r="F9973">
        <v>-9.867231547832489E-2</v>
      </c>
    </row>
    <row r="9974" spans="2:6">
      <c r="B9974">
        <v>2009</v>
      </c>
      <c r="C9974" t="s">
        <v>111</v>
      </c>
      <c r="D9974" t="s">
        <v>183</v>
      </c>
      <c r="E9974" t="s">
        <v>13</v>
      </c>
      <c r="F9974">
        <v>0.92506164312362671</v>
      </c>
    </row>
    <row r="9975" spans="2:6">
      <c r="B9975">
        <v>2009</v>
      </c>
      <c r="C9975" t="s">
        <v>111</v>
      </c>
      <c r="D9975" t="s">
        <v>183</v>
      </c>
      <c r="E9975" t="s">
        <v>14</v>
      </c>
      <c r="F9975">
        <v>0.5616074800491333</v>
      </c>
    </row>
    <row r="9976" spans="2:6">
      <c r="B9976">
        <v>2009</v>
      </c>
      <c r="C9976" t="s">
        <v>111</v>
      </c>
      <c r="D9976" t="s">
        <v>183</v>
      </c>
      <c r="E9976" t="s">
        <v>15</v>
      </c>
      <c r="F9976">
        <v>0.30648750066757202</v>
      </c>
    </row>
    <row r="9977" spans="2:6">
      <c r="B9977">
        <v>2010</v>
      </c>
      <c r="C9977" t="s">
        <v>111</v>
      </c>
      <c r="D9977" t="s">
        <v>183</v>
      </c>
      <c r="E9977" t="s">
        <v>7</v>
      </c>
      <c r="F9977">
        <v>5.5897364616394043</v>
      </c>
    </row>
    <row r="9978" spans="2:6">
      <c r="B9978">
        <v>2010</v>
      </c>
      <c r="C9978" t="s">
        <v>111</v>
      </c>
      <c r="D9978" t="s">
        <v>183</v>
      </c>
      <c r="E9978" t="s">
        <v>8</v>
      </c>
      <c r="F9978">
        <v>9.053706169128418</v>
      </c>
    </row>
    <row r="9979" spans="2:6">
      <c r="B9979">
        <v>2010</v>
      </c>
      <c r="C9979" t="s">
        <v>111</v>
      </c>
      <c r="D9979" t="s">
        <v>183</v>
      </c>
      <c r="E9979" t="s">
        <v>9</v>
      </c>
      <c r="F9979">
        <v>0.84709471464157104</v>
      </c>
    </row>
    <row r="9980" spans="2:6">
      <c r="B9980">
        <v>2010</v>
      </c>
      <c r="C9980" t="s">
        <v>111</v>
      </c>
      <c r="D9980" t="s">
        <v>183</v>
      </c>
      <c r="E9980" t="s">
        <v>10</v>
      </c>
      <c r="F9980">
        <v>61.299999237060547</v>
      </c>
    </row>
    <row r="9981" spans="2:6">
      <c r="B9981">
        <v>2010</v>
      </c>
      <c r="C9981" t="s">
        <v>111</v>
      </c>
      <c r="D9981" t="s">
        <v>183</v>
      </c>
      <c r="E9981" t="s">
        <v>11</v>
      </c>
      <c r="F9981">
        <v>0.59848481416702271</v>
      </c>
    </row>
    <row r="9982" spans="2:6">
      <c r="B9982">
        <v>2010</v>
      </c>
      <c r="C9982" t="s">
        <v>111</v>
      </c>
      <c r="D9982" t="s">
        <v>183</v>
      </c>
      <c r="E9982" t="s">
        <v>12</v>
      </c>
      <c r="F9982">
        <v>-8.8348135352134705E-2</v>
      </c>
    </row>
    <row r="9983" spans="2:6">
      <c r="B9983">
        <v>2010</v>
      </c>
      <c r="C9983" t="s">
        <v>111</v>
      </c>
      <c r="D9983" t="s">
        <v>183</v>
      </c>
      <c r="E9983" t="s">
        <v>13</v>
      </c>
      <c r="F9983">
        <v>0.9293094277381897</v>
      </c>
    </row>
    <row r="9984" spans="2:6">
      <c r="B9984">
        <v>2010</v>
      </c>
      <c r="C9984" t="s">
        <v>111</v>
      </c>
      <c r="D9984" t="s">
        <v>183</v>
      </c>
      <c r="E9984" t="s">
        <v>14</v>
      </c>
      <c r="F9984">
        <v>0.58379000425338745</v>
      </c>
    </row>
    <row r="9985" spans="2:6">
      <c r="B9985">
        <v>2010</v>
      </c>
      <c r="C9985" t="s">
        <v>111</v>
      </c>
      <c r="D9985" t="s">
        <v>183</v>
      </c>
      <c r="E9985" t="s">
        <v>15</v>
      </c>
      <c r="F9985">
        <v>0.27752035856246948</v>
      </c>
    </row>
    <row r="9986" spans="2:6">
      <c r="B9986">
        <v>2011</v>
      </c>
      <c r="C9986" t="s">
        <v>111</v>
      </c>
      <c r="D9986" t="s">
        <v>183</v>
      </c>
      <c r="E9986" t="s">
        <v>7</v>
      </c>
      <c r="F9986">
        <v>5.7922625541687012</v>
      </c>
    </row>
    <row r="9987" spans="2:6">
      <c r="B9987">
        <v>2011</v>
      </c>
      <c r="C9987" t="s">
        <v>111</v>
      </c>
      <c r="D9987" t="s">
        <v>183</v>
      </c>
      <c r="E9987" t="s">
        <v>8</v>
      </c>
      <c r="F9987">
        <v>9.1108369827270508</v>
      </c>
    </row>
    <row r="9988" spans="2:6">
      <c r="B9988">
        <v>2011</v>
      </c>
      <c r="C9988" t="s">
        <v>111</v>
      </c>
      <c r="D9988" t="s">
        <v>183</v>
      </c>
      <c r="E9988" t="s">
        <v>9</v>
      </c>
      <c r="F9988">
        <v>0.86941355466842651</v>
      </c>
    </row>
    <row r="9989" spans="2:6">
      <c r="B9989">
        <v>2011</v>
      </c>
      <c r="C9989" t="s">
        <v>111</v>
      </c>
      <c r="D9989" t="s">
        <v>183</v>
      </c>
      <c r="E9989" t="s">
        <v>10</v>
      </c>
      <c r="F9989">
        <v>61.619998931884766</v>
      </c>
    </row>
    <row r="9990" spans="2:6">
      <c r="B9990">
        <v>2011</v>
      </c>
      <c r="C9990" t="s">
        <v>111</v>
      </c>
      <c r="D9990" t="s">
        <v>183</v>
      </c>
      <c r="E9990" t="s">
        <v>11</v>
      </c>
      <c r="F9990">
        <v>0.62802278995513916</v>
      </c>
    </row>
    <row r="9991" spans="2:6">
      <c r="B9991">
        <v>2011</v>
      </c>
      <c r="C9991" t="s">
        <v>111</v>
      </c>
      <c r="D9991" t="s">
        <v>183</v>
      </c>
      <c r="E9991" t="s">
        <v>12</v>
      </c>
      <c r="F9991">
        <v>-8.1682555377483368E-2</v>
      </c>
    </row>
    <row r="9992" spans="2:6">
      <c r="B9992">
        <v>2011</v>
      </c>
      <c r="C9992" t="s">
        <v>111</v>
      </c>
      <c r="D9992" t="s">
        <v>183</v>
      </c>
      <c r="E9992" t="s">
        <v>13</v>
      </c>
      <c r="F9992">
        <v>0.95664435625076294</v>
      </c>
    </row>
    <row r="9993" spans="2:6">
      <c r="B9993">
        <v>2011</v>
      </c>
      <c r="C9993" t="s">
        <v>111</v>
      </c>
      <c r="D9993" t="s">
        <v>183</v>
      </c>
      <c r="E9993" t="s">
        <v>14</v>
      </c>
      <c r="F9993">
        <v>0.56791406869888306</v>
      </c>
    </row>
    <row r="9994" spans="2:6">
      <c r="B9994">
        <v>2011</v>
      </c>
      <c r="C9994" t="s">
        <v>111</v>
      </c>
      <c r="D9994" t="s">
        <v>183</v>
      </c>
      <c r="E9994" t="s">
        <v>15</v>
      </c>
      <c r="F9994">
        <v>0.28482949733734131</v>
      </c>
    </row>
    <row r="9995" spans="2:6">
      <c r="B9995">
        <v>2012</v>
      </c>
      <c r="C9995" t="s">
        <v>111</v>
      </c>
      <c r="D9995" t="s">
        <v>183</v>
      </c>
      <c r="E9995" t="s">
        <v>7</v>
      </c>
      <c r="F9995">
        <v>5.9957127571105957</v>
      </c>
    </row>
    <row r="9996" spans="2:6">
      <c r="B9996">
        <v>2012</v>
      </c>
      <c r="C9996" t="s">
        <v>111</v>
      </c>
      <c r="D9996" t="s">
        <v>183</v>
      </c>
      <c r="E9996" t="s">
        <v>8</v>
      </c>
      <c r="F9996">
        <v>9.1050529479980469</v>
      </c>
    </row>
    <row r="9997" spans="2:6">
      <c r="B9997">
        <v>2012</v>
      </c>
      <c r="C9997" t="s">
        <v>111</v>
      </c>
      <c r="D9997" t="s">
        <v>183</v>
      </c>
      <c r="E9997" t="s">
        <v>9</v>
      </c>
      <c r="F9997">
        <v>0.82621979713439941</v>
      </c>
    </row>
    <row r="9998" spans="2:6">
      <c r="B9998">
        <v>2012</v>
      </c>
      <c r="C9998" t="s">
        <v>111</v>
      </c>
      <c r="D9998" t="s">
        <v>183</v>
      </c>
      <c r="E9998" t="s">
        <v>10</v>
      </c>
      <c r="F9998">
        <v>61.939998626708984</v>
      </c>
    </row>
    <row r="9999" spans="2:6">
      <c r="B9999">
        <v>2012</v>
      </c>
      <c r="C9999" t="s">
        <v>111</v>
      </c>
      <c r="D9999" t="s">
        <v>183</v>
      </c>
      <c r="E9999" t="s">
        <v>11</v>
      </c>
      <c r="F9999">
        <v>0.60241854190826416</v>
      </c>
    </row>
    <row r="10000" spans="2:6">
      <c r="B10000">
        <v>2012</v>
      </c>
      <c r="C10000" t="s">
        <v>111</v>
      </c>
      <c r="D10000" t="s">
        <v>183</v>
      </c>
      <c r="E10000" t="s">
        <v>12</v>
      </c>
      <c r="F10000">
        <v>-4.9541886895895004E-2</v>
      </c>
    </row>
    <row r="10001" spans="2:6">
      <c r="B10001">
        <v>2012</v>
      </c>
      <c r="C10001" t="s">
        <v>111</v>
      </c>
      <c r="D10001" t="s">
        <v>183</v>
      </c>
      <c r="E10001" t="s">
        <v>13</v>
      </c>
      <c r="F10001">
        <v>0.95548456907272339</v>
      </c>
    </row>
    <row r="10002" spans="2:6">
      <c r="B10002">
        <v>2012</v>
      </c>
      <c r="C10002" t="s">
        <v>111</v>
      </c>
      <c r="D10002" t="s">
        <v>183</v>
      </c>
      <c r="E10002" t="s">
        <v>14</v>
      </c>
      <c r="F10002">
        <v>0.56769651174545288</v>
      </c>
    </row>
    <row r="10003" spans="2:6">
      <c r="B10003">
        <v>2012</v>
      </c>
      <c r="C10003" t="s">
        <v>111</v>
      </c>
      <c r="D10003" t="s">
        <v>183</v>
      </c>
      <c r="E10003" t="s">
        <v>15</v>
      </c>
      <c r="F10003">
        <v>0.31372588872909546</v>
      </c>
    </row>
    <row r="10004" spans="2:6">
      <c r="B10004">
        <v>2013</v>
      </c>
      <c r="C10004" t="s">
        <v>111</v>
      </c>
      <c r="D10004" t="s">
        <v>183</v>
      </c>
      <c r="E10004" t="s">
        <v>7</v>
      </c>
      <c r="F10004">
        <v>5.7560591697692871</v>
      </c>
    </row>
    <row r="10005" spans="2:6">
      <c r="B10005">
        <v>2013</v>
      </c>
      <c r="C10005" t="s">
        <v>111</v>
      </c>
      <c r="D10005" t="s">
        <v>183</v>
      </c>
      <c r="E10005" t="s">
        <v>8</v>
      </c>
      <c r="F10005">
        <v>9.1919012069702148</v>
      </c>
    </row>
    <row r="10006" spans="2:6">
      <c r="B10006">
        <v>2013</v>
      </c>
      <c r="C10006" t="s">
        <v>111</v>
      </c>
      <c r="D10006" t="s">
        <v>183</v>
      </c>
      <c r="E10006" t="s">
        <v>9</v>
      </c>
      <c r="F10006">
        <v>0.80288296937942505</v>
      </c>
    </row>
    <row r="10007" spans="2:6">
      <c r="B10007">
        <v>2013</v>
      </c>
      <c r="C10007" t="s">
        <v>111</v>
      </c>
      <c r="D10007" t="s">
        <v>183</v>
      </c>
      <c r="E10007" t="s">
        <v>10</v>
      </c>
      <c r="F10007">
        <v>62.259998321533203</v>
      </c>
    </row>
    <row r="10008" spans="2:6">
      <c r="B10008">
        <v>2013</v>
      </c>
      <c r="C10008" t="s">
        <v>111</v>
      </c>
      <c r="D10008" t="s">
        <v>183</v>
      </c>
      <c r="E10008" t="s">
        <v>11</v>
      </c>
      <c r="F10008">
        <v>0.65773427486419678</v>
      </c>
    </row>
    <row r="10009" spans="2:6">
      <c r="B10009">
        <v>2013</v>
      </c>
      <c r="C10009" t="s">
        <v>111</v>
      </c>
      <c r="D10009" t="s">
        <v>183</v>
      </c>
      <c r="E10009" t="s">
        <v>12</v>
      </c>
      <c r="F10009">
        <v>-6.8738661706447601E-2</v>
      </c>
    </row>
    <row r="10010" spans="2:6">
      <c r="B10010">
        <v>2013</v>
      </c>
      <c r="C10010" t="s">
        <v>111</v>
      </c>
      <c r="D10010" t="s">
        <v>183</v>
      </c>
      <c r="E10010" t="s">
        <v>13</v>
      </c>
      <c r="F10010">
        <v>0.9406324028968811</v>
      </c>
    </row>
    <row r="10011" spans="2:6">
      <c r="B10011">
        <v>2013</v>
      </c>
      <c r="C10011" t="s">
        <v>111</v>
      </c>
      <c r="D10011" t="s">
        <v>183</v>
      </c>
      <c r="E10011" t="s">
        <v>14</v>
      </c>
      <c r="F10011">
        <v>0.58180379867553711</v>
      </c>
    </row>
    <row r="10012" spans="2:6">
      <c r="B10012">
        <v>2013</v>
      </c>
      <c r="C10012" t="s">
        <v>111</v>
      </c>
      <c r="D10012" t="s">
        <v>183</v>
      </c>
      <c r="E10012" t="s">
        <v>15</v>
      </c>
      <c r="F10012">
        <v>0.26060295104980469</v>
      </c>
    </row>
    <row r="10013" spans="2:6">
      <c r="B10013">
        <v>2014</v>
      </c>
      <c r="C10013" t="s">
        <v>111</v>
      </c>
      <c r="D10013" t="s">
        <v>183</v>
      </c>
      <c r="E10013" t="s">
        <v>7</v>
      </c>
      <c r="F10013">
        <v>5.9170584678649902</v>
      </c>
    </row>
    <row r="10014" spans="2:6">
      <c r="B10014">
        <v>2014</v>
      </c>
      <c r="C10014" t="s">
        <v>111</v>
      </c>
      <c r="D10014" t="s">
        <v>183</v>
      </c>
      <c r="E10014" t="s">
        <v>8</v>
      </c>
      <c r="F10014">
        <v>9.2412967681884766</v>
      </c>
    </row>
    <row r="10015" spans="2:6">
      <c r="B10015">
        <v>2014</v>
      </c>
      <c r="C10015" t="s">
        <v>111</v>
      </c>
      <c r="D10015" t="s">
        <v>183</v>
      </c>
      <c r="E10015" t="s">
        <v>9</v>
      </c>
      <c r="F10015">
        <v>0.80496883392333984</v>
      </c>
    </row>
    <row r="10016" spans="2:6">
      <c r="B10016">
        <v>2014</v>
      </c>
      <c r="C10016" t="s">
        <v>111</v>
      </c>
      <c r="D10016" t="s">
        <v>183</v>
      </c>
      <c r="E10016" t="s">
        <v>10</v>
      </c>
      <c r="F10016">
        <v>62.580001831054688</v>
      </c>
    </row>
    <row r="10017" spans="2:6">
      <c r="B10017">
        <v>2014</v>
      </c>
      <c r="C10017" t="s">
        <v>111</v>
      </c>
      <c r="D10017" t="s">
        <v>183</v>
      </c>
      <c r="E10017" t="s">
        <v>11</v>
      </c>
      <c r="F10017">
        <v>0.62318623065948486</v>
      </c>
    </row>
    <row r="10018" spans="2:6">
      <c r="B10018">
        <v>2014</v>
      </c>
      <c r="C10018" t="s">
        <v>111</v>
      </c>
      <c r="D10018" t="s">
        <v>183</v>
      </c>
      <c r="E10018" t="s">
        <v>12</v>
      </c>
      <c r="F10018">
        <v>-0.11315334588289261</v>
      </c>
    </row>
    <row r="10019" spans="2:6">
      <c r="B10019">
        <v>2014</v>
      </c>
      <c r="C10019" t="s">
        <v>111</v>
      </c>
      <c r="D10019" t="s">
        <v>183</v>
      </c>
      <c r="E10019" t="s">
        <v>13</v>
      </c>
      <c r="F10019">
        <v>0.92480671405792236</v>
      </c>
    </row>
    <row r="10020" spans="2:6">
      <c r="B10020">
        <v>2014</v>
      </c>
      <c r="C10020" t="s">
        <v>111</v>
      </c>
      <c r="D10020" t="s">
        <v>183</v>
      </c>
      <c r="E10020" t="s">
        <v>14</v>
      </c>
      <c r="F10020">
        <v>0.58263289928436279</v>
      </c>
    </row>
    <row r="10021" spans="2:6">
      <c r="B10021">
        <v>2014</v>
      </c>
      <c r="C10021" t="s">
        <v>111</v>
      </c>
      <c r="D10021" t="s">
        <v>183</v>
      </c>
      <c r="E10021" t="s">
        <v>15</v>
      </c>
      <c r="F10021">
        <v>0.25968974828720093</v>
      </c>
    </row>
    <row r="10022" spans="2:6">
      <c r="B10022">
        <v>2015</v>
      </c>
      <c r="C10022" t="s">
        <v>111</v>
      </c>
      <c r="D10022" t="s">
        <v>183</v>
      </c>
      <c r="E10022" t="s">
        <v>7</v>
      </c>
      <c r="F10022">
        <v>6.0174722671508789</v>
      </c>
    </row>
    <row r="10023" spans="2:6">
      <c r="B10023">
        <v>2015</v>
      </c>
      <c r="C10023" t="s">
        <v>111</v>
      </c>
      <c r="D10023" t="s">
        <v>183</v>
      </c>
      <c r="E10023" t="s">
        <v>8</v>
      </c>
      <c r="F10023">
        <v>9.2457876205444336</v>
      </c>
    </row>
    <row r="10024" spans="2:6">
      <c r="B10024">
        <v>2015</v>
      </c>
      <c r="C10024" t="s">
        <v>111</v>
      </c>
      <c r="D10024" t="s">
        <v>183</v>
      </c>
      <c r="E10024" t="s">
        <v>9</v>
      </c>
      <c r="F10024">
        <v>0.8399055004119873</v>
      </c>
    </row>
    <row r="10025" spans="2:6">
      <c r="B10025">
        <v>2015</v>
      </c>
      <c r="C10025" t="s">
        <v>111</v>
      </c>
      <c r="D10025" t="s">
        <v>183</v>
      </c>
      <c r="E10025" t="s">
        <v>10</v>
      </c>
      <c r="F10025">
        <v>62.900001525878906</v>
      </c>
    </row>
    <row r="10026" spans="2:6">
      <c r="B10026">
        <v>2015</v>
      </c>
      <c r="C10026" t="s">
        <v>111</v>
      </c>
      <c r="D10026" t="s">
        <v>183</v>
      </c>
      <c r="E10026" t="s">
        <v>11</v>
      </c>
      <c r="F10026">
        <v>0.59524142742156982</v>
      </c>
    </row>
    <row r="10027" spans="2:6">
      <c r="B10027">
        <v>2015</v>
      </c>
      <c r="C10027" t="s">
        <v>111</v>
      </c>
      <c r="D10027" t="s">
        <v>183</v>
      </c>
      <c r="E10027" t="s">
        <v>12</v>
      </c>
      <c r="F10027">
        <v>-8.9767672121524811E-2</v>
      </c>
    </row>
    <row r="10028" spans="2:6">
      <c r="B10028">
        <v>2015</v>
      </c>
      <c r="C10028" t="s">
        <v>111</v>
      </c>
      <c r="D10028" t="s">
        <v>183</v>
      </c>
      <c r="E10028" t="s">
        <v>13</v>
      </c>
      <c r="F10028">
        <v>0.94311881065368652</v>
      </c>
    </row>
    <row r="10029" spans="2:6">
      <c r="B10029">
        <v>2015</v>
      </c>
      <c r="C10029" t="s">
        <v>111</v>
      </c>
      <c r="D10029" t="s">
        <v>183</v>
      </c>
      <c r="E10029" t="s">
        <v>14</v>
      </c>
      <c r="F10029">
        <v>0.59038323163986206</v>
      </c>
    </row>
    <row r="10030" spans="2:6">
      <c r="B10030">
        <v>2015</v>
      </c>
      <c r="C10030" t="s">
        <v>111</v>
      </c>
      <c r="D10030" t="s">
        <v>183</v>
      </c>
      <c r="E10030" t="s">
        <v>15</v>
      </c>
      <c r="F10030">
        <v>0.28145581483840942</v>
      </c>
    </row>
    <row r="10031" spans="2:6">
      <c r="B10031">
        <v>2016</v>
      </c>
      <c r="C10031" t="s">
        <v>111</v>
      </c>
      <c r="D10031" t="s">
        <v>183</v>
      </c>
      <c r="E10031" t="s">
        <v>7</v>
      </c>
      <c r="F10031">
        <v>5.5777840614318848</v>
      </c>
    </row>
    <row r="10032" spans="2:6">
      <c r="B10032">
        <v>2016</v>
      </c>
      <c r="C10032" t="s">
        <v>111</v>
      </c>
      <c r="D10032" t="s">
        <v>183</v>
      </c>
      <c r="E10032" t="s">
        <v>8</v>
      </c>
      <c r="F10032">
        <v>9.3004140853881836</v>
      </c>
    </row>
    <row r="10033" spans="2:6">
      <c r="B10033">
        <v>2016</v>
      </c>
      <c r="C10033" t="s">
        <v>111</v>
      </c>
      <c r="D10033" t="s">
        <v>183</v>
      </c>
      <c r="E10033" t="s">
        <v>9</v>
      </c>
      <c r="F10033">
        <v>0.83732146024703979</v>
      </c>
    </row>
    <row r="10034" spans="2:6">
      <c r="B10034">
        <v>2016</v>
      </c>
      <c r="C10034" t="s">
        <v>111</v>
      </c>
      <c r="D10034" t="s">
        <v>183</v>
      </c>
      <c r="E10034" t="s">
        <v>10</v>
      </c>
      <c r="F10034">
        <v>63.599998474121094</v>
      </c>
    </row>
    <row r="10035" spans="2:6">
      <c r="B10035">
        <v>2016</v>
      </c>
      <c r="C10035" t="s">
        <v>111</v>
      </c>
      <c r="D10035" t="s">
        <v>183</v>
      </c>
      <c r="E10035" t="s">
        <v>11</v>
      </c>
      <c r="F10035">
        <v>0.55736947059631348</v>
      </c>
    </row>
    <row r="10036" spans="2:6">
      <c r="B10036">
        <v>2016</v>
      </c>
      <c r="C10036" t="s">
        <v>111</v>
      </c>
      <c r="D10036" t="s">
        <v>183</v>
      </c>
      <c r="E10036" t="s">
        <v>12</v>
      </c>
      <c r="F10036">
        <v>-4.7451119869947433E-2</v>
      </c>
    </row>
    <row r="10037" spans="2:6">
      <c r="B10037">
        <v>2016</v>
      </c>
      <c r="C10037" t="s">
        <v>111</v>
      </c>
      <c r="D10037" t="s">
        <v>183</v>
      </c>
      <c r="E10037" t="s">
        <v>13</v>
      </c>
      <c r="F10037">
        <v>0.96948295831680298</v>
      </c>
    </row>
    <row r="10038" spans="2:6">
      <c r="B10038">
        <v>2016</v>
      </c>
      <c r="C10038" t="s">
        <v>111</v>
      </c>
      <c r="D10038" t="s">
        <v>183</v>
      </c>
      <c r="E10038" t="s">
        <v>14</v>
      </c>
      <c r="F10038">
        <v>0.62110114097595215</v>
      </c>
    </row>
    <row r="10039" spans="2:6">
      <c r="B10039">
        <v>2016</v>
      </c>
      <c r="C10039" t="s">
        <v>111</v>
      </c>
      <c r="D10039" t="s">
        <v>183</v>
      </c>
      <c r="E10039" t="s">
        <v>15</v>
      </c>
      <c r="F10039">
        <v>0.27455112338066101</v>
      </c>
    </row>
    <row r="10040" spans="2:6">
      <c r="B10040">
        <v>2017</v>
      </c>
      <c r="C10040" t="s">
        <v>111</v>
      </c>
      <c r="D10040" t="s">
        <v>183</v>
      </c>
      <c r="E10040" t="s">
        <v>7</v>
      </c>
      <c r="F10040">
        <v>5.3255305290222168</v>
      </c>
    </row>
    <row r="10041" spans="2:6">
      <c r="B10041">
        <v>2017</v>
      </c>
      <c r="C10041" t="s">
        <v>111</v>
      </c>
      <c r="D10041" t="s">
        <v>183</v>
      </c>
      <c r="E10041" t="s">
        <v>8</v>
      </c>
      <c r="F10041">
        <v>9.3631744384765625</v>
      </c>
    </row>
    <row r="10042" spans="2:6">
      <c r="B10042">
        <v>2017</v>
      </c>
      <c r="C10042" t="s">
        <v>111</v>
      </c>
      <c r="D10042" t="s">
        <v>183</v>
      </c>
      <c r="E10042" t="s">
        <v>9</v>
      </c>
      <c r="F10042">
        <v>0.8307679295539856</v>
      </c>
    </row>
    <row r="10043" spans="2:6">
      <c r="B10043">
        <v>2017</v>
      </c>
      <c r="C10043" t="s">
        <v>111</v>
      </c>
      <c r="D10043" t="s">
        <v>183</v>
      </c>
      <c r="E10043" t="s">
        <v>10</v>
      </c>
      <c r="F10043">
        <v>64.300003051757813</v>
      </c>
    </row>
    <row r="10044" spans="2:6">
      <c r="B10044">
        <v>2017</v>
      </c>
      <c r="C10044" t="s">
        <v>111</v>
      </c>
      <c r="D10044" t="s">
        <v>183</v>
      </c>
      <c r="E10044" t="s">
        <v>11</v>
      </c>
      <c r="F10044">
        <v>0.5528252124786377</v>
      </c>
    </row>
    <row r="10045" spans="2:6">
      <c r="B10045">
        <v>2017</v>
      </c>
      <c r="C10045" t="s">
        <v>111</v>
      </c>
      <c r="D10045" t="s">
        <v>183</v>
      </c>
      <c r="E10045" t="s">
        <v>12</v>
      </c>
      <c r="F10045">
        <v>-5.2941195666790009E-2</v>
      </c>
    </row>
    <row r="10046" spans="2:6">
      <c r="B10046">
        <v>2017</v>
      </c>
      <c r="C10046" t="s">
        <v>111</v>
      </c>
      <c r="D10046" t="s">
        <v>183</v>
      </c>
      <c r="E10046" t="s">
        <v>13</v>
      </c>
      <c r="F10046">
        <v>0.92633378505706787</v>
      </c>
    </row>
    <row r="10047" spans="2:6">
      <c r="B10047">
        <v>2017</v>
      </c>
      <c r="C10047" t="s">
        <v>111</v>
      </c>
      <c r="D10047" t="s">
        <v>183</v>
      </c>
      <c r="E10047" t="s">
        <v>14</v>
      </c>
      <c r="F10047">
        <v>0.58148878812789917</v>
      </c>
    </row>
    <row r="10048" spans="2:6">
      <c r="B10048">
        <v>2017</v>
      </c>
      <c r="C10048" t="s">
        <v>111</v>
      </c>
      <c r="D10048" t="s">
        <v>183</v>
      </c>
      <c r="E10048" t="s">
        <v>15</v>
      </c>
      <c r="F10048">
        <v>0.25947779417037964</v>
      </c>
    </row>
    <row r="10049" spans="2:6">
      <c r="B10049">
        <v>2018</v>
      </c>
      <c r="C10049" t="s">
        <v>111</v>
      </c>
      <c r="D10049" t="s">
        <v>183</v>
      </c>
      <c r="E10049" t="s">
        <v>7</v>
      </c>
      <c r="F10049">
        <v>5.6822772026062012</v>
      </c>
    </row>
    <row r="10050" spans="2:6">
      <c r="B10050">
        <v>2018</v>
      </c>
      <c r="C10050" t="s">
        <v>111</v>
      </c>
      <c r="D10050" t="s">
        <v>183</v>
      </c>
      <c r="E10050" t="s">
        <v>8</v>
      </c>
      <c r="F10050">
        <v>9.4232749938964844</v>
      </c>
    </row>
    <row r="10051" spans="2:6">
      <c r="B10051">
        <v>2018</v>
      </c>
      <c r="C10051" t="s">
        <v>111</v>
      </c>
      <c r="D10051" t="s">
        <v>183</v>
      </c>
      <c r="E10051" t="s">
        <v>9</v>
      </c>
      <c r="F10051">
        <v>0.89207988977432251</v>
      </c>
    </row>
    <row r="10052" spans="2:6">
      <c r="B10052">
        <v>2018</v>
      </c>
      <c r="C10052" t="s">
        <v>111</v>
      </c>
      <c r="D10052" t="s">
        <v>183</v>
      </c>
      <c r="E10052" t="s">
        <v>10</v>
      </c>
      <c r="F10052">
        <v>65</v>
      </c>
    </row>
    <row r="10053" spans="2:6">
      <c r="B10053">
        <v>2018</v>
      </c>
      <c r="C10053" t="s">
        <v>111</v>
      </c>
      <c r="D10053" t="s">
        <v>183</v>
      </c>
      <c r="E10053" t="s">
        <v>11</v>
      </c>
      <c r="F10053">
        <v>0.82382434606552124</v>
      </c>
    </row>
    <row r="10054" spans="2:6">
      <c r="B10054">
        <v>2018</v>
      </c>
      <c r="C10054" t="s">
        <v>111</v>
      </c>
      <c r="D10054" t="s">
        <v>183</v>
      </c>
      <c r="E10054" t="s">
        <v>12</v>
      </c>
      <c r="F10054">
        <v>-8.4456928074359894E-2</v>
      </c>
    </row>
    <row r="10055" spans="2:6">
      <c r="B10055">
        <v>2018</v>
      </c>
      <c r="C10055" t="s">
        <v>111</v>
      </c>
      <c r="D10055" t="s">
        <v>183</v>
      </c>
      <c r="E10055" t="s">
        <v>13</v>
      </c>
      <c r="F10055">
        <v>0.92871987819671631</v>
      </c>
    </row>
    <row r="10056" spans="2:6">
      <c r="B10056">
        <v>2018</v>
      </c>
      <c r="C10056" t="s">
        <v>111</v>
      </c>
      <c r="D10056" t="s">
        <v>183</v>
      </c>
      <c r="E10056" t="s">
        <v>14</v>
      </c>
      <c r="F10056">
        <v>0.58171463012695313</v>
      </c>
    </row>
    <row r="10057" spans="2:6">
      <c r="B10057">
        <v>2018</v>
      </c>
      <c r="C10057" t="s">
        <v>111</v>
      </c>
      <c r="D10057" t="s">
        <v>183</v>
      </c>
      <c r="E10057" t="s">
        <v>15</v>
      </c>
      <c r="F10057">
        <v>0.27007246017456055</v>
      </c>
    </row>
    <row r="10058" spans="2:6">
      <c r="B10058">
        <v>2019</v>
      </c>
      <c r="C10058" t="s">
        <v>111</v>
      </c>
      <c r="D10058" t="s">
        <v>183</v>
      </c>
      <c r="E10058" t="s">
        <v>7</v>
      </c>
      <c r="F10058">
        <v>5.8034505844116211</v>
      </c>
    </row>
    <row r="10059" spans="2:6">
      <c r="B10059">
        <v>2019</v>
      </c>
      <c r="C10059" t="s">
        <v>111</v>
      </c>
      <c r="D10059" t="s">
        <v>183</v>
      </c>
      <c r="E10059" t="s">
        <v>8</v>
      </c>
      <c r="F10059">
        <v>9.475306510925293</v>
      </c>
    </row>
    <row r="10060" spans="2:6">
      <c r="B10060">
        <v>2019</v>
      </c>
      <c r="C10060" t="s">
        <v>111</v>
      </c>
      <c r="D10060" t="s">
        <v>183</v>
      </c>
      <c r="E10060" t="s">
        <v>9</v>
      </c>
      <c r="F10060">
        <v>0.80916708707809448</v>
      </c>
    </row>
    <row r="10061" spans="2:6">
      <c r="B10061">
        <v>2019</v>
      </c>
      <c r="C10061" t="s">
        <v>111</v>
      </c>
      <c r="D10061" t="s">
        <v>183</v>
      </c>
      <c r="E10061" t="s">
        <v>10</v>
      </c>
      <c r="F10061">
        <v>65.699996948242188</v>
      </c>
    </row>
    <row r="10062" spans="2:6">
      <c r="B10062">
        <v>2019</v>
      </c>
      <c r="C10062" t="s">
        <v>111</v>
      </c>
      <c r="D10062" t="s">
        <v>183</v>
      </c>
      <c r="E10062" t="s">
        <v>11</v>
      </c>
      <c r="F10062">
        <v>0.78366458415985107</v>
      </c>
    </row>
    <row r="10063" spans="2:6">
      <c r="B10063">
        <v>2019</v>
      </c>
      <c r="C10063" t="s">
        <v>111</v>
      </c>
      <c r="D10063" t="s">
        <v>183</v>
      </c>
      <c r="E10063" t="s">
        <v>12</v>
      </c>
      <c r="F10063">
        <v>-9.2406168580055237E-2</v>
      </c>
    </row>
    <row r="10064" spans="2:6">
      <c r="B10064">
        <v>2019</v>
      </c>
      <c r="C10064" t="s">
        <v>111</v>
      </c>
      <c r="D10064" t="s">
        <v>183</v>
      </c>
      <c r="E10064" t="s">
        <v>13</v>
      </c>
      <c r="F10064">
        <v>0.88382250070571899</v>
      </c>
    </row>
    <row r="10065" spans="2:6">
      <c r="B10065">
        <v>2019</v>
      </c>
      <c r="C10065" t="s">
        <v>111</v>
      </c>
      <c r="D10065" t="s">
        <v>183</v>
      </c>
      <c r="E10065" t="s">
        <v>14</v>
      </c>
      <c r="F10065">
        <v>0.63097459077835083</v>
      </c>
    </row>
    <row r="10066" spans="2:6">
      <c r="B10066">
        <v>2019</v>
      </c>
      <c r="C10066" t="s">
        <v>111</v>
      </c>
      <c r="D10066" t="s">
        <v>183</v>
      </c>
      <c r="E10066" t="s">
        <v>15</v>
      </c>
      <c r="F10066">
        <v>0.26162093877792358</v>
      </c>
    </row>
    <row r="10067" spans="2:6">
      <c r="B10067">
        <v>2020</v>
      </c>
      <c r="C10067" t="s">
        <v>111</v>
      </c>
      <c r="D10067" t="s">
        <v>183</v>
      </c>
      <c r="E10067" t="s">
        <v>7</v>
      </c>
      <c r="F10067">
        <v>5.8116288185119629</v>
      </c>
    </row>
    <row r="10068" spans="2:6">
      <c r="B10068">
        <v>2020</v>
      </c>
      <c r="C10068" t="s">
        <v>111</v>
      </c>
      <c r="D10068" t="s">
        <v>183</v>
      </c>
      <c r="E10068" t="s">
        <v>8</v>
      </c>
      <c r="F10068">
        <v>9.4621095657348633</v>
      </c>
    </row>
    <row r="10069" spans="2:6">
      <c r="B10069">
        <v>2020</v>
      </c>
      <c r="C10069" t="s">
        <v>111</v>
      </c>
      <c r="D10069" t="s">
        <v>183</v>
      </c>
      <c r="E10069" t="s">
        <v>9</v>
      </c>
      <c r="F10069">
        <v>0.87406176328659058</v>
      </c>
    </row>
    <row r="10070" spans="2:6">
      <c r="B10070">
        <v>2020</v>
      </c>
      <c r="C10070" t="s">
        <v>111</v>
      </c>
      <c r="D10070" t="s">
        <v>183</v>
      </c>
      <c r="E10070" t="s">
        <v>10</v>
      </c>
      <c r="F10070">
        <v>66.400001525878906</v>
      </c>
    </row>
    <row r="10071" spans="2:6">
      <c r="B10071">
        <v>2020</v>
      </c>
      <c r="C10071" t="s">
        <v>111</v>
      </c>
      <c r="D10071" t="s">
        <v>183</v>
      </c>
      <c r="E10071" t="s">
        <v>11</v>
      </c>
      <c r="F10071">
        <v>0.85908323526382446</v>
      </c>
    </row>
    <row r="10072" spans="2:6">
      <c r="B10072">
        <v>2020</v>
      </c>
      <c r="C10072" t="s">
        <v>111</v>
      </c>
      <c r="D10072" t="s">
        <v>183</v>
      </c>
      <c r="E10072" t="s">
        <v>12</v>
      </c>
      <c r="F10072">
        <v>-5.8278579264879227E-2</v>
      </c>
    </row>
    <row r="10073" spans="2:6">
      <c r="B10073">
        <v>2020</v>
      </c>
      <c r="C10073" t="s">
        <v>111</v>
      </c>
      <c r="D10073" t="s">
        <v>183</v>
      </c>
      <c r="E10073" t="s">
        <v>13</v>
      </c>
      <c r="F10073">
        <v>0.94143897294998169</v>
      </c>
    </row>
    <row r="10074" spans="2:6">
      <c r="B10074">
        <v>2020</v>
      </c>
      <c r="C10074" t="s">
        <v>111</v>
      </c>
      <c r="D10074" t="s">
        <v>183</v>
      </c>
      <c r="E10074" t="s">
        <v>14</v>
      </c>
      <c r="F10074">
        <v>0.72722452878952026</v>
      </c>
    </row>
    <row r="10075" spans="2:6">
      <c r="B10075">
        <v>2020</v>
      </c>
      <c r="C10075" t="s">
        <v>111</v>
      </c>
      <c r="D10075" t="s">
        <v>183</v>
      </c>
      <c r="E10075" t="s">
        <v>15</v>
      </c>
      <c r="F10075">
        <v>0.2678360641002655</v>
      </c>
    </row>
    <row r="10076" spans="2:6">
      <c r="B10076">
        <v>2007</v>
      </c>
      <c r="C10076" t="s">
        <v>112</v>
      </c>
      <c r="D10076" t="s">
        <v>182</v>
      </c>
      <c r="E10076" t="s">
        <v>7</v>
      </c>
      <c r="F10076">
        <v>4.6090593338012695</v>
      </c>
    </row>
    <row r="10077" spans="2:6">
      <c r="B10077">
        <v>2007</v>
      </c>
      <c r="C10077" t="s">
        <v>112</v>
      </c>
      <c r="D10077" t="s">
        <v>182</v>
      </c>
      <c r="E10077" t="s">
        <v>8</v>
      </c>
      <c r="F10077">
        <v>8.8332185745239258</v>
      </c>
    </row>
    <row r="10078" spans="2:6">
      <c r="B10078">
        <v>2007</v>
      </c>
      <c r="C10078" t="s">
        <v>112</v>
      </c>
      <c r="D10078" t="s">
        <v>182</v>
      </c>
      <c r="E10078" t="s">
        <v>9</v>
      </c>
      <c r="F10078">
        <v>0.88105475902557373</v>
      </c>
    </row>
    <row r="10079" spans="2:6">
      <c r="B10079">
        <v>2007</v>
      </c>
      <c r="C10079" t="s">
        <v>112</v>
      </c>
      <c r="D10079" t="s">
        <v>182</v>
      </c>
      <c r="E10079" t="s">
        <v>10</v>
      </c>
      <c r="F10079">
        <v>58.819999694824219</v>
      </c>
    </row>
    <row r="10080" spans="2:6">
      <c r="B10080">
        <v>2007</v>
      </c>
      <c r="C10080" t="s">
        <v>112</v>
      </c>
      <c r="D10080" t="s">
        <v>182</v>
      </c>
      <c r="E10080" t="s">
        <v>11</v>
      </c>
      <c r="F10080">
        <v>0.78133267164230347</v>
      </c>
    </row>
    <row r="10081" spans="2:6">
      <c r="B10081">
        <v>2007</v>
      </c>
      <c r="C10081" t="s">
        <v>112</v>
      </c>
      <c r="D10081" t="s">
        <v>182</v>
      </c>
      <c r="E10081" t="s">
        <v>12</v>
      </c>
      <c r="F10081">
        <v>6.3611254096031189E-2</v>
      </c>
    </row>
    <row r="10082" spans="2:6">
      <c r="B10082">
        <v>2007</v>
      </c>
      <c r="C10082" t="s">
        <v>112</v>
      </c>
      <c r="D10082" t="s">
        <v>182</v>
      </c>
      <c r="E10082" t="s">
        <v>13</v>
      </c>
      <c r="F10082">
        <v>0.9178130030632019</v>
      </c>
    </row>
    <row r="10083" spans="2:6">
      <c r="B10083">
        <v>2007</v>
      </c>
      <c r="C10083" t="s">
        <v>112</v>
      </c>
      <c r="D10083" t="s">
        <v>182</v>
      </c>
      <c r="E10083" t="s">
        <v>14</v>
      </c>
      <c r="F10083">
        <v>0.57064008712768555</v>
      </c>
    </row>
    <row r="10084" spans="2:6">
      <c r="B10084">
        <v>2007</v>
      </c>
      <c r="C10084" t="s">
        <v>112</v>
      </c>
      <c r="D10084" t="s">
        <v>182</v>
      </c>
      <c r="E10084" t="s">
        <v>15</v>
      </c>
      <c r="F10084">
        <v>0.20304401218891144</v>
      </c>
    </row>
    <row r="10085" spans="2:6">
      <c r="B10085">
        <v>2008</v>
      </c>
      <c r="C10085" t="s">
        <v>112</v>
      </c>
      <c r="D10085" t="s">
        <v>182</v>
      </c>
      <c r="E10085" t="s">
        <v>7</v>
      </c>
      <c r="F10085">
        <v>4.4930100440979004</v>
      </c>
    </row>
    <row r="10086" spans="2:6">
      <c r="B10086">
        <v>2008</v>
      </c>
      <c r="C10086" t="s">
        <v>112</v>
      </c>
      <c r="D10086" t="s">
        <v>182</v>
      </c>
      <c r="E10086" t="s">
        <v>8</v>
      </c>
      <c r="F10086">
        <v>8.9039087295532227</v>
      </c>
    </row>
    <row r="10087" spans="2:6">
      <c r="B10087">
        <v>2008</v>
      </c>
      <c r="C10087" t="s">
        <v>112</v>
      </c>
      <c r="D10087" t="s">
        <v>182</v>
      </c>
      <c r="E10087" t="s">
        <v>9</v>
      </c>
      <c r="F10087">
        <v>0.92011594772338867</v>
      </c>
    </row>
    <row r="10088" spans="2:6">
      <c r="B10088">
        <v>2008</v>
      </c>
      <c r="C10088" t="s">
        <v>112</v>
      </c>
      <c r="D10088" t="s">
        <v>182</v>
      </c>
      <c r="E10088" t="s">
        <v>10</v>
      </c>
      <c r="F10088">
        <v>59.279998779296875</v>
      </c>
    </row>
    <row r="10089" spans="2:6">
      <c r="B10089">
        <v>2008</v>
      </c>
      <c r="C10089" t="s">
        <v>112</v>
      </c>
      <c r="D10089" t="s">
        <v>182</v>
      </c>
      <c r="E10089" t="s">
        <v>11</v>
      </c>
      <c r="F10089">
        <v>0.48408141732215881</v>
      </c>
    </row>
    <row r="10090" spans="2:6">
      <c r="B10090">
        <v>2008</v>
      </c>
      <c r="C10090" t="s">
        <v>112</v>
      </c>
      <c r="D10090" t="s">
        <v>182</v>
      </c>
      <c r="E10090" t="s">
        <v>12</v>
      </c>
      <c r="F10090">
        <v>6.7774087190628052E-2</v>
      </c>
    </row>
    <row r="10091" spans="2:6">
      <c r="B10091">
        <v>2008</v>
      </c>
      <c r="C10091" t="s">
        <v>112</v>
      </c>
      <c r="D10091" t="s">
        <v>182</v>
      </c>
      <c r="E10091" t="s">
        <v>13</v>
      </c>
      <c r="F10091">
        <v>0.96171426773071289</v>
      </c>
    </row>
    <row r="10092" spans="2:6">
      <c r="B10092">
        <v>2008</v>
      </c>
      <c r="C10092" t="s">
        <v>112</v>
      </c>
      <c r="D10092" t="s">
        <v>182</v>
      </c>
      <c r="E10092" t="s">
        <v>14</v>
      </c>
      <c r="F10092">
        <v>0.58589428663253784</v>
      </c>
    </row>
    <row r="10093" spans="2:6">
      <c r="B10093">
        <v>2008</v>
      </c>
      <c r="C10093" t="s">
        <v>112</v>
      </c>
      <c r="D10093" t="s">
        <v>182</v>
      </c>
      <c r="E10093" t="s">
        <v>15</v>
      </c>
      <c r="F10093">
        <v>0.17345213890075684</v>
      </c>
    </row>
    <row r="10094" spans="2:6">
      <c r="B10094">
        <v>2010</v>
      </c>
      <c r="C10094" t="s">
        <v>112</v>
      </c>
      <c r="D10094" t="s">
        <v>182</v>
      </c>
      <c r="E10094" t="s">
        <v>7</v>
      </c>
      <c r="F10094">
        <v>4.5855236053466797</v>
      </c>
    </row>
    <row r="10095" spans="2:6">
      <c r="B10095">
        <v>2010</v>
      </c>
      <c r="C10095" t="s">
        <v>112</v>
      </c>
      <c r="D10095" t="s">
        <v>182</v>
      </c>
      <c r="E10095" t="s">
        <v>8</v>
      </c>
      <c r="F10095">
        <v>8.9199609756469727</v>
      </c>
    </row>
    <row r="10096" spans="2:6">
      <c r="B10096">
        <v>2010</v>
      </c>
      <c r="C10096" t="s">
        <v>112</v>
      </c>
      <c r="D10096" t="s">
        <v>182</v>
      </c>
      <c r="E10096" t="s">
        <v>9</v>
      </c>
      <c r="F10096">
        <v>0.90417784452438354</v>
      </c>
    </row>
    <row r="10097" spans="2:6">
      <c r="B10097">
        <v>2010</v>
      </c>
      <c r="C10097" t="s">
        <v>112</v>
      </c>
      <c r="D10097" t="s">
        <v>182</v>
      </c>
      <c r="E10097" t="s">
        <v>10</v>
      </c>
      <c r="F10097">
        <v>60.200000762939453</v>
      </c>
    </row>
    <row r="10098" spans="2:6">
      <c r="B10098">
        <v>2010</v>
      </c>
      <c r="C10098" t="s">
        <v>112</v>
      </c>
      <c r="D10098" t="s">
        <v>182</v>
      </c>
      <c r="E10098" t="s">
        <v>11</v>
      </c>
      <c r="F10098">
        <v>0.63096660375595093</v>
      </c>
    </row>
    <row r="10099" spans="2:6">
      <c r="B10099">
        <v>2010</v>
      </c>
      <c r="C10099" t="s">
        <v>112</v>
      </c>
      <c r="D10099" t="s">
        <v>182</v>
      </c>
      <c r="E10099" t="s">
        <v>12</v>
      </c>
      <c r="F10099">
        <v>9.9294401705265045E-2</v>
      </c>
    </row>
    <row r="10100" spans="2:6">
      <c r="B10100">
        <v>2010</v>
      </c>
      <c r="C10100" t="s">
        <v>112</v>
      </c>
      <c r="D10100" t="s">
        <v>182</v>
      </c>
      <c r="E10100" t="s">
        <v>13</v>
      </c>
      <c r="F10100">
        <v>0.92756831645965576</v>
      </c>
    </row>
    <row r="10101" spans="2:6">
      <c r="B10101">
        <v>2010</v>
      </c>
      <c r="C10101" t="s">
        <v>112</v>
      </c>
      <c r="D10101" t="s">
        <v>182</v>
      </c>
      <c r="E10101" t="s">
        <v>14</v>
      </c>
      <c r="F10101">
        <v>0.71242493391036987</v>
      </c>
    </row>
    <row r="10102" spans="2:6">
      <c r="B10102">
        <v>2010</v>
      </c>
      <c r="C10102" t="s">
        <v>112</v>
      </c>
      <c r="D10102" t="s">
        <v>182</v>
      </c>
      <c r="E10102" t="s">
        <v>15</v>
      </c>
      <c r="F10102">
        <v>0.15002517402172089</v>
      </c>
    </row>
    <row r="10103" spans="2:6">
      <c r="B10103">
        <v>2011</v>
      </c>
      <c r="C10103" t="s">
        <v>112</v>
      </c>
      <c r="D10103" t="s">
        <v>182</v>
      </c>
      <c r="E10103" t="s">
        <v>7</v>
      </c>
      <c r="F10103">
        <v>5.0311737060546875</v>
      </c>
    </row>
    <row r="10104" spans="2:6">
      <c r="B10104">
        <v>2011</v>
      </c>
      <c r="C10104" t="s">
        <v>112</v>
      </c>
      <c r="D10104" t="s">
        <v>182</v>
      </c>
      <c r="E10104" t="s">
        <v>8</v>
      </c>
      <c r="F10104">
        <v>9.0610628128051758</v>
      </c>
    </row>
    <row r="10105" spans="2:6">
      <c r="B10105">
        <v>2011</v>
      </c>
      <c r="C10105" t="s">
        <v>112</v>
      </c>
      <c r="D10105" t="s">
        <v>182</v>
      </c>
      <c r="E10105" t="s">
        <v>9</v>
      </c>
      <c r="F10105">
        <v>0.94788527488708496</v>
      </c>
    </row>
    <row r="10106" spans="2:6">
      <c r="B10106">
        <v>2011</v>
      </c>
      <c r="C10106" t="s">
        <v>112</v>
      </c>
      <c r="D10106" t="s">
        <v>182</v>
      </c>
      <c r="E10106" t="s">
        <v>10</v>
      </c>
      <c r="F10106">
        <v>60.5</v>
      </c>
    </row>
    <row r="10107" spans="2:6">
      <c r="B10107">
        <v>2011</v>
      </c>
      <c r="C10107" t="s">
        <v>112</v>
      </c>
      <c r="D10107" t="s">
        <v>182</v>
      </c>
      <c r="E10107" t="s">
        <v>11</v>
      </c>
      <c r="F10107">
        <v>0.70034569501876831</v>
      </c>
    </row>
    <row r="10108" spans="2:6">
      <c r="B10108">
        <v>2011</v>
      </c>
      <c r="C10108" t="s">
        <v>112</v>
      </c>
      <c r="D10108" t="s">
        <v>182</v>
      </c>
      <c r="E10108" t="s">
        <v>12</v>
      </c>
      <c r="F10108">
        <v>0.15096822381019592</v>
      </c>
    </row>
    <row r="10109" spans="2:6">
      <c r="B10109">
        <v>2011</v>
      </c>
      <c r="C10109" t="s">
        <v>112</v>
      </c>
      <c r="D10109" t="s">
        <v>182</v>
      </c>
      <c r="E10109" t="s">
        <v>13</v>
      </c>
      <c r="F10109">
        <v>0.93115884065628052</v>
      </c>
    </row>
    <row r="10110" spans="2:6">
      <c r="B10110">
        <v>2011</v>
      </c>
      <c r="C10110" t="s">
        <v>112</v>
      </c>
      <c r="D10110" t="s">
        <v>182</v>
      </c>
      <c r="E10110" t="s">
        <v>14</v>
      </c>
      <c r="F10110">
        <v>0.69215786457061768</v>
      </c>
    </row>
    <row r="10111" spans="2:6">
      <c r="B10111">
        <v>2011</v>
      </c>
      <c r="C10111" t="s">
        <v>112</v>
      </c>
      <c r="D10111" t="s">
        <v>182</v>
      </c>
      <c r="E10111" t="s">
        <v>15</v>
      </c>
      <c r="F10111">
        <v>0.15323258936405182</v>
      </c>
    </row>
    <row r="10112" spans="2:6">
      <c r="B10112">
        <v>2012</v>
      </c>
      <c r="C10112" t="s">
        <v>112</v>
      </c>
      <c r="D10112" t="s">
        <v>182</v>
      </c>
      <c r="E10112" t="s">
        <v>7</v>
      </c>
      <c r="F10112">
        <v>4.8851504325866699</v>
      </c>
    </row>
    <row r="10113" spans="2:6">
      <c r="B10113">
        <v>2012</v>
      </c>
      <c r="C10113" t="s">
        <v>112</v>
      </c>
      <c r="D10113" t="s">
        <v>182</v>
      </c>
      <c r="E10113" t="s">
        <v>8</v>
      </c>
      <c r="F10113">
        <v>9.1578187942504883</v>
      </c>
    </row>
    <row r="10114" spans="2:6">
      <c r="B10114">
        <v>2012</v>
      </c>
      <c r="C10114" t="s">
        <v>112</v>
      </c>
      <c r="D10114" t="s">
        <v>182</v>
      </c>
      <c r="E10114" t="s">
        <v>9</v>
      </c>
      <c r="F10114">
        <v>0.91851609945297241</v>
      </c>
    </row>
    <row r="10115" spans="2:6">
      <c r="B10115">
        <v>2012</v>
      </c>
      <c r="C10115" t="s">
        <v>112</v>
      </c>
      <c r="D10115" t="s">
        <v>182</v>
      </c>
      <c r="E10115" t="s">
        <v>10</v>
      </c>
      <c r="F10115">
        <v>60.799999237060547</v>
      </c>
    </row>
    <row r="10116" spans="2:6">
      <c r="B10116">
        <v>2012</v>
      </c>
      <c r="C10116" t="s">
        <v>112</v>
      </c>
      <c r="D10116" t="s">
        <v>182</v>
      </c>
      <c r="E10116" t="s">
        <v>11</v>
      </c>
      <c r="F10116">
        <v>0.68831169605255127</v>
      </c>
    </row>
    <row r="10117" spans="2:6">
      <c r="B10117">
        <v>2012</v>
      </c>
      <c r="C10117" t="s">
        <v>112</v>
      </c>
      <c r="D10117" t="s">
        <v>182</v>
      </c>
      <c r="E10117" t="s">
        <v>12</v>
      </c>
      <c r="F10117">
        <v>0.10660141706466675</v>
      </c>
    </row>
    <row r="10118" spans="2:6">
      <c r="B10118">
        <v>2012</v>
      </c>
      <c r="C10118" t="s">
        <v>112</v>
      </c>
      <c r="D10118" t="s">
        <v>182</v>
      </c>
      <c r="E10118" t="s">
        <v>13</v>
      </c>
      <c r="F10118">
        <v>0.93238598108291626</v>
      </c>
    </row>
    <row r="10119" spans="2:6">
      <c r="B10119">
        <v>2012</v>
      </c>
      <c r="C10119" t="s">
        <v>112</v>
      </c>
      <c r="D10119" t="s">
        <v>182</v>
      </c>
      <c r="E10119" t="s">
        <v>14</v>
      </c>
      <c r="F10119">
        <v>0.68905264139175415</v>
      </c>
    </row>
    <row r="10120" spans="2:6">
      <c r="B10120">
        <v>2012</v>
      </c>
      <c r="C10120" t="s">
        <v>112</v>
      </c>
      <c r="D10120" t="s">
        <v>182</v>
      </c>
      <c r="E10120" t="s">
        <v>15</v>
      </c>
      <c r="F10120">
        <v>0.18106634914875031</v>
      </c>
    </row>
    <row r="10121" spans="2:6">
      <c r="B10121">
        <v>2013</v>
      </c>
      <c r="C10121" t="s">
        <v>112</v>
      </c>
      <c r="D10121" t="s">
        <v>182</v>
      </c>
      <c r="E10121" t="s">
        <v>7</v>
      </c>
      <c r="F10121">
        <v>4.9129281044006348</v>
      </c>
    </row>
    <row r="10122" spans="2:6">
      <c r="B10122">
        <v>2013</v>
      </c>
      <c r="C10122" t="s">
        <v>112</v>
      </c>
      <c r="D10122" t="s">
        <v>182</v>
      </c>
      <c r="E10122" t="s">
        <v>8</v>
      </c>
      <c r="F10122">
        <v>9.2479972839355469</v>
      </c>
    </row>
    <row r="10123" spans="2:6">
      <c r="B10123">
        <v>2013</v>
      </c>
      <c r="C10123" t="s">
        <v>112</v>
      </c>
      <c r="D10123" t="s">
        <v>182</v>
      </c>
      <c r="E10123" t="s">
        <v>9</v>
      </c>
      <c r="F10123">
        <v>0.9347415566444397</v>
      </c>
    </row>
    <row r="10124" spans="2:6">
      <c r="B10124">
        <v>2013</v>
      </c>
      <c r="C10124" t="s">
        <v>112</v>
      </c>
      <c r="D10124" t="s">
        <v>182</v>
      </c>
      <c r="E10124" t="s">
        <v>10</v>
      </c>
      <c r="F10124">
        <v>61.099998474121094</v>
      </c>
    </row>
    <row r="10125" spans="2:6">
      <c r="B10125">
        <v>2013</v>
      </c>
      <c r="C10125" t="s">
        <v>112</v>
      </c>
      <c r="D10125" t="s">
        <v>182</v>
      </c>
      <c r="E10125" t="s">
        <v>11</v>
      </c>
      <c r="F10125">
        <v>0.74801403284072876</v>
      </c>
    </row>
    <row r="10126" spans="2:6">
      <c r="B10126">
        <v>2013</v>
      </c>
      <c r="C10126" t="s">
        <v>112</v>
      </c>
      <c r="D10126" t="s">
        <v>182</v>
      </c>
      <c r="E10126" t="s">
        <v>12</v>
      </c>
      <c r="F10126">
        <v>0.13614509999752045</v>
      </c>
    </row>
    <row r="10127" spans="2:6">
      <c r="B10127">
        <v>2013</v>
      </c>
      <c r="C10127" t="s">
        <v>112</v>
      </c>
      <c r="D10127" t="s">
        <v>182</v>
      </c>
      <c r="E10127" t="s">
        <v>13</v>
      </c>
      <c r="F10127">
        <v>0.92785447835922241</v>
      </c>
    </row>
    <row r="10128" spans="2:6">
      <c r="B10128">
        <v>2013</v>
      </c>
      <c r="C10128" t="s">
        <v>112</v>
      </c>
      <c r="D10128" t="s">
        <v>182</v>
      </c>
      <c r="E10128" t="s">
        <v>14</v>
      </c>
      <c r="F10128">
        <v>0.64944493770599365</v>
      </c>
    </row>
    <row r="10129" spans="2:6">
      <c r="B10129">
        <v>2013</v>
      </c>
      <c r="C10129" t="s">
        <v>112</v>
      </c>
      <c r="D10129" t="s">
        <v>182</v>
      </c>
      <c r="E10129" t="s">
        <v>15</v>
      </c>
      <c r="F10129">
        <v>0.17890222370624542</v>
      </c>
    </row>
    <row r="10130" spans="2:6">
      <c r="B10130">
        <v>2014</v>
      </c>
      <c r="C10130" t="s">
        <v>112</v>
      </c>
      <c r="D10130" t="s">
        <v>182</v>
      </c>
      <c r="E10130" t="s">
        <v>7</v>
      </c>
      <c r="F10130">
        <v>4.8248348236083984</v>
      </c>
    </row>
    <row r="10131" spans="2:6">
      <c r="B10131">
        <v>2014</v>
      </c>
      <c r="C10131" t="s">
        <v>112</v>
      </c>
      <c r="D10131" t="s">
        <v>182</v>
      </c>
      <c r="E10131" t="s">
        <v>8</v>
      </c>
      <c r="F10131">
        <v>9.3038616180419922</v>
      </c>
    </row>
    <row r="10132" spans="2:6">
      <c r="B10132">
        <v>2014</v>
      </c>
      <c r="C10132" t="s">
        <v>112</v>
      </c>
      <c r="D10132" t="s">
        <v>182</v>
      </c>
      <c r="E10132" t="s">
        <v>9</v>
      </c>
      <c r="F10132">
        <v>0.94343668222427368</v>
      </c>
    </row>
    <row r="10133" spans="2:6">
      <c r="B10133">
        <v>2014</v>
      </c>
      <c r="C10133" t="s">
        <v>112</v>
      </c>
      <c r="D10133" t="s">
        <v>182</v>
      </c>
      <c r="E10133" t="s">
        <v>10</v>
      </c>
      <c r="F10133">
        <v>61.400001525878906</v>
      </c>
    </row>
    <row r="10134" spans="2:6">
      <c r="B10134">
        <v>2014</v>
      </c>
      <c r="C10134" t="s">
        <v>112</v>
      </c>
      <c r="D10134" t="s">
        <v>182</v>
      </c>
      <c r="E10134" t="s">
        <v>11</v>
      </c>
      <c r="F10134">
        <v>0.75235414505004883</v>
      </c>
    </row>
    <row r="10135" spans="2:6">
      <c r="B10135">
        <v>2014</v>
      </c>
      <c r="C10135" t="s">
        <v>112</v>
      </c>
      <c r="D10135" t="s">
        <v>182</v>
      </c>
      <c r="E10135" t="s">
        <v>12</v>
      </c>
      <c r="F10135">
        <v>0.14618302881717682</v>
      </c>
    </row>
    <row r="10136" spans="2:6">
      <c r="B10136">
        <v>2014</v>
      </c>
      <c r="C10136" t="s">
        <v>112</v>
      </c>
      <c r="D10136" t="s">
        <v>182</v>
      </c>
      <c r="E10136" t="s">
        <v>13</v>
      </c>
      <c r="F10136">
        <v>0.90859681367874146</v>
      </c>
    </row>
    <row r="10137" spans="2:6">
      <c r="B10137">
        <v>2014</v>
      </c>
      <c r="C10137" t="s">
        <v>112</v>
      </c>
      <c r="D10137" t="s">
        <v>182</v>
      </c>
      <c r="E10137" t="s">
        <v>14</v>
      </c>
      <c r="F10137">
        <v>0.62749159336090088</v>
      </c>
    </row>
    <row r="10138" spans="2:6">
      <c r="B10138">
        <v>2014</v>
      </c>
      <c r="C10138" t="s">
        <v>112</v>
      </c>
      <c r="D10138" t="s">
        <v>182</v>
      </c>
      <c r="E10138" t="s">
        <v>15</v>
      </c>
      <c r="F10138">
        <v>0.17042131721973419</v>
      </c>
    </row>
    <row r="10139" spans="2:6">
      <c r="B10139">
        <v>2015</v>
      </c>
      <c r="C10139" t="s">
        <v>112</v>
      </c>
      <c r="D10139" t="s">
        <v>182</v>
      </c>
      <c r="E10139" t="s">
        <v>7</v>
      </c>
      <c r="F10139">
        <v>4.982719898223877</v>
      </c>
    </row>
    <row r="10140" spans="2:6">
      <c r="B10140">
        <v>2015</v>
      </c>
      <c r="C10140" t="s">
        <v>112</v>
      </c>
      <c r="D10140" t="s">
        <v>182</v>
      </c>
      <c r="E10140" t="s">
        <v>8</v>
      </c>
      <c r="F10140">
        <v>9.3077354431152344</v>
      </c>
    </row>
    <row r="10141" spans="2:6">
      <c r="B10141">
        <v>2015</v>
      </c>
      <c r="C10141" t="s">
        <v>112</v>
      </c>
      <c r="D10141" t="s">
        <v>182</v>
      </c>
      <c r="E10141" t="s">
        <v>9</v>
      </c>
      <c r="F10141">
        <v>0.90552437305450439</v>
      </c>
    </row>
    <row r="10142" spans="2:6">
      <c r="B10142">
        <v>2015</v>
      </c>
      <c r="C10142" t="s">
        <v>112</v>
      </c>
      <c r="D10142" t="s">
        <v>182</v>
      </c>
      <c r="E10142" t="s">
        <v>10</v>
      </c>
      <c r="F10142">
        <v>61.700000762939453</v>
      </c>
    </row>
    <row r="10143" spans="2:6">
      <c r="B10143">
        <v>2015</v>
      </c>
      <c r="C10143" t="s">
        <v>112</v>
      </c>
      <c r="D10143" t="s">
        <v>182</v>
      </c>
      <c r="E10143" t="s">
        <v>11</v>
      </c>
      <c r="F10143">
        <v>0.68551075458526611</v>
      </c>
    </row>
    <row r="10144" spans="2:6">
      <c r="B10144">
        <v>2015</v>
      </c>
      <c r="C10144" t="s">
        <v>112</v>
      </c>
      <c r="D10144" t="s">
        <v>182</v>
      </c>
      <c r="E10144" t="s">
        <v>12</v>
      </c>
      <c r="F10144">
        <v>0.17309960722923279</v>
      </c>
    </row>
    <row r="10145" spans="2:6">
      <c r="B10145">
        <v>2015</v>
      </c>
      <c r="C10145" t="s">
        <v>112</v>
      </c>
      <c r="D10145" t="s">
        <v>182</v>
      </c>
      <c r="E10145" t="s">
        <v>13</v>
      </c>
      <c r="F10145">
        <v>0.90021818876266479</v>
      </c>
    </row>
    <row r="10146" spans="2:6">
      <c r="B10146">
        <v>2015</v>
      </c>
      <c r="C10146" t="s">
        <v>112</v>
      </c>
      <c r="D10146" t="s">
        <v>182</v>
      </c>
      <c r="E10146" t="s">
        <v>14</v>
      </c>
      <c r="F10146">
        <v>0.65278571844100952</v>
      </c>
    </row>
    <row r="10147" spans="2:6">
      <c r="B10147">
        <v>2015</v>
      </c>
      <c r="C10147" t="s">
        <v>112</v>
      </c>
      <c r="D10147" t="s">
        <v>182</v>
      </c>
      <c r="E10147" t="s">
        <v>15</v>
      </c>
      <c r="F10147">
        <v>0.20765265822410583</v>
      </c>
    </row>
    <row r="10148" spans="2:6">
      <c r="B10148">
        <v>2016</v>
      </c>
      <c r="C10148" t="s">
        <v>112</v>
      </c>
      <c r="D10148" t="s">
        <v>182</v>
      </c>
      <c r="E10148" t="s">
        <v>7</v>
      </c>
      <c r="F10148">
        <v>5.056999683380127</v>
      </c>
    </row>
    <row r="10149" spans="2:6">
      <c r="B10149">
        <v>2016</v>
      </c>
      <c r="C10149" t="s">
        <v>112</v>
      </c>
      <c r="D10149" t="s">
        <v>182</v>
      </c>
      <c r="E10149" t="s">
        <v>8</v>
      </c>
      <c r="F10149">
        <v>9.3002185821533203</v>
      </c>
    </row>
    <row r="10150" spans="2:6">
      <c r="B10150">
        <v>2016</v>
      </c>
      <c r="C10150" t="s">
        <v>112</v>
      </c>
      <c r="D10150" t="s">
        <v>182</v>
      </c>
      <c r="E10150" t="s">
        <v>9</v>
      </c>
      <c r="F10150">
        <v>0.94748938083648682</v>
      </c>
    </row>
    <row r="10151" spans="2:6">
      <c r="B10151">
        <v>2016</v>
      </c>
      <c r="C10151" t="s">
        <v>112</v>
      </c>
      <c r="D10151" t="s">
        <v>182</v>
      </c>
      <c r="E10151" t="s">
        <v>10</v>
      </c>
      <c r="F10151">
        <v>61.900001525878906</v>
      </c>
    </row>
    <row r="10152" spans="2:6">
      <c r="B10152">
        <v>2016</v>
      </c>
      <c r="C10152" t="s">
        <v>112</v>
      </c>
      <c r="D10152" t="s">
        <v>182</v>
      </c>
      <c r="E10152" t="s">
        <v>11</v>
      </c>
      <c r="F10152">
        <v>0.75974094867706299</v>
      </c>
    </row>
    <row r="10153" spans="2:6">
      <c r="B10153">
        <v>2016</v>
      </c>
      <c r="C10153" t="s">
        <v>112</v>
      </c>
      <c r="D10153" t="s">
        <v>182</v>
      </c>
      <c r="E10153" t="s">
        <v>12</v>
      </c>
      <c r="F10153">
        <v>8.9747495949268341E-2</v>
      </c>
    </row>
    <row r="10154" spans="2:6">
      <c r="B10154">
        <v>2016</v>
      </c>
      <c r="C10154" t="s">
        <v>112</v>
      </c>
      <c r="D10154" t="s">
        <v>182</v>
      </c>
      <c r="E10154" t="s">
        <v>13</v>
      </c>
      <c r="F10154">
        <v>0.9004521369934082</v>
      </c>
    </row>
    <row r="10155" spans="2:6">
      <c r="B10155">
        <v>2016</v>
      </c>
      <c r="C10155" t="s">
        <v>112</v>
      </c>
      <c r="D10155" t="s">
        <v>182</v>
      </c>
      <c r="E10155" t="s">
        <v>14</v>
      </c>
      <c r="F10155">
        <v>0.6940954327583313</v>
      </c>
    </row>
    <row r="10156" spans="2:6">
      <c r="B10156">
        <v>2016</v>
      </c>
      <c r="C10156" t="s">
        <v>112</v>
      </c>
      <c r="D10156" t="s">
        <v>182</v>
      </c>
      <c r="E10156" t="s">
        <v>15</v>
      </c>
      <c r="F10156">
        <v>0.17117175459861755</v>
      </c>
    </row>
    <row r="10157" spans="2:6">
      <c r="B10157">
        <v>2017</v>
      </c>
      <c r="C10157" t="s">
        <v>112</v>
      </c>
      <c r="D10157" t="s">
        <v>182</v>
      </c>
      <c r="E10157" t="s">
        <v>7</v>
      </c>
      <c r="F10157">
        <v>5.3338503837585449</v>
      </c>
    </row>
    <row r="10158" spans="2:6">
      <c r="B10158">
        <v>2017</v>
      </c>
      <c r="C10158" t="s">
        <v>112</v>
      </c>
      <c r="D10158" t="s">
        <v>182</v>
      </c>
      <c r="E10158" t="s">
        <v>8</v>
      </c>
      <c r="F10158">
        <v>9.3336009979248047</v>
      </c>
    </row>
    <row r="10159" spans="2:6">
      <c r="B10159">
        <v>2017</v>
      </c>
      <c r="C10159" t="s">
        <v>112</v>
      </c>
      <c r="D10159" t="s">
        <v>182</v>
      </c>
      <c r="E10159" t="s">
        <v>9</v>
      </c>
      <c r="F10159">
        <v>0.92425078153610229</v>
      </c>
    </row>
    <row r="10160" spans="2:6">
      <c r="B10160">
        <v>2017</v>
      </c>
      <c r="C10160" t="s">
        <v>112</v>
      </c>
      <c r="D10160" t="s">
        <v>182</v>
      </c>
      <c r="E10160" t="s">
        <v>10</v>
      </c>
      <c r="F10160">
        <v>62.099998474121094</v>
      </c>
    </row>
    <row r="10161" spans="2:6">
      <c r="B10161">
        <v>2017</v>
      </c>
      <c r="C10161" t="s">
        <v>112</v>
      </c>
      <c r="D10161" t="s">
        <v>182</v>
      </c>
      <c r="E10161" t="s">
        <v>11</v>
      </c>
      <c r="F10161">
        <v>0.67462742328643799</v>
      </c>
    </row>
    <row r="10162" spans="2:6">
      <c r="B10162">
        <v>2017</v>
      </c>
      <c r="C10162" t="s">
        <v>112</v>
      </c>
      <c r="D10162" t="s">
        <v>182</v>
      </c>
      <c r="E10162" t="s">
        <v>12</v>
      </c>
      <c r="F10162">
        <v>0.11865808069705963</v>
      </c>
    </row>
    <row r="10163" spans="2:6">
      <c r="B10163">
        <v>2017</v>
      </c>
      <c r="C10163" t="s">
        <v>112</v>
      </c>
      <c r="D10163" t="s">
        <v>182</v>
      </c>
      <c r="E10163" t="s">
        <v>13</v>
      </c>
      <c r="F10163">
        <v>0.8649522066116333</v>
      </c>
    </row>
    <row r="10164" spans="2:6">
      <c r="B10164">
        <v>2017</v>
      </c>
      <c r="C10164" t="s">
        <v>112</v>
      </c>
      <c r="D10164" t="s">
        <v>182</v>
      </c>
      <c r="E10164" t="s">
        <v>14</v>
      </c>
      <c r="F10164">
        <v>0.67516529560089111</v>
      </c>
    </row>
    <row r="10165" spans="2:6">
      <c r="B10165">
        <v>2017</v>
      </c>
      <c r="C10165" t="s">
        <v>112</v>
      </c>
      <c r="D10165" t="s">
        <v>182</v>
      </c>
      <c r="E10165" t="s">
        <v>15</v>
      </c>
      <c r="F10165">
        <v>0.21359951794147491</v>
      </c>
    </row>
    <row r="10166" spans="2:6">
      <c r="B10166">
        <v>2018</v>
      </c>
      <c r="C10166" t="s">
        <v>112</v>
      </c>
      <c r="D10166" t="s">
        <v>182</v>
      </c>
      <c r="E10166" t="s">
        <v>7</v>
      </c>
      <c r="F10166">
        <v>5.464622974395752</v>
      </c>
    </row>
    <row r="10167" spans="2:6">
      <c r="B10167">
        <v>2018</v>
      </c>
      <c r="C10167" t="s">
        <v>112</v>
      </c>
      <c r="D10167" t="s">
        <v>182</v>
      </c>
      <c r="E10167" t="s">
        <v>8</v>
      </c>
      <c r="F10167">
        <v>9.3856019973754883</v>
      </c>
    </row>
    <row r="10168" spans="2:6">
      <c r="B10168">
        <v>2018</v>
      </c>
      <c r="C10168" t="s">
        <v>112</v>
      </c>
      <c r="D10168" t="s">
        <v>182</v>
      </c>
      <c r="E10168" t="s">
        <v>9</v>
      </c>
      <c r="F10168">
        <v>0.94151413440704346</v>
      </c>
    </row>
    <row r="10169" spans="2:6">
      <c r="B10169">
        <v>2018</v>
      </c>
      <c r="C10169" t="s">
        <v>112</v>
      </c>
      <c r="D10169" t="s">
        <v>182</v>
      </c>
      <c r="E10169" t="s">
        <v>10</v>
      </c>
      <c r="F10169">
        <v>62.299999237060547</v>
      </c>
    </row>
    <row r="10170" spans="2:6">
      <c r="B10170">
        <v>2018</v>
      </c>
      <c r="C10170" t="s">
        <v>112</v>
      </c>
      <c r="D10170" t="s">
        <v>182</v>
      </c>
      <c r="E10170" t="s">
        <v>11</v>
      </c>
      <c r="F10170">
        <v>0.69554680585861206</v>
      </c>
    </row>
    <row r="10171" spans="2:6">
      <c r="B10171">
        <v>2018</v>
      </c>
      <c r="C10171" t="s">
        <v>112</v>
      </c>
      <c r="D10171" t="s">
        <v>182</v>
      </c>
      <c r="E10171" t="s">
        <v>12</v>
      </c>
      <c r="F10171">
        <v>5.394088476896286E-2</v>
      </c>
    </row>
    <row r="10172" spans="2:6">
      <c r="B10172">
        <v>2018</v>
      </c>
      <c r="C10172" t="s">
        <v>112</v>
      </c>
      <c r="D10172" t="s">
        <v>182</v>
      </c>
      <c r="E10172" t="s">
        <v>13</v>
      </c>
      <c r="F10172">
        <v>0.84850221872329712</v>
      </c>
    </row>
    <row r="10173" spans="2:6">
      <c r="B10173">
        <v>2018</v>
      </c>
      <c r="C10173" t="s">
        <v>112</v>
      </c>
      <c r="D10173" t="s">
        <v>182</v>
      </c>
      <c r="E10173" t="s">
        <v>14</v>
      </c>
      <c r="F10173">
        <v>0.65412503480911255</v>
      </c>
    </row>
    <row r="10174" spans="2:6">
      <c r="B10174">
        <v>2018</v>
      </c>
      <c r="C10174" t="s">
        <v>112</v>
      </c>
      <c r="D10174" t="s">
        <v>182</v>
      </c>
      <c r="E10174" t="s">
        <v>15</v>
      </c>
      <c r="F10174">
        <v>0.19189029932022095</v>
      </c>
    </row>
    <row r="10175" spans="2:6">
      <c r="B10175">
        <v>2019</v>
      </c>
      <c r="C10175" t="s">
        <v>112</v>
      </c>
      <c r="D10175" t="s">
        <v>182</v>
      </c>
      <c r="E10175" t="s">
        <v>7</v>
      </c>
      <c r="F10175">
        <v>5.5629053115844727</v>
      </c>
    </row>
    <row r="10176" spans="2:6">
      <c r="B10176">
        <v>2019</v>
      </c>
      <c r="C10176" t="s">
        <v>112</v>
      </c>
      <c r="D10176" t="s">
        <v>182</v>
      </c>
      <c r="E10176" t="s">
        <v>8</v>
      </c>
      <c r="F10176">
        <v>9.4181489944458008</v>
      </c>
    </row>
    <row r="10177" spans="2:6">
      <c r="B10177">
        <v>2019</v>
      </c>
      <c r="C10177" t="s">
        <v>112</v>
      </c>
      <c r="D10177" t="s">
        <v>182</v>
      </c>
      <c r="E10177" t="s">
        <v>9</v>
      </c>
      <c r="F10177">
        <v>0.94575810432434082</v>
      </c>
    </row>
    <row r="10178" spans="2:6">
      <c r="B10178">
        <v>2019</v>
      </c>
      <c r="C10178" t="s">
        <v>112</v>
      </c>
      <c r="D10178" t="s">
        <v>182</v>
      </c>
      <c r="E10178" t="s">
        <v>10</v>
      </c>
      <c r="F10178">
        <v>62.5</v>
      </c>
    </row>
    <row r="10179" spans="2:6">
      <c r="B10179">
        <v>2019</v>
      </c>
      <c r="C10179" t="s">
        <v>112</v>
      </c>
      <c r="D10179" t="s">
        <v>182</v>
      </c>
      <c r="E10179" t="s">
        <v>11</v>
      </c>
      <c r="F10179">
        <v>0.71067517995834351</v>
      </c>
    </row>
    <row r="10180" spans="2:6">
      <c r="B10180">
        <v>2019</v>
      </c>
      <c r="C10180" t="s">
        <v>112</v>
      </c>
      <c r="D10180" t="s">
        <v>182</v>
      </c>
      <c r="E10180" t="s">
        <v>12</v>
      </c>
      <c r="F10180">
        <v>0.14891226589679718</v>
      </c>
    </row>
    <row r="10181" spans="2:6">
      <c r="B10181">
        <v>2019</v>
      </c>
      <c r="C10181" t="s">
        <v>112</v>
      </c>
      <c r="D10181" t="s">
        <v>182</v>
      </c>
      <c r="E10181" t="s">
        <v>13</v>
      </c>
      <c r="F10181">
        <v>0.87316691875457764</v>
      </c>
    </row>
    <row r="10182" spans="2:6">
      <c r="B10182">
        <v>2019</v>
      </c>
      <c r="C10182" t="s">
        <v>112</v>
      </c>
      <c r="D10182" t="s">
        <v>182</v>
      </c>
      <c r="E10182" t="s">
        <v>14</v>
      </c>
      <c r="F10182">
        <v>0.70743429660797119</v>
      </c>
    </row>
    <row r="10183" spans="2:6">
      <c r="B10183">
        <v>2019</v>
      </c>
      <c r="C10183" t="s">
        <v>112</v>
      </c>
      <c r="D10183" t="s">
        <v>182</v>
      </c>
      <c r="E10183" t="s">
        <v>15</v>
      </c>
      <c r="F10183">
        <v>0.16692139208316803</v>
      </c>
    </row>
    <row r="10184" spans="2:6">
      <c r="B10184">
        <v>2020</v>
      </c>
      <c r="C10184" t="s">
        <v>112</v>
      </c>
      <c r="D10184" t="s">
        <v>182</v>
      </c>
      <c r="E10184" t="s">
        <v>7</v>
      </c>
      <c r="F10184">
        <v>6.0113649368286133</v>
      </c>
    </row>
    <row r="10185" spans="2:6">
      <c r="B10185">
        <v>2020</v>
      </c>
      <c r="C10185" t="s">
        <v>112</v>
      </c>
      <c r="D10185" t="s">
        <v>182</v>
      </c>
      <c r="E10185" t="s">
        <v>8</v>
      </c>
      <c r="F10185">
        <v>9.3955593109130859</v>
      </c>
    </row>
    <row r="10186" spans="2:6">
      <c r="B10186">
        <v>2020</v>
      </c>
      <c r="C10186" t="s">
        <v>112</v>
      </c>
      <c r="D10186" t="s">
        <v>182</v>
      </c>
      <c r="E10186" t="s">
        <v>9</v>
      </c>
      <c r="F10186">
        <v>0.91778916120529175</v>
      </c>
    </row>
    <row r="10187" spans="2:6">
      <c r="B10187">
        <v>2020</v>
      </c>
      <c r="C10187" t="s">
        <v>112</v>
      </c>
      <c r="D10187" t="s">
        <v>182</v>
      </c>
      <c r="E10187" t="s">
        <v>10</v>
      </c>
      <c r="F10187">
        <v>62.700000762939453</v>
      </c>
    </row>
    <row r="10188" spans="2:6">
      <c r="B10188">
        <v>2020</v>
      </c>
      <c r="C10188" t="s">
        <v>112</v>
      </c>
      <c r="D10188" t="s">
        <v>182</v>
      </c>
      <c r="E10188" t="s">
        <v>11</v>
      </c>
      <c r="F10188">
        <v>0.71849101781845093</v>
      </c>
    </row>
    <row r="10189" spans="2:6">
      <c r="B10189">
        <v>2020</v>
      </c>
      <c r="C10189" t="s">
        <v>112</v>
      </c>
      <c r="D10189" t="s">
        <v>182</v>
      </c>
      <c r="E10189" t="s">
        <v>12</v>
      </c>
      <c r="F10189">
        <v>0.14135745167732239</v>
      </c>
    </row>
    <row r="10190" spans="2:6">
      <c r="B10190">
        <v>2020</v>
      </c>
      <c r="C10190" t="s">
        <v>112</v>
      </c>
      <c r="D10190" t="s">
        <v>182</v>
      </c>
      <c r="E10190" t="s">
        <v>13</v>
      </c>
      <c r="F10190">
        <v>0.84282767772674561</v>
      </c>
    </row>
    <row r="10191" spans="2:6">
      <c r="B10191">
        <v>2020</v>
      </c>
      <c r="C10191" t="s">
        <v>112</v>
      </c>
      <c r="D10191" t="s">
        <v>182</v>
      </c>
      <c r="E10191" t="s">
        <v>14</v>
      </c>
      <c r="F10191">
        <v>0.63644349575042725</v>
      </c>
    </row>
    <row r="10192" spans="2:6">
      <c r="B10192">
        <v>2020</v>
      </c>
      <c r="C10192" t="s">
        <v>112</v>
      </c>
      <c r="D10192" t="s">
        <v>182</v>
      </c>
      <c r="E10192" t="s">
        <v>15</v>
      </c>
      <c r="F10192">
        <v>0.25998303294181824</v>
      </c>
    </row>
    <row r="10193" spans="2:6">
      <c r="B10193">
        <v>2007</v>
      </c>
      <c r="C10193" t="s">
        <v>113</v>
      </c>
      <c r="D10193" t="s">
        <v>183</v>
      </c>
      <c r="E10193" t="s">
        <v>7</v>
      </c>
      <c r="F10193">
        <v>5.1963152885437012</v>
      </c>
    </row>
    <row r="10194" spans="2:6">
      <c r="B10194">
        <v>2007</v>
      </c>
      <c r="C10194" t="s">
        <v>113</v>
      </c>
      <c r="D10194" t="s">
        <v>183</v>
      </c>
      <c r="E10194" t="s">
        <v>8</v>
      </c>
      <c r="F10194">
        <v>9.6929378509521484</v>
      </c>
    </row>
    <row r="10195" spans="2:6">
      <c r="B10195">
        <v>2007</v>
      </c>
      <c r="C10195" t="s">
        <v>113</v>
      </c>
      <c r="D10195" t="s">
        <v>183</v>
      </c>
      <c r="E10195" t="s">
        <v>9</v>
      </c>
      <c r="F10195">
        <v>0.8318406343460083</v>
      </c>
    </row>
    <row r="10196" spans="2:6">
      <c r="B10196">
        <v>2007</v>
      </c>
      <c r="C10196" t="s">
        <v>113</v>
      </c>
      <c r="D10196" t="s">
        <v>183</v>
      </c>
      <c r="E10196" t="s">
        <v>10</v>
      </c>
      <c r="F10196">
        <v>66.199996948242188</v>
      </c>
    </row>
    <row r="10197" spans="2:6">
      <c r="B10197">
        <v>2007</v>
      </c>
      <c r="C10197" t="s">
        <v>113</v>
      </c>
      <c r="D10197" t="s">
        <v>183</v>
      </c>
      <c r="E10197" t="s">
        <v>11</v>
      </c>
      <c r="F10197">
        <v>0.51206725835800171</v>
      </c>
    </row>
    <row r="10198" spans="2:6">
      <c r="B10198">
        <v>2007</v>
      </c>
      <c r="C10198" t="s">
        <v>113</v>
      </c>
      <c r="D10198" t="s">
        <v>183</v>
      </c>
      <c r="E10198" t="s">
        <v>12</v>
      </c>
      <c r="F10198">
        <v>-0.13358087837696075</v>
      </c>
    </row>
    <row r="10199" spans="2:6">
      <c r="B10199">
        <v>2007</v>
      </c>
      <c r="C10199" t="s">
        <v>113</v>
      </c>
      <c r="D10199" t="s">
        <v>183</v>
      </c>
      <c r="E10199" t="s">
        <v>13</v>
      </c>
      <c r="F10199">
        <v>0.81456780433654785</v>
      </c>
    </row>
    <row r="10200" spans="2:6">
      <c r="B10200">
        <v>2007</v>
      </c>
      <c r="C10200" t="s">
        <v>113</v>
      </c>
      <c r="D10200" t="s">
        <v>183</v>
      </c>
      <c r="E10200" t="s">
        <v>14</v>
      </c>
      <c r="F10200">
        <v>0.57893800735473633</v>
      </c>
    </row>
    <row r="10201" spans="2:6">
      <c r="B10201">
        <v>2007</v>
      </c>
      <c r="C10201" t="s">
        <v>113</v>
      </c>
      <c r="D10201" t="s">
        <v>183</v>
      </c>
      <c r="E10201" t="s">
        <v>15</v>
      </c>
      <c r="F10201">
        <v>0.33985087275505066</v>
      </c>
    </row>
    <row r="10202" spans="2:6">
      <c r="B10202">
        <v>2009</v>
      </c>
      <c r="C10202" t="s">
        <v>113</v>
      </c>
      <c r="D10202" t="s">
        <v>183</v>
      </c>
      <c r="E10202" t="s">
        <v>7</v>
      </c>
      <c r="F10202">
        <v>4.8010601997375488</v>
      </c>
    </row>
    <row r="10203" spans="2:6">
      <c r="B10203">
        <v>2009</v>
      </c>
      <c r="C10203" t="s">
        <v>113</v>
      </c>
      <c r="D10203" t="s">
        <v>183</v>
      </c>
      <c r="E10203" t="s">
        <v>8</v>
      </c>
      <c r="F10203">
        <v>9.6990575790405273</v>
      </c>
    </row>
    <row r="10204" spans="2:6">
      <c r="B10204">
        <v>2009</v>
      </c>
      <c r="C10204" t="s">
        <v>113</v>
      </c>
      <c r="D10204" t="s">
        <v>183</v>
      </c>
      <c r="E10204" t="s">
        <v>9</v>
      </c>
      <c r="F10204">
        <v>0.81598418951034546</v>
      </c>
    </row>
    <row r="10205" spans="2:6">
      <c r="B10205">
        <v>2009</v>
      </c>
      <c r="C10205" t="s">
        <v>113</v>
      </c>
      <c r="D10205" t="s">
        <v>183</v>
      </c>
      <c r="E10205" t="s">
        <v>10</v>
      </c>
      <c r="F10205">
        <v>66.800003051757813</v>
      </c>
    </row>
    <row r="10206" spans="2:6">
      <c r="B10206">
        <v>2009</v>
      </c>
      <c r="C10206" t="s">
        <v>113</v>
      </c>
      <c r="D10206" t="s">
        <v>183</v>
      </c>
      <c r="E10206" t="s">
        <v>11</v>
      </c>
      <c r="F10206">
        <v>0.55636554956436157</v>
      </c>
    </row>
    <row r="10207" spans="2:6">
      <c r="B10207">
        <v>2009</v>
      </c>
      <c r="C10207" t="s">
        <v>113</v>
      </c>
      <c r="D10207" t="s">
        <v>183</v>
      </c>
      <c r="E10207" t="s">
        <v>12</v>
      </c>
      <c r="F10207">
        <v>-0.10129358619451523</v>
      </c>
    </row>
    <row r="10208" spans="2:6">
      <c r="B10208">
        <v>2009</v>
      </c>
      <c r="C10208" t="s">
        <v>113</v>
      </c>
      <c r="D10208" t="s">
        <v>183</v>
      </c>
      <c r="E10208" t="s">
        <v>13</v>
      </c>
      <c r="F10208">
        <v>0.83848565816879272</v>
      </c>
    </row>
    <row r="10209" spans="2:6">
      <c r="B10209">
        <v>2009</v>
      </c>
      <c r="C10209" t="s">
        <v>113</v>
      </c>
      <c r="D10209" t="s">
        <v>183</v>
      </c>
      <c r="E10209" t="s">
        <v>14</v>
      </c>
      <c r="F10209">
        <v>0.62321102619171143</v>
      </c>
    </row>
    <row r="10210" spans="2:6">
      <c r="B10210">
        <v>2009</v>
      </c>
      <c r="C10210" t="s">
        <v>113</v>
      </c>
      <c r="D10210" t="s">
        <v>183</v>
      </c>
      <c r="E10210" t="s">
        <v>15</v>
      </c>
      <c r="F10210">
        <v>0.42273992300033569</v>
      </c>
    </row>
    <row r="10211" spans="2:6">
      <c r="B10211">
        <v>2010</v>
      </c>
      <c r="C10211" t="s">
        <v>113</v>
      </c>
      <c r="D10211" t="s">
        <v>183</v>
      </c>
      <c r="E10211" t="s">
        <v>7</v>
      </c>
      <c r="F10211">
        <v>5.4550304412841797</v>
      </c>
    </row>
    <row r="10212" spans="2:6">
      <c r="B10212">
        <v>2010</v>
      </c>
      <c r="C10212" t="s">
        <v>113</v>
      </c>
      <c r="D10212" t="s">
        <v>183</v>
      </c>
      <c r="E10212" t="s">
        <v>8</v>
      </c>
      <c r="F10212">
        <v>9.7242021560668945</v>
      </c>
    </row>
    <row r="10213" spans="2:6">
      <c r="B10213">
        <v>2010</v>
      </c>
      <c r="C10213" t="s">
        <v>113</v>
      </c>
      <c r="D10213" t="s">
        <v>183</v>
      </c>
      <c r="E10213" t="s">
        <v>9</v>
      </c>
      <c r="F10213">
        <v>0.80454933643341064</v>
      </c>
    </row>
    <row r="10214" spans="2:6">
      <c r="B10214">
        <v>2010</v>
      </c>
      <c r="C10214" t="s">
        <v>113</v>
      </c>
      <c r="D10214" t="s">
        <v>183</v>
      </c>
      <c r="E10214" t="s">
        <v>10</v>
      </c>
      <c r="F10214">
        <v>67.099998474121094</v>
      </c>
    </row>
    <row r="10215" spans="2:6">
      <c r="B10215">
        <v>2010</v>
      </c>
      <c r="C10215" t="s">
        <v>113</v>
      </c>
      <c r="D10215" t="s">
        <v>183</v>
      </c>
      <c r="E10215" t="s">
        <v>11</v>
      </c>
      <c r="F10215">
        <v>0.55210369825363159</v>
      </c>
    </row>
    <row r="10216" spans="2:6">
      <c r="B10216">
        <v>2010</v>
      </c>
      <c r="C10216" t="s">
        <v>113</v>
      </c>
      <c r="D10216" t="s">
        <v>183</v>
      </c>
      <c r="E10216" t="s">
        <v>12</v>
      </c>
      <c r="F10216">
        <v>-0.20627330243587494</v>
      </c>
    </row>
    <row r="10217" spans="2:6">
      <c r="B10217">
        <v>2010</v>
      </c>
      <c r="C10217" t="s">
        <v>113</v>
      </c>
      <c r="D10217" t="s">
        <v>183</v>
      </c>
      <c r="E10217" t="s">
        <v>13</v>
      </c>
      <c r="F10217">
        <v>0.75720721483230591</v>
      </c>
    </row>
    <row r="10218" spans="2:6">
      <c r="B10218">
        <v>2010</v>
      </c>
      <c r="C10218" t="s">
        <v>113</v>
      </c>
      <c r="D10218" t="s">
        <v>183</v>
      </c>
      <c r="E10218" t="s">
        <v>14</v>
      </c>
      <c r="F10218">
        <v>0.59465903043746948</v>
      </c>
    </row>
    <row r="10219" spans="2:6">
      <c r="B10219">
        <v>2010</v>
      </c>
      <c r="C10219" t="s">
        <v>113</v>
      </c>
      <c r="D10219" t="s">
        <v>183</v>
      </c>
      <c r="E10219" t="s">
        <v>15</v>
      </c>
      <c r="F10219">
        <v>0.41030210256576538</v>
      </c>
    </row>
    <row r="10220" spans="2:6">
      <c r="B10220">
        <v>2011</v>
      </c>
      <c r="C10220" t="s">
        <v>113</v>
      </c>
      <c r="D10220" t="s">
        <v>183</v>
      </c>
      <c r="E10220" t="s">
        <v>7</v>
      </c>
      <c r="F10220">
        <v>5.2231168746948242</v>
      </c>
    </row>
    <row r="10221" spans="2:6">
      <c r="B10221">
        <v>2011</v>
      </c>
      <c r="C10221" t="s">
        <v>113</v>
      </c>
      <c r="D10221" t="s">
        <v>183</v>
      </c>
      <c r="E10221" t="s">
        <v>8</v>
      </c>
      <c r="F10221">
        <v>9.7549257278442383</v>
      </c>
    </row>
    <row r="10222" spans="2:6">
      <c r="B10222">
        <v>2011</v>
      </c>
      <c r="C10222" t="s">
        <v>113</v>
      </c>
      <c r="D10222" t="s">
        <v>183</v>
      </c>
      <c r="E10222" t="s">
        <v>9</v>
      </c>
      <c r="F10222">
        <v>0.81763154268264771</v>
      </c>
    </row>
    <row r="10223" spans="2:6">
      <c r="B10223">
        <v>2011</v>
      </c>
      <c r="C10223" t="s">
        <v>113</v>
      </c>
      <c r="D10223" t="s">
        <v>183</v>
      </c>
      <c r="E10223" t="s">
        <v>10</v>
      </c>
      <c r="F10223">
        <v>67.260002136230469</v>
      </c>
    </row>
    <row r="10224" spans="2:6">
      <c r="B10224">
        <v>2011</v>
      </c>
      <c r="C10224" t="s">
        <v>113</v>
      </c>
      <c r="D10224" t="s">
        <v>183</v>
      </c>
      <c r="E10224" t="s">
        <v>11</v>
      </c>
      <c r="F10224">
        <v>0.54608136415481567</v>
      </c>
    </row>
    <row r="10225" spans="2:6">
      <c r="B10225">
        <v>2011</v>
      </c>
      <c r="C10225" t="s">
        <v>113</v>
      </c>
      <c r="D10225" t="s">
        <v>183</v>
      </c>
      <c r="E10225" t="s">
        <v>12</v>
      </c>
      <c r="F10225">
        <v>-0.22596266865730286</v>
      </c>
    </row>
    <row r="10226" spans="2:6">
      <c r="B10226">
        <v>2011</v>
      </c>
      <c r="C10226" t="s">
        <v>113</v>
      </c>
      <c r="D10226" t="s">
        <v>183</v>
      </c>
      <c r="E10226" t="s">
        <v>13</v>
      </c>
      <c r="F10226">
        <v>0.76238352060317993</v>
      </c>
    </row>
    <row r="10227" spans="2:6">
      <c r="B10227">
        <v>2011</v>
      </c>
      <c r="C10227" t="s">
        <v>113</v>
      </c>
      <c r="D10227" t="s">
        <v>183</v>
      </c>
      <c r="E10227" t="s">
        <v>14</v>
      </c>
      <c r="F10227">
        <v>0.60276079177856445</v>
      </c>
    </row>
    <row r="10228" spans="2:6">
      <c r="B10228">
        <v>2011</v>
      </c>
      <c r="C10228" t="s">
        <v>113</v>
      </c>
      <c r="D10228" t="s">
        <v>183</v>
      </c>
      <c r="E10228" t="s">
        <v>15</v>
      </c>
      <c r="F10228">
        <v>0.37812000513076782</v>
      </c>
    </row>
    <row r="10229" spans="2:6">
      <c r="B10229">
        <v>2012</v>
      </c>
      <c r="C10229" t="s">
        <v>113</v>
      </c>
      <c r="D10229" t="s">
        <v>183</v>
      </c>
      <c r="E10229" t="s">
        <v>7</v>
      </c>
      <c r="F10229">
        <v>5.218724250793457</v>
      </c>
    </row>
    <row r="10230" spans="2:6">
      <c r="B10230">
        <v>2012</v>
      </c>
      <c r="C10230" t="s">
        <v>113</v>
      </c>
      <c r="D10230" t="s">
        <v>183</v>
      </c>
      <c r="E10230" t="s">
        <v>8</v>
      </c>
      <c r="F10230">
        <v>9.7264680862426758</v>
      </c>
    </row>
    <row r="10231" spans="2:6">
      <c r="B10231">
        <v>2012</v>
      </c>
      <c r="C10231" t="s">
        <v>113</v>
      </c>
      <c r="D10231" t="s">
        <v>183</v>
      </c>
      <c r="E10231" t="s">
        <v>9</v>
      </c>
      <c r="F10231">
        <v>0.7040327787399292</v>
      </c>
    </row>
    <row r="10232" spans="2:6">
      <c r="B10232">
        <v>2012</v>
      </c>
      <c r="C10232" t="s">
        <v>113</v>
      </c>
      <c r="D10232" t="s">
        <v>183</v>
      </c>
      <c r="E10232" t="s">
        <v>10</v>
      </c>
      <c r="F10232">
        <v>67.419998168945313</v>
      </c>
    </row>
    <row r="10233" spans="2:6">
      <c r="B10233">
        <v>2012</v>
      </c>
      <c r="C10233" t="s">
        <v>113</v>
      </c>
      <c r="D10233" t="s">
        <v>183</v>
      </c>
      <c r="E10233" t="s">
        <v>11</v>
      </c>
      <c r="F10233">
        <v>0.46170637011528015</v>
      </c>
    </row>
    <row r="10234" spans="2:6">
      <c r="B10234">
        <v>2012</v>
      </c>
      <c r="C10234" t="s">
        <v>113</v>
      </c>
      <c r="D10234" t="s">
        <v>183</v>
      </c>
      <c r="E10234" t="s">
        <v>12</v>
      </c>
      <c r="F10234">
        <v>-0.19234776496887207</v>
      </c>
    </row>
    <row r="10235" spans="2:6">
      <c r="B10235">
        <v>2012</v>
      </c>
      <c r="C10235" t="s">
        <v>113</v>
      </c>
      <c r="D10235" t="s">
        <v>183</v>
      </c>
      <c r="E10235" t="s">
        <v>13</v>
      </c>
      <c r="F10235">
        <v>0.75505971908569336</v>
      </c>
    </row>
    <row r="10236" spans="2:6">
      <c r="B10236">
        <v>2012</v>
      </c>
      <c r="C10236" t="s">
        <v>113</v>
      </c>
      <c r="D10236" t="s">
        <v>183</v>
      </c>
      <c r="E10236" t="s">
        <v>14</v>
      </c>
      <c r="F10236">
        <v>0.57361048460006714</v>
      </c>
    </row>
    <row r="10237" spans="2:6">
      <c r="B10237">
        <v>2012</v>
      </c>
      <c r="C10237" t="s">
        <v>113</v>
      </c>
      <c r="D10237" t="s">
        <v>183</v>
      </c>
      <c r="E10237" t="s">
        <v>15</v>
      </c>
      <c r="F10237">
        <v>0.37928134202957153</v>
      </c>
    </row>
    <row r="10238" spans="2:6">
      <c r="B10238">
        <v>2013</v>
      </c>
      <c r="C10238" t="s">
        <v>113</v>
      </c>
      <c r="D10238" t="s">
        <v>183</v>
      </c>
      <c r="E10238" t="s">
        <v>7</v>
      </c>
      <c r="F10238">
        <v>5.0743417739868164</v>
      </c>
    </row>
    <row r="10239" spans="2:6">
      <c r="B10239">
        <v>2013</v>
      </c>
      <c r="C10239" t="s">
        <v>113</v>
      </c>
      <c r="D10239" t="s">
        <v>183</v>
      </c>
      <c r="E10239" t="s">
        <v>8</v>
      </c>
      <c r="F10239">
        <v>9.7603664398193359</v>
      </c>
    </row>
    <row r="10240" spans="2:6">
      <c r="B10240">
        <v>2013</v>
      </c>
      <c r="C10240" t="s">
        <v>113</v>
      </c>
      <c r="D10240" t="s">
        <v>183</v>
      </c>
      <c r="E10240" t="s">
        <v>9</v>
      </c>
      <c r="F10240">
        <v>0.735565185546875</v>
      </c>
    </row>
    <row r="10241" spans="2:6">
      <c r="B10241">
        <v>2013</v>
      </c>
      <c r="C10241" t="s">
        <v>113</v>
      </c>
      <c r="D10241" t="s">
        <v>183</v>
      </c>
      <c r="E10241" t="s">
        <v>10</v>
      </c>
      <c r="F10241">
        <v>67.580001831054688</v>
      </c>
    </row>
    <row r="10242" spans="2:6">
      <c r="B10242">
        <v>2013</v>
      </c>
      <c r="C10242" t="s">
        <v>113</v>
      </c>
      <c r="D10242" t="s">
        <v>183</v>
      </c>
      <c r="E10242" t="s">
        <v>11</v>
      </c>
      <c r="F10242">
        <v>0.50226497650146484</v>
      </c>
    </row>
    <row r="10243" spans="2:6">
      <c r="B10243">
        <v>2013</v>
      </c>
      <c r="C10243" t="s">
        <v>113</v>
      </c>
      <c r="D10243" t="s">
        <v>183</v>
      </c>
      <c r="E10243" t="s">
        <v>12</v>
      </c>
      <c r="F10243">
        <v>-0.1758386492729187</v>
      </c>
    </row>
    <row r="10244" spans="2:6">
      <c r="B10244">
        <v>2013</v>
      </c>
      <c r="C10244" t="s">
        <v>113</v>
      </c>
      <c r="D10244" t="s">
        <v>183</v>
      </c>
      <c r="E10244" t="s">
        <v>13</v>
      </c>
      <c r="F10244">
        <v>0.69337213039398193</v>
      </c>
    </row>
    <row r="10245" spans="2:6">
      <c r="B10245">
        <v>2013</v>
      </c>
      <c r="C10245" t="s">
        <v>113</v>
      </c>
      <c r="D10245" t="s">
        <v>183</v>
      </c>
      <c r="E10245" t="s">
        <v>14</v>
      </c>
      <c r="F10245">
        <v>0.53898036479949951</v>
      </c>
    </row>
    <row r="10246" spans="2:6">
      <c r="B10246">
        <v>2013</v>
      </c>
      <c r="C10246" t="s">
        <v>113</v>
      </c>
      <c r="D10246" t="s">
        <v>183</v>
      </c>
      <c r="E10246" t="s">
        <v>15</v>
      </c>
      <c r="F10246">
        <v>0.33108171820640564</v>
      </c>
    </row>
    <row r="10247" spans="2:6">
      <c r="B10247">
        <v>2014</v>
      </c>
      <c r="C10247" t="s">
        <v>113</v>
      </c>
      <c r="D10247" t="s">
        <v>183</v>
      </c>
      <c r="E10247" t="s">
        <v>7</v>
      </c>
      <c r="F10247">
        <v>5.2827205657958984</v>
      </c>
    </row>
    <row r="10248" spans="2:6">
      <c r="B10248">
        <v>2014</v>
      </c>
      <c r="C10248" t="s">
        <v>113</v>
      </c>
      <c r="D10248" t="s">
        <v>183</v>
      </c>
      <c r="E10248" t="s">
        <v>8</v>
      </c>
      <c r="F10248">
        <v>9.7770767211914063</v>
      </c>
    </row>
    <row r="10249" spans="2:6">
      <c r="B10249">
        <v>2014</v>
      </c>
      <c r="C10249" t="s">
        <v>113</v>
      </c>
      <c r="D10249" t="s">
        <v>183</v>
      </c>
      <c r="E10249" t="s">
        <v>9</v>
      </c>
      <c r="F10249">
        <v>0.86293035745620728</v>
      </c>
    </row>
    <row r="10250" spans="2:6">
      <c r="B10250">
        <v>2014</v>
      </c>
      <c r="C10250" t="s">
        <v>113</v>
      </c>
      <c r="D10250" t="s">
        <v>183</v>
      </c>
      <c r="E10250" t="s">
        <v>10</v>
      </c>
      <c r="F10250">
        <v>67.739997863769531</v>
      </c>
    </row>
    <row r="10251" spans="2:6">
      <c r="B10251">
        <v>2014</v>
      </c>
      <c r="C10251" t="s">
        <v>113</v>
      </c>
      <c r="D10251" t="s">
        <v>183</v>
      </c>
      <c r="E10251" t="s">
        <v>11</v>
      </c>
      <c r="F10251">
        <v>0.50266551971435547</v>
      </c>
    </row>
    <row r="10252" spans="2:6">
      <c r="B10252">
        <v>2014</v>
      </c>
      <c r="C10252" t="s">
        <v>113</v>
      </c>
      <c r="D10252" t="s">
        <v>183</v>
      </c>
      <c r="E10252" t="s">
        <v>12</v>
      </c>
      <c r="F10252">
        <v>9.6592478454113007E-2</v>
      </c>
    </row>
    <row r="10253" spans="2:6">
      <c r="B10253">
        <v>2014</v>
      </c>
      <c r="C10253" t="s">
        <v>113</v>
      </c>
      <c r="D10253" t="s">
        <v>183</v>
      </c>
      <c r="E10253" t="s">
        <v>13</v>
      </c>
      <c r="F10253">
        <v>0.76846551895141602</v>
      </c>
    </row>
    <row r="10254" spans="2:6">
      <c r="B10254">
        <v>2014</v>
      </c>
      <c r="C10254" t="s">
        <v>113</v>
      </c>
      <c r="D10254" t="s">
        <v>183</v>
      </c>
      <c r="E10254" t="s">
        <v>14</v>
      </c>
      <c r="F10254">
        <v>0.58744204044342041</v>
      </c>
    </row>
    <row r="10255" spans="2:6">
      <c r="B10255">
        <v>2014</v>
      </c>
      <c r="C10255" t="s">
        <v>113</v>
      </c>
      <c r="D10255" t="s">
        <v>183</v>
      </c>
      <c r="E10255" t="s">
        <v>15</v>
      </c>
      <c r="F10255">
        <v>0.36764675378799438</v>
      </c>
    </row>
    <row r="10256" spans="2:6">
      <c r="B10256">
        <v>2015</v>
      </c>
      <c r="C10256" t="s">
        <v>113</v>
      </c>
      <c r="D10256" t="s">
        <v>183</v>
      </c>
      <c r="E10256" t="s">
        <v>7</v>
      </c>
      <c r="F10256">
        <v>5.1249213218688965</v>
      </c>
    </row>
    <row r="10257" spans="2:6">
      <c r="B10257">
        <v>2015</v>
      </c>
      <c r="C10257" t="s">
        <v>113</v>
      </c>
      <c r="D10257" t="s">
        <v>183</v>
      </c>
      <c r="E10257" t="s">
        <v>8</v>
      </c>
      <c r="F10257">
        <v>9.8098573684692383</v>
      </c>
    </row>
    <row r="10258" spans="2:6">
      <c r="B10258">
        <v>2015</v>
      </c>
      <c r="C10258" t="s">
        <v>113</v>
      </c>
      <c r="D10258" t="s">
        <v>183</v>
      </c>
      <c r="E10258" t="s">
        <v>9</v>
      </c>
      <c r="F10258">
        <v>0.73963052034378052</v>
      </c>
    </row>
    <row r="10259" spans="2:6">
      <c r="B10259">
        <v>2015</v>
      </c>
      <c r="C10259" t="s">
        <v>113</v>
      </c>
      <c r="D10259" t="s">
        <v>183</v>
      </c>
      <c r="E10259" t="s">
        <v>10</v>
      </c>
      <c r="F10259">
        <v>67.900001525878906</v>
      </c>
    </row>
    <row r="10260" spans="2:6">
      <c r="B10260">
        <v>2015</v>
      </c>
      <c r="C10260" t="s">
        <v>113</v>
      </c>
      <c r="D10260" t="s">
        <v>183</v>
      </c>
      <c r="E10260" t="s">
        <v>11</v>
      </c>
      <c r="F10260">
        <v>0.5833173394203186</v>
      </c>
    </row>
    <row r="10261" spans="2:6">
      <c r="B10261">
        <v>2015</v>
      </c>
      <c r="C10261" t="s">
        <v>113</v>
      </c>
      <c r="D10261" t="s">
        <v>183</v>
      </c>
      <c r="E10261" t="s">
        <v>12</v>
      </c>
      <c r="F10261">
        <v>-0.14398890733718872</v>
      </c>
    </row>
    <row r="10262" spans="2:6">
      <c r="B10262">
        <v>2015</v>
      </c>
      <c r="C10262" t="s">
        <v>113</v>
      </c>
      <c r="D10262" t="s">
        <v>183</v>
      </c>
      <c r="E10262" t="s">
        <v>13</v>
      </c>
      <c r="F10262">
        <v>0.78123259544372559</v>
      </c>
    </row>
    <row r="10263" spans="2:6">
      <c r="B10263">
        <v>2015</v>
      </c>
      <c r="C10263" t="s">
        <v>113</v>
      </c>
      <c r="D10263" t="s">
        <v>183</v>
      </c>
      <c r="E10263" t="s">
        <v>14</v>
      </c>
      <c r="F10263">
        <v>0.58031415939331055</v>
      </c>
    </row>
    <row r="10264" spans="2:6">
      <c r="B10264">
        <v>2015</v>
      </c>
      <c r="C10264" t="s">
        <v>113</v>
      </c>
      <c r="D10264" t="s">
        <v>183</v>
      </c>
      <c r="E10264" t="s">
        <v>15</v>
      </c>
      <c r="F10264">
        <v>0.33723944425582886</v>
      </c>
    </row>
    <row r="10265" spans="2:6">
      <c r="B10265">
        <v>2016</v>
      </c>
      <c r="C10265" t="s">
        <v>113</v>
      </c>
      <c r="D10265" t="s">
        <v>183</v>
      </c>
      <c r="E10265" t="s">
        <v>7</v>
      </c>
      <c r="F10265">
        <v>5.3040661811828613</v>
      </c>
    </row>
    <row r="10266" spans="2:6">
      <c r="B10266">
        <v>2016</v>
      </c>
      <c r="C10266" t="s">
        <v>113</v>
      </c>
      <c r="D10266" t="s">
        <v>183</v>
      </c>
      <c r="E10266" t="s">
        <v>8</v>
      </c>
      <c r="F10266">
        <v>9.8386917114257813</v>
      </c>
    </row>
    <row r="10267" spans="2:6">
      <c r="B10267">
        <v>2016</v>
      </c>
      <c r="C10267" t="s">
        <v>113</v>
      </c>
      <c r="D10267" t="s">
        <v>183</v>
      </c>
      <c r="E10267" t="s">
        <v>9</v>
      </c>
      <c r="F10267">
        <v>0.86574369668960571</v>
      </c>
    </row>
    <row r="10268" spans="2:6">
      <c r="B10268">
        <v>2016</v>
      </c>
      <c r="C10268" t="s">
        <v>113</v>
      </c>
      <c r="D10268" t="s">
        <v>183</v>
      </c>
      <c r="E10268" t="s">
        <v>10</v>
      </c>
      <c r="F10268">
        <v>68.099998474121094</v>
      </c>
    </row>
    <row r="10269" spans="2:6">
      <c r="B10269">
        <v>2016</v>
      </c>
      <c r="C10269" t="s">
        <v>113</v>
      </c>
      <c r="D10269" t="s">
        <v>183</v>
      </c>
      <c r="E10269" t="s">
        <v>11</v>
      </c>
      <c r="F10269">
        <v>0.56863367557525635</v>
      </c>
    </row>
    <row r="10270" spans="2:6">
      <c r="B10270">
        <v>2016</v>
      </c>
      <c r="C10270" t="s">
        <v>113</v>
      </c>
      <c r="D10270" t="s">
        <v>183</v>
      </c>
      <c r="E10270" t="s">
        <v>12</v>
      </c>
      <c r="F10270">
        <v>-8.7417080998420715E-2</v>
      </c>
    </row>
    <row r="10271" spans="2:6">
      <c r="B10271">
        <v>2016</v>
      </c>
      <c r="C10271" t="s">
        <v>113</v>
      </c>
      <c r="D10271" t="s">
        <v>183</v>
      </c>
      <c r="E10271" t="s">
        <v>13</v>
      </c>
      <c r="F10271">
        <v>0.84896659851074219</v>
      </c>
    </row>
    <row r="10272" spans="2:6">
      <c r="B10272">
        <v>2016</v>
      </c>
      <c r="C10272" t="s">
        <v>113</v>
      </c>
      <c r="D10272" t="s">
        <v>183</v>
      </c>
      <c r="E10272" t="s">
        <v>14</v>
      </c>
      <c r="F10272">
        <v>0.59142518043518066</v>
      </c>
    </row>
    <row r="10273" spans="2:6">
      <c r="B10273">
        <v>2016</v>
      </c>
      <c r="C10273" t="s">
        <v>113</v>
      </c>
      <c r="D10273" t="s">
        <v>183</v>
      </c>
      <c r="E10273" t="s">
        <v>15</v>
      </c>
      <c r="F10273">
        <v>0.33667546510696411</v>
      </c>
    </row>
    <row r="10274" spans="2:6">
      <c r="B10274">
        <v>2017</v>
      </c>
      <c r="C10274" t="s">
        <v>113</v>
      </c>
      <c r="D10274" t="s">
        <v>183</v>
      </c>
      <c r="E10274" t="s">
        <v>7</v>
      </c>
      <c r="F10274">
        <v>5.6147985458374023</v>
      </c>
    </row>
    <row r="10275" spans="2:6">
      <c r="B10275">
        <v>2017</v>
      </c>
      <c r="C10275" t="s">
        <v>113</v>
      </c>
      <c r="D10275" t="s">
        <v>183</v>
      </c>
      <c r="E10275" t="s">
        <v>8</v>
      </c>
      <c r="F10275">
        <v>9.8846654891967773</v>
      </c>
    </row>
    <row r="10276" spans="2:6">
      <c r="B10276">
        <v>2017</v>
      </c>
      <c r="C10276" t="s">
        <v>113</v>
      </c>
      <c r="D10276" t="s">
        <v>183</v>
      </c>
      <c r="E10276" t="s">
        <v>9</v>
      </c>
      <c r="F10276">
        <v>0.88119983673095703</v>
      </c>
    </row>
    <row r="10277" spans="2:6">
      <c r="B10277">
        <v>2017</v>
      </c>
      <c r="C10277" t="s">
        <v>113</v>
      </c>
      <c r="D10277" t="s">
        <v>183</v>
      </c>
      <c r="E10277" t="s">
        <v>10</v>
      </c>
      <c r="F10277">
        <v>68.300003051757813</v>
      </c>
    </row>
    <row r="10278" spans="2:6">
      <c r="B10278">
        <v>2017</v>
      </c>
      <c r="C10278" t="s">
        <v>113</v>
      </c>
      <c r="D10278" t="s">
        <v>183</v>
      </c>
      <c r="E10278" t="s">
        <v>11</v>
      </c>
      <c r="F10278">
        <v>0.62590628862380981</v>
      </c>
    </row>
    <row r="10279" spans="2:6">
      <c r="B10279">
        <v>2017</v>
      </c>
      <c r="C10279" t="s">
        <v>113</v>
      </c>
      <c r="D10279" t="s">
        <v>183</v>
      </c>
      <c r="E10279" t="s">
        <v>12</v>
      </c>
      <c r="F10279">
        <v>-8.2894496619701385E-2</v>
      </c>
    </row>
    <row r="10280" spans="2:6">
      <c r="B10280">
        <v>2017</v>
      </c>
      <c r="C10280" t="s">
        <v>113</v>
      </c>
      <c r="D10280" t="s">
        <v>183</v>
      </c>
      <c r="E10280" t="s">
        <v>13</v>
      </c>
      <c r="F10280">
        <v>0.75568002462387085</v>
      </c>
    </row>
    <row r="10281" spans="2:6">
      <c r="B10281">
        <v>2017</v>
      </c>
      <c r="C10281" t="s">
        <v>113</v>
      </c>
      <c r="D10281" t="s">
        <v>183</v>
      </c>
      <c r="E10281" t="s">
        <v>14</v>
      </c>
      <c r="F10281">
        <v>0.51912814378738403</v>
      </c>
    </row>
    <row r="10282" spans="2:6">
      <c r="B10282">
        <v>2017</v>
      </c>
      <c r="C10282" t="s">
        <v>113</v>
      </c>
      <c r="D10282" t="s">
        <v>183</v>
      </c>
      <c r="E10282" t="s">
        <v>15</v>
      </c>
      <c r="F10282">
        <v>0.34978508949279785</v>
      </c>
    </row>
    <row r="10283" spans="2:6">
      <c r="B10283">
        <v>2018</v>
      </c>
      <c r="C10283" t="s">
        <v>113</v>
      </c>
      <c r="D10283" t="s">
        <v>183</v>
      </c>
      <c r="E10283" t="s">
        <v>7</v>
      </c>
      <c r="F10283">
        <v>5.6501898765563965</v>
      </c>
    </row>
    <row r="10284" spans="2:6">
      <c r="B10284">
        <v>2018</v>
      </c>
      <c r="C10284" t="s">
        <v>113</v>
      </c>
      <c r="D10284" t="s">
        <v>183</v>
      </c>
      <c r="E10284" t="s">
        <v>8</v>
      </c>
      <c r="F10284">
        <v>9.9344320297241211</v>
      </c>
    </row>
    <row r="10285" spans="2:6">
      <c r="B10285">
        <v>2018</v>
      </c>
      <c r="C10285" t="s">
        <v>113</v>
      </c>
      <c r="D10285" t="s">
        <v>183</v>
      </c>
      <c r="E10285" t="s">
        <v>9</v>
      </c>
      <c r="F10285">
        <v>0.85597962141036987</v>
      </c>
    </row>
    <row r="10286" spans="2:6">
      <c r="B10286">
        <v>2018</v>
      </c>
      <c r="C10286" t="s">
        <v>113</v>
      </c>
      <c r="D10286" t="s">
        <v>183</v>
      </c>
      <c r="E10286" t="s">
        <v>10</v>
      </c>
      <c r="F10286">
        <v>68.5</v>
      </c>
    </row>
    <row r="10287" spans="2:6">
      <c r="B10287">
        <v>2018</v>
      </c>
      <c r="C10287" t="s">
        <v>113</v>
      </c>
      <c r="D10287" t="s">
        <v>183</v>
      </c>
      <c r="E10287" t="s">
        <v>11</v>
      </c>
      <c r="F10287">
        <v>0.62643128633499146</v>
      </c>
    </row>
    <row r="10288" spans="2:6">
      <c r="B10288">
        <v>2018</v>
      </c>
      <c r="C10288" t="s">
        <v>113</v>
      </c>
      <c r="D10288" t="s">
        <v>183</v>
      </c>
      <c r="E10288" t="s">
        <v>12</v>
      </c>
      <c r="F10288">
        <v>-5.1028583198785782E-2</v>
      </c>
    </row>
    <row r="10289" spans="2:6">
      <c r="B10289">
        <v>2018</v>
      </c>
      <c r="C10289" t="s">
        <v>113</v>
      </c>
      <c r="D10289" t="s">
        <v>183</v>
      </c>
      <c r="E10289" t="s">
        <v>13</v>
      </c>
      <c r="F10289">
        <v>0.76892250776290894</v>
      </c>
    </row>
    <row r="10290" spans="2:6">
      <c r="B10290">
        <v>2018</v>
      </c>
      <c r="C10290" t="s">
        <v>113</v>
      </c>
      <c r="D10290" t="s">
        <v>183</v>
      </c>
      <c r="E10290" t="s">
        <v>14</v>
      </c>
      <c r="F10290">
        <v>0.58993315696716309</v>
      </c>
    </row>
    <row r="10291" spans="2:6">
      <c r="B10291">
        <v>2018</v>
      </c>
      <c r="C10291" t="s">
        <v>113</v>
      </c>
      <c r="D10291" t="s">
        <v>183</v>
      </c>
      <c r="E10291" t="s">
        <v>15</v>
      </c>
      <c r="F10291">
        <v>0.35493525862693787</v>
      </c>
    </row>
    <row r="10292" spans="2:6">
      <c r="B10292">
        <v>2019</v>
      </c>
      <c r="C10292" t="s">
        <v>113</v>
      </c>
      <c r="D10292" t="s">
        <v>183</v>
      </c>
      <c r="E10292" t="s">
        <v>7</v>
      </c>
      <c r="F10292">
        <v>5.3860249519348145</v>
      </c>
    </row>
    <row r="10293" spans="2:6">
      <c r="B10293">
        <v>2019</v>
      </c>
      <c r="C10293" t="s">
        <v>113</v>
      </c>
      <c r="D10293" t="s">
        <v>183</v>
      </c>
      <c r="E10293" t="s">
        <v>8</v>
      </c>
      <c r="F10293">
        <v>9.9701442718505859</v>
      </c>
    </row>
    <row r="10294" spans="2:6">
      <c r="B10294">
        <v>2019</v>
      </c>
      <c r="C10294" t="s">
        <v>113</v>
      </c>
      <c r="D10294" t="s">
        <v>183</v>
      </c>
      <c r="E10294" t="s">
        <v>9</v>
      </c>
      <c r="F10294">
        <v>0.83162492513656616</v>
      </c>
    </row>
    <row r="10295" spans="2:6">
      <c r="B10295">
        <v>2019</v>
      </c>
      <c r="C10295" t="s">
        <v>113</v>
      </c>
      <c r="D10295" t="s">
        <v>183</v>
      </c>
      <c r="E10295" t="s">
        <v>10</v>
      </c>
      <c r="F10295">
        <v>68.699996948242188</v>
      </c>
    </row>
    <row r="10296" spans="2:6">
      <c r="B10296">
        <v>2019</v>
      </c>
      <c r="C10296" t="s">
        <v>113</v>
      </c>
      <c r="D10296" t="s">
        <v>183</v>
      </c>
      <c r="E10296" t="s">
        <v>11</v>
      </c>
      <c r="F10296">
        <v>0.69416248798370361</v>
      </c>
    </row>
    <row r="10297" spans="2:6">
      <c r="B10297">
        <v>2019</v>
      </c>
      <c r="C10297" t="s">
        <v>113</v>
      </c>
      <c r="D10297" t="s">
        <v>183</v>
      </c>
      <c r="E10297" t="s">
        <v>12</v>
      </c>
      <c r="F10297">
        <v>-0.10481426864862442</v>
      </c>
    </row>
    <row r="10298" spans="2:6">
      <c r="B10298">
        <v>2019</v>
      </c>
      <c r="C10298" t="s">
        <v>113</v>
      </c>
      <c r="D10298" t="s">
        <v>183</v>
      </c>
      <c r="E10298" t="s">
        <v>13</v>
      </c>
      <c r="F10298">
        <v>0.81999737024307251</v>
      </c>
    </row>
    <row r="10299" spans="2:6">
      <c r="B10299">
        <v>2019</v>
      </c>
      <c r="C10299" t="s">
        <v>113</v>
      </c>
      <c r="D10299" t="s">
        <v>183</v>
      </c>
      <c r="E10299" t="s">
        <v>14</v>
      </c>
      <c r="F10299">
        <v>0.59109431505203247</v>
      </c>
    </row>
    <row r="10300" spans="2:6">
      <c r="B10300">
        <v>2019</v>
      </c>
      <c r="C10300" t="s">
        <v>113</v>
      </c>
      <c r="D10300" t="s">
        <v>183</v>
      </c>
      <c r="E10300" t="s">
        <v>15</v>
      </c>
      <c r="F10300">
        <v>0.36595812439918518</v>
      </c>
    </row>
    <row r="10301" spans="2:6">
      <c r="B10301">
        <v>2020</v>
      </c>
      <c r="C10301" t="s">
        <v>113</v>
      </c>
      <c r="D10301" t="s">
        <v>183</v>
      </c>
      <c r="E10301" t="s">
        <v>7</v>
      </c>
      <c r="F10301">
        <v>5.7221627235412598</v>
      </c>
    </row>
    <row r="10302" spans="2:6">
      <c r="B10302">
        <v>2020</v>
      </c>
      <c r="C10302" t="s">
        <v>113</v>
      </c>
      <c r="D10302" t="s">
        <v>183</v>
      </c>
      <c r="E10302" t="s">
        <v>8</v>
      </c>
      <c r="F10302">
        <v>9.9126682281494141</v>
      </c>
    </row>
    <row r="10303" spans="2:6">
      <c r="B10303">
        <v>2020</v>
      </c>
      <c r="C10303" t="s">
        <v>113</v>
      </c>
      <c r="D10303" t="s">
        <v>183</v>
      </c>
      <c r="E10303" t="s">
        <v>9</v>
      </c>
      <c r="F10303">
        <v>0.88712948560714722</v>
      </c>
    </row>
    <row r="10304" spans="2:6">
      <c r="B10304">
        <v>2020</v>
      </c>
      <c r="C10304" t="s">
        <v>113</v>
      </c>
      <c r="D10304" t="s">
        <v>183</v>
      </c>
      <c r="E10304" t="s">
        <v>10</v>
      </c>
      <c r="F10304">
        <v>68.900001525878906</v>
      </c>
    </row>
    <row r="10305" spans="2:6">
      <c r="B10305">
        <v>2020</v>
      </c>
      <c r="C10305" t="s">
        <v>113</v>
      </c>
      <c r="D10305" t="s">
        <v>183</v>
      </c>
      <c r="E10305" t="s">
        <v>11</v>
      </c>
      <c r="F10305">
        <v>0.80185508728027344</v>
      </c>
    </row>
    <row r="10306" spans="2:6">
      <c r="B10306">
        <v>2020</v>
      </c>
      <c r="C10306" t="s">
        <v>113</v>
      </c>
      <c r="D10306" t="s">
        <v>183</v>
      </c>
      <c r="E10306" t="s">
        <v>12</v>
      </c>
      <c r="F10306">
        <v>5.9815771877765656E-2</v>
      </c>
    </row>
    <row r="10307" spans="2:6">
      <c r="B10307">
        <v>2020</v>
      </c>
      <c r="C10307" t="s">
        <v>113</v>
      </c>
      <c r="D10307" t="s">
        <v>183</v>
      </c>
      <c r="E10307" t="s">
        <v>13</v>
      </c>
      <c r="F10307">
        <v>0.84468710422515869</v>
      </c>
    </row>
    <row r="10308" spans="2:6">
      <c r="B10308">
        <v>2020</v>
      </c>
      <c r="C10308" t="s">
        <v>113</v>
      </c>
      <c r="D10308" t="s">
        <v>183</v>
      </c>
      <c r="E10308" t="s">
        <v>14</v>
      </c>
      <c r="F10308">
        <v>0.60328269004821777</v>
      </c>
    </row>
    <row r="10309" spans="2:6">
      <c r="B10309">
        <v>2020</v>
      </c>
      <c r="C10309" t="s">
        <v>113</v>
      </c>
      <c r="D10309" t="s">
        <v>183</v>
      </c>
      <c r="E10309" t="s">
        <v>15</v>
      </c>
      <c r="F10309">
        <v>0.41137781739234924</v>
      </c>
    </row>
    <row r="10310" spans="2:6">
      <c r="B10310">
        <v>2010</v>
      </c>
      <c r="C10310" t="s">
        <v>114</v>
      </c>
      <c r="D10310" t="s">
        <v>184</v>
      </c>
      <c r="E10310" t="s">
        <v>7</v>
      </c>
      <c r="F10310">
        <v>4.3832473754882813</v>
      </c>
    </row>
    <row r="10311" spans="2:6">
      <c r="B10311">
        <v>2010</v>
      </c>
      <c r="C10311" t="s">
        <v>114</v>
      </c>
      <c r="D10311" t="s">
        <v>184</v>
      </c>
      <c r="E10311" t="s">
        <v>8</v>
      </c>
      <c r="F10311">
        <v>8.7457809448242188</v>
      </c>
    </row>
    <row r="10312" spans="2:6">
      <c r="B10312">
        <v>2010</v>
      </c>
      <c r="C10312" t="s">
        <v>114</v>
      </c>
      <c r="D10312" t="s">
        <v>184</v>
      </c>
      <c r="E10312" t="s">
        <v>10</v>
      </c>
      <c r="F10312">
        <v>63.5</v>
      </c>
    </row>
    <row r="10313" spans="2:6">
      <c r="B10313">
        <v>2010</v>
      </c>
      <c r="C10313" t="s">
        <v>114</v>
      </c>
      <c r="D10313" t="s">
        <v>184</v>
      </c>
      <c r="E10313" t="s">
        <v>11</v>
      </c>
      <c r="F10313">
        <v>0.66290038824081421</v>
      </c>
    </row>
    <row r="10314" spans="2:6">
      <c r="B10314">
        <v>2010</v>
      </c>
      <c r="C10314" t="s">
        <v>114</v>
      </c>
      <c r="D10314" t="s">
        <v>184</v>
      </c>
      <c r="E10314" t="s">
        <v>12</v>
      </c>
      <c r="F10314">
        <v>-0.16234748065471649</v>
      </c>
    </row>
    <row r="10315" spans="2:6">
      <c r="B10315">
        <v>2010</v>
      </c>
      <c r="C10315" t="s">
        <v>114</v>
      </c>
      <c r="D10315" t="s">
        <v>184</v>
      </c>
      <c r="E10315" t="s">
        <v>13</v>
      </c>
      <c r="F10315">
        <v>0.90045309066772461</v>
      </c>
    </row>
    <row r="10316" spans="2:6">
      <c r="B10316">
        <v>2011</v>
      </c>
      <c r="C10316" t="s">
        <v>114</v>
      </c>
      <c r="D10316" t="s">
        <v>184</v>
      </c>
      <c r="E10316" t="s">
        <v>7</v>
      </c>
      <c r="F10316">
        <v>5.0849728584289551</v>
      </c>
    </row>
    <row r="10317" spans="2:6">
      <c r="B10317">
        <v>2011</v>
      </c>
      <c r="C10317" t="s">
        <v>114</v>
      </c>
      <c r="D10317" t="s">
        <v>184</v>
      </c>
      <c r="E10317" t="s">
        <v>8</v>
      </c>
      <c r="F10317">
        <v>8.783416748046875</v>
      </c>
    </row>
    <row r="10318" spans="2:6">
      <c r="B10318">
        <v>2011</v>
      </c>
      <c r="C10318" t="s">
        <v>114</v>
      </c>
      <c r="D10318" t="s">
        <v>184</v>
      </c>
      <c r="E10318" t="s">
        <v>9</v>
      </c>
      <c r="F10318">
        <v>0.83338528871536255</v>
      </c>
    </row>
    <row r="10319" spans="2:6">
      <c r="B10319">
        <v>2011</v>
      </c>
      <c r="C10319" t="s">
        <v>114</v>
      </c>
      <c r="D10319" t="s">
        <v>184</v>
      </c>
      <c r="E10319" t="s">
        <v>10</v>
      </c>
      <c r="F10319">
        <v>63.799999237060547</v>
      </c>
    </row>
    <row r="10320" spans="2:6">
      <c r="B10320">
        <v>2011</v>
      </c>
      <c r="C10320" t="s">
        <v>114</v>
      </c>
      <c r="D10320" t="s">
        <v>184</v>
      </c>
      <c r="E10320" t="s">
        <v>11</v>
      </c>
      <c r="F10320">
        <v>0.57893073558807373</v>
      </c>
    </row>
    <row r="10321" spans="2:6">
      <c r="B10321">
        <v>2011</v>
      </c>
      <c r="C10321" t="s">
        <v>114</v>
      </c>
      <c r="D10321" t="s">
        <v>184</v>
      </c>
      <c r="E10321" t="s">
        <v>12</v>
      </c>
      <c r="F10321">
        <v>-0.21811749041080475</v>
      </c>
    </row>
    <row r="10322" spans="2:6">
      <c r="B10322">
        <v>2011</v>
      </c>
      <c r="C10322" t="s">
        <v>114</v>
      </c>
      <c r="D10322" t="s">
        <v>184</v>
      </c>
      <c r="E10322" t="s">
        <v>13</v>
      </c>
      <c r="F10322">
        <v>0.87522482872009277</v>
      </c>
    </row>
    <row r="10323" spans="2:6">
      <c r="B10323">
        <v>2011</v>
      </c>
      <c r="C10323" t="s">
        <v>114</v>
      </c>
      <c r="D10323" t="s">
        <v>184</v>
      </c>
      <c r="E10323" t="s">
        <v>14</v>
      </c>
      <c r="F10323">
        <v>0.73565632104873657</v>
      </c>
    </row>
    <row r="10324" spans="2:6">
      <c r="B10324">
        <v>2011</v>
      </c>
      <c r="C10324" t="s">
        <v>114</v>
      </c>
      <c r="D10324" t="s">
        <v>184</v>
      </c>
      <c r="E10324" t="s">
        <v>15</v>
      </c>
      <c r="F10324">
        <v>0.18714874982833862</v>
      </c>
    </row>
    <row r="10325" spans="2:6">
      <c r="B10325">
        <v>2012</v>
      </c>
      <c r="C10325" t="s">
        <v>114</v>
      </c>
      <c r="D10325" t="s">
        <v>184</v>
      </c>
      <c r="E10325" t="s">
        <v>7</v>
      </c>
      <c r="F10325">
        <v>4.9696564674377441</v>
      </c>
    </row>
    <row r="10326" spans="2:6">
      <c r="B10326">
        <v>2012</v>
      </c>
      <c r="C10326" t="s">
        <v>114</v>
      </c>
      <c r="D10326" t="s">
        <v>184</v>
      </c>
      <c r="E10326" t="s">
        <v>8</v>
      </c>
      <c r="F10326">
        <v>8.7990989685058594</v>
      </c>
    </row>
    <row r="10327" spans="2:6">
      <c r="B10327">
        <v>2012</v>
      </c>
      <c r="C10327" t="s">
        <v>114</v>
      </c>
      <c r="D10327" t="s">
        <v>184</v>
      </c>
      <c r="E10327" t="s">
        <v>9</v>
      </c>
      <c r="F10327">
        <v>0.67582494020462036</v>
      </c>
    </row>
    <row r="10328" spans="2:6">
      <c r="B10328">
        <v>2012</v>
      </c>
      <c r="C10328" t="s">
        <v>114</v>
      </c>
      <c r="D10328" t="s">
        <v>184</v>
      </c>
      <c r="E10328" t="s">
        <v>10</v>
      </c>
      <c r="F10328">
        <v>64.099998474121094</v>
      </c>
    </row>
    <row r="10329" spans="2:6">
      <c r="B10329">
        <v>2012</v>
      </c>
      <c r="C10329" t="s">
        <v>114</v>
      </c>
      <c r="D10329" t="s">
        <v>184</v>
      </c>
      <c r="E10329" t="s">
        <v>11</v>
      </c>
      <c r="F10329">
        <v>0.75678461790084839</v>
      </c>
    </row>
    <row r="10330" spans="2:6">
      <c r="B10330">
        <v>2012</v>
      </c>
      <c r="C10330" t="s">
        <v>114</v>
      </c>
      <c r="D10330" t="s">
        <v>184</v>
      </c>
      <c r="E10330" t="s">
        <v>12</v>
      </c>
      <c r="F10330">
        <v>-0.1866992712020874</v>
      </c>
    </row>
    <row r="10331" spans="2:6">
      <c r="B10331">
        <v>2012</v>
      </c>
      <c r="C10331" t="s">
        <v>114</v>
      </c>
      <c r="D10331" t="s">
        <v>184</v>
      </c>
      <c r="E10331" t="s">
        <v>13</v>
      </c>
      <c r="F10331">
        <v>0.84493476152420044</v>
      </c>
    </row>
    <row r="10332" spans="2:6">
      <c r="B10332">
        <v>2012</v>
      </c>
      <c r="C10332" t="s">
        <v>114</v>
      </c>
      <c r="D10332" t="s">
        <v>184</v>
      </c>
      <c r="E10332" t="s">
        <v>14</v>
      </c>
      <c r="F10332">
        <v>0.68713104724884033</v>
      </c>
    </row>
    <row r="10333" spans="2:6">
      <c r="B10333">
        <v>2012</v>
      </c>
      <c r="C10333" t="s">
        <v>114</v>
      </c>
      <c r="D10333" t="s">
        <v>184</v>
      </c>
      <c r="E10333" t="s">
        <v>15</v>
      </c>
      <c r="F10333">
        <v>0.2813359797000885</v>
      </c>
    </row>
    <row r="10334" spans="2:6">
      <c r="B10334">
        <v>2013</v>
      </c>
      <c r="C10334" t="s">
        <v>114</v>
      </c>
      <c r="D10334" t="s">
        <v>184</v>
      </c>
      <c r="E10334" t="s">
        <v>7</v>
      </c>
      <c r="F10334">
        <v>5.1421604156494141</v>
      </c>
    </row>
    <row r="10335" spans="2:6">
      <c r="B10335">
        <v>2013</v>
      </c>
      <c r="C10335" t="s">
        <v>114</v>
      </c>
      <c r="D10335" t="s">
        <v>184</v>
      </c>
      <c r="E10335" t="s">
        <v>8</v>
      </c>
      <c r="F10335">
        <v>8.8292427062988281</v>
      </c>
    </row>
    <row r="10336" spans="2:6">
      <c r="B10336">
        <v>2013</v>
      </c>
      <c r="C10336" t="s">
        <v>114</v>
      </c>
      <c r="D10336" t="s">
        <v>184</v>
      </c>
      <c r="E10336" t="s">
        <v>9</v>
      </c>
      <c r="F10336">
        <v>0.59716570377349854</v>
      </c>
    </row>
    <row r="10337" spans="2:6">
      <c r="B10337">
        <v>2013</v>
      </c>
      <c r="C10337" t="s">
        <v>114</v>
      </c>
      <c r="D10337" t="s">
        <v>184</v>
      </c>
      <c r="E10337" t="s">
        <v>10</v>
      </c>
      <c r="F10337">
        <v>64.400001525878906</v>
      </c>
    </row>
    <row r="10338" spans="2:6">
      <c r="B10338">
        <v>2013</v>
      </c>
      <c r="C10338" t="s">
        <v>114</v>
      </c>
      <c r="D10338" t="s">
        <v>184</v>
      </c>
      <c r="E10338" t="s">
        <v>11</v>
      </c>
      <c r="F10338">
        <v>0.57162994146347046</v>
      </c>
    </row>
    <row r="10339" spans="2:6">
      <c r="B10339">
        <v>2013</v>
      </c>
      <c r="C10339" t="s">
        <v>114</v>
      </c>
      <c r="D10339" t="s">
        <v>184</v>
      </c>
      <c r="E10339" t="s">
        <v>12</v>
      </c>
      <c r="F10339">
        <v>-0.21039751172065735</v>
      </c>
    </row>
    <row r="10340" spans="2:6">
      <c r="B10340">
        <v>2013</v>
      </c>
      <c r="C10340" t="s">
        <v>114</v>
      </c>
      <c r="D10340" t="s">
        <v>184</v>
      </c>
      <c r="E10340" t="s">
        <v>13</v>
      </c>
      <c r="F10340">
        <v>0.77111220359802246</v>
      </c>
    </row>
    <row r="10341" spans="2:6">
      <c r="B10341">
        <v>2013</v>
      </c>
      <c r="C10341" t="s">
        <v>114</v>
      </c>
      <c r="D10341" t="s">
        <v>184</v>
      </c>
      <c r="E10341" t="s">
        <v>14</v>
      </c>
      <c r="F10341">
        <v>0.78426146507263184</v>
      </c>
    </row>
    <row r="10342" spans="2:6">
      <c r="B10342">
        <v>2013</v>
      </c>
      <c r="C10342" t="s">
        <v>114</v>
      </c>
      <c r="D10342" t="s">
        <v>184</v>
      </c>
      <c r="E10342" t="s">
        <v>15</v>
      </c>
      <c r="F10342">
        <v>0.23940926790237427</v>
      </c>
    </row>
    <row r="10343" spans="2:6">
      <c r="B10343">
        <v>2015</v>
      </c>
      <c r="C10343" t="s">
        <v>114</v>
      </c>
      <c r="D10343" t="s">
        <v>184</v>
      </c>
      <c r="E10343" t="s">
        <v>7</v>
      </c>
      <c r="F10343">
        <v>5.1631569862365723</v>
      </c>
    </row>
    <row r="10344" spans="2:6">
      <c r="B10344">
        <v>2015</v>
      </c>
      <c r="C10344" t="s">
        <v>114</v>
      </c>
      <c r="D10344" t="s">
        <v>184</v>
      </c>
      <c r="E10344" t="s">
        <v>8</v>
      </c>
      <c r="F10344">
        <v>8.8720226287841797</v>
      </c>
    </row>
    <row r="10345" spans="2:6">
      <c r="B10345">
        <v>2015</v>
      </c>
      <c r="C10345" t="s">
        <v>114</v>
      </c>
      <c r="D10345" t="s">
        <v>184</v>
      </c>
      <c r="E10345" t="s">
        <v>9</v>
      </c>
      <c r="F10345">
        <v>0.60591763257980347</v>
      </c>
    </row>
    <row r="10346" spans="2:6">
      <c r="B10346">
        <v>2015</v>
      </c>
      <c r="C10346" t="s">
        <v>114</v>
      </c>
      <c r="D10346" t="s">
        <v>184</v>
      </c>
      <c r="E10346" t="s">
        <v>10</v>
      </c>
      <c r="F10346">
        <v>65</v>
      </c>
    </row>
    <row r="10347" spans="2:6">
      <c r="B10347">
        <v>2015</v>
      </c>
      <c r="C10347" t="s">
        <v>114</v>
      </c>
      <c r="D10347" t="s">
        <v>184</v>
      </c>
      <c r="E10347" t="s">
        <v>11</v>
      </c>
      <c r="F10347">
        <v>0.71293342113494873</v>
      </c>
    </row>
    <row r="10348" spans="2:6">
      <c r="B10348">
        <v>2015</v>
      </c>
      <c r="C10348" t="s">
        <v>114</v>
      </c>
      <c r="D10348" t="s">
        <v>184</v>
      </c>
      <c r="E10348" t="s">
        <v>12</v>
      </c>
      <c r="F10348">
        <v>-0.22769343852996826</v>
      </c>
    </row>
    <row r="10349" spans="2:6">
      <c r="B10349">
        <v>2015</v>
      </c>
      <c r="C10349" t="s">
        <v>114</v>
      </c>
      <c r="D10349" t="s">
        <v>184</v>
      </c>
      <c r="E10349" t="s">
        <v>13</v>
      </c>
      <c r="F10349">
        <v>0.84185695648193359</v>
      </c>
    </row>
    <row r="10350" spans="2:6">
      <c r="B10350">
        <v>2015</v>
      </c>
      <c r="C10350" t="s">
        <v>114</v>
      </c>
      <c r="D10350" t="s">
        <v>184</v>
      </c>
      <c r="E10350" t="s">
        <v>14</v>
      </c>
      <c r="F10350">
        <v>0.66107833385467529</v>
      </c>
    </row>
    <row r="10351" spans="2:6">
      <c r="B10351">
        <v>2015</v>
      </c>
      <c r="C10351" t="s">
        <v>114</v>
      </c>
      <c r="D10351" t="s">
        <v>184</v>
      </c>
      <c r="E10351" t="s">
        <v>15</v>
      </c>
      <c r="F10351">
        <v>0.26180371642112732</v>
      </c>
    </row>
    <row r="10352" spans="2:6">
      <c r="B10352">
        <v>2016</v>
      </c>
      <c r="C10352" t="s">
        <v>114</v>
      </c>
      <c r="D10352" t="s">
        <v>184</v>
      </c>
      <c r="E10352" t="s">
        <v>7</v>
      </c>
      <c r="F10352">
        <v>5.3863072395324707</v>
      </c>
    </row>
    <row r="10353" spans="2:6">
      <c r="B10353">
        <v>2016</v>
      </c>
      <c r="C10353" t="s">
        <v>114</v>
      </c>
      <c r="D10353" t="s">
        <v>184</v>
      </c>
      <c r="E10353" t="s">
        <v>8</v>
      </c>
      <c r="F10353">
        <v>8.8691511154174805</v>
      </c>
    </row>
    <row r="10354" spans="2:6">
      <c r="B10354">
        <v>2016</v>
      </c>
      <c r="C10354" t="s">
        <v>114</v>
      </c>
      <c r="D10354" t="s">
        <v>184</v>
      </c>
      <c r="E10354" t="s">
        <v>9</v>
      </c>
      <c r="F10354">
        <v>0.65540933609008789</v>
      </c>
    </row>
    <row r="10355" spans="2:6">
      <c r="B10355">
        <v>2016</v>
      </c>
      <c r="C10355" t="s">
        <v>114</v>
      </c>
      <c r="D10355" t="s">
        <v>184</v>
      </c>
      <c r="E10355" t="s">
        <v>10</v>
      </c>
      <c r="F10355">
        <v>65.300003051757813</v>
      </c>
    </row>
    <row r="10356" spans="2:6">
      <c r="B10356">
        <v>2016</v>
      </c>
      <c r="C10356" t="s">
        <v>114</v>
      </c>
      <c r="D10356" t="s">
        <v>184</v>
      </c>
      <c r="E10356" t="s">
        <v>11</v>
      </c>
      <c r="F10356">
        <v>0.81655609607696533</v>
      </c>
    </row>
    <row r="10357" spans="2:6">
      <c r="B10357">
        <v>2016</v>
      </c>
      <c r="C10357" t="s">
        <v>114</v>
      </c>
      <c r="D10357" t="s">
        <v>184</v>
      </c>
      <c r="E10357" t="s">
        <v>12</v>
      </c>
      <c r="F10357">
        <v>-0.23747825622558594</v>
      </c>
    </row>
    <row r="10358" spans="2:6">
      <c r="B10358">
        <v>2016</v>
      </c>
      <c r="C10358" t="s">
        <v>114</v>
      </c>
      <c r="D10358" t="s">
        <v>184</v>
      </c>
      <c r="E10358" t="s">
        <v>13</v>
      </c>
      <c r="F10358">
        <v>0.71735614538192749</v>
      </c>
    </row>
    <row r="10359" spans="2:6">
      <c r="B10359">
        <v>2016</v>
      </c>
      <c r="C10359" t="s">
        <v>114</v>
      </c>
      <c r="D10359" t="s">
        <v>184</v>
      </c>
      <c r="E10359" t="s">
        <v>14</v>
      </c>
      <c r="F10359">
        <v>0.71265935897827148</v>
      </c>
    </row>
    <row r="10360" spans="2:6">
      <c r="B10360">
        <v>2016</v>
      </c>
      <c r="C10360" t="s">
        <v>114</v>
      </c>
      <c r="D10360" t="s">
        <v>184</v>
      </c>
      <c r="E10360" t="s">
        <v>15</v>
      </c>
      <c r="F10360">
        <v>0.20541314780712128</v>
      </c>
    </row>
    <row r="10361" spans="2:6">
      <c r="B10361">
        <v>2017</v>
      </c>
      <c r="C10361" t="s">
        <v>114</v>
      </c>
      <c r="D10361" t="s">
        <v>184</v>
      </c>
      <c r="E10361" t="s">
        <v>7</v>
      </c>
      <c r="F10361">
        <v>5.3124828338623047</v>
      </c>
    </row>
    <row r="10362" spans="2:6">
      <c r="B10362">
        <v>2017</v>
      </c>
      <c r="C10362" t="s">
        <v>114</v>
      </c>
      <c r="D10362" t="s">
        <v>184</v>
      </c>
      <c r="E10362" t="s">
        <v>8</v>
      </c>
      <c r="F10362">
        <v>8.8975667953491211</v>
      </c>
    </row>
    <row r="10363" spans="2:6">
      <c r="B10363">
        <v>2017</v>
      </c>
      <c r="C10363" t="s">
        <v>114</v>
      </c>
      <c r="D10363" t="s">
        <v>184</v>
      </c>
      <c r="E10363" t="s">
        <v>9</v>
      </c>
      <c r="F10363">
        <v>0.64119309186935425</v>
      </c>
    </row>
    <row r="10364" spans="2:6">
      <c r="B10364">
        <v>2017</v>
      </c>
      <c r="C10364" t="s">
        <v>114</v>
      </c>
      <c r="D10364" t="s">
        <v>184</v>
      </c>
      <c r="E10364" t="s">
        <v>10</v>
      </c>
      <c r="F10364">
        <v>65.599998474121094</v>
      </c>
    </row>
    <row r="10365" spans="2:6">
      <c r="B10365">
        <v>2017</v>
      </c>
      <c r="C10365" t="s">
        <v>114</v>
      </c>
      <c r="D10365" t="s">
        <v>184</v>
      </c>
      <c r="E10365" t="s">
        <v>11</v>
      </c>
      <c r="F10365">
        <v>0.81425803899765015</v>
      </c>
    </row>
    <row r="10366" spans="2:6">
      <c r="B10366">
        <v>2017</v>
      </c>
      <c r="C10366" t="s">
        <v>114</v>
      </c>
      <c r="D10366" t="s">
        <v>184</v>
      </c>
      <c r="E10366" t="s">
        <v>12</v>
      </c>
      <c r="F10366">
        <v>-0.21584682166576385</v>
      </c>
    </row>
    <row r="10367" spans="2:6">
      <c r="B10367">
        <v>2017</v>
      </c>
      <c r="C10367" t="s">
        <v>114</v>
      </c>
      <c r="D10367" t="s">
        <v>184</v>
      </c>
      <c r="E10367" t="s">
        <v>13</v>
      </c>
      <c r="F10367">
        <v>0.84050244092941284</v>
      </c>
    </row>
    <row r="10368" spans="2:6">
      <c r="B10368">
        <v>2017</v>
      </c>
      <c r="C10368" t="s">
        <v>114</v>
      </c>
      <c r="D10368" t="s">
        <v>184</v>
      </c>
      <c r="E10368" t="s">
        <v>14</v>
      </c>
      <c r="F10368">
        <v>0.55928820371627808</v>
      </c>
    </row>
    <row r="10369" spans="2:6">
      <c r="B10369">
        <v>2017</v>
      </c>
      <c r="C10369" t="s">
        <v>114</v>
      </c>
      <c r="D10369" t="s">
        <v>184</v>
      </c>
      <c r="E10369" t="s">
        <v>15</v>
      </c>
      <c r="F10369">
        <v>0.32271590828895569</v>
      </c>
    </row>
    <row r="10370" spans="2:6">
      <c r="B10370">
        <v>2018</v>
      </c>
      <c r="C10370" t="s">
        <v>114</v>
      </c>
      <c r="D10370" t="s">
        <v>184</v>
      </c>
      <c r="E10370" t="s">
        <v>7</v>
      </c>
      <c r="F10370">
        <v>4.896791934967041</v>
      </c>
    </row>
    <row r="10371" spans="2:6">
      <c r="B10371">
        <v>2018</v>
      </c>
      <c r="C10371" t="s">
        <v>114</v>
      </c>
      <c r="D10371" t="s">
        <v>184</v>
      </c>
      <c r="E10371" t="s">
        <v>8</v>
      </c>
      <c r="F10371">
        <v>8.9143085479736328</v>
      </c>
    </row>
    <row r="10372" spans="2:6">
      <c r="B10372">
        <v>2018</v>
      </c>
      <c r="C10372" t="s">
        <v>114</v>
      </c>
      <c r="D10372" t="s">
        <v>184</v>
      </c>
      <c r="E10372" t="s">
        <v>9</v>
      </c>
      <c r="F10372">
        <v>0.55375975370407104</v>
      </c>
    </row>
    <row r="10373" spans="2:6">
      <c r="B10373">
        <v>2018</v>
      </c>
      <c r="C10373" t="s">
        <v>114</v>
      </c>
      <c r="D10373" t="s">
        <v>184</v>
      </c>
      <c r="E10373" t="s">
        <v>10</v>
      </c>
      <c r="F10373">
        <v>65.900001525878906</v>
      </c>
    </row>
    <row r="10374" spans="2:6">
      <c r="B10374">
        <v>2018</v>
      </c>
      <c r="C10374" t="s">
        <v>114</v>
      </c>
      <c r="D10374" t="s">
        <v>184</v>
      </c>
      <c r="E10374" t="s">
        <v>11</v>
      </c>
      <c r="F10374">
        <v>0.77318042516708374</v>
      </c>
    </row>
    <row r="10375" spans="2:6">
      <c r="B10375">
        <v>2018</v>
      </c>
      <c r="C10375" t="s">
        <v>114</v>
      </c>
      <c r="D10375" t="s">
        <v>184</v>
      </c>
      <c r="E10375" t="s">
        <v>12</v>
      </c>
      <c r="F10375">
        <v>-0.23437391221523285</v>
      </c>
    </row>
    <row r="10376" spans="2:6">
      <c r="B10376">
        <v>2018</v>
      </c>
      <c r="C10376" t="s">
        <v>114</v>
      </c>
      <c r="D10376" t="s">
        <v>184</v>
      </c>
      <c r="E10376" t="s">
        <v>13</v>
      </c>
      <c r="F10376">
        <v>0.84317272901535034</v>
      </c>
    </row>
    <row r="10377" spans="2:6">
      <c r="B10377">
        <v>2018</v>
      </c>
      <c r="C10377" t="s">
        <v>114</v>
      </c>
      <c r="D10377" t="s">
        <v>184</v>
      </c>
      <c r="E10377" t="s">
        <v>14</v>
      </c>
      <c r="F10377">
        <v>0.63804918527603149</v>
      </c>
    </row>
    <row r="10378" spans="2:6">
      <c r="B10378">
        <v>2018</v>
      </c>
      <c r="C10378" t="s">
        <v>114</v>
      </c>
      <c r="D10378" t="s">
        <v>184</v>
      </c>
      <c r="E10378" t="s">
        <v>15</v>
      </c>
      <c r="F10378">
        <v>0.41598156094551086</v>
      </c>
    </row>
    <row r="10379" spans="2:6">
      <c r="B10379">
        <v>2019</v>
      </c>
      <c r="C10379" t="s">
        <v>114</v>
      </c>
      <c r="D10379" t="s">
        <v>184</v>
      </c>
      <c r="E10379" t="s">
        <v>7</v>
      </c>
      <c r="F10379">
        <v>5.0567517280578613</v>
      </c>
    </row>
    <row r="10380" spans="2:6">
      <c r="B10380">
        <v>2019</v>
      </c>
      <c r="C10380" t="s">
        <v>114</v>
      </c>
      <c r="D10380" t="s">
        <v>184</v>
      </c>
      <c r="E10380" t="s">
        <v>8</v>
      </c>
      <c r="F10380">
        <v>8.9246187210083008</v>
      </c>
    </row>
    <row r="10381" spans="2:6">
      <c r="B10381">
        <v>2019</v>
      </c>
      <c r="C10381" t="s">
        <v>114</v>
      </c>
      <c r="D10381" t="s">
        <v>184</v>
      </c>
      <c r="E10381" t="s">
        <v>9</v>
      </c>
      <c r="F10381">
        <v>0.53480404615402222</v>
      </c>
    </row>
    <row r="10382" spans="2:6">
      <c r="B10382">
        <v>2019</v>
      </c>
      <c r="C10382" t="s">
        <v>114</v>
      </c>
      <c r="D10382" t="s">
        <v>184</v>
      </c>
      <c r="E10382" t="s">
        <v>10</v>
      </c>
      <c r="F10382">
        <v>66.199996948242188</v>
      </c>
    </row>
    <row r="10383" spans="2:6">
      <c r="B10383">
        <v>2019</v>
      </c>
      <c r="C10383" t="s">
        <v>114</v>
      </c>
      <c r="D10383" t="s">
        <v>184</v>
      </c>
      <c r="E10383" t="s">
        <v>11</v>
      </c>
      <c r="F10383">
        <v>0.75674784183502197</v>
      </c>
    </row>
    <row r="10384" spans="2:6">
      <c r="B10384">
        <v>2019</v>
      </c>
      <c r="C10384" t="s">
        <v>114</v>
      </c>
      <c r="D10384" t="s">
        <v>184</v>
      </c>
      <c r="E10384" t="s">
        <v>12</v>
      </c>
      <c r="F10384">
        <v>-0.24431377649307251</v>
      </c>
    </row>
    <row r="10385" spans="2:6">
      <c r="B10385">
        <v>2019</v>
      </c>
      <c r="C10385" t="s">
        <v>114</v>
      </c>
      <c r="D10385" t="s">
        <v>184</v>
      </c>
      <c r="E10385" t="s">
        <v>13</v>
      </c>
      <c r="F10385">
        <v>0.75686740875244141</v>
      </c>
    </row>
    <row r="10386" spans="2:6">
      <c r="B10386">
        <v>2019</v>
      </c>
      <c r="C10386" t="s">
        <v>114</v>
      </c>
      <c r="D10386" t="s">
        <v>184</v>
      </c>
      <c r="E10386" t="s">
        <v>14</v>
      </c>
      <c r="F10386">
        <v>0.58888256549835205</v>
      </c>
    </row>
    <row r="10387" spans="2:6">
      <c r="B10387">
        <v>2019</v>
      </c>
      <c r="C10387" t="s">
        <v>114</v>
      </c>
      <c r="D10387" t="s">
        <v>184</v>
      </c>
      <c r="E10387" t="s">
        <v>15</v>
      </c>
      <c r="F10387">
        <v>0.40991157293319702</v>
      </c>
    </row>
    <row r="10388" spans="2:6">
      <c r="B10388">
        <v>2020</v>
      </c>
      <c r="C10388" t="s">
        <v>114</v>
      </c>
      <c r="D10388" t="s">
        <v>184</v>
      </c>
      <c r="E10388" t="s">
        <v>7</v>
      </c>
      <c r="F10388">
        <v>4.8026175498962402</v>
      </c>
    </row>
    <row r="10389" spans="2:6">
      <c r="B10389">
        <v>2020</v>
      </c>
      <c r="C10389" t="s">
        <v>114</v>
      </c>
      <c r="D10389" t="s">
        <v>184</v>
      </c>
      <c r="E10389" t="s">
        <v>8</v>
      </c>
      <c r="F10389">
        <v>8.8709173202514648</v>
      </c>
    </row>
    <row r="10390" spans="2:6">
      <c r="B10390">
        <v>2020</v>
      </c>
      <c r="C10390" t="s">
        <v>114</v>
      </c>
      <c r="D10390" t="s">
        <v>184</v>
      </c>
      <c r="E10390" t="s">
        <v>9</v>
      </c>
      <c r="F10390">
        <v>0.55252009630203247</v>
      </c>
    </row>
    <row r="10391" spans="2:6">
      <c r="B10391">
        <v>2020</v>
      </c>
      <c r="C10391" t="s">
        <v>114</v>
      </c>
      <c r="D10391" t="s">
        <v>184</v>
      </c>
      <c r="E10391" t="s">
        <v>10</v>
      </c>
      <c r="F10391">
        <v>66.5</v>
      </c>
    </row>
    <row r="10392" spans="2:6">
      <c r="B10392">
        <v>2020</v>
      </c>
      <c r="C10392" t="s">
        <v>114</v>
      </c>
      <c r="D10392" t="s">
        <v>184</v>
      </c>
      <c r="E10392" t="s">
        <v>11</v>
      </c>
      <c r="F10392">
        <v>0.81899523735046387</v>
      </c>
    </row>
    <row r="10393" spans="2:6">
      <c r="B10393">
        <v>2020</v>
      </c>
      <c r="C10393" t="s">
        <v>114</v>
      </c>
      <c r="D10393" t="s">
        <v>184</v>
      </c>
      <c r="E10393" t="s">
        <v>12</v>
      </c>
      <c r="F10393">
        <v>-0.22857755422592163</v>
      </c>
    </row>
    <row r="10394" spans="2:6">
      <c r="B10394">
        <v>2020</v>
      </c>
      <c r="C10394" t="s">
        <v>114</v>
      </c>
      <c r="D10394" t="s">
        <v>184</v>
      </c>
      <c r="E10394" t="s">
        <v>13</v>
      </c>
      <c r="F10394">
        <v>0.80274027585983276</v>
      </c>
    </row>
    <row r="10395" spans="2:6">
      <c r="B10395">
        <v>2020</v>
      </c>
      <c r="C10395" t="s">
        <v>114</v>
      </c>
      <c r="D10395" t="s">
        <v>184</v>
      </c>
      <c r="E10395" t="s">
        <v>14</v>
      </c>
      <c r="F10395">
        <v>0.58718240261077881</v>
      </c>
    </row>
    <row r="10396" spans="2:6">
      <c r="B10396">
        <v>2020</v>
      </c>
      <c r="C10396" t="s">
        <v>114</v>
      </c>
      <c r="D10396" t="s">
        <v>184</v>
      </c>
      <c r="E10396" t="s">
        <v>15</v>
      </c>
      <c r="F10396">
        <v>0.25643119215965271</v>
      </c>
    </row>
    <row r="10397" spans="2:6">
      <c r="B10397">
        <v>2006</v>
      </c>
      <c r="C10397" t="s">
        <v>115</v>
      </c>
      <c r="D10397" t="s">
        <v>184</v>
      </c>
      <c r="E10397" t="s">
        <v>7</v>
      </c>
      <c r="F10397">
        <v>4.5948796272277832</v>
      </c>
    </row>
    <row r="10398" spans="2:6">
      <c r="B10398">
        <v>2006</v>
      </c>
      <c r="C10398" t="s">
        <v>115</v>
      </c>
      <c r="D10398" t="s">
        <v>184</v>
      </c>
      <c r="E10398" t="s">
        <v>8</v>
      </c>
      <c r="F10398">
        <v>6.7758231163024902</v>
      </c>
    </row>
    <row r="10399" spans="2:6">
      <c r="B10399">
        <v>2006</v>
      </c>
      <c r="C10399" t="s">
        <v>115</v>
      </c>
      <c r="D10399" t="s">
        <v>184</v>
      </c>
      <c r="E10399" t="s">
        <v>9</v>
      </c>
      <c r="F10399">
        <v>0.87879490852355957</v>
      </c>
    </row>
    <row r="10400" spans="2:6">
      <c r="B10400">
        <v>2006</v>
      </c>
      <c r="C10400" t="s">
        <v>115</v>
      </c>
      <c r="D10400" t="s">
        <v>184</v>
      </c>
      <c r="E10400" t="s">
        <v>10</v>
      </c>
      <c r="F10400">
        <v>44.799999237060547</v>
      </c>
    </row>
    <row r="10401" spans="2:6">
      <c r="B10401">
        <v>2006</v>
      </c>
      <c r="C10401" t="s">
        <v>115</v>
      </c>
      <c r="D10401" t="s">
        <v>184</v>
      </c>
      <c r="E10401" t="s">
        <v>11</v>
      </c>
      <c r="F10401">
        <v>0.68414920568466187</v>
      </c>
    </row>
    <row r="10402" spans="2:6">
      <c r="B10402">
        <v>2006</v>
      </c>
      <c r="C10402" t="s">
        <v>115</v>
      </c>
      <c r="D10402" t="s">
        <v>184</v>
      </c>
      <c r="E10402" t="s">
        <v>12</v>
      </c>
      <c r="F10402">
        <v>4.1024670004844666E-2</v>
      </c>
    </row>
    <row r="10403" spans="2:6">
      <c r="B10403">
        <v>2006</v>
      </c>
      <c r="C10403" t="s">
        <v>115</v>
      </c>
      <c r="D10403" t="s">
        <v>184</v>
      </c>
      <c r="E10403" t="s">
        <v>13</v>
      </c>
      <c r="F10403">
        <v>0.75799918174743652</v>
      </c>
    </row>
    <row r="10404" spans="2:6">
      <c r="B10404">
        <v>2006</v>
      </c>
      <c r="C10404" t="s">
        <v>115</v>
      </c>
      <c r="D10404" t="s">
        <v>184</v>
      </c>
      <c r="E10404" t="s">
        <v>14</v>
      </c>
      <c r="F10404">
        <v>0.62254422903060913</v>
      </c>
    </row>
    <row r="10405" spans="2:6">
      <c r="B10405">
        <v>2006</v>
      </c>
      <c r="C10405" t="s">
        <v>115</v>
      </c>
      <c r="D10405" t="s">
        <v>184</v>
      </c>
      <c r="E10405" t="s">
        <v>15</v>
      </c>
      <c r="F10405">
        <v>0.32682299613952637</v>
      </c>
    </row>
    <row r="10406" spans="2:6">
      <c r="B10406">
        <v>2007</v>
      </c>
      <c r="C10406" t="s">
        <v>115</v>
      </c>
      <c r="D10406" t="s">
        <v>184</v>
      </c>
      <c r="E10406" t="s">
        <v>7</v>
      </c>
      <c r="F10406">
        <v>4.8326349258422852</v>
      </c>
    </row>
    <row r="10407" spans="2:6">
      <c r="B10407">
        <v>2007</v>
      </c>
      <c r="C10407" t="s">
        <v>115</v>
      </c>
      <c r="D10407" t="s">
        <v>184</v>
      </c>
      <c r="E10407" t="s">
        <v>8</v>
      </c>
      <c r="F10407">
        <v>6.8225436210632324</v>
      </c>
    </row>
    <row r="10408" spans="2:6">
      <c r="B10408">
        <v>2007</v>
      </c>
      <c r="C10408" t="s">
        <v>115</v>
      </c>
      <c r="D10408" t="s">
        <v>184</v>
      </c>
      <c r="E10408" t="s">
        <v>9</v>
      </c>
      <c r="F10408">
        <v>0.7476811408996582</v>
      </c>
    </row>
    <row r="10409" spans="2:6">
      <c r="B10409">
        <v>2007</v>
      </c>
      <c r="C10409" t="s">
        <v>115</v>
      </c>
      <c r="D10409" t="s">
        <v>184</v>
      </c>
      <c r="E10409" t="s">
        <v>10</v>
      </c>
      <c r="F10409">
        <v>45.5</v>
      </c>
    </row>
    <row r="10410" spans="2:6">
      <c r="B10410">
        <v>2007</v>
      </c>
      <c r="C10410" t="s">
        <v>115</v>
      </c>
      <c r="D10410" t="s">
        <v>184</v>
      </c>
      <c r="E10410" t="s">
        <v>11</v>
      </c>
      <c r="F10410">
        <v>0.64306181669235229</v>
      </c>
    </row>
    <row r="10411" spans="2:6">
      <c r="B10411">
        <v>2007</v>
      </c>
      <c r="C10411" t="s">
        <v>115</v>
      </c>
      <c r="D10411" t="s">
        <v>184</v>
      </c>
      <c r="E10411" t="s">
        <v>12</v>
      </c>
      <c r="F10411">
        <v>7.3757588863372803E-2</v>
      </c>
    </row>
    <row r="10412" spans="2:6">
      <c r="B10412">
        <v>2007</v>
      </c>
      <c r="C10412" t="s">
        <v>115</v>
      </c>
      <c r="D10412" t="s">
        <v>184</v>
      </c>
      <c r="E10412" t="s">
        <v>13</v>
      </c>
      <c r="F10412">
        <v>0.85401630401611328</v>
      </c>
    </row>
    <row r="10413" spans="2:6">
      <c r="B10413">
        <v>2007</v>
      </c>
      <c r="C10413" t="s">
        <v>115</v>
      </c>
      <c r="D10413" t="s">
        <v>184</v>
      </c>
      <c r="E10413" t="s">
        <v>14</v>
      </c>
      <c r="F10413">
        <v>0.63445127010345459</v>
      </c>
    </row>
    <row r="10414" spans="2:6">
      <c r="B10414">
        <v>2007</v>
      </c>
      <c r="C10414" t="s">
        <v>115</v>
      </c>
      <c r="D10414" t="s">
        <v>184</v>
      </c>
      <c r="E10414" t="s">
        <v>15</v>
      </c>
      <c r="F10414">
        <v>0.24026356637477875</v>
      </c>
    </row>
    <row r="10415" spans="2:6">
      <c r="B10415">
        <v>2008</v>
      </c>
      <c r="C10415" t="s">
        <v>115</v>
      </c>
      <c r="D10415" t="s">
        <v>184</v>
      </c>
      <c r="E10415" t="s">
        <v>7</v>
      </c>
      <c r="F10415">
        <v>4.6535830497741699</v>
      </c>
    </row>
    <row r="10416" spans="2:6">
      <c r="B10416">
        <v>2008</v>
      </c>
      <c r="C10416" t="s">
        <v>115</v>
      </c>
      <c r="D10416" t="s">
        <v>184</v>
      </c>
      <c r="E10416" t="s">
        <v>8</v>
      </c>
      <c r="F10416">
        <v>6.8654460906982422</v>
      </c>
    </row>
    <row r="10417" spans="2:6">
      <c r="B10417">
        <v>2008</v>
      </c>
      <c r="C10417" t="s">
        <v>115</v>
      </c>
      <c r="D10417" t="s">
        <v>184</v>
      </c>
      <c r="E10417" t="s">
        <v>9</v>
      </c>
      <c r="F10417">
        <v>0.75558280944824219</v>
      </c>
    </row>
    <row r="10418" spans="2:6">
      <c r="B10418">
        <v>2008</v>
      </c>
      <c r="C10418" t="s">
        <v>115</v>
      </c>
      <c r="D10418" t="s">
        <v>184</v>
      </c>
      <c r="E10418" t="s">
        <v>10</v>
      </c>
      <c r="F10418">
        <v>46.200000762939453</v>
      </c>
    </row>
    <row r="10419" spans="2:6">
      <c r="B10419">
        <v>2008</v>
      </c>
      <c r="C10419" t="s">
        <v>115</v>
      </c>
      <c r="D10419" t="s">
        <v>184</v>
      </c>
      <c r="E10419" t="s">
        <v>11</v>
      </c>
      <c r="F10419">
        <v>0.51443749666213989</v>
      </c>
    </row>
    <row r="10420" spans="2:6">
      <c r="B10420">
        <v>2008</v>
      </c>
      <c r="C10420" t="s">
        <v>115</v>
      </c>
      <c r="D10420" t="s">
        <v>184</v>
      </c>
      <c r="E10420" t="s">
        <v>12</v>
      </c>
      <c r="F10420">
        <v>5.7198991999030113E-3</v>
      </c>
    </row>
    <row r="10421" spans="2:6">
      <c r="B10421">
        <v>2008</v>
      </c>
      <c r="C10421" t="s">
        <v>115</v>
      </c>
      <c r="D10421" t="s">
        <v>184</v>
      </c>
      <c r="E10421" t="s">
        <v>13</v>
      </c>
      <c r="F10421">
        <v>0.86433464288711548</v>
      </c>
    </row>
    <row r="10422" spans="2:6">
      <c r="B10422">
        <v>2008</v>
      </c>
      <c r="C10422" t="s">
        <v>115</v>
      </c>
      <c r="D10422" t="s">
        <v>184</v>
      </c>
      <c r="E10422" t="s">
        <v>14</v>
      </c>
      <c r="F10422">
        <v>0.62297636270523071</v>
      </c>
    </row>
    <row r="10423" spans="2:6">
      <c r="B10423">
        <v>2008</v>
      </c>
      <c r="C10423" t="s">
        <v>115</v>
      </c>
      <c r="D10423" t="s">
        <v>184</v>
      </c>
      <c r="E10423" t="s">
        <v>15</v>
      </c>
      <c r="F10423">
        <v>0.27954640984535217</v>
      </c>
    </row>
    <row r="10424" spans="2:6">
      <c r="B10424">
        <v>2011</v>
      </c>
      <c r="C10424" t="s">
        <v>115</v>
      </c>
      <c r="D10424" t="s">
        <v>184</v>
      </c>
      <c r="E10424" t="s">
        <v>7</v>
      </c>
      <c r="F10424">
        <v>4.9711117744445801</v>
      </c>
    </row>
    <row r="10425" spans="2:6">
      <c r="B10425">
        <v>2011</v>
      </c>
      <c r="C10425" t="s">
        <v>115</v>
      </c>
      <c r="D10425" t="s">
        <v>184</v>
      </c>
      <c r="E10425" t="s">
        <v>8</v>
      </c>
      <c r="F10425">
        <v>6.9786596298217773</v>
      </c>
    </row>
    <row r="10426" spans="2:6">
      <c r="B10426">
        <v>2011</v>
      </c>
      <c r="C10426" t="s">
        <v>115</v>
      </c>
      <c r="D10426" t="s">
        <v>184</v>
      </c>
      <c r="E10426" t="s">
        <v>9</v>
      </c>
      <c r="F10426">
        <v>0.81762456893920898</v>
      </c>
    </row>
    <row r="10427" spans="2:6">
      <c r="B10427">
        <v>2011</v>
      </c>
      <c r="C10427" t="s">
        <v>115</v>
      </c>
      <c r="D10427" t="s">
        <v>184</v>
      </c>
      <c r="E10427" t="s">
        <v>10</v>
      </c>
      <c r="F10427">
        <v>48.319999694824219</v>
      </c>
    </row>
    <row r="10428" spans="2:6">
      <c r="B10428">
        <v>2011</v>
      </c>
      <c r="C10428" t="s">
        <v>115</v>
      </c>
      <c r="D10428" t="s">
        <v>184</v>
      </c>
      <c r="E10428" t="s">
        <v>11</v>
      </c>
      <c r="F10428">
        <v>0.63920682668685913</v>
      </c>
    </row>
    <row r="10429" spans="2:6">
      <c r="B10429">
        <v>2011</v>
      </c>
      <c r="C10429" t="s">
        <v>115</v>
      </c>
      <c r="D10429" t="s">
        <v>184</v>
      </c>
      <c r="E10429" t="s">
        <v>12</v>
      </c>
      <c r="F10429">
        <v>-2.4201253429055214E-2</v>
      </c>
    </row>
    <row r="10430" spans="2:6">
      <c r="B10430">
        <v>2011</v>
      </c>
      <c r="C10430" t="s">
        <v>115</v>
      </c>
      <c r="D10430" t="s">
        <v>184</v>
      </c>
      <c r="E10430" t="s">
        <v>13</v>
      </c>
      <c r="F10430">
        <v>0.71875894069671631</v>
      </c>
    </row>
    <row r="10431" spans="2:6">
      <c r="B10431">
        <v>2011</v>
      </c>
      <c r="C10431" t="s">
        <v>115</v>
      </c>
      <c r="D10431" t="s">
        <v>184</v>
      </c>
      <c r="E10431" t="s">
        <v>14</v>
      </c>
      <c r="F10431">
        <v>0.5920061469078064</v>
      </c>
    </row>
    <row r="10432" spans="2:6">
      <c r="B10432">
        <v>2011</v>
      </c>
      <c r="C10432" t="s">
        <v>115</v>
      </c>
      <c r="D10432" t="s">
        <v>184</v>
      </c>
      <c r="E10432" t="s">
        <v>15</v>
      </c>
      <c r="F10432">
        <v>0.24341605603694916</v>
      </c>
    </row>
    <row r="10433" spans="2:6">
      <c r="B10433">
        <v>2015</v>
      </c>
      <c r="C10433" t="s">
        <v>115</v>
      </c>
      <c r="D10433" t="s">
        <v>184</v>
      </c>
      <c r="E10433" t="s">
        <v>7</v>
      </c>
      <c r="F10433">
        <v>4.5497674942016602</v>
      </c>
    </row>
    <row r="10434" spans="2:6">
      <c r="B10434">
        <v>2015</v>
      </c>
      <c r="C10434" t="s">
        <v>115</v>
      </c>
      <c r="D10434" t="s">
        <v>184</v>
      </c>
      <c r="E10434" t="s">
        <v>8</v>
      </c>
      <c r="F10434">
        <v>7.1409387588500977</v>
      </c>
    </row>
    <row r="10435" spans="2:6">
      <c r="B10435">
        <v>2015</v>
      </c>
      <c r="C10435" t="s">
        <v>115</v>
      </c>
      <c r="D10435" t="s">
        <v>184</v>
      </c>
      <c r="E10435" t="s">
        <v>9</v>
      </c>
      <c r="F10435">
        <v>0.66585820913314819</v>
      </c>
    </row>
    <row r="10436" spans="2:6">
      <c r="B10436">
        <v>2015</v>
      </c>
      <c r="C10436" t="s">
        <v>115</v>
      </c>
      <c r="D10436" t="s">
        <v>184</v>
      </c>
      <c r="E10436" t="s">
        <v>10</v>
      </c>
      <c r="F10436">
        <v>51.200000762939453</v>
      </c>
    </row>
    <row r="10437" spans="2:6">
      <c r="B10437">
        <v>2015</v>
      </c>
      <c r="C10437" t="s">
        <v>115</v>
      </c>
      <c r="D10437" t="s">
        <v>184</v>
      </c>
      <c r="E10437" t="s">
        <v>11</v>
      </c>
      <c r="F10437">
        <v>0.8132292628288269</v>
      </c>
    </row>
    <row r="10438" spans="2:6">
      <c r="B10438">
        <v>2015</v>
      </c>
      <c r="C10438" t="s">
        <v>115</v>
      </c>
      <c r="D10438" t="s">
        <v>184</v>
      </c>
      <c r="E10438" t="s">
        <v>12</v>
      </c>
      <c r="F10438">
        <v>8.8727138936519623E-2</v>
      </c>
    </row>
    <row r="10439" spans="2:6">
      <c r="B10439">
        <v>2015</v>
      </c>
      <c r="C10439" t="s">
        <v>115</v>
      </c>
      <c r="D10439" t="s">
        <v>184</v>
      </c>
      <c r="E10439" t="s">
        <v>13</v>
      </c>
      <c r="F10439">
        <v>0.63157349824905396</v>
      </c>
    </row>
    <row r="10440" spans="2:6">
      <c r="B10440">
        <v>2015</v>
      </c>
      <c r="C10440" t="s">
        <v>115</v>
      </c>
      <c r="D10440" t="s">
        <v>184</v>
      </c>
      <c r="E10440" t="s">
        <v>14</v>
      </c>
      <c r="F10440">
        <v>0.5644606351852417</v>
      </c>
    </row>
    <row r="10441" spans="2:6">
      <c r="B10441">
        <v>2015</v>
      </c>
      <c r="C10441" t="s">
        <v>115</v>
      </c>
      <c r="D10441" t="s">
        <v>184</v>
      </c>
      <c r="E10441" t="s">
        <v>15</v>
      </c>
      <c r="F10441">
        <v>0.3395843505859375</v>
      </c>
    </row>
    <row r="10442" spans="2:6">
      <c r="B10442">
        <v>2017</v>
      </c>
      <c r="C10442" t="s">
        <v>115</v>
      </c>
      <c r="D10442" t="s">
        <v>184</v>
      </c>
      <c r="E10442" t="s">
        <v>7</v>
      </c>
      <c r="F10442">
        <v>4.2798633575439453</v>
      </c>
    </row>
    <row r="10443" spans="2:6">
      <c r="B10443">
        <v>2017</v>
      </c>
      <c r="C10443" t="s">
        <v>115</v>
      </c>
      <c r="D10443" t="s">
        <v>184</v>
      </c>
      <c r="E10443" t="s">
        <v>8</v>
      </c>
      <c r="F10443">
        <v>7.157470703125</v>
      </c>
    </row>
    <row r="10444" spans="2:6">
      <c r="B10444">
        <v>2017</v>
      </c>
      <c r="C10444" t="s">
        <v>115</v>
      </c>
      <c r="D10444" t="s">
        <v>184</v>
      </c>
      <c r="E10444" t="s">
        <v>9</v>
      </c>
      <c r="F10444">
        <v>0.67846369743347168</v>
      </c>
    </row>
    <row r="10445" spans="2:6">
      <c r="B10445">
        <v>2017</v>
      </c>
      <c r="C10445" t="s">
        <v>115</v>
      </c>
      <c r="D10445" t="s">
        <v>184</v>
      </c>
      <c r="E10445" t="s">
        <v>10</v>
      </c>
      <c r="F10445">
        <v>53.200000762939453</v>
      </c>
    </row>
    <row r="10446" spans="2:6">
      <c r="B10446">
        <v>2017</v>
      </c>
      <c r="C10446" t="s">
        <v>115</v>
      </c>
      <c r="D10446" t="s">
        <v>184</v>
      </c>
      <c r="E10446" t="s">
        <v>11</v>
      </c>
      <c r="F10446">
        <v>0.82267051935195923</v>
      </c>
    </row>
    <row r="10447" spans="2:6">
      <c r="B10447">
        <v>2017</v>
      </c>
      <c r="C10447" t="s">
        <v>115</v>
      </c>
      <c r="D10447" t="s">
        <v>184</v>
      </c>
      <c r="E10447" t="s">
        <v>12</v>
      </c>
      <c r="F10447">
        <v>-2.9964828863739967E-2</v>
      </c>
    </row>
    <row r="10448" spans="2:6">
      <c r="B10448">
        <v>2017</v>
      </c>
      <c r="C10448" t="s">
        <v>115</v>
      </c>
      <c r="D10448" t="s">
        <v>184</v>
      </c>
      <c r="E10448" t="s">
        <v>13</v>
      </c>
      <c r="F10448">
        <v>0.68210893869400024</v>
      </c>
    </row>
    <row r="10449" spans="2:6">
      <c r="B10449">
        <v>2017</v>
      </c>
      <c r="C10449" t="s">
        <v>115</v>
      </c>
      <c r="D10449" t="s">
        <v>184</v>
      </c>
      <c r="E10449" t="s">
        <v>14</v>
      </c>
      <c r="F10449">
        <v>0.64838141202926636</v>
      </c>
    </row>
    <row r="10450" spans="2:6">
      <c r="B10450">
        <v>2017</v>
      </c>
      <c r="C10450" t="s">
        <v>115</v>
      </c>
      <c r="D10450" t="s">
        <v>184</v>
      </c>
      <c r="E10450" t="s">
        <v>15</v>
      </c>
      <c r="F10450">
        <v>0.35317650437355042</v>
      </c>
    </row>
    <row r="10451" spans="2:6">
      <c r="B10451">
        <v>2018</v>
      </c>
      <c r="C10451" t="s">
        <v>115</v>
      </c>
      <c r="D10451" t="s">
        <v>184</v>
      </c>
      <c r="E10451" t="s">
        <v>7</v>
      </c>
      <c r="F10451">
        <v>4.6537137031555176</v>
      </c>
    </row>
    <row r="10452" spans="2:6">
      <c r="B10452">
        <v>2018</v>
      </c>
      <c r="C10452" t="s">
        <v>115</v>
      </c>
      <c r="D10452" t="s">
        <v>184</v>
      </c>
      <c r="E10452" t="s">
        <v>8</v>
      </c>
      <c r="F10452">
        <v>7.1620430946350098</v>
      </c>
    </row>
    <row r="10453" spans="2:6">
      <c r="B10453">
        <v>2018</v>
      </c>
      <c r="C10453" t="s">
        <v>115</v>
      </c>
      <c r="D10453" t="s">
        <v>184</v>
      </c>
      <c r="E10453" t="s">
        <v>9</v>
      </c>
      <c r="F10453">
        <v>0.73848044872283936</v>
      </c>
    </row>
    <row r="10454" spans="2:6">
      <c r="B10454">
        <v>2018</v>
      </c>
      <c r="C10454" t="s">
        <v>115</v>
      </c>
      <c r="D10454" t="s">
        <v>184</v>
      </c>
      <c r="E10454" t="s">
        <v>10</v>
      </c>
      <c r="F10454">
        <v>54.200000762939453</v>
      </c>
    </row>
    <row r="10455" spans="2:6">
      <c r="B10455">
        <v>2018</v>
      </c>
      <c r="C10455" t="s">
        <v>115</v>
      </c>
      <c r="D10455" t="s">
        <v>184</v>
      </c>
      <c r="E10455" t="s">
        <v>11</v>
      </c>
      <c r="F10455">
        <v>0.89662158489227295</v>
      </c>
    </row>
    <row r="10456" spans="2:6">
      <c r="B10456">
        <v>2018</v>
      </c>
      <c r="C10456" t="s">
        <v>115</v>
      </c>
      <c r="D10456" t="s">
        <v>184</v>
      </c>
      <c r="E10456" t="s">
        <v>12</v>
      </c>
      <c r="F10456">
        <v>4.8563830554485321E-2</v>
      </c>
    </row>
    <row r="10457" spans="2:6">
      <c r="B10457">
        <v>2018</v>
      </c>
      <c r="C10457" t="s">
        <v>115</v>
      </c>
      <c r="D10457" t="s">
        <v>184</v>
      </c>
      <c r="E10457" t="s">
        <v>13</v>
      </c>
      <c r="F10457">
        <v>0.69122040271759033</v>
      </c>
    </row>
    <row r="10458" spans="2:6">
      <c r="B10458">
        <v>2018</v>
      </c>
      <c r="C10458" t="s">
        <v>115</v>
      </c>
      <c r="D10458" t="s">
        <v>184</v>
      </c>
      <c r="E10458" t="s">
        <v>14</v>
      </c>
      <c r="F10458">
        <v>0.63963955640792847</v>
      </c>
    </row>
    <row r="10459" spans="2:6">
      <c r="B10459">
        <v>2018</v>
      </c>
      <c r="C10459" t="s">
        <v>115</v>
      </c>
      <c r="D10459" t="s">
        <v>184</v>
      </c>
      <c r="E10459" t="s">
        <v>15</v>
      </c>
      <c r="F10459">
        <v>0.39727872610092163</v>
      </c>
    </row>
    <row r="10460" spans="2:6">
      <c r="B10460">
        <v>2019</v>
      </c>
      <c r="C10460" t="s">
        <v>115</v>
      </c>
      <c r="D10460" t="s">
        <v>184</v>
      </c>
      <c r="E10460" t="s">
        <v>7</v>
      </c>
      <c r="F10460">
        <v>4.9321327209472656</v>
      </c>
    </row>
    <row r="10461" spans="2:6">
      <c r="B10461">
        <v>2019</v>
      </c>
      <c r="C10461" t="s">
        <v>115</v>
      </c>
      <c r="D10461" t="s">
        <v>184</v>
      </c>
      <c r="E10461" t="s">
        <v>8</v>
      </c>
      <c r="F10461">
        <v>7.1549668312072754</v>
      </c>
    </row>
    <row r="10462" spans="2:6">
      <c r="B10462">
        <v>2019</v>
      </c>
      <c r="C10462" t="s">
        <v>115</v>
      </c>
      <c r="D10462" t="s">
        <v>184</v>
      </c>
      <c r="E10462" t="s">
        <v>9</v>
      </c>
      <c r="F10462">
        <v>0.74230372905731201</v>
      </c>
    </row>
    <row r="10463" spans="2:6">
      <c r="B10463">
        <v>2019</v>
      </c>
      <c r="C10463" t="s">
        <v>115</v>
      </c>
      <c r="D10463" t="s">
        <v>184</v>
      </c>
      <c r="E10463" t="s">
        <v>10</v>
      </c>
      <c r="F10463">
        <v>55.200000762939453</v>
      </c>
    </row>
    <row r="10464" spans="2:6">
      <c r="B10464">
        <v>2019</v>
      </c>
      <c r="C10464" t="s">
        <v>115</v>
      </c>
      <c r="D10464" t="s">
        <v>184</v>
      </c>
      <c r="E10464" t="s">
        <v>11</v>
      </c>
      <c r="F10464">
        <v>0.86981022357940674</v>
      </c>
    </row>
    <row r="10465" spans="2:6">
      <c r="B10465">
        <v>2019</v>
      </c>
      <c r="C10465" t="s">
        <v>115</v>
      </c>
      <c r="D10465" t="s">
        <v>184</v>
      </c>
      <c r="E10465" t="s">
        <v>12</v>
      </c>
      <c r="F10465">
        <v>7.274501770734787E-2</v>
      </c>
    </row>
    <row r="10466" spans="2:6">
      <c r="B10466">
        <v>2019</v>
      </c>
      <c r="C10466" t="s">
        <v>115</v>
      </c>
      <c r="D10466" t="s">
        <v>184</v>
      </c>
      <c r="E10466" t="s">
        <v>13</v>
      </c>
      <c r="F10466">
        <v>0.68190044164657593</v>
      </c>
    </row>
    <row r="10467" spans="2:6">
      <c r="B10467">
        <v>2019</v>
      </c>
      <c r="C10467" t="s">
        <v>115</v>
      </c>
      <c r="D10467" t="s">
        <v>184</v>
      </c>
      <c r="E10467" t="s">
        <v>14</v>
      </c>
      <c r="F10467">
        <v>0.58727473020553589</v>
      </c>
    </row>
    <row r="10468" spans="2:6">
      <c r="B10468">
        <v>2019</v>
      </c>
      <c r="C10468" t="s">
        <v>115</v>
      </c>
      <c r="D10468" t="s">
        <v>184</v>
      </c>
      <c r="E10468" t="s">
        <v>15</v>
      </c>
      <c r="F10468">
        <v>0.38412275910377502</v>
      </c>
    </row>
    <row r="10469" spans="2:6">
      <c r="B10469">
        <v>2012</v>
      </c>
      <c r="C10469" t="s">
        <v>116</v>
      </c>
      <c r="D10469" t="s">
        <v>182</v>
      </c>
      <c r="E10469" t="s">
        <v>7</v>
      </c>
      <c r="F10469">
        <v>4.4389395713806152</v>
      </c>
    </row>
    <row r="10470" spans="2:6">
      <c r="B10470">
        <v>2012</v>
      </c>
      <c r="C10470" t="s">
        <v>116</v>
      </c>
      <c r="D10470" t="s">
        <v>182</v>
      </c>
      <c r="E10470" t="s">
        <v>8</v>
      </c>
      <c r="F10470">
        <v>8.1579961776733398</v>
      </c>
    </row>
    <row r="10471" spans="2:6">
      <c r="B10471">
        <v>2012</v>
      </c>
      <c r="C10471" t="s">
        <v>116</v>
      </c>
      <c r="D10471" t="s">
        <v>182</v>
      </c>
      <c r="E10471" t="s">
        <v>9</v>
      </c>
      <c r="F10471">
        <v>0.61224967241287231</v>
      </c>
    </row>
    <row r="10472" spans="2:6">
      <c r="B10472">
        <v>2012</v>
      </c>
      <c r="C10472" t="s">
        <v>116</v>
      </c>
      <c r="D10472" t="s">
        <v>182</v>
      </c>
      <c r="E10472" t="s">
        <v>10</v>
      </c>
      <c r="F10472">
        <v>57.020000457763672</v>
      </c>
    </row>
    <row r="10473" spans="2:6">
      <c r="B10473">
        <v>2012</v>
      </c>
      <c r="C10473" t="s">
        <v>116</v>
      </c>
      <c r="D10473" t="s">
        <v>182</v>
      </c>
      <c r="E10473" t="s">
        <v>11</v>
      </c>
      <c r="F10473">
        <v>0.69109427928924561</v>
      </c>
    </row>
    <row r="10474" spans="2:6">
      <c r="B10474">
        <v>2012</v>
      </c>
      <c r="C10474" t="s">
        <v>116</v>
      </c>
      <c r="D10474" t="s">
        <v>182</v>
      </c>
      <c r="E10474" t="s">
        <v>12</v>
      </c>
      <c r="F10474">
        <v>0.64497506618499756</v>
      </c>
    </row>
    <row r="10475" spans="2:6">
      <c r="B10475">
        <v>2012</v>
      </c>
      <c r="C10475" t="s">
        <v>116</v>
      </c>
      <c r="D10475" t="s">
        <v>182</v>
      </c>
      <c r="E10475" t="s">
        <v>13</v>
      </c>
      <c r="F10475">
        <v>0.69473868608474731</v>
      </c>
    </row>
    <row r="10476" spans="2:6">
      <c r="B10476">
        <v>2012</v>
      </c>
      <c r="C10476" t="s">
        <v>116</v>
      </c>
      <c r="D10476" t="s">
        <v>182</v>
      </c>
      <c r="E10476" t="s">
        <v>14</v>
      </c>
      <c r="F10476">
        <v>0.76430416107177734</v>
      </c>
    </row>
    <row r="10477" spans="2:6">
      <c r="B10477">
        <v>2012</v>
      </c>
      <c r="C10477" t="s">
        <v>116</v>
      </c>
      <c r="D10477" t="s">
        <v>182</v>
      </c>
      <c r="E10477" t="s">
        <v>15</v>
      </c>
      <c r="F10477">
        <v>0.20541441440582275</v>
      </c>
    </row>
    <row r="10478" spans="2:6">
      <c r="B10478">
        <v>2013</v>
      </c>
      <c r="C10478" t="s">
        <v>116</v>
      </c>
      <c r="D10478" t="s">
        <v>182</v>
      </c>
      <c r="E10478" t="s">
        <v>7</v>
      </c>
      <c r="F10478">
        <v>4.1756706237792969</v>
      </c>
    </row>
    <row r="10479" spans="2:6">
      <c r="B10479">
        <v>2013</v>
      </c>
      <c r="C10479" t="s">
        <v>116</v>
      </c>
      <c r="D10479" t="s">
        <v>182</v>
      </c>
      <c r="E10479" t="s">
        <v>8</v>
      </c>
      <c r="F10479">
        <v>8.2303962707519531</v>
      </c>
    </row>
    <row r="10480" spans="2:6">
      <c r="B10480">
        <v>2013</v>
      </c>
      <c r="C10480" t="s">
        <v>116</v>
      </c>
      <c r="D10480" t="s">
        <v>182</v>
      </c>
      <c r="E10480" t="s">
        <v>9</v>
      </c>
      <c r="F10480">
        <v>0.7567254900932312</v>
      </c>
    </row>
    <row r="10481" spans="2:6">
      <c r="B10481">
        <v>2013</v>
      </c>
      <c r="C10481" t="s">
        <v>116</v>
      </c>
      <c r="D10481" t="s">
        <v>182</v>
      </c>
      <c r="E10481" t="s">
        <v>10</v>
      </c>
      <c r="F10481">
        <v>57.380001068115234</v>
      </c>
    </row>
    <row r="10482" spans="2:6">
      <c r="B10482">
        <v>2013</v>
      </c>
      <c r="C10482" t="s">
        <v>116</v>
      </c>
      <c r="D10482" t="s">
        <v>182</v>
      </c>
      <c r="E10482" t="s">
        <v>11</v>
      </c>
      <c r="F10482">
        <v>0.77544760704040527</v>
      </c>
    </row>
    <row r="10483" spans="2:6">
      <c r="B10483">
        <v>2013</v>
      </c>
      <c r="C10483" t="s">
        <v>116</v>
      </c>
      <c r="D10483" t="s">
        <v>182</v>
      </c>
      <c r="E10483" t="s">
        <v>12</v>
      </c>
      <c r="F10483">
        <v>0.68931800127029419</v>
      </c>
    </row>
    <row r="10484" spans="2:6">
      <c r="B10484">
        <v>2013</v>
      </c>
      <c r="C10484" t="s">
        <v>116</v>
      </c>
      <c r="D10484" t="s">
        <v>182</v>
      </c>
      <c r="E10484" t="s">
        <v>13</v>
      </c>
      <c r="F10484">
        <v>0.63776576519012451</v>
      </c>
    </row>
    <row r="10485" spans="2:6">
      <c r="B10485">
        <v>2013</v>
      </c>
      <c r="C10485" t="s">
        <v>116</v>
      </c>
      <c r="D10485" t="s">
        <v>182</v>
      </c>
      <c r="E10485" t="s">
        <v>14</v>
      </c>
      <c r="F10485">
        <v>0.80330181121826172</v>
      </c>
    </row>
    <row r="10486" spans="2:6">
      <c r="B10486">
        <v>2013</v>
      </c>
      <c r="C10486" t="s">
        <v>116</v>
      </c>
      <c r="D10486" t="s">
        <v>182</v>
      </c>
      <c r="E10486" t="s">
        <v>15</v>
      </c>
      <c r="F10486">
        <v>0.21731062233448029</v>
      </c>
    </row>
    <row r="10487" spans="2:6">
      <c r="B10487">
        <v>2014</v>
      </c>
      <c r="C10487" t="s">
        <v>116</v>
      </c>
      <c r="D10487" t="s">
        <v>182</v>
      </c>
      <c r="E10487" t="s">
        <v>7</v>
      </c>
      <c r="F10487">
        <v>4.7862472534179688</v>
      </c>
    </row>
    <row r="10488" spans="2:6">
      <c r="B10488">
        <v>2014</v>
      </c>
      <c r="C10488" t="s">
        <v>116</v>
      </c>
      <c r="D10488" t="s">
        <v>182</v>
      </c>
      <c r="E10488" t="s">
        <v>8</v>
      </c>
      <c r="F10488">
        <v>8.299046516418457</v>
      </c>
    </row>
    <row r="10489" spans="2:6">
      <c r="B10489">
        <v>2014</v>
      </c>
      <c r="C10489" t="s">
        <v>116</v>
      </c>
      <c r="D10489" t="s">
        <v>182</v>
      </c>
      <c r="E10489" t="s">
        <v>9</v>
      </c>
      <c r="F10489">
        <v>0.77426743507385254</v>
      </c>
    </row>
    <row r="10490" spans="2:6">
      <c r="B10490">
        <v>2014</v>
      </c>
      <c r="C10490" t="s">
        <v>116</v>
      </c>
      <c r="D10490" t="s">
        <v>182</v>
      </c>
      <c r="E10490" t="s">
        <v>10</v>
      </c>
      <c r="F10490">
        <v>57.740001678466797</v>
      </c>
    </row>
    <row r="10491" spans="2:6">
      <c r="B10491">
        <v>2014</v>
      </c>
      <c r="C10491" t="s">
        <v>116</v>
      </c>
      <c r="D10491" t="s">
        <v>182</v>
      </c>
      <c r="E10491" t="s">
        <v>12</v>
      </c>
      <c r="F10491">
        <v>0.69809877872467041</v>
      </c>
    </row>
    <row r="10492" spans="2:6">
      <c r="B10492">
        <v>2014</v>
      </c>
      <c r="C10492" t="s">
        <v>116</v>
      </c>
      <c r="D10492" t="s">
        <v>182</v>
      </c>
      <c r="E10492" t="s">
        <v>13</v>
      </c>
      <c r="F10492">
        <v>0.59163296222686768</v>
      </c>
    </row>
    <row r="10493" spans="2:6">
      <c r="B10493">
        <v>2014</v>
      </c>
      <c r="C10493" t="s">
        <v>116</v>
      </c>
      <c r="D10493" t="s">
        <v>182</v>
      </c>
      <c r="E10493" t="s">
        <v>14</v>
      </c>
      <c r="F10493">
        <v>0.85796540975570679</v>
      </c>
    </row>
    <row r="10494" spans="2:6">
      <c r="B10494">
        <v>2014</v>
      </c>
      <c r="C10494" t="s">
        <v>116</v>
      </c>
      <c r="D10494" t="s">
        <v>182</v>
      </c>
      <c r="E10494" t="s">
        <v>15</v>
      </c>
      <c r="F10494">
        <v>0.11197876930236816</v>
      </c>
    </row>
    <row r="10495" spans="2:6">
      <c r="B10495">
        <v>2015</v>
      </c>
      <c r="C10495" t="s">
        <v>116</v>
      </c>
      <c r="D10495" t="s">
        <v>182</v>
      </c>
      <c r="E10495" t="s">
        <v>7</v>
      </c>
      <c r="F10495">
        <v>4.223846435546875</v>
      </c>
    </row>
    <row r="10496" spans="2:6">
      <c r="B10496">
        <v>2015</v>
      </c>
      <c r="C10496" t="s">
        <v>116</v>
      </c>
      <c r="D10496" t="s">
        <v>182</v>
      </c>
      <c r="E10496" t="s">
        <v>8</v>
      </c>
      <c r="F10496">
        <v>8.3590183258056641</v>
      </c>
    </row>
    <row r="10497" spans="2:6">
      <c r="B10497">
        <v>2015</v>
      </c>
      <c r="C10497" t="s">
        <v>116</v>
      </c>
      <c r="D10497" t="s">
        <v>182</v>
      </c>
      <c r="E10497" t="s">
        <v>9</v>
      </c>
      <c r="F10497">
        <v>0.7520642876625061</v>
      </c>
    </row>
    <row r="10498" spans="2:6">
      <c r="B10498">
        <v>2015</v>
      </c>
      <c r="C10498" t="s">
        <v>116</v>
      </c>
      <c r="D10498" t="s">
        <v>182</v>
      </c>
      <c r="E10498" t="s">
        <v>10</v>
      </c>
      <c r="F10498">
        <v>58.099998474121094</v>
      </c>
    </row>
    <row r="10499" spans="2:6">
      <c r="B10499">
        <v>2015</v>
      </c>
      <c r="C10499" t="s">
        <v>116</v>
      </c>
      <c r="D10499" t="s">
        <v>182</v>
      </c>
      <c r="E10499" t="s">
        <v>11</v>
      </c>
      <c r="F10499">
        <v>0.80797106027603149</v>
      </c>
    </row>
    <row r="10500" spans="2:6">
      <c r="B10500">
        <v>2015</v>
      </c>
      <c r="C10500" t="s">
        <v>116</v>
      </c>
      <c r="D10500" t="s">
        <v>182</v>
      </c>
      <c r="E10500" t="s">
        <v>12</v>
      </c>
      <c r="F10500">
        <v>0.68756020069122314</v>
      </c>
    </row>
    <row r="10501" spans="2:6">
      <c r="B10501">
        <v>2015</v>
      </c>
      <c r="C10501" t="s">
        <v>116</v>
      </c>
      <c r="D10501" t="s">
        <v>182</v>
      </c>
      <c r="E10501" t="s">
        <v>13</v>
      </c>
      <c r="F10501">
        <v>0.63330519199371338</v>
      </c>
    </row>
    <row r="10502" spans="2:6">
      <c r="B10502">
        <v>2015</v>
      </c>
      <c r="C10502" t="s">
        <v>116</v>
      </c>
      <c r="D10502" t="s">
        <v>182</v>
      </c>
      <c r="E10502" t="s">
        <v>14</v>
      </c>
      <c r="F10502">
        <v>0.86590605974197388</v>
      </c>
    </row>
    <row r="10503" spans="2:6">
      <c r="B10503">
        <v>2015</v>
      </c>
      <c r="C10503" t="s">
        <v>116</v>
      </c>
      <c r="D10503" t="s">
        <v>182</v>
      </c>
      <c r="E10503" t="s">
        <v>15</v>
      </c>
      <c r="F10503">
        <v>0.27175077795982361</v>
      </c>
    </row>
    <row r="10504" spans="2:6">
      <c r="B10504">
        <v>2016</v>
      </c>
      <c r="C10504" t="s">
        <v>116</v>
      </c>
      <c r="D10504" t="s">
        <v>182</v>
      </c>
      <c r="E10504" t="s">
        <v>7</v>
      </c>
      <c r="F10504">
        <v>4.6231198310852051</v>
      </c>
    </row>
    <row r="10505" spans="2:6">
      <c r="B10505">
        <v>2016</v>
      </c>
      <c r="C10505" t="s">
        <v>116</v>
      </c>
      <c r="D10505" t="s">
        <v>182</v>
      </c>
      <c r="E10505" t="s">
        <v>8</v>
      </c>
      <c r="F10505">
        <v>8.4080305099487305</v>
      </c>
    </row>
    <row r="10506" spans="2:6">
      <c r="B10506">
        <v>2016</v>
      </c>
      <c r="C10506" t="s">
        <v>116</v>
      </c>
      <c r="D10506" t="s">
        <v>182</v>
      </c>
      <c r="E10506" t="s">
        <v>9</v>
      </c>
      <c r="F10506">
        <v>0.79346197843551636</v>
      </c>
    </row>
    <row r="10507" spans="2:6">
      <c r="B10507">
        <v>2016</v>
      </c>
      <c r="C10507" t="s">
        <v>116</v>
      </c>
      <c r="D10507" t="s">
        <v>182</v>
      </c>
      <c r="E10507" t="s">
        <v>10</v>
      </c>
      <c r="F10507">
        <v>58.400001525878906</v>
      </c>
    </row>
    <row r="10508" spans="2:6">
      <c r="B10508">
        <v>2016</v>
      </c>
      <c r="C10508" t="s">
        <v>116</v>
      </c>
      <c r="D10508" t="s">
        <v>182</v>
      </c>
      <c r="E10508" t="s">
        <v>11</v>
      </c>
      <c r="F10508">
        <v>0.87749117612838745</v>
      </c>
    </row>
    <row r="10509" spans="2:6">
      <c r="B10509">
        <v>2016</v>
      </c>
      <c r="C10509" t="s">
        <v>116</v>
      </c>
      <c r="D10509" t="s">
        <v>182</v>
      </c>
      <c r="E10509" t="s">
        <v>12</v>
      </c>
      <c r="F10509">
        <v>0.67942637205123901</v>
      </c>
    </row>
    <row r="10510" spans="2:6">
      <c r="B10510">
        <v>2016</v>
      </c>
      <c r="C10510" t="s">
        <v>116</v>
      </c>
      <c r="D10510" t="s">
        <v>182</v>
      </c>
      <c r="E10510" t="s">
        <v>13</v>
      </c>
      <c r="F10510">
        <v>0.60728657245635986</v>
      </c>
    </row>
    <row r="10511" spans="2:6">
      <c r="B10511">
        <v>2016</v>
      </c>
      <c r="C10511" t="s">
        <v>116</v>
      </c>
      <c r="D10511" t="s">
        <v>182</v>
      </c>
      <c r="E10511" t="s">
        <v>14</v>
      </c>
      <c r="F10511">
        <v>0.80400991439819336</v>
      </c>
    </row>
    <row r="10512" spans="2:6">
      <c r="B10512">
        <v>2016</v>
      </c>
      <c r="C10512" t="s">
        <v>116</v>
      </c>
      <c r="D10512" t="s">
        <v>182</v>
      </c>
      <c r="E10512" t="s">
        <v>15</v>
      </c>
      <c r="F10512">
        <v>0.30150139331817627</v>
      </c>
    </row>
    <row r="10513" spans="2:6">
      <c r="B10513">
        <v>2017</v>
      </c>
      <c r="C10513" t="s">
        <v>116</v>
      </c>
      <c r="D10513" t="s">
        <v>182</v>
      </c>
      <c r="E10513" t="s">
        <v>7</v>
      </c>
      <c r="F10513">
        <v>4.1543416976928711</v>
      </c>
    </row>
    <row r="10514" spans="2:6">
      <c r="B10514">
        <v>2017</v>
      </c>
      <c r="C10514" t="s">
        <v>116</v>
      </c>
      <c r="D10514" t="s">
        <v>182</v>
      </c>
      <c r="E10514" t="s">
        <v>8</v>
      </c>
      <c r="F10514">
        <v>8.4637737274169922</v>
      </c>
    </row>
    <row r="10515" spans="2:6">
      <c r="B10515">
        <v>2017</v>
      </c>
      <c r="C10515" t="s">
        <v>116</v>
      </c>
      <c r="D10515" t="s">
        <v>182</v>
      </c>
      <c r="E10515" t="s">
        <v>9</v>
      </c>
      <c r="F10515">
        <v>0.79518383741378784</v>
      </c>
    </row>
    <row r="10516" spans="2:6">
      <c r="B10516">
        <v>2017</v>
      </c>
      <c r="C10516" t="s">
        <v>116</v>
      </c>
      <c r="D10516" t="s">
        <v>182</v>
      </c>
      <c r="E10516" t="s">
        <v>10</v>
      </c>
      <c r="F10516">
        <v>58.700000762939453</v>
      </c>
    </row>
    <row r="10517" spans="2:6">
      <c r="B10517">
        <v>2017</v>
      </c>
      <c r="C10517" t="s">
        <v>116</v>
      </c>
      <c r="D10517" t="s">
        <v>182</v>
      </c>
      <c r="E10517" t="s">
        <v>11</v>
      </c>
      <c r="F10517">
        <v>0.88601183891296387</v>
      </c>
    </row>
    <row r="10518" spans="2:6">
      <c r="B10518">
        <v>2017</v>
      </c>
      <c r="C10518" t="s">
        <v>116</v>
      </c>
      <c r="D10518" t="s">
        <v>182</v>
      </c>
      <c r="E10518" t="s">
        <v>12</v>
      </c>
      <c r="F10518">
        <v>0.65000909566879272</v>
      </c>
    </row>
    <row r="10519" spans="2:6">
      <c r="B10519">
        <v>2017</v>
      </c>
      <c r="C10519" t="s">
        <v>116</v>
      </c>
      <c r="D10519" t="s">
        <v>182</v>
      </c>
      <c r="E10519" t="s">
        <v>13</v>
      </c>
      <c r="F10519">
        <v>0.61882150173187256</v>
      </c>
    </row>
    <row r="10520" spans="2:6">
      <c r="B10520">
        <v>2017</v>
      </c>
      <c r="C10520" t="s">
        <v>116</v>
      </c>
      <c r="D10520" t="s">
        <v>182</v>
      </c>
      <c r="E10520" t="s">
        <v>14</v>
      </c>
      <c r="F10520">
        <v>0.74564749002456665</v>
      </c>
    </row>
    <row r="10521" spans="2:6">
      <c r="B10521">
        <v>2017</v>
      </c>
      <c r="C10521" t="s">
        <v>116</v>
      </c>
      <c r="D10521" t="s">
        <v>182</v>
      </c>
      <c r="E10521" t="s">
        <v>15</v>
      </c>
      <c r="F10521">
        <v>0.28228554129600525</v>
      </c>
    </row>
    <row r="10522" spans="2:6">
      <c r="B10522">
        <v>2018</v>
      </c>
      <c r="C10522" t="s">
        <v>116</v>
      </c>
      <c r="D10522" t="s">
        <v>182</v>
      </c>
      <c r="E10522" t="s">
        <v>7</v>
      </c>
      <c r="F10522">
        <v>4.4106330871582031</v>
      </c>
    </row>
    <row r="10523" spans="2:6">
      <c r="B10523">
        <v>2018</v>
      </c>
      <c r="C10523" t="s">
        <v>116</v>
      </c>
      <c r="D10523" t="s">
        <v>182</v>
      </c>
      <c r="E10523" t="s">
        <v>8</v>
      </c>
      <c r="F10523">
        <v>8.5230121612548828</v>
      </c>
    </row>
    <row r="10524" spans="2:6">
      <c r="B10524">
        <v>2018</v>
      </c>
      <c r="C10524" t="s">
        <v>116</v>
      </c>
      <c r="D10524" t="s">
        <v>182</v>
      </c>
      <c r="E10524" t="s">
        <v>9</v>
      </c>
      <c r="F10524">
        <v>0.77382594347000122</v>
      </c>
    </row>
    <row r="10525" spans="2:6">
      <c r="B10525">
        <v>2018</v>
      </c>
      <c r="C10525" t="s">
        <v>116</v>
      </c>
      <c r="D10525" t="s">
        <v>182</v>
      </c>
      <c r="E10525" t="s">
        <v>10</v>
      </c>
      <c r="F10525">
        <v>59</v>
      </c>
    </row>
    <row r="10526" spans="2:6">
      <c r="B10526">
        <v>2018</v>
      </c>
      <c r="C10526" t="s">
        <v>116</v>
      </c>
      <c r="D10526" t="s">
        <v>182</v>
      </c>
      <c r="E10526" t="s">
        <v>11</v>
      </c>
      <c r="F10526">
        <v>0.90611082315444946</v>
      </c>
    </row>
    <row r="10527" spans="2:6">
      <c r="B10527">
        <v>2018</v>
      </c>
      <c r="C10527" t="s">
        <v>116</v>
      </c>
      <c r="D10527" t="s">
        <v>182</v>
      </c>
      <c r="E10527" t="s">
        <v>12</v>
      </c>
      <c r="F10527">
        <v>0.49035456776618958</v>
      </c>
    </row>
    <row r="10528" spans="2:6">
      <c r="B10528">
        <v>2018</v>
      </c>
      <c r="C10528" t="s">
        <v>116</v>
      </c>
      <c r="D10528" t="s">
        <v>182</v>
      </c>
      <c r="E10528" t="s">
        <v>13</v>
      </c>
      <c r="F10528">
        <v>0.64672589302062988</v>
      </c>
    </row>
    <row r="10529" spans="2:6">
      <c r="B10529">
        <v>2018</v>
      </c>
      <c r="C10529" t="s">
        <v>116</v>
      </c>
      <c r="D10529" t="s">
        <v>182</v>
      </c>
      <c r="E10529" t="s">
        <v>14</v>
      </c>
      <c r="F10529">
        <v>0.77695059776306152</v>
      </c>
    </row>
    <row r="10530" spans="2:6">
      <c r="B10530">
        <v>2018</v>
      </c>
      <c r="C10530" t="s">
        <v>116</v>
      </c>
      <c r="D10530" t="s">
        <v>182</v>
      </c>
      <c r="E10530" t="s">
        <v>15</v>
      </c>
      <c r="F10530">
        <v>0.30014035105705261</v>
      </c>
    </row>
    <row r="10531" spans="2:6">
      <c r="B10531">
        <v>2019</v>
      </c>
      <c r="C10531" t="s">
        <v>116</v>
      </c>
      <c r="D10531" t="s">
        <v>182</v>
      </c>
      <c r="E10531" t="s">
        <v>7</v>
      </c>
      <c r="F10531">
        <v>4.4342374801635742</v>
      </c>
    </row>
    <row r="10532" spans="2:6">
      <c r="B10532">
        <v>2019</v>
      </c>
      <c r="C10532" t="s">
        <v>116</v>
      </c>
      <c r="D10532" t="s">
        <v>182</v>
      </c>
      <c r="E10532" t="s">
        <v>8</v>
      </c>
      <c r="F10532">
        <v>8.54522705078125</v>
      </c>
    </row>
    <row r="10533" spans="2:6">
      <c r="B10533">
        <v>2019</v>
      </c>
      <c r="C10533" t="s">
        <v>116</v>
      </c>
      <c r="D10533" t="s">
        <v>182</v>
      </c>
      <c r="E10533" t="s">
        <v>9</v>
      </c>
      <c r="F10533">
        <v>0.76299488544464111</v>
      </c>
    </row>
    <row r="10534" spans="2:6">
      <c r="B10534">
        <v>2019</v>
      </c>
      <c r="C10534" t="s">
        <v>116</v>
      </c>
      <c r="D10534" t="s">
        <v>182</v>
      </c>
      <c r="E10534" t="s">
        <v>10</v>
      </c>
      <c r="F10534">
        <v>59.299999237060547</v>
      </c>
    </row>
    <row r="10535" spans="2:6">
      <c r="B10535">
        <v>2019</v>
      </c>
      <c r="C10535" t="s">
        <v>116</v>
      </c>
      <c r="D10535" t="s">
        <v>182</v>
      </c>
      <c r="E10535" t="s">
        <v>11</v>
      </c>
      <c r="F10535">
        <v>0.89906430244445801</v>
      </c>
    </row>
    <row r="10536" spans="2:6">
      <c r="B10536">
        <v>2019</v>
      </c>
      <c r="C10536" t="s">
        <v>116</v>
      </c>
      <c r="D10536" t="s">
        <v>182</v>
      </c>
      <c r="E10536" t="s">
        <v>12</v>
      </c>
      <c r="F10536">
        <v>0.56113839149475098</v>
      </c>
    </row>
    <row r="10537" spans="2:6">
      <c r="B10537">
        <v>2019</v>
      </c>
      <c r="C10537" t="s">
        <v>116</v>
      </c>
      <c r="D10537" t="s">
        <v>182</v>
      </c>
      <c r="E10537" t="s">
        <v>13</v>
      </c>
      <c r="F10537">
        <v>0.68179583549499512</v>
      </c>
    </row>
    <row r="10538" spans="2:6">
      <c r="B10538">
        <v>2019</v>
      </c>
      <c r="C10538" t="s">
        <v>116</v>
      </c>
      <c r="D10538" t="s">
        <v>182</v>
      </c>
      <c r="E10538" t="s">
        <v>14</v>
      </c>
      <c r="F10538">
        <v>0.75461828708648682</v>
      </c>
    </row>
    <row r="10539" spans="2:6">
      <c r="B10539">
        <v>2019</v>
      </c>
      <c r="C10539" t="s">
        <v>116</v>
      </c>
      <c r="D10539" t="s">
        <v>182</v>
      </c>
      <c r="E10539" t="s">
        <v>15</v>
      </c>
      <c r="F10539">
        <v>0.2855762243270874</v>
      </c>
    </row>
    <row r="10540" spans="2:6">
      <c r="B10540">
        <v>2020</v>
      </c>
      <c r="C10540" t="s">
        <v>116</v>
      </c>
      <c r="D10540" t="s">
        <v>182</v>
      </c>
      <c r="E10540" t="s">
        <v>7</v>
      </c>
      <c r="F10540">
        <v>4.4313640594482422</v>
      </c>
    </row>
    <row r="10541" spans="2:6">
      <c r="B10541">
        <v>2020</v>
      </c>
      <c r="C10541" t="s">
        <v>116</v>
      </c>
      <c r="D10541" t="s">
        <v>182</v>
      </c>
      <c r="E10541" t="s">
        <v>8</v>
      </c>
      <c r="F10541">
        <v>8.5539140701293945</v>
      </c>
    </row>
    <row r="10542" spans="2:6">
      <c r="B10542">
        <v>2020</v>
      </c>
      <c r="C10542" t="s">
        <v>116</v>
      </c>
      <c r="D10542" t="s">
        <v>182</v>
      </c>
      <c r="E10542" t="s">
        <v>9</v>
      </c>
      <c r="F10542">
        <v>0.79576325416564941</v>
      </c>
    </row>
    <row r="10543" spans="2:6">
      <c r="B10543">
        <v>2020</v>
      </c>
      <c r="C10543" t="s">
        <v>116</v>
      </c>
      <c r="D10543" t="s">
        <v>182</v>
      </c>
      <c r="E10543" t="s">
        <v>10</v>
      </c>
      <c r="F10543">
        <v>59.599998474121094</v>
      </c>
    </row>
    <row r="10544" spans="2:6">
      <c r="B10544">
        <v>2020</v>
      </c>
      <c r="C10544" t="s">
        <v>116</v>
      </c>
      <c r="D10544" t="s">
        <v>182</v>
      </c>
      <c r="E10544" t="s">
        <v>11</v>
      </c>
      <c r="F10544">
        <v>0.82487070560455322</v>
      </c>
    </row>
    <row r="10545" spans="2:6">
      <c r="B10545">
        <v>2020</v>
      </c>
      <c r="C10545" t="s">
        <v>116</v>
      </c>
      <c r="D10545" t="s">
        <v>182</v>
      </c>
      <c r="E10545" t="s">
        <v>12</v>
      </c>
      <c r="F10545">
        <v>0.47025817632675171</v>
      </c>
    </row>
    <row r="10546" spans="2:6">
      <c r="B10546">
        <v>2020</v>
      </c>
      <c r="C10546" t="s">
        <v>116</v>
      </c>
      <c r="D10546" t="s">
        <v>182</v>
      </c>
      <c r="E10546" t="s">
        <v>13</v>
      </c>
      <c r="F10546">
        <v>0.6467021107673645</v>
      </c>
    </row>
    <row r="10547" spans="2:6">
      <c r="B10547">
        <v>2020</v>
      </c>
      <c r="C10547" t="s">
        <v>116</v>
      </c>
      <c r="D10547" t="s">
        <v>182</v>
      </c>
      <c r="E10547" t="s">
        <v>14</v>
      </c>
      <c r="F10547">
        <v>0.79974919557571411</v>
      </c>
    </row>
    <row r="10548" spans="2:6">
      <c r="B10548">
        <v>2020</v>
      </c>
      <c r="C10548" t="s">
        <v>116</v>
      </c>
      <c r="D10548" t="s">
        <v>182</v>
      </c>
      <c r="E10548" t="s">
        <v>15</v>
      </c>
      <c r="F10548">
        <v>0.28921821713447571</v>
      </c>
    </row>
    <row r="10549" spans="2:6">
      <c r="B10549">
        <v>2007</v>
      </c>
      <c r="C10549" t="s">
        <v>117</v>
      </c>
      <c r="D10549" t="s">
        <v>184</v>
      </c>
      <c r="E10549" t="s">
        <v>7</v>
      </c>
      <c r="F10549">
        <v>4.885587215423584</v>
      </c>
    </row>
    <row r="10550" spans="2:6">
      <c r="B10550">
        <v>2007</v>
      </c>
      <c r="C10550" t="s">
        <v>117</v>
      </c>
      <c r="D10550" t="s">
        <v>184</v>
      </c>
      <c r="E10550" t="s">
        <v>8</v>
      </c>
      <c r="F10550">
        <v>9.0592422485351563</v>
      </c>
    </row>
    <row r="10551" spans="2:6">
      <c r="B10551">
        <v>2007</v>
      </c>
      <c r="C10551" t="s">
        <v>117</v>
      </c>
      <c r="D10551" t="s">
        <v>184</v>
      </c>
      <c r="E10551" t="s">
        <v>9</v>
      </c>
      <c r="F10551">
        <v>0.82762354612350464</v>
      </c>
    </row>
    <row r="10552" spans="2:6">
      <c r="B10552">
        <v>2007</v>
      </c>
      <c r="C10552" t="s">
        <v>117</v>
      </c>
      <c r="D10552" t="s">
        <v>184</v>
      </c>
      <c r="E10552" t="s">
        <v>10</v>
      </c>
      <c r="F10552">
        <v>49.680000305175781</v>
      </c>
    </row>
    <row r="10553" spans="2:6">
      <c r="B10553">
        <v>2007</v>
      </c>
      <c r="C10553" t="s">
        <v>117</v>
      </c>
      <c r="D10553" t="s">
        <v>184</v>
      </c>
      <c r="E10553" t="s">
        <v>11</v>
      </c>
      <c r="F10553">
        <v>0.7810404896736145</v>
      </c>
    </row>
    <row r="10554" spans="2:6">
      <c r="B10554">
        <v>2007</v>
      </c>
      <c r="C10554" t="s">
        <v>117</v>
      </c>
      <c r="D10554" t="s">
        <v>184</v>
      </c>
      <c r="E10554" t="s">
        <v>12</v>
      </c>
      <c r="F10554">
        <v>-0.10062718391418457</v>
      </c>
    </row>
    <row r="10555" spans="2:6">
      <c r="B10555">
        <v>2007</v>
      </c>
      <c r="C10555" t="s">
        <v>117</v>
      </c>
      <c r="D10555" t="s">
        <v>184</v>
      </c>
      <c r="E10555" t="s">
        <v>13</v>
      </c>
      <c r="F10555">
        <v>0.83921784162521362</v>
      </c>
    </row>
    <row r="10556" spans="2:6">
      <c r="B10556">
        <v>2007</v>
      </c>
      <c r="C10556" t="s">
        <v>117</v>
      </c>
      <c r="D10556" t="s">
        <v>184</v>
      </c>
      <c r="E10556" t="s">
        <v>14</v>
      </c>
      <c r="F10556">
        <v>0.81089544296264648</v>
      </c>
    </row>
    <row r="10557" spans="2:6">
      <c r="B10557">
        <v>2007</v>
      </c>
      <c r="C10557" t="s">
        <v>117</v>
      </c>
      <c r="D10557" t="s">
        <v>184</v>
      </c>
      <c r="E10557" t="s">
        <v>15</v>
      </c>
      <c r="F10557">
        <v>0.1597558856010437</v>
      </c>
    </row>
    <row r="10558" spans="2:6">
      <c r="B10558">
        <v>2014</v>
      </c>
      <c r="C10558" t="s">
        <v>117</v>
      </c>
      <c r="D10558" t="s">
        <v>184</v>
      </c>
      <c r="E10558" t="s">
        <v>7</v>
      </c>
      <c r="F10558">
        <v>4.5739912986755371</v>
      </c>
    </row>
    <row r="10559" spans="2:6">
      <c r="B10559">
        <v>2014</v>
      </c>
      <c r="C10559" t="s">
        <v>117</v>
      </c>
      <c r="D10559" t="s">
        <v>184</v>
      </c>
      <c r="E10559" t="s">
        <v>8</v>
      </c>
      <c r="F10559">
        <v>9.2317447662353516</v>
      </c>
    </row>
    <row r="10560" spans="2:6">
      <c r="B10560">
        <v>2014</v>
      </c>
      <c r="C10560" t="s">
        <v>117</v>
      </c>
      <c r="D10560" t="s">
        <v>184</v>
      </c>
      <c r="E10560" t="s">
        <v>9</v>
      </c>
      <c r="F10560">
        <v>0.76278358697891235</v>
      </c>
    </row>
    <row r="10561" spans="2:6">
      <c r="B10561">
        <v>2014</v>
      </c>
      <c r="C10561" t="s">
        <v>117</v>
      </c>
      <c r="D10561" t="s">
        <v>184</v>
      </c>
      <c r="E10561" t="s">
        <v>10</v>
      </c>
      <c r="F10561">
        <v>55.159999847412109</v>
      </c>
    </row>
    <row r="10562" spans="2:6">
      <c r="B10562">
        <v>2014</v>
      </c>
      <c r="C10562" t="s">
        <v>117</v>
      </c>
      <c r="D10562" t="s">
        <v>184</v>
      </c>
      <c r="E10562" t="s">
        <v>11</v>
      </c>
      <c r="F10562">
        <v>0.84935498237609863</v>
      </c>
    </row>
    <row r="10563" spans="2:6">
      <c r="B10563">
        <v>2014</v>
      </c>
      <c r="C10563" t="s">
        <v>117</v>
      </c>
      <c r="D10563" t="s">
        <v>184</v>
      </c>
      <c r="E10563" t="s">
        <v>12</v>
      </c>
      <c r="F10563">
        <v>-0.18333354592323303</v>
      </c>
    </row>
    <row r="10564" spans="2:6">
      <c r="B10564">
        <v>2014</v>
      </c>
      <c r="C10564" t="s">
        <v>117</v>
      </c>
      <c r="D10564" t="s">
        <v>184</v>
      </c>
      <c r="E10564" t="s">
        <v>13</v>
      </c>
      <c r="F10564">
        <v>0.79022836685180664</v>
      </c>
    </row>
    <row r="10565" spans="2:6">
      <c r="B10565">
        <v>2014</v>
      </c>
      <c r="C10565" t="s">
        <v>117</v>
      </c>
      <c r="D10565" t="s">
        <v>184</v>
      </c>
      <c r="E10565" t="s">
        <v>14</v>
      </c>
      <c r="F10565">
        <v>0.74863678216934204</v>
      </c>
    </row>
    <row r="10566" spans="2:6">
      <c r="B10566">
        <v>2014</v>
      </c>
      <c r="C10566" t="s">
        <v>117</v>
      </c>
      <c r="D10566" t="s">
        <v>184</v>
      </c>
      <c r="E10566" t="s">
        <v>15</v>
      </c>
      <c r="F10566">
        <v>0.23896144330501556</v>
      </c>
    </row>
    <row r="10567" spans="2:6">
      <c r="B10567">
        <v>2017</v>
      </c>
      <c r="C10567" t="s">
        <v>117</v>
      </c>
      <c r="D10567" t="s">
        <v>184</v>
      </c>
      <c r="E10567" t="s">
        <v>7</v>
      </c>
      <c r="F10567">
        <v>4.4413061141967773</v>
      </c>
    </row>
    <row r="10568" spans="2:6">
      <c r="B10568">
        <v>2017</v>
      </c>
      <c r="C10568" t="s">
        <v>117</v>
      </c>
      <c r="D10568" t="s">
        <v>184</v>
      </c>
      <c r="E10568" t="s">
        <v>8</v>
      </c>
      <c r="F10568">
        <v>9.2153778076171875</v>
      </c>
    </row>
    <row r="10569" spans="2:6">
      <c r="B10569">
        <v>2017</v>
      </c>
      <c r="C10569" t="s">
        <v>117</v>
      </c>
      <c r="D10569" t="s">
        <v>184</v>
      </c>
      <c r="E10569" t="s">
        <v>9</v>
      </c>
      <c r="F10569">
        <v>0.82833904027938843</v>
      </c>
    </row>
    <row r="10570" spans="2:6">
      <c r="B10570">
        <v>2017</v>
      </c>
      <c r="C10570" t="s">
        <v>117</v>
      </c>
      <c r="D10570" t="s">
        <v>184</v>
      </c>
      <c r="E10570" t="s">
        <v>10</v>
      </c>
      <c r="F10570">
        <v>56.200000762939453</v>
      </c>
    </row>
    <row r="10571" spans="2:6">
      <c r="B10571">
        <v>2017</v>
      </c>
      <c r="C10571" t="s">
        <v>117</v>
      </c>
      <c r="D10571" t="s">
        <v>184</v>
      </c>
      <c r="E10571" t="s">
        <v>11</v>
      </c>
      <c r="F10571">
        <v>0.81040185689926147</v>
      </c>
    </row>
    <row r="10572" spans="2:6">
      <c r="B10572">
        <v>2017</v>
      </c>
      <c r="C10572" t="s">
        <v>117</v>
      </c>
      <c r="D10572" t="s">
        <v>184</v>
      </c>
      <c r="E10572" t="s">
        <v>12</v>
      </c>
      <c r="F10572">
        <v>-0.19004340469837189</v>
      </c>
    </row>
    <row r="10573" spans="2:6">
      <c r="B10573">
        <v>2017</v>
      </c>
      <c r="C10573" t="s">
        <v>117</v>
      </c>
      <c r="D10573" t="s">
        <v>184</v>
      </c>
      <c r="E10573" t="s">
        <v>13</v>
      </c>
      <c r="F10573">
        <v>0.83130288124084473</v>
      </c>
    </row>
    <row r="10574" spans="2:6">
      <c r="B10574">
        <v>2017</v>
      </c>
      <c r="C10574" t="s">
        <v>117</v>
      </c>
      <c r="D10574" t="s">
        <v>184</v>
      </c>
      <c r="E10574" t="s">
        <v>14</v>
      </c>
      <c r="F10574">
        <v>0.72067821025848389</v>
      </c>
    </row>
    <row r="10575" spans="2:6">
      <c r="B10575">
        <v>2017</v>
      </c>
      <c r="C10575" t="s">
        <v>117</v>
      </c>
      <c r="D10575" t="s">
        <v>184</v>
      </c>
      <c r="E10575" t="s">
        <v>15</v>
      </c>
      <c r="F10575">
        <v>0.27725216746330261</v>
      </c>
    </row>
    <row r="10576" spans="2:6">
      <c r="B10576">
        <v>2018</v>
      </c>
      <c r="C10576" t="s">
        <v>117</v>
      </c>
      <c r="D10576" t="s">
        <v>184</v>
      </c>
      <c r="E10576" t="s">
        <v>7</v>
      </c>
      <c r="F10576">
        <v>4.8340878486633301</v>
      </c>
    </row>
    <row r="10577" spans="2:6">
      <c r="B10577">
        <v>2018</v>
      </c>
      <c r="C10577" t="s">
        <v>117</v>
      </c>
      <c r="D10577" t="s">
        <v>184</v>
      </c>
      <c r="E10577" t="s">
        <v>8</v>
      </c>
      <c r="F10577">
        <v>9.2035140991210938</v>
      </c>
    </row>
    <row r="10578" spans="2:6">
      <c r="B10578">
        <v>2018</v>
      </c>
      <c r="C10578" t="s">
        <v>117</v>
      </c>
      <c r="D10578" t="s">
        <v>184</v>
      </c>
      <c r="E10578" t="s">
        <v>9</v>
      </c>
      <c r="F10578">
        <v>0.86421477794647217</v>
      </c>
    </row>
    <row r="10579" spans="2:6">
      <c r="B10579">
        <v>2018</v>
      </c>
      <c r="C10579" t="s">
        <v>117</v>
      </c>
      <c r="D10579" t="s">
        <v>184</v>
      </c>
      <c r="E10579" t="s">
        <v>10</v>
      </c>
      <c r="F10579">
        <v>56.5</v>
      </c>
    </row>
    <row r="10580" spans="2:6">
      <c r="B10580">
        <v>2018</v>
      </c>
      <c r="C10580" t="s">
        <v>117</v>
      </c>
      <c r="D10580" t="s">
        <v>184</v>
      </c>
      <c r="E10580" t="s">
        <v>11</v>
      </c>
      <c r="F10580">
        <v>0.75390475988388062</v>
      </c>
    </row>
    <row r="10581" spans="2:6">
      <c r="B10581">
        <v>2018</v>
      </c>
      <c r="C10581" t="s">
        <v>117</v>
      </c>
      <c r="D10581" t="s">
        <v>184</v>
      </c>
      <c r="E10581" t="s">
        <v>12</v>
      </c>
      <c r="F10581">
        <v>-0.16883847117424011</v>
      </c>
    </row>
    <row r="10582" spans="2:6">
      <c r="B10582">
        <v>2018</v>
      </c>
      <c r="C10582" t="s">
        <v>117</v>
      </c>
      <c r="D10582" t="s">
        <v>184</v>
      </c>
      <c r="E10582" t="s">
        <v>13</v>
      </c>
      <c r="F10582">
        <v>0.84594249725341797</v>
      </c>
    </row>
    <row r="10583" spans="2:6">
      <c r="B10583">
        <v>2018</v>
      </c>
      <c r="C10583" t="s">
        <v>117</v>
      </c>
      <c r="D10583" t="s">
        <v>184</v>
      </c>
      <c r="E10583" t="s">
        <v>14</v>
      </c>
      <c r="F10583">
        <v>0.73938697576522827</v>
      </c>
    </row>
    <row r="10584" spans="2:6">
      <c r="B10584">
        <v>2018</v>
      </c>
      <c r="C10584" t="s">
        <v>117</v>
      </c>
      <c r="D10584" t="s">
        <v>184</v>
      </c>
      <c r="E10584" t="s">
        <v>15</v>
      </c>
      <c r="F10584">
        <v>0.24024908244609833</v>
      </c>
    </row>
    <row r="10585" spans="2:6">
      <c r="B10585">
        <v>2019</v>
      </c>
      <c r="C10585" t="s">
        <v>117</v>
      </c>
      <c r="D10585" t="s">
        <v>184</v>
      </c>
      <c r="E10585" t="s">
        <v>7</v>
      </c>
      <c r="F10585">
        <v>4.4358110427856445</v>
      </c>
    </row>
    <row r="10586" spans="2:6">
      <c r="B10586">
        <v>2019</v>
      </c>
      <c r="C10586" t="s">
        <v>117</v>
      </c>
      <c r="D10586" t="s">
        <v>184</v>
      </c>
      <c r="E10586" t="s">
        <v>8</v>
      </c>
      <c r="F10586">
        <v>9.1733837127685547</v>
      </c>
    </row>
    <row r="10587" spans="2:6">
      <c r="B10587">
        <v>2019</v>
      </c>
      <c r="C10587" t="s">
        <v>117</v>
      </c>
      <c r="D10587" t="s">
        <v>184</v>
      </c>
      <c r="E10587" t="s">
        <v>9</v>
      </c>
      <c r="F10587">
        <v>0.84459215402603149</v>
      </c>
    </row>
    <row r="10588" spans="2:6">
      <c r="B10588">
        <v>2019</v>
      </c>
      <c r="C10588" t="s">
        <v>117</v>
      </c>
      <c r="D10588" t="s">
        <v>184</v>
      </c>
      <c r="E10588" t="s">
        <v>10</v>
      </c>
      <c r="F10588">
        <v>56.799999237060547</v>
      </c>
    </row>
    <row r="10589" spans="2:6">
      <c r="B10589">
        <v>2019</v>
      </c>
      <c r="C10589" t="s">
        <v>117</v>
      </c>
      <c r="D10589" t="s">
        <v>184</v>
      </c>
      <c r="E10589" t="s">
        <v>11</v>
      </c>
      <c r="F10589">
        <v>0.73903453350067139</v>
      </c>
    </row>
    <row r="10590" spans="2:6">
      <c r="B10590">
        <v>2019</v>
      </c>
      <c r="C10590" t="s">
        <v>117</v>
      </c>
      <c r="D10590" t="s">
        <v>184</v>
      </c>
      <c r="E10590" t="s">
        <v>12</v>
      </c>
      <c r="F10590">
        <v>-0.1736866682767868</v>
      </c>
    </row>
    <row r="10591" spans="2:6">
      <c r="B10591">
        <v>2019</v>
      </c>
      <c r="C10591" t="s">
        <v>117</v>
      </c>
      <c r="D10591" t="s">
        <v>184</v>
      </c>
      <c r="E10591" t="s">
        <v>13</v>
      </c>
      <c r="F10591">
        <v>0.8790706992149353</v>
      </c>
    </row>
    <row r="10592" spans="2:6">
      <c r="B10592">
        <v>2019</v>
      </c>
      <c r="C10592" t="s">
        <v>117</v>
      </c>
      <c r="D10592" t="s">
        <v>184</v>
      </c>
      <c r="E10592" t="s">
        <v>14</v>
      </c>
      <c r="F10592">
        <v>0.67153298854827881</v>
      </c>
    </row>
    <row r="10593" spans="2:6">
      <c r="B10593">
        <v>2019</v>
      </c>
      <c r="C10593" t="s">
        <v>117</v>
      </c>
      <c r="D10593" t="s">
        <v>184</v>
      </c>
      <c r="E10593" t="s">
        <v>15</v>
      </c>
      <c r="F10593">
        <v>0.25616073608398438</v>
      </c>
    </row>
    <row r="10594" spans="2:6">
      <c r="B10594">
        <v>2020</v>
      </c>
      <c r="C10594" t="s">
        <v>117</v>
      </c>
      <c r="D10594" t="s">
        <v>184</v>
      </c>
      <c r="E10594" t="s">
        <v>7</v>
      </c>
      <c r="F10594">
        <v>4.4510102272033691</v>
      </c>
    </row>
    <row r="10595" spans="2:6">
      <c r="B10595">
        <v>2020</v>
      </c>
      <c r="C10595" t="s">
        <v>117</v>
      </c>
      <c r="D10595" t="s">
        <v>184</v>
      </c>
      <c r="E10595" t="s">
        <v>8</v>
      </c>
      <c r="F10595">
        <v>9.1041393280029297</v>
      </c>
    </row>
    <row r="10596" spans="2:6">
      <c r="B10596">
        <v>2020</v>
      </c>
      <c r="C10596" t="s">
        <v>117</v>
      </c>
      <c r="D10596" t="s">
        <v>184</v>
      </c>
      <c r="E10596" t="s">
        <v>9</v>
      </c>
      <c r="F10596">
        <v>0.7405703067779541</v>
      </c>
    </row>
    <row r="10597" spans="2:6">
      <c r="B10597">
        <v>2020</v>
      </c>
      <c r="C10597" t="s">
        <v>117</v>
      </c>
      <c r="D10597" t="s">
        <v>184</v>
      </c>
      <c r="E10597" t="s">
        <v>10</v>
      </c>
      <c r="F10597">
        <v>57.099998474121094</v>
      </c>
    </row>
    <row r="10598" spans="2:6">
      <c r="B10598">
        <v>2020</v>
      </c>
      <c r="C10598" t="s">
        <v>117</v>
      </c>
      <c r="D10598" t="s">
        <v>184</v>
      </c>
      <c r="E10598" t="s">
        <v>11</v>
      </c>
      <c r="F10598">
        <v>0.66568195819854736</v>
      </c>
    </row>
    <row r="10599" spans="2:6">
      <c r="B10599">
        <v>2020</v>
      </c>
      <c r="C10599" t="s">
        <v>117</v>
      </c>
      <c r="D10599" t="s">
        <v>184</v>
      </c>
      <c r="E10599" t="s">
        <v>12</v>
      </c>
      <c r="F10599">
        <v>-0.10388018190860748</v>
      </c>
    </row>
    <row r="10600" spans="2:6">
      <c r="B10600">
        <v>2020</v>
      </c>
      <c r="C10600" t="s">
        <v>117</v>
      </c>
      <c r="D10600" t="s">
        <v>184</v>
      </c>
      <c r="E10600" t="s">
        <v>13</v>
      </c>
      <c r="F10600">
        <v>0.81035482883453369</v>
      </c>
    </row>
    <row r="10601" spans="2:6">
      <c r="B10601">
        <v>2020</v>
      </c>
      <c r="C10601" t="s">
        <v>117</v>
      </c>
      <c r="D10601" t="s">
        <v>184</v>
      </c>
      <c r="E10601" t="s">
        <v>14</v>
      </c>
      <c r="F10601">
        <v>0.64791953563690186</v>
      </c>
    </row>
    <row r="10602" spans="2:6">
      <c r="B10602">
        <v>2020</v>
      </c>
      <c r="C10602" t="s">
        <v>117</v>
      </c>
      <c r="D10602" t="s">
        <v>184</v>
      </c>
      <c r="E10602" t="s">
        <v>15</v>
      </c>
      <c r="F10602">
        <v>0.24754208326339722</v>
      </c>
    </row>
    <row r="10603" spans="2:6">
      <c r="B10603">
        <v>2006</v>
      </c>
      <c r="C10603" t="s">
        <v>118</v>
      </c>
      <c r="D10603" t="s">
        <v>182</v>
      </c>
      <c r="E10603" t="s">
        <v>7</v>
      </c>
      <c r="F10603">
        <v>4.5665946006774902</v>
      </c>
    </row>
    <row r="10604" spans="2:6">
      <c r="B10604">
        <v>2006</v>
      </c>
      <c r="C10604" t="s">
        <v>118</v>
      </c>
      <c r="D10604" t="s">
        <v>182</v>
      </c>
      <c r="E10604" t="s">
        <v>8</v>
      </c>
      <c r="F10604">
        <v>7.6163363456726074</v>
      </c>
    </row>
    <row r="10605" spans="2:6">
      <c r="B10605">
        <v>2006</v>
      </c>
      <c r="C10605" t="s">
        <v>118</v>
      </c>
      <c r="D10605" t="s">
        <v>182</v>
      </c>
      <c r="E10605" t="s">
        <v>9</v>
      </c>
      <c r="F10605">
        <v>0.87368106842041016</v>
      </c>
    </row>
    <row r="10606" spans="2:6">
      <c r="B10606">
        <v>2006</v>
      </c>
      <c r="C10606" t="s">
        <v>118</v>
      </c>
      <c r="D10606" t="s">
        <v>182</v>
      </c>
      <c r="E10606" t="s">
        <v>10</v>
      </c>
      <c r="F10606">
        <v>57.200000762939453</v>
      </c>
    </row>
    <row r="10607" spans="2:6">
      <c r="B10607">
        <v>2006</v>
      </c>
      <c r="C10607" t="s">
        <v>118</v>
      </c>
      <c r="D10607" t="s">
        <v>182</v>
      </c>
      <c r="E10607" t="s">
        <v>11</v>
      </c>
      <c r="F10607">
        <v>0.68929582834243774</v>
      </c>
    </row>
    <row r="10608" spans="2:6">
      <c r="B10608">
        <v>2006</v>
      </c>
      <c r="C10608" t="s">
        <v>118</v>
      </c>
      <c r="D10608" t="s">
        <v>182</v>
      </c>
      <c r="E10608" t="s">
        <v>13</v>
      </c>
      <c r="F10608">
        <v>0.8971366286277771</v>
      </c>
    </row>
    <row r="10609" spans="2:6">
      <c r="B10609">
        <v>2006</v>
      </c>
      <c r="C10609" t="s">
        <v>118</v>
      </c>
      <c r="D10609" t="s">
        <v>182</v>
      </c>
      <c r="E10609" t="s">
        <v>14</v>
      </c>
      <c r="F10609">
        <v>0.71677982807159424</v>
      </c>
    </row>
    <row r="10610" spans="2:6">
      <c r="B10610">
        <v>2006</v>
      </c>
      <c r="C10610" t="s">
        <v>118</v>
      </c>
      <c r="D10610" t="s">
        <v>182</v>
      </c>
      <c r="E10610" t="s">
        <v>15</v>
      </c>
      <c r="F10610">
        <v>0.17083820700645447</v>
      </c>
    </row>
    <row r="10611" spans="2:6">
      <c r="B10611">
        <v>2007</v>
      </c>
      <c r="C10611" t="s">
        <v>118</v>
      </c>
      <c r="D10611" t="s">
        <v>182</v>
      </c>
      <c r="E10611" t="s">
        <v>7</v>
      </c>
      <c r="F10611">
        <v>4.7482843399047852</v>
      </c>
    </row>
    <row r="10612" spans="2:6">
      <c r="B10612">
        <v>2007</v>
      </c>
      <c r="C10612" t="s">
        <v>118</v>
      </c>
      <c r="D10612" t="s">
        <v>182</v>
      </c>
      <c r="E10612" t="s">
        <v>8</v>
      </c>
      <c r="F10612">
        <v>7.6378374099731445</v>
      </c>
    </row>
    <row r="10613" spans="2:6">
      <c r="B10613">
        <v>2007</v>
      </c>
      <c r="C10613" t="s">
        <v>118</v>
      </c>
      <c r="D10613" t="s">
        <v>182</v>
      </c>
      <c r="E10613" t="s">
        <v>9</v>
      </c>
      <c r="F10613">
        <v>0.78670769929885864</v>
      </c>
    </row>
    <row r="10614" spans="2:6">
      <c r="B10614">
        <v>2007</v>
      </c>
      <c r="C10614" t="s">
        <v>118</v>
      </c>
      <c r="D10614" t="s">
        <v>182</v>
      </c>
      <c r="E10614" t="s">
        <v>10</v>
      </c>
      <c r="F10614">
        <v>57.700000762939453</v>
      </c>
    </row>
    <row r="10615" spans="2:6">
      <c r="B10615">
        <v>2007</v>
      </c>
      <c r="C10615" t="s">
        <v>118</v>
      </c>
      <c r="D10615" t="s">
        <v>182</v>
      </c>
      <c r="E10615" t="s">
        <v>11</v>
      </c>
      <c r="F10615">
        <v>0.41332083940505981</v>
      </c>
    </row>
    <row r="10616" spans="2:6">
      <c r="B10616">
        <v>2007</v>
      </c>
      <c r="C10616" t="s">
        <v>118</v>
      </c>
      <c r="D10616" t="s">
        <v>182</v>
      </c>
      <c r="E10616" t="s">
        <v>12</v>
      </c>
      <c r="F10616">
        <v>0.31655153632164001</v>
      </c>
    </row>
    <row r="10617" spans="2:6">
      <c r="B10617">
        <v>2007</v>
      </c>
      <c r="C10617" t="s">
        <v>118</v>
      </c>
      <c r="D10617" t="s">
        <v>182</v>
      </c>
      <c r="E10617" t="s">
        <v>13</v>
      </c>
      <c r="F10617">
        <v>0.8908112645149231</v>
      </c>
    </row>
    <row r="10618" spans="2:6">
      <c r="B10618">
        <v>2007</v>
      </c>
      <c r="C10618" t="s">
        <v>118</v>
      </c>
      <c r="D10618" t="s">
        <v>182</v>
      </c>
      <c r="E10618" t="s">
        <v>14</v>
      </c>
      <c r="F10618">
        <v>0.64331698417663574</v>
      </c>
    </row>
    <row r="10619" spans="2:6">
      <c r="B10619">
        <v>2007</v>
      </c>
      <c r="C10619" t="s">
        <v>118</v>
      </c>
      <c r="D10619" t="s">
        <v>182</v>
      </c>
      <c r="E10619" t="s">
        <v>15</v>
      </c>
      <c r="F10619">
        <v>0.15229792892932892</v>
      </c>
    </row>
    <row r="10620" spans="2:6">
      <c r="B10620">
        <v>2008</v>
      </c>
      <c r="C10620" t="s">
        <v>118</v>
      </c>
      <c r="D10620" t="s">
        <v>182</v>
      </c>
      <c r="E10620" t="s">
        <v>7</v>
      </c>
      <c r="F10620">
        <v>4.4405264854431152</v>
      </c>
    </row>
    <row r="10621" spans="2:6">
      <c r="B10621">
        <v>2008</v>
      </c>
      <c r="C10621" t="s">
        <v>118</v>
      </c>
      <c r="D10621" t="s">
        <v>182</v>
      </c>
      <c r="E10621" t="s">
        <v>8</v>
      </c>
      <c r="F10621">
        <v>7.6863861083984375</v>
      </c>
    </row>
    <row r="10622" spans="2:6">
      <c r="B10622">
        <v>2008</v>
      </c>
      <c r="C10622" t="s">
        <v>118</v>
      </c>
      <c r="D10622" t="s">
        <v>182</v>
      </c>
      <c r="E10622" t="s">
        <v>9</v>
      </c>
      <c r="F10622">
        <v>0.81765764951705933</v>
      </c>
    </row>
    <row r="10623" spans="2:6">
      <c r="B10623">
        <v>2008</v>
      </c>
      <c r="C10623" t="s">
        <v>118</v>
      </c>
      <c r="D10623" t="s">
        <v>182</v>
      </c>
      <c r="E10623" t="s">
        <v>10</v>
      </c>
      <c r="F10623">
        <v>58.200000762939453</v>
      </c>
    </row>
    <row r="10624" spans="2:6">
      <c r="B10624">
        <v>2008</v>
      </c>
      <c r="C10624" t="s">
        <v>118</v>
      </c>
      <c r="D10624" t="s">
        <v>182</v>
      </c>
      <c r="E10624" t="s">
        <v>11</v>
      </c>
      <c r="F10624">
        <v>0.61760479211807251</v>
      </c>
    </row>
    <row r="10625" spans="2:6">
      <c r="B10625">
        <v>2008</v>
      </c>
      <c r="C10625" t="s">
        <v>118</v>
      </c>
      <c r="D10625" t="s">
        <v>182</v>
      </c>
      <c r="E10625" t="s">
        <v>12</v>
      </c>
      <c r="F10625">
        <v>0.29056692123413086</v>
      </c>
    </row>
    <row r="10626" spans="2:6">
      <c r="B10626">
        <v>2008</v>
      </c>
      <c r="C10626" t="s">
        <v>118</v>
      </c>
      <c r="D10626" t="s">
        <v>182</v>
      </c>
      <c r="E10626" t="s">
        <v>13</v>
      </c>
      <c r="F10626">
        <v>0.9000287652015686</v>
      </c>
    </row>
    <row r="10627" spans="2:6">
      <c r="B10627">
        <v>2008</v>
      </c>
      <c r="C10627" t="s">
        <v>118</v>
      </c>
      <c r="D10627" t="s">
        <v>182</v>
      </c>
      <c r="E10627" t="s">
        <v>14</v>
      </c>
      <c r="F10627">
        <v>0.74486196041107178</v>
      </c>
    </row>
    <row r="10628" spans="2:6">
      <c r="B10628">
        <v>2008</v>
      </c>
      <c r="C10628" t="s">
        <v>118</v>
      </c>
      <c r="D10628" t="s">
        <v>182</v>
      </c>
      <c r="E10628" t="s">
        <v>15</v>
      </c>
      <c r="F10628">
        <v>0.15309849381446838</v>
      </c>
    </row>
    <row r="10629" spans="2:6">
      <c r="B10629">
        <v>2009</v>
      </c>
      <c r="C10629" t="s">
        <v>118</v>
      </c>
      <c r="D10629" t="s">
        <v>182</v>
      </c>
      <c r="E10629" t="s">
        <v>7</v>
      </c>
      <c r="F10629">
        <v>4.9168682098388672</v>
      </c>
    </row>
    <row r="10630" spans="2:6">
      <c r="B10630">
        <v>2009</v>
      </c>
      <c r="C10630" t="s">
        <v>118</v>
      </c>
      <c r="D10630" t="s">
        <v>182</v>
      </c>
      <c r="E10630" t="s">
        <v>8</v>
      </c>
      <c r="F10630">
        <v>7.7226166725158691</v>
      </c>
    </row>
    <row r="10631" spans="2:6">
      <c r="B10631">
        <v>2009</v>
      </c>
      <c r="C10631" t="s">
        <v>118</v>
      </c>
      <c r="D10631" t="s">
        <v>182</v>
      </c>
      <c r="E10631" t="s">
        <v>9</v>
      </c>
      <c r="F10631">
        <v>0.81306785345077515</v>
      </c>
    </row>
    <row r="10632" spans="2:6">
      <c r="B10632">
        <v>2009</v>
      </c>
      <c r="C10632" t="s">
        <v>118</v>
      </c>
      <c r="D10632" t="s">
        <v>182</v>
      </c>
      <c r="E10632" t="s">
        <v>10</v>
      </c>
      <c r="F10632">
        <v>58.700000762939453</v>
      </c>
    </row>
    <row r="10633" spans="2:6">
      <c r="B10633">
        <v>2009</v>
      </c>
      <c r="C10633" t="s">
        <v>118</v>
      </c>
      <c r="D10633" t="s">
        <v>182</v>
      </c>
      <c r="E10633" t="s">
        <v>11</v>
      </c>
      <c r="F10633">
        <v>0.6161537766456604</v>
      </c>
    </row>
    <row r="10634" spans="2:6">
      <c r="B10634">
        <v>2009</v>
      </c>
      <c r="C10634" t="s">
        <v>118</v>
      </c>
      <c r="D10634" t="s">
        <v>182</v>
      </c>
      <c r="E10634" t="s">
        <v>12</v>
      </c>
      <c r="F10634">
        <v>4.3604988604784012E-2</v>
      </c>
    </row>
    <row r="10635" spans="2:6">
      <c r="B10635">
        <v>2009</v>
      </c>
      <c r="C10635" t="s">
        <v>118</v>
      </c>
      <c r="D10635" t="s">
        <v>182</v>
      </c>
      <c r="E10635" t="s">
        <v>13</v>
      </c>
      <c r="F10635">
        <v>0.94970196485519409</v>
      </c>
    </row>
    <row r="10636" spans="2:6">
      <c r="B10636">
        <v>2009</v>
      </c>
      <c r="C10636" t="s">
        <v>118</v>
      </c>
      <c r="D10636" t="s">
        <v>182</v>
      </c>
      <c r="E10636" t="s">
        <v>14</v>
      </c>
      <c r="F10636">
        <v>0.57015705108642578</v>
      </c>
    </row>
    <row r="10637" spans="2:6">
      <c r="B10637">
        <v>2009</v>
      </c>
      <c r="C10637" t="s">
        <v>118</v>
      </c>
      <c r="D10637" t="s">
        <v>182</v>
      </c>
      <c r="E10637" t="s">
        <v>15</v>
      </c>
      <c r="F10637">
        <v>0.2154337614774704</v>
      </c>
    </row>
    <row r="10638" spans="2:6">
      <c r="B10638">
        <v>2010</v>
      </c>
      <c r="C10638" t="s">
        <v>118</v>
      </c>
      <c r="D10638" t="s">
        <v>182</v>
      </c>
      <c r="E10638" t="s">
        <v>7</v>
      </c>
      <c r="F10638">
        <v>4.349675178527832</v>
      </c>
    </row>
    <row r="10639" spans="2:6">
      <c r="B10639">
        <v>2010</v>
      </c>
      <c r="C10639" t="s">
        <v>118</v>
      </c>
      <c r="D10639" t="s">
        <v>182</v>
      </c>
      <c r="E10639" t="s">
        <v>8</v>
      </c>
      <c r="F10639">
        <v>7.7648444175720215</v>
      </c>
    </row>
    <row r="10640" spans="2:6">
      <c r="B10640">
        <v>2010</v>
      </c>
      <c r="C10640" t="s">
        <v>118</v>
      </c>
      <c r="D10640" t="s">
        <v>182</v>
      </c>
      <c r="E10640" t="s">
        <v>9</v>
      </c>
      <c r="F10640">
        <v>0.77903807163238525</v>
      </c>
    </row>
    <row r="10641" spans="2:6">
      <c r="B10641">
        <v>2010</v>
      </c>
      <c r="C10641" t="s">
        <v>118</v>
      </c>
      <c r="D10641" t="s">
        <v>182</v>
      </c>
      <c r="E10641" t="s">
        <v>10</v>
      </c>
      <c r="F10641">
        <v>59.200000762939453</v>
      </c>
    </row>
    <row r="10642" spans="2:6">
      <c r="B10642">
        <v>2010</v>
      </c>
      <c r="C10642" t="s">
        <v>118</v>
      </c>
      <c r="D10642" t="s">
        <v>182</v>
      </c>
      <c r="E10642" t="s">
        <v>11</v>
      </c>
      <c r="F10642">
        <v>0.51906263828277588</v>
      </c>
    </row>
    <row r="10643" spans="2:6">
      <c r="B10643">
        <v>2010</v>
      </c>
      <c r="C10643" t="s">
        <v>118</v>
      </c>
      <c r="D10643" t="s">
        <v>182</v>
      </c>
      <c r="E10643" t="s">
        <v>12</v>
      </c>
      <c r="F10643">
        <v>9.164351224899292E-2</v>
      </c>
    </row>
    <row r="10644" spans="2:6">
      <c r="B10644">
        <v>2010</v>
      </c>
      <c r="C10644" t="s">
        <v>118</v>
      </c>
      <c r="D10644" t="s">
        <v>182</v>
      </c>
      <c r="E10644" t="s">
        <v>13</v>
      </c>
      <c r="F10644">
        <v>0.91080188751220703</v>
      </c>
    </row>
    <row r="10645" spans="2:6">
      <c r="B10645">
        <v>2010</v>
      </c>
      <c r="C10645" t="s">
        <v>118</v>
      </c>
      <c r="D10645" t="s">
        <v>182</v>
      </c>
      <c r="E10645" t="s">
        <v>14</v>
      </c>
      <c r="F10645">
        <v>0.67245835065841675</v>
      </c>
    </row>
    <row r="10646" spans="2:6">
      <c r="B10646">
        <v>2010</v>
      </c>
      <c r="C10646" t="s">
        <v>118</v>
      </c>
      <c r="D10646" t="s">
        <v>182</v>
      </c>
      <c r="E10646" t="s">
        <v>15</v>
      </c>
      <c r="F10646">
        <v>0.22597299516201019</v>
      </c>
    </row>
    <row r="10647" spans="2:6">
      <c r="B10647">
        <v>2011</v>
      </c>
      <c r="C10647" t="s">
        <v>118</v>
      </c>
      <c r="D10647" t="s">
        <v>182</v>
      </c>
      <c r="E10647" t="s">
        <v>7</v>
      </c>
      <c r="F10647">
        <v>3.8094446659088135</v>
      </c>
    </row>
    <row r="10648" spans="2:6">
      <c r="B10648">
        <v>2011</v>
      </c>
      <c r="C10648" t="s">
        <v>118</v>
      </c>
      <c r="D10648" t="s">
        <v>182</v>
      </c>
      <c r="E10648" t="s">
        <v>8</v>
      </c>
      <c r="F10648">
        <v>7.7974462509155273</v>
      </c>
    </row>
    <row r="10649" spans="2:6">
      <c r="B10649">
        <v>2011</v>
      </c>
      <c r="C10649" t="s">
        <v>118</v>
      </c>
      <c r="D10649" t="s">
        <v>182</v>
      </c>
      <c r="E10649" t="s">
        <v>9</v>
      </c>
      <c r="F10649">
        <v>0.74097937345504761</v>
      </c>
    </row>
    <row r="10650" spans="2:6">
      <c r="B10650">
        <v>2011</v>
      </c>
      <c r="C10650" t="s">
        <v>118</v>
      </c>
      <c r="D10650" t="s">
        <v>182</v>
      </c>
      <c r="E10650" t="s">
        <v>10</v>
      </c>
      <c r="F10650">
        <v>59.400001525878906</v>
      </c>
    </row>
    <row r="10651" spans="2:6">
      <c r="B10651">
        <v>2011</v>
      </c>
      <c r="C10651" t="s">
        <v>118</v>
      </c>
      <c r="D10651" t="s">
        <v>182</v>
      </c>
      <c r="E10651" t="s">
        <v>11</v>
      </c>
      <c r="F10651">
        <v>0.52479767799377441</v>
      </c>
    </row>
    <row r="10652" spans="2:6">
      <c r="B10652">
        <v>2011</v>
      </c>
      <c r="C10652" t="s">
        <v>118</v>
      </c>
      <c r="D10652" t="s">
        <v>182</v>
      </c>
      <c r="E10652" t="s">
        <v>12</v>
      </c>
      <c r="F10652">
        <v>-9.6895089372992516E-3</v>
      </c>
    </row>
    <row r="10653" spans="2:6">
      <c r="B10653">
        <v>2011</v>
      </c>
      <c r="C10653" t="s">
        <v>118</v>
      </c>
      <c r="D10653" t="s">
        <v>182</v>
      </c>
      <c r="E10653" t="s">
        <v>13</v>
      </c>
      <c r="F10653">
        <v>0.93456375598907471</v>
      </c>
    </row>
    <row r="10654" spans="2:6">
      <c r="B10654">
        <v>2011</v>
      </c>
      <c r="C10654" t="s">
        <v>118</v>
      </c>
      <c r="D10654" t="s">
        <v>182</v>
      </c>
      <c r="E10654" t="s">
        <v>14</v>
      </c>
      <c r="F10654">
        <v>0.69945317506790161</v>
      </c>
    </row>
    <row r="10655" spans="2:6">
      <c r="B10655">
        <v>2011</v>
      </c>
      <c r="C10655" t="s">
        <v>118</v>
      </c>
      <c r="D10655" t="s">
        <v>182</v>
      </c>
      <c r="E10655" t="s">
        <v>15</v>
      </c>
      <c r="F10655">
        <v>0.2073589563369751</v>
      </c>
    </row>
    <row r="10656" spans="2:6">
      <c r="B10656">
        <v>2012</v>
      </c>
      <c r="C10656" t="s">
        <v>118</v>
      </c>
      <c r="D10656" t="s">
        <v>182</v>
      </c>
      <c r="E10656" t="s">
        <v>7</v>
      </c>
      <c r="F10656">
        <v>4.2332448959350586</v>
      </c>
    </row>
    <row r="10657" spans="2:6">
      <c r="B10657">
        <v>2012</v>
      </c>
      <c r="C10657" t="s">
        <v>118</v>
      </c>
      <c r="D10657" t="s">
        <v>182</v>
      </c>
      <c r="E10657" t="s">
        <v>8</v>
      </c>
      <c r="F10657">
        <v>7.8460593223571777</v>
      </c>
    </row>
    <row r="10658" spans="2:6">
      <c r="B10658">
        <v>2012</v>
      </c>
      <c r="C10658" t="s">
        <v>118</v>
      </c>
      <c r="D10658" t="s">
        <v>182</v>
      </c>
      <c r="E10658" t="s">
        <v>9</v>
      </c>
      <c r="F10658">
        <v>0.73360234498977661</v>
      </c>
    </row>
    <row r="10659" spans="2:6">
      <c r="B10659">
        <v>2012</v>
      </c>
      <c r="C10659" t="s">
        <v>118</v>
      </c>
      <c r="D10659" t="s">
        <v>182</v>
      </c>
      <c r="E10659" t="s">
        <v>10</v>
      </c>
      <c r="F10659">
        <v>59.599998474121094</v>
      </c>
    </row>
    <row r="10660" spans="2:6">
      <c r="B10660">
        <v>2012</v>
      </c>
      <c r="C10660" t="s">
        <v>118</v>
      </c>
      <c r="D10660" t="s">
        <v>182</v>
      </c>
      <c r="E10660" t="s">
        <v>11</v>
      </c>
      <c r="F10660">
        <v>0.63777840137481689</v>
      </c>
    </row>
    <row r="10661" spans="2:6">
      <c r="B10661">
        <v>2012</v>
      </c>
      <c r="C10661" t="s">
        <v>118</v>
      </c>
      <c r="D10661" t="s">
        <v>182</v>
      </c>
      <c r="E10661" t="s">
        <v>12</v>
      </c>
      <c r="F10661">
        <v>7.0283666253089905E-2</v>
      </c>
    </row>
    <row r="10662" spans="2:6">
      <c r="B10662">
        <v>2012</v>
      </c>
      <c r="C10662" t="s">
        <v>118</v>
      </c>
      <c r="D10662" t="s">
        <v>182</v>
      </c>
      <c r="E10662" t="s">
        <v>13</v>
      </c>
      <c r="F10662">
        <v>0.88349401950836182</v>
      </c>
    </row>
    <row r="10663" spans="2:6">
      <c r="B10663">
        <v>2012</v>
      </c>
      <c r="C10663" t="s">
        <v>118</v>
      </c>
      <c r="D10663" t="s">
        <v>182</v>
      </c>
      <c r="E10663" t="s">
        <v>14</v>
      </c>
      <c r="F10663">
        <v>0.73608291149139404</v>
      </c>
    </row>
    <row r="10664" spans="2:6">
      <c r="B10664">
        <v>2012</v>
      </c>
      <c r="C10664" t="s">
        <v>118</v>
      </c>
      <c r="D10664" t="s">
        <v>182</v>
      </c>
      <c r="E10664" t="s">
        <v>15</v>
      </c>
      <c r="F10664">
        <v>0.23107080161571503</v>
      </c>
    </row>
    <row r="10665" spans="2:6">
      <c r="B10665">
        <v>2013</v>
      </c>
      <c r="C10665" t="s">
        <v>118</v>
      </c>
      <c r="D10665" t="s">
        <v>182</v>
      </c>
      <c r="E10665" t="s">
        <v>7</v>
      </c>
      <c r="F10665">
        <v>4.604576587677002</v>
      </c>
    </row>
    <row r="10666" spans="2:6">
      <c r="B10666">
        <v>2013</v>
      </c>
      <c r="C10666" t="s">
        <v>118</v>
      </c>
      <c r="D10666" t="s">
        <v>182</v>
      </c>
      <c r="E10666" t="s">
        <v>8</v>
      </c>
      <c r="F10666">
        <v>7.889188289642334</v>
      </c>
    </row>
    <row r="10667" spans="2:6">
      <c r="B10667">
        <v>2013</v>
      </c>
      <c r="C10667" t="s">
        <v>118</v>
      </c>
      <c r="D10667" t="s">
        <v>182</v>
      </c>
      <c r="E10667" t="s">
        <v>9</v>
      </c>
      <c r="F10667">
        <v>0.74009895324707031</v>
      </c>
    </row>
    <row r="10668" spans="2:6">
      <c r="B10668">
        <v>2013</v>
      </c>
      <c r="C10668" t="s">
        <v>118</v>
      </c>
      <c r="D10668" t="s">
        <v>182</v>
      </c>
      <c r="E10668" t="s">
        <v>10</v>
      </c>
      <c r="F10668">
        <v>59.799999237060547</v>
      </c>
    </row>
    <row r="10669" spans="2:6">
      <c r="B10669">
        <v>2013</v>
      </c>
      <c r="C10669" t="s">
        <v>118</v>
      </c>
      <c r="D10669" t="s">
        <v>182</v>
      </c>
      <c r="E10669" t="s">
        <v>11</v>
      </c>
      <c r="F10669">
        <v>0.72226577997207642</v>
      </c>
    </row>
    <row r="10670" spans="2:6">
      <c r="B10670">
        <v>2013</v>
      </c>
      <c r="C10670" t="s">
        <v>118</v>
      </c>
      <c r="D10670" t="s">
        <v>182</v>
      </c>
      <c r="E10670" t="s">
        <v>12</v>
      </c>
      <c r="F10670">
        <v>0.15058223903179169</v>
      </c>
    </row>
    <row r="10671" spans="2:6">
      <c r="B10671">
        <v>2013</v>
      </c>
      <c r="C10671" t="s">
        <v>118</v>
      </c>
      <c r="D10671" t="s">
        <v>182</v>
      </c>
      <c r="E10671" t="s">
        <v>13</v>
      </c>
      <c r="F10671">
        <v>0.87734049558639526</v>
      </c>
    </row>
    <row r="10672" spans="2:6">
      <c r="B10672">
        <v>2013</v>
      </c>
      <c r="C10672" t="s">
        <v>118</v>
      </c>
      <c r="D10672" t="s">
        <v>182</v>
      </c>
      <c r="E10672" t="s">
        <v>14</v>
      </c>
      <c r="F10672">
        <v>0.62917584180831909</v>
      </c>
    </row>
    <row r="10673" spans="2:6">
      <c r="B10673">
        <v>2013</v>
      </c>
      <c r="C10673" t="s">
        <v>118</v>
      </c>
      <c r="D10673" t="s">
        <v>182</v>
      </c>
      <c r="E10673" t="s">
        <v>15</v>
      </c>
      <c r="F10673">
        <v>0.27926355600357056</v>
      </c>
    </row>
    <row r="10674" spans="2:6">
      <c r="B10674">
        <v>2014</v>
      </c>
      <c r="C10674" t="s">
        <v>118</v>
      </c>
      <c r="D10674" t="s">
        <v>182</v>
      </c>
      <c r="E10674" t="s">
        <v>7</v>
      </c>
      <c r="F10674">
        <v>4.9750146865844727</v>
      </c>
    </row>
    <row r="10675" spans="2:6">
      <c r="B10675">
        <v>2014</v>
      </c>
      <c r="C10675" t="s">
        <v>118</v>
      </c>
      <c r="D10675" t="s">
        <v>182</v>
      </c>
      <c r="E10675" t="s">
        <v>8</v>
      </c>
      <c r="F10675">
        <v>7.947761058807373</v>
      </c>
    </row>
    <row r="10676" spans="2:6">
      <c r="B10676">
        <v>2014</v>
      </c>
      <c r="C10676" t="s">
        <v>118</v>
      </c>
      <c r="D10676" t="s">
        <v>182</v>
      </c>
      <c r="E10676" t="s">
        <v>9</v>
      </c>
      <c r="F10676">
        <v>0.78588336706161499</v>
      </c>
    </row>
    <row r="10677" spans="2:6">
      <c r="B10677">
        <v>2014</v>
      </c>
      <c r="C10677" t="s">
        <v>118</v>
      </c>
      <c r="D10677" t="s">
        <v>182</v>
      </c>
      <c r="E10677" t="s">
        <v>10</v>
      </c>
      <c r="F10677">
        <v>60</v>
      </c>
    </row>
    <row r="10678" spans="2:6">
      <c r="B10678">
        <v>2014</v>
      </c>
      <c r="C10678" t="s">
        <v>118</v>
      </c>
      <c r="D10678" t="s">
        <v>182</v>
      </c>
      <c r="E10678" t="s">
        <v>11</v>
      </c>
      <c r="F10678">
        <v>0.71187764406204224</v>
      </c>
    </row>
    <row r="10679" spans="2:6">
      <c r="B10679">
        <v>2014</v>
      </c>
      <c r="C10679" t="s">
        <v>118</v>
      </c>
      <c r="D10679" t="s">
        <v>182</v>
      </c>
      <c r="E10679" t="s">
        <v>12</v>
      </c>
      <c r="F10679">
        <v>0.12070083618164063</v>
      </c>
    </row>
    <row r="10680" spans="2:6">
      <c r="B10680">
        <v>2014</v>
      </c>
      <c r="C10680" t="s">
        <v>118</v>
      </c>
      <c r="D10680" t="s">
        <v>182</v>
      </c>
      <c r="E10680" t="s">
        <v>13</v>
      </c>
      <c r="F10680">
        <v>0.84068584442138672</v>
      </c>
    </row>
    <row r="10681" spans="2:6">
      <c r="B10681">
        <v>2014</v>
      </c>
      <c r="C10681" t="s">
        <v>118</v>
      </c>
      <c r="D10681" t="s">
        <v>182</v>
      </c>
      <c r="E10681" t="s">
        <v>14</v>
      </c>
      <c r="F10681">
        <v>0.61392045021057129</v>
      </c>
    </row>
    <row r="10682" spans="2:6">
      <c r="B10682">
        <v>2014</v>
      </c>
      <c r="C10682" t="s">
        <v>118</v>
      </c>
      <c r="D10682" t="s">
        <v>182</v>
      </c>
      <c r="E10682" t="s">
        <v>15</v>
      </c>
      <c r="F10682">
        <v>0.28744715452194214</v>
      </c>
    </row>
    <row r="10683" spans="2:6">
      <c r="B10683">
        <v>2015</v>
      </c>
      <c r="C10683" t="s">
        <v>118</v>
      </c>
      <c r="D10683" t="s">
        <v>182</v>
      </c>
      <c r="E10683" t="s">
        <v>7</v>
      </c>
      <c r="F10683">
        <v>4.812436580657959</v>
      </c>
    </row>
    <row r="10684" spans="2:6">
      <c r="B10684">
        <v>2015</v>
      </c>
      <c r="C10684" t="s">
        <v>118</v>
      </c>
      <c r="D10684" t="s">
        <v>182</v>
      </c>
      <c r="E10684" t="s">
        <v>8</v>
      </c>
      <c r="F10684">
        <v>7.9764404296875</v>
      </c>
    </row>
    <row r="10685" spans="2:6">
      <c r="B10685">
        <v>2015</v>
      </c>
      <c r="C10685" t="s">
        <v>118</v>
      </c>
      <c r="D10685" t="s">
        <v>182</v>
      </c>
      <c r="E10685" t="s">
        <v>9</v>
      </c>
      <c r="F10685">
        <v>0.7476118803024292</v>
      </c>
    </row>
    <row r="10686" spans="2:6">
      <c r="B10686">
        <v>2015</v>
      </c>
      <c r="C10686" t="s">
        <v>118</v>
      </c>
      <c r="D10686" t="s">
        <v>182</v>
      </c>
      <c r="E10686" t="s">
        <v>10</v>
      </c>
      <c r="F10686">
        <v>60.200000762939453</v>
      </c>
    </row>
    <row r="10687" spans="2:6">
      <c r="B10687">
        <v>2015</v>
      </c>
      <c r="C10687" t="s">
        <v>118</v>
      </c>
      <c r="D10687" t="s">
        <v>182</v>
      </c>
      <c r="E10687" t="s">
        <v>11</v>
      </c>
      <c r="F10687">
        <v>0.76344722509384155</v>
      </c>
    </row>
    <row r="10688" spans="2:6">
      <c r="B10688">
        <v>2015</v>
      </c>
      <c r="C10688" t="s">
        <v>118</v>
      </c>
      <c r="D10688" t="s">
        <v>182</v>
      </c>
      <c r="E10688" t="s">
        <v>12</v>
      </c>
      <c r="F10688">
        <v>0.22741396725177765</v>
      </c>
    </row>
    <row r="10689" spans="2:6">
      <c r="B10689">
        <v>2015</v>
      </c>
      <c r="C10689" t="s">
        <v>118</v>
      </c>
      <c r="D10689" t="s">
        <v>182</v>
      </c>
      <c r="E10689" t="s">
        <v>13</v>
      </c>
      <c r="F10689">
        <v>0.82350838184356689</v>
      </c>
    </row>
    <row r="10690" spans="2:6">
      <c r="B10690">
        <v>2015</v>
      </c>
      <c r="C10690" t="s">
        <v>118</v>
      </c>
      <c r="D10690" t="s">
        <v>182</v>
      </c>
      <c r="E10690" t="s">
        <v>14</v>
      </c>
      <c r="F10690">
        <v>0.54305762052536011</v>
      </c>
    </row>
    <row r="10691" spans="2:6">
      <c r="B10691">
        <v>2015</v>
      </c>
      <c r="C10691" t="s">
        <v>118</v>
      </c>
      <c r="D10691" t="s">
        <v>182</v>
      </c>
      <c r="E10691" t="s">
        <v>15</v>
      </c>
      <c r="F10691">
        <v>0.35823437571525574</v>
      </c>
    </row>
    <row r="10692" spans="2:6">
      <c r="B10692">
        <v>2016</v>
      </c>
      <c r="C10692" t="s">
        <v>118</v>
      </c>
      <c r="D10692" t="s">
        <v>182</v>
      </c>
      <c r="E10692" t="s">
        <v>7</v>
      </c>
      <c r="F10692">
        <v>5.0995397567749023</v>
      </c>
    </row>
    <row r="10693" spans="2:6">
      <c r="B10693">
        <v>2016</v>
      </c>
      <c r="C10693" t="s">
        <v>118</v>
      </c>
      <c r="D10693" t="s">
        <v>182</v>
      </c>
      <c r="E10693" t="s">
        <v>8</v>
      </c>
      <c r="F10693">
        <v>7.9732413291931152</v>
      </c>
    </row>
    <row r="10694" spans="2:6">
      <c r="B10694">
        <v>2016</v>
      </c>
      <c r="C10694" t="s">
        <v>118</v>
      </c>
      <c r="D10694" t="s">
        <v>182</v>
      </c>
      <c r="E10694" t="s">
        <v>9</v>
      </c>
      <c r="F10694">
        <v>0.8370436429977417</v>
      </c>
    </row>
    <row r="10695" spans="2:6">
      <c r="B10695">
        <v>2016</v>
      </c>
      <c r="C10695" t="s">
        <v>118</v>
      </c>
      <c r="D10695" t="s">
        <v>182</v>
      </c>
      <c r="E10695" t="s">
        <v>10</v>
      </c>
      <c r="F10695">
        <v>61.299999237060547</v>
      </c>
    </row>
    <row r="10696" spans="2:6">
      <c r="B10696">
        <v>2016</v>
      </c>
      <c r="C10696" t="s">
        <v>118</v>
      </c>
      <c r="D10696" t="s">
        <v>182</v>
      </c>
      <c r="E10696" t="s">
        <v>11</v>
      </c>
      <c r="F10696">
        <v>0.8394884467124939</v>
      </c>
    </row>
    <row r="10697" spans="2:6">
      <c r="B10697">
        <v>2016</v>
      </c>
      <c r="C10697" t="s">
        <v>118</v>
      </c>
      <c r="D10697" t="s">
        <v>182</v>
      </c>
      <c r="E10697" t="s">
        <v>12</v>
      </c>
      <c r="F10697">
        <v>0.16832238435745239</v>
      </c>
    </row>
    <row r="10698" spans="2:6">
      <c r="B10698">
        <v>2016</v>
      </c>
      <c r="C10698" t="s">
        <v>118</v>
      </c>
      <c r="D10698" t="s">
        <v>182</v>
      </c>
      <c r="E10698" t="s">
        <v>13</v>
      </c>
      <c r="F10698">
        <v>0.81711488962173462</v>
      </c>
    </row>
    <row r="10699" spans="2:6">
      <c r="B10699">
        <v>2016</v>
      </c>
      <c r="C10699" t="s">
        <v>118</v>
      </c>
      <c r="D10699" t="s">
        <v>182</v>
      </c>
      <c r="E10699" t="s">
        <v>14</v>
      </c>
      <c r="F10699">
        <v>0.62735116481781006</v>
      </c>
    </row>
    <row r="10700" spans="2:6">
      <c r="B10700">
        <v>2016</v>
      </c>
      <c r="C10700" t="s">
        <v>118</v>
      </c>
      <c r="D10700" t="s">
        <v>182</v>
      </c>
      <c r="E10700" t="s">
        <v>15</v>
      </c>
      <c r="F10700">
        <v>0.36966174840927124</v>
      </c>
    </row>
    <row r="10701" spans="2:6">
      <c r="B10701">
        <v>2017</v>
      </c>
      <c r="C10701" t="s">
        <v>118</v>
      </c>
      <c r="D10701" t="s">
        <v>182</v>
      </c>
      <c r="E10701" t="s">
        <v>7</v>
      </c>
      <c r="F10701">
        <v>4.7366924285888672</v>
      </c>
    </row>
    <row r="10702" spans="2:6">
      <c r="B10702">
        <v>2017</v>
      </c>
      <c r="C10702" t="s">
        <v>118</v>
      </c>
      <c r="D10702" t="s">
        <v>182</v>
      </c>
      <c r="E10702" t="s">
        <v>8</v>
      </c>
      <c r="F10702">
        <v>8.0389337539672852</v>
      </c>
    </row>
    <row r="10703" spans="2:6">
      <c r="B10703">
        <v>2017</v>
      </c>
      <c r="C10703" t="s">
        <v>118</v>
      </c>
      <c r="D10703" t="s">
        <v>182</v>
      </c>
      <c r="E10703" t="s">
        <v>9</v>
      </c>
      <c r="F10703">
        <v>0.81638330221176147</v>
      </c>
    </row>
    <row r="10704" spans="2:6">
      <c r="B10704">
        <v>2017</v>
      </c>
      <c r="C10704" t="s">
        <v>118</v>
      </c>
      <c r="D10704" t="s">
        <v>182</v>
      </c>
      <c r="E10704" t="s">
        <v>10</v>
      </c>
      <c r="F10704">
        <v>62.400001525878906</v>
      </c>
    </row>
    <row r="10705" spans="2:6">
      <c r="B10705">
        <v>2017</v>
      </c>
      <c r="C10705" t="s">
        <v>118</v>
      </c>
      <c r="D10705" t="s">
        <v>182</v>
      </c>
      <c r="E10705" t="s">
        <v>11</v>
      </c>
      <c r="F10705">
        <v>0.84514760971069336</v>
      </c>
    </row>
    <row r="10706" spans="2:6">
      <c r="B10706">
        <v>2017</v>
      </c>
      <c r="C10706" t="s">
        <v>118</v>
      </c>
      <c r="D10706" t="s">
        <v>182</v>
      </c>
      <c r="E10706" t="s">
        <v>12</v>
      </c>
      <c r="F10706">
        <v>0.13359729945659637</v>
      </c>
    </row>
    <row r="10707" spans="2:6">
      <c r="B10707">
        <v>2017</v>
      </c>
      <c r="C10707" t="s">
        <v>118</v>
      </c>
      <c r="D10707" t="s">
        <v>182</v>
      </c>
      <c r="E10707" t="s">
        <v>13</v>
      </c>
      <c r="F10707">
        <v>0.77017712593078613</v>
      </c>
    </row>
    <row r="10708" spans="2:6">
      <c r="B10708">
        <v>2017</v>
      </c>
      <c r="C10708" t="s">
        <v>118</v>
      </c>
      <c r="D10708" t="s">
        <v>182</v>
      </c>
      <c r="E10708" t="s">
        <v>14</v>
      </c>
      <c r="F10708">
        <v>0.57057702541351318</v>
      </c>
    </row>
    <row r="10709" spans="2:6">
      <c r="B10709">
        <v>2017</v>
      </c>
      <c r="C10709" t="s">
        <v>118</v>
      </c>
      <c r="D10709" t="s">
        <v>182</v>
      </c>
      <c r="E10709" t="s">
        <v>15</v>
      </c>
      <c r="F10709">
        <v>0.37597793340682983</v>
      </c>
    </row>
    <row r="10710" spans="2:6">
      <c r="B10710">
        <v>2018</v>
      </c>
      <c r="C10710" t="s">
        <v>118</v>
      </c>
      <c r="D10710" t="s">
        <v>182</v>
      </c>
      <c r="E10710" t="s">
        <v>7</v>
      </c>
      <c r="F10710">
        <v>4.9100866317749023</v>
      </c>
    </row>
    <row r="10711" spans="2:6">
      <c r="B10711">
        <v>2018</v>
      </c>
      <c r="C10711" t="s">
        <v>118</v>
      </c>
      <c r="D10711" t="s">
        <v>182</v>
      </c>
      <c r="E10711" t="s">
        <v>8</v>
      </c>
      <c r="F10711">
        <v>8.0872535705566406</v>
      </c>
    </row>
    <row r="10712" spans="2:6">
      <c r="B10712">
        <v>2018</v>
      </c>
      <c r="C10712" t="s">
        <v>118</v>
      </c>
      <c r="D10712" t="s">
        <v>182</v>
      </c>
      <c r="E10712" t="s">
        <v>9</v>
      </c>
      <c r="F10712">
        <v>0.76833552122116089</v>
      </c>
    </row>
    <row r="10713" spans="2:6">
      <c r="B10713">
        <v>2018</v>
      </c>
      <c r="C10713" t="s">
        <v>118</v>
      </c>
      <c r="D10713" t="s">
        <v>182</v>
      </c>
      <c r="E10713" t="s">
        <v>10</v>
      </c>
      <c r="F10713">
        <v>63.5</v>
      </c>
    </row>
    <row r="10714" spans="2:6">
      <c r="B10714">
        <v>2018</v>
      </c>
      <c r="C10714" t="s">
        <v>118</v>
      </c>
      <c r="D10714" t="s">
        <v>182</v>
      </c>
      <c r="E10714" t="s">
        <v>11</v>
      </c>
      <c r="F10714">
        <v>0.77009367942810059</v>
      </c>
    </row>
    <row r="10715" spans="2:6">
      <c r="B10715">
        <v>2018</v>
      </c>
      <c r="C10715" t="s">
        <v>118</v>
      </c>
      <c r="D10715" t="s">
        <v>182</v>
      </c>
      <c r="E10715" t="s">
        <v>12</v>
      </c>
      <c r="F10715">
        <v>0.12215355038642883</v>
      </c>
    </row>
    <row r="10716" spans="2:6">
      <c r="B10716">
        <v>2018</v>
      </c>
      <c r="C10716" t="s">
        <v>118</v>
      </c>
      <c r="D10716" t="s">
        <v>182</v>
      </c>
      <c r="E10716" t="s">
        <v>13</v>
      </c>
      <c r="F10716">
        <v>0.74175280332565308</v>
      </c>
    </row>
    <row r="10717" spans="2:6">
      <c r="B10717">
        <v>2018</v>
      </c>
      <c r="C10717" t="s">
        <v>118</v>
      </c>
      <c r="D10717" t="s">
        <v>182</v>
      </c>
      <c r="E10717" t="s">
        <v>14</v>
      </c>
      <c r="F10717">
        <v>0.53697770833969116</v>
      </c>
    </row>
    <row r="10718" spans="2:6">
      <c r="B10718">
        <v>2018</v>
      </c>
      <c r="C10718" t="s">
        <v>118</v>
      </c>
      <c r="D10718" t="s">
        <v>182</v>
      </c>
      <c r="E10718" t="s">
        <v>15</v>
      </c>
      <c r="F10718">
        <v>0.38679242134094238</v>
      </c>
    </row>
    <row r="10719" spans="2:6">
      <c r="B10719">
        <v>2019</v>
      </c>
      <c r="C10719" t="s">
        <v>118</v>
      </c>
      <c r="D10719" t="s">
        <v>182</v>
      </c>
      <c r="E10719" t="s">
        <v>7</v>
      </c>
      <c r="F10719">
        <v>5.4487247467041016</v>
      </c>
    </row>
    <row r="10720" spans="2:6">
      <c r="B10720">
        <v>2019</v>
      </c>
      <c r="C10720" t="s">
        <v>118</v>
      </c>
      <c r="D10720" t="s">
        <v>182</v>
      </c>
      <c r="E10720" t="s">
        <v>8</v>
      </c>
      <c r="F10720">
        <v>8.1364574432373047</v>
      </c>
    </row>
    <row r="10721" spans="2:6">
      <c r="B10721">
        <v>2019</v>
      </c>
      <c r="C10721" t="s">
        <v>118</v>
      </c>
      <c r="D10721" t="s">
        <v>182</v>
      </c>
      <c r="E10721" t="s">
        <v>9</v>
      </c>
      <c r="F10721">
        <v>0.77227306365966797</v>
      </c>
    </row>
    <row r="10722" spans="2:6">
      <c r="B10722">
        <v>2019</v>
      </c>
      <c r="C10722" t="s">
        <v>118</v>
      </c>
      <c r="D10722" t="s">
        <v>182</v>
      </c>
      <c r="E10722" t="s">
        <v>10</v>
      </c>
      <c r="F10722">
        <v>64.599998474121094</v>
      </c>
    </row>
    <row r="10723" spans="2:6">
      <c r="B10723">
        <v>2019</v>
      </c>
      <c r="C10723" t="s">
        <v>118</v>
      </c>
      <c r="D10723" t="s">
        <v>182</v>
      </c>
      <c r="E10723" t="s">
        <v>11</v>
      </c>
      <c r="F10723">
        <v>0.79034769535064697</v>
      </c>
    </row>
    <row r="10724" spans="2:6">
      <c r="B10724">
        <v>2019</v>
      </c>
      <c r="C10724" t="s">
        <v>118</v>
      </c>
      <c r="D10724" t="s">
        <v>182</v>
      </c>
      <c r="E10724" t="s">
        <v>12</v>
      </c>
      <c r="F10724">
        <v>0.16697579622268677</v>
      </c>
    </row>
    <row r="10725" spans="2:6">
      <c r="B10725">
        <v>2019</v>
      </c>
      <c r="C10725" t="s">
        <v>118</v>
      </c>
      <c r="D10725" t="s">
        <v>182</v>
      </c>
      <c r="E10725" t="s">
        <v>13</v>
      </c>
      <c r="F10725">
        <v>0.71184247732162476</v>
      </c>
    </row>
    <row r="10726" spans="2:6">
      <c r="B10726">
        <v>2019</v>
      </c>
      <c r="C10726" t="s">
        <v>118</v>
      </c>
      <c r="D10726" t="s">
        <v>182</v>
      </c>
      <c r="E10726" t="s">
        <v>14</v>
      </c>
      <c r="F10726">
        <v>0.53579813241958618</v>
      </c>
    </row>
    <row r="10727" spans="2:6">
      <c r="B10727">
        <v>2019</v>
      </c>
      <c r="C10727" t="s">
        <v>118</v>
      </c>
      <c r="D10727" t="s">
        <v>182</v>
      </c>
      <c r="E10727" t="s">
        <v>15</v>
      </c>
      <c r="F10727">
        <v>0.35710030794143677</v>
      </c>
    </row>
    <row r="10728" spans="2:6">
      <c r="B10728">
        <v>2005</v>
      </c>
      <c r="C10728" t="s">
        <v>119</v>
      </c>
      <c r="D10728" t="s">
        <v>183</v>
      </c>
      <c r="E10728" t="s">
        <v>7</v>
      </c>
      <c r="F10728">
        <v>7.4639792442321777</v>
      </c>
    </row>
    <row r="10729" spans="2:6">
      <c r="B10729">
        <v>2005</v>
      </c>
      <c r="C10729" t="s">
        <v>119</v>
      </c>
      <c r="D10729" t="s">
        <v>183</v>
      </c>
      <c r="E10729" t="s">
        <v>8</v>
      </c>
      <c r="F10729">
        <v>10.813765525817871</v>
      </c>
    </row>
    <row r="10730" spans="2:6">
      <c r="B10730">
        <v>2005</v>
      </c>
      <c r="C10730" t="s">
        <v>119</v>
      </c>
      <c r="D10730" t="s">
        <v>183</v>
      </c>
      <c r="E10730" t="s">
        <v>9</v>
      </c>
      <c r="F10730">
        <v>0.94735795259475708</v>
      </c>
    </row>
    <row r="10731" spans="2:6">
      <c r="B10731">
        <v>2005</v>
      </c>
      <c r="C10731" t="s">
        <v>119</v>
      </c>
      <c r="D10731" t="s">
        <v>183</v>
      </c>
      <c r="E10731" t="s">
        <v>10</v>
      </c>
      <c r="F10731">
        <v>70.400001525878906</v>
      </c>
    </row>
    <row r="10732" spans="2:6">
      <c r="B10732">
        <v>2005</v>
      </c>
      <c r="C10732" t="s">
        <v>119</v>
      </c>
      <c r="D10732" t="s">
        <v>183</v>
      </c>
      <c r="E10732" t="s">
        <v>11</v>
      </c>
      <c r="F10732">
        <v>0.90100777149200439</v>
      </c>
    </row>
    <row r="10733" spans="2:6">
      <c r="B10733">
        <v>2005</v>
      </c>
      <c r="C10733" t="s">
        <v>119</v>
      </c>
      <c r="D10733" t="s">
        <v>183</v>
      </c>
      <c r="E10733" t="s">
        <v>13</v>
      </c>
      <c r="F10733">
        <v>0.57134222984313965</v>
      </c>
    </row>
    <row r="10734" spans="2:6">
      <c r="B10734">
        <v>2005</v>
      </c>
      <c r="C10734" t="s">
        <v>119</v>
      </c>
      <c r="D10734" t="s">
        <v>183</v>
      </c>
      <c r="E10734" t="s">
        <v>14</v>
      </c>
      <c r="F10734">
        <v>0.86935335397720337</v>
      </c>
    </row>
    <row r="10735" spans="2:6">
      <c r="B10735">
        <v>2005</v>
      </c>
      <c r="C10735" t="s">
        <v>119</v>
      </c>
      <c r="D10735" t="s">
        <v>183</v>
      </c>
      <c r="E10735" t="s">
        <v>15</v>
      </c>
      <c r="F10735">
        <v>0.23279471695423126</v>
      </c>
    </row>
    <row r="10736" spans="2:6">
      <c r="B10736">
        <v>2007</v>
      </c>
      <c r="C10736" t="s">
        <v>119</v>
      </c>
      <c r="D10736" t="s">
        <v>183</v>
      </c>
      <c r="E10736" t="s">
        <v>7</v>
      </c>
      <c r="F10736">
        <v>7.4518795013427734</v>
      </c>
    </row>
    <row r="10737" spans="2:6">
      <c r="B10737">
        <v>2007</v>
      </c>
      <c r="C10737" t="s">
        <v>119</v>
      </c>
      <c r="D10737" t="s">
        <v>183</v>
      </c>
      <c r="E10737" t="s">
        <v>8</v>
      </c>
      <c r="F10737">
        <v>10.88104248046875</v>
      </c>
    </row>
    <row r="10738" spans="2:6">
      <c r="B10738">
        <v>2007</v>
      </c>
      <c r="C10738" t="s">
        <v>119</v>
      </c>
      <c r="D10738" t="s">
        <v>183</v>
      </c>
      <c r="E10738" t="s">
        <v>9</v>
      </c>
      <c r="F10738">
        <v>0.94385409355163574</v>
      </c>
    </row>
    <row r="10739" spans="2:6">
      <c r="B10739">
        <v>2007</v>
      </c>
      <c r="C10739" t="s">
        <v>119</v>
      </c>
      <c r="D10739" t="s">
        <v>183</v>
      </c>
      <c r="E10739" t="s">
        <v>10</v>
      </c>
      <c r="F10739">
        <v>70.800003051757813</v>
      </c>
    </row>
    <row r="10740" spans="2:6">
      <c r="B10740">
        <v>2007</v>
      </c>
      <c r="C10740" t="s">
        <v>119</v>
      </c>
      <c r="D10740" t="s">
        <v>183</v>
      </c>
      <c r="E10740" t="s">
        <v>11</v>
      </c>
      <c r="F10740">
        <v>0.89601808786392212</v>
      </c>
    </row>
    <row r="10741" spans="2:6">
      <c r="B10741">
        <v>2007</v>
      </c>
      <c r="C10741" t="s">
        <v>119</v>
      </c>
      <c r="D10741" t="s">
        <v>183</v>
      </c>
      <c r="E10741" t="s">
        <v>12</v>
      </c>
      <c r="F10741">
        <v>0.34434670209884644</v>
      </c>
    </row>
    <row r="10742" spans="2:6">
      <c r="B10742">
        <v>2007</v>
      </c>
      <c r="C10742" t="s">
        <v>119</v>
      </c>
      <c r="D10742" t="s">
        <v>183</v>
      </c>
      <c r="E10742" t="s">
        <v>13</v>
      </c>
      <c r="F10742">
        <v>0.44543656706809998</v>
      </c>
    </row>
    <row r="10743" spans="2:6">
      <c r="B10743">
        <v>2007</v>
      </c>
      <c r="C10743" t="s">
        <v>119</v>
      </c>
      <c r="D10743" t="s">
        <v>183</v>
      </c>
      <c r="E10743" t="s">
        <v>14</v>
      </c>
      <c r="F10743">
        <v>0.81775003671646118</v>
      </c>
    </row>
    <row r="10744" spans="2:6">
      <c r="B10744">
        <v>2007</v>
      </c>
      <c r="C10744" t="s">
        <v>119</v>
      </c>
      <c r="D10744" t="s">
        <v>183</v>
      </c>
      <c r="E10744" t="s">
        <v>15</v>
      </c>
      <c r="F10744">
        <v>0.21333560347557068</v>
      </c>
    </row>
    <row r="10745" spans="2:6">
      <c r="B10745">
        <v>2008</v>
      </c>
      <c r="C10745" t="s">
        <v>119</v>
      </c>
      <c r="D10745" t="s">
        <v>183</v>
      </c>
      <c r="E10745" t="s">
        <v>7</v>
      </c>
      <c r="F10745">
        <v>7.631011962890625</v>
      </c>
    </row>
    <row r="10746" spans="2:6">
      <c r="B10746">
        <v>2008</v>
      </c>
      <c r="C10746" t="s">
        <v>119</v>
      </c>
      <c r="D10746" t="s">
        <v>183</v>
      </c>
      <c r="E10746" t="s">
        <v>8</v>
      </c>
      <c r="F10746">
        <v>10.89862060546875</v>
      </c>
    </row>
    <row r="10747" spans="2:6">
      <c r="B10747">
        <v>2008</v>
      </c>
      <c r="C10747" t="s">
        <v>119</v>
      </c>
      <c r="D10747" t="s">
        <v>183</v>
      </c>
      <c r="E10747" t="s">
        <v>9</v>
      </c>
      <c r="F10747">
        <v>0.9442022442817688</v>
      </c>
    </row>
    <row r="10748" spans="2:6">
      <c r="B10748">
        <v>2008</v>
      </c>
      <c r="C10748" t="s">
        <v>119</v>
      </c>
      <c r="D10748" t="s">
        <v>183</v>
      </c>
      <c r="E10748" t="s">
        <v>10</v>
      </c>
      <c r="F10748">
        <v>71</v>
      </c>
    </row>
    <row r="10749" spans="2:6">
      <c r="B10749">
        <v>2008</v>
      </c>
      <c r="C10749" t="s">
        <v>119</v>
      </c>
      <c r="D10749" t="s">
        <v>183</v>
      </c>
      <c r="E10749" t="s">
        <v>11</v>
      </c>
      <c r="F10749">
        <v>0.88328725099563599</v>
      </c>
    </row>
    <row r="10750" spans="2:6">
      <c r="B10750">
        <v>2008</v>
      </c>
      <c r="C10750" t="s">
        <v>119</v>
      </c>
      <c r="D10750" t="s">
        <v>183</v>
      </c>
      <c r="E10750" t="s">
        <v>12</v>
      </c>
      <c r="F10750">
        <v>0.36519986391067505</v>
      </c>
    </row>
    <row r="10751" spans="2:6">
      <c r="B10751">
        <v>2008</v>
      </c>
      <c r="C10751" t="s">
        <v>119</v>
      </c>
      <c r="D10751" t="s">
        <v>183</v>
      </c>
      <c r="E10751" t="s">
        <v>13</v>
      </c>
      <c r="F10751">
        <v>0.41894048452377319</v>
      </c>
    </row>
    <row r="10752" spans="2:6">
      <c r="B10752">
        <v>2008</v>
      </c>
      <c r="C10752" t="s">
        <v>119</v>
      </c>
      <c r="D10752" t="s">
        <v>183</v>
      </c>
      <c r="E10752" t="s">
        <v>14</v>
      </c>
      <c r="F10752">
        <v>0.78819471597671509</v>
      </c>
    </row>
    <row r="10753" spans="2:6">
      <c r="B10753">
        <v>2008</v>
      </c>
      <c r="C10753" t="s">
        <v>119</v>
      </c>
      <c r="D10753" t="s">
        <v>183</v>
      </c>
      <c r="E10753" t="s">
        <v>15</v>
      </c>
      <c r="F10753">
        <v>0.18169042468070984</v>
      </c>
    </row>
    <row r="10754" spans="2:6">
      <c r="B10754">
        <v>2010</v>
      </c>
      <c r="C10754" t="s">
        <v>119</v>
      </c>
      <c r="D10754" t="s">
        <v>183</v>
      </c>
      <c r="E10754" t="s">
        <v>7</v>
      </c>
      <c r="F10754">
        <v>7.5018758773803711</v>
      </c>
    </row>
    <row r="10755" spans="2:6">
      <c r="B10755">
        <v>2010</v>
      </c>
      <c r="C10755" t="s">
        <v>119</v>
      </c>
      <c r="D10755" t="s">
        <v>183</v>
      </c>
      <c r="E10755" t="s">
        <v>8</v>
      </c>
      <c r="F10755">
        <v>10.864328384399414</v>
      </c>
    </row>
    <row r="10756" spans="2:6">
      <c r="B10756">
        <v>2010</v>
      </c>
      <c r="C10756" t="s">
        <v>119</v>
      </c>
      <c r="D10756" t="s">
        <v>183</v>
      </c>
      <c r="E10756" t="s">
        <v>9</v>
      </c>
      <c r="F10756">
        <v>0.95653688907623291</v>
      </c>
    </row>
    <row r="10757" spans="2:6">
      <c r="B10757">
        <v>2010</v>
      </c>
      <c r="C10757" t="s">
        <v>119</v>
      </c>
      <c r="D10757" t="s">
        <v>183</v>
      </c>
      <c r="E10757" t="s">
        <v>10</v>
      </c>
      <c r="F10757">
        <v>71.400001525878906</v>
      </c>
    </row>
    <row r="10758" spans="2:6">
      <c r="B10758">
        <v>2010</v>
      </c>
      <c r="C10758" t="s">
        <v>119</v>
      </c>
      <c r="D10758" t="s">
        <v>183</v>
      </c>
      <c r="E10758" t="s">
        <v>11</v>
      </c>
      <c r="F10758">
        <v>0.9214482307434082</v>
      </c>
    </row>
    <row r="10759" spans="2:6">
      <c r="B10759">
        <v>2010</v>
      </c>
      <c r="C10759" t="s">
        <v>119</v>
      </c>
      <c r="D10759" t="s">
        <v>183</v>
      </c>
      <c r="E10759" t="s">
        <v>12</v>
      </c>
      <c r="F10759">
        <v>0.34934568405151367</v>
      </c>
    </row>
    <row r="10760" spans="2:6">
      <c r="B10760">
        <v>2010</v>
      </c>
      <c r="C10760" t="s">
        <v>119</v>
      </c>
      <c r="D10760" t="s">
        <v>183</v>
      </c>
      <c r="E10760" t="s">
        <v>13</v>
      </c>
      <c r="F10760">
        <v>0.39859184622764587</v>
      </c>
    </row>
    <row r="10761" spans="2:6">
      <c r="B10761">
        <v>2010</v>
      </c>
      <c r="C10761" t="s">
        <v>119</v>
      </c>
      <c r="D10761" t="s">
        <v>183</v>
      </c>
      <c r="E10761" t="s">
        <v>14</v>
      </c>
      <c r="F10761">
        <v>0.85323381423950195</v>
      </c>
    </row>
    <row r="10762" spans="2:6">
      <c r="B10762">
        <v>2010</v>
      </c>
      <c r="C10762" t="s">
        <v>119</v>
      </c>
      <c r="D10762" t="s">
        <v>183</v>
      </c>
      <c r="E10762" t="s">
        <v>15</v>
      </c>
      <c r="F10762">
        <v>0.20607930421829224</v>
      </c>
    </row>
    <row r="10763" spans="2:6">
      <c r="B10763">
        <v>2011</v>
      </c>
      <c r="C10763" t="s">
        <v>119</v>
      </c>
      <c r="D10763" t="s">
        <v>183</v>
      </c>
      <c r="E10763" t="s">
        <v>7</v>
      </c>
      <c r="F10763">
        <v>7.5637979507446289</v>
      </c>
    </row>
    <row r="10764" spans="2:6">
      <c r="B10764">
        <v>2011</v>
      </c>
      <c r="C10764" t="s">
        <v>119</v>
      </c>
      <c r="D10764" t="s">
        <v>183</v>
      </c>
      <c r="E10764" t="s">
        <v>8</v>
      </c>
      <c r="F10764">
        <v>10.875057220458984</v>
      </c>
    </row>
    <row r="10765" spans="2:6">
      <c r="B10765">
        <v>2011</v>
      </c>
      <c r="C10765" t="s">
        <v>119</v>
      </c>
      <c r="D10765" t="s">
        <v>183</v>
      </c>
      <c r="E10765" t="s">
        <v>9</v>
      </c>
      <c r="F10765">
        <v>0.93839609622955322</v>
      </c>
    </row>
    <row r="10766" spans="2:6">
      <c r="B10766">
        <v>2011</v>
      </c>
      <c r="C10766" t="s">
        <v>119</v>
      </c>
      <c r="D10766" t="s">
        <v>183</v>
      </c>
      <c r="E10766" t="s">
        <v>10</v>
      </c>
      <c r="F10766">
        <v>71.519996643066406</v>
      </c>
    </row>
    <row r="10767" spans="2:6">
      <c r="B10767">
        <v>2011</v>
      </c>
      <c r="C10767" t="s">
        <v>119</v>
      </c>
      <c r="D10767" t="s">
        <v>183</v>
      </c>
      <c r="E10767" t="s">
        <v>11</v>
      </c>
      <c r="F10767">
        <v>0.92543154954910278</v>
      </c>
    </row>
    <row r="10768" spans="2:6">
      <c r="B10768">
        <v>2011</v>
      </c>
      <c r="C10768" t="s">
        <v>119</v>
      </c>
      <c r="D10768" t="s">
        <v>183</v>
      </c>
      <c r="E10768" t="s">
        <v>12</v>
      </c>
      <c r="F10768">
        <v>0.33566808700561523</v>
      </c>
    </row>
    <row r="10769" spans="2:6">
      <c r="B10769">
        <v>2011</v>
      </c>
      <c r="C10769" t="s">
        <v>119</v>
      </c>
      <c r="D10769" t="s">
        <v>183</v>
      </c>
      <c r="E10769" t="s">
        <v>13</v>
      </c>
      <c r="F10769">
        <v>0.35939589142799377</v>
      </c>
    </row>
    <row r="10770" spans="2:6">
      <c r="B10770">
        <v>2011</v>
      </c>
      <c r="C10770" t="s">
        <v>119</v>
      </c>
      <c r="D10770" t="s">
        <v>183</v>
      </c>
      <c r="E10770" t="s">
        <v>14</v>
      </c>
      <c r="F10770">
        <v>0.86272323131561279</v>
      </c>
    </row>
    <row r="10771" spans="2:6">
      <c r="B10771">
        <v>2011</v>
      </c>
      <c r="C10771" t="s">
        <v>119</v>
      </c>
      <c r="D10771" t="s">
        <v>183</v>
      </c>
      <c r="E10771" t="s">
        <v>15</v>
      </c>
      <c r="F10771">
        <v>0.18138618767261505</v>
      </c>
    </row>
    <row r="10772" spans="2:6">
      <c r="B10772">
        <v>2012</v>
      </c>
      <c r="C10772" t="s">
        <v>119</v>
      </c>
      <c r="D10772" t="s">
        <v>183</v>
      </c>
      <c r="E10772" t="s">
        <v>7</v>
      </c>
      <c r="F10772">
        <v>7.4707155227661133</v>
      </c>
    </row>
    <row r="10773" spans="2:6">
      <c r="B10773">
        <v>2012</v>
      </c>
      <c r="C10773" t="s">
        <v>119</v>
      </c>
      <c r="D10773" t="s">
        <v>183</v>
      </c>
      <c r="E10773" t="s">
        <v>8</v>
      </c>
      <c r="F10773">
        <v>10.861000061035156</v>
      </c>
    </row>
    <row r="10774" spans="2:6">
      <c r="B10774">
        <v>2012</v>
      </c>
      <c r="C10774" t="s">
        <v>119</v>
      </c>
      <c r="D10774" t="s">
        <v>183</v>
      </c>
      <c r="E10774" t="s">
        <v>9</v>
      </c>
      <c r="F10774">
        <v>0.9388846755027771</v>
      </c>
    </row>
    <row r="10775" spans="2:6">
      <c r="B10775">
        <v>2012</v>
      </c>
      <c r="C10775" t="s">
        <v>119</v>
      </c>
      <c r="D10775" t="s">
        <v>183</v>
      </c>
      <c r="E10775" t="s">
        <v>10</v>
      </c>
      <c r="F10775">
        <v>71.639999389648438</v>
      </c>
    </row>
    <row r="10776" spans="2:6">
      <c r="B10776">
        <v>2012</v>
      </c>
      <c r="C10776" t="s">
        <v>119</v>
      </c>
      <c r="D10776" t="s">
        <v>183</v>
      </c>
      <c r="E10776" t="s">
        <v>11</v>
      </c>
      <c r="F10776">
        <v>0.87711864709854126</v>
      </c>
    </row>
    <row r="10777" spans="2:6">
      <c r="B10777">
        <v>2012</v>
      </c>
      <c r="C10777" t="s">
        <v>119</v>
      </c>
      <c r="D10777" t="s">
        <v>183</v>
      </c>
      <c r="E10777" t="s">
        <v>12</v>
      </c>
      <c r="F10777">
        <v>0.28811946511268616</v>
      </c>
    </row>
    <row r="10778" spans="2:6">
      <c r="B10778">
        <v>2012</v>
      </c>
      <c r="C10778" t="s">
        <v>119</v>
      </c>
      <c r="D10778" t="s">
        <v>183</v>
      </c>
      <c r="E10778" t="s">
        <v>13</v>
      </c>
      <c r="F10778">
        <v>0.43375378847122192</v>
      </c>
    </row>
    <row r="10779" spans="2:6">
      <c r="B10779">
        <v>2012</v>
      </c>
      <c r="C10779" t="s">
        <v>119</v>
      </c>
      <c r="D10779" t="s">
        <v>183</v>
      </c>
      <c r="E10779" t="s">
        <v>14</v>
      </c>
      <c r="F10779">
        <v>0.86064058542251587</v>
      </c>
    </row>
    <row r="10780" spans="2:6">
      <c r="B10780">
        <v>2012</v>
      </c>
      <c r="C10780" t="s">
        <v>119</v>
      </c>
      <c r="D10780" t="s">
        <v>183</v>
      </c>
      <c r="E10780" t="s">
        <v>15</v>
      </c>
      <c r="F10780">
        <v>0.22628986835479736</v>
      </c>
    </row>
    <row r="10781" spans="2:6">
      <c r="B10781">
        <v>2013</v>
      </c>
      <c r="C10781" t="s">
        <v>119</v>
      </c>
      <c r="D10781" t="s">
        <v>183</v>
      </c>
      <c r="E10781" t="s">
        <v>7</v>
      </c>
      <c r="F10781">
        <v>7.406550407409668</v>
      </c>
    </row>
    <row r="10782" spans="2:6">
      <c r="B10782">
        <v>2013</v>
      </c>
      <c r="C10782" t="s">
        <v>119</v>
      </c>
      <c r="D10782" t="s">
        <v>183</v>
      </c>
      <c r="E10782" t="s">
        <v>8</v>
      </c>
      <c r="F10782">
        <v>10.856748580932617</v>
      </c>
    </row>
    <row r="10783" spans="2:6">
      <c r="B10783">
        <v>2013</v>
      </c>
      <c r="C10783" t="s">
        <v>119</v>
      </c>
      <c r="D10783" t="s">
        <v>183</v>
      </c>
      <c r="E10783" t="s">
        <v>9</v>
      </c>
      <c r="F10783">
        <v>0.92470544576644897</v>
      </c>
    </row>
    <row r="10784" spans="2:6">
      <c r="B10784">
        <v>2013</v>
      </c>
      <c r="C10784" t="s">
        <v>119</v>
      </c>
      <c r="D10784" t="s">
        <v>183</v>
      </c>
      <c r="E10784" t="s">
        <v>10</v>
      </c>
      <c r="F10784">
        <v>71.760002136230469</v>
      </c>
    </row>
    <row r="10785" spans="2:6">
      <c r="B10785">
        <v>2013</v>
      </c>
      <c r="C10785" t="s">
        <v>119</v>
      </c>
      <c r="D10785" t="s">
        <v>183</v>
      </c>
      <c r="E10785" t="s">
        <v>11</v>
      </c>
      <c r="F10785">
        <v>0.91899585723876953</v>
      </c>
    </row>
    <row r="10786" spans="2:6">
      <c r="B10786">
        <v>2013</v>
      </c>
      <c r="C10786" t="s">
        <v>119</v>
      </c>
      <c r="D10786" t="s">
        <v>183</v>
      </c>
      <c r="E10786" t="s">
        <v>12</v>
      </c>
      <c r="F10786">
        <v>0.30452951788902283</v>
      </c>
    </row>
    <row r="10787" spans="2:6">
      <c r="B10787">
        <v>2013</v>
      </c>
      <c r="C10787" t="s">
        <v>119</v>
      </c>
      <c r="D10787" t="s">
        <v>183</v>
      </c>
      <c r="E10787" t="s">
        <v>13</v>
      </c>
      <c r="F10787">
        <v>0.50452995300292969</v>
      </c>
    </row>
    <row r="10788" spans="2:6">
      <c r="B10788">
        <v>2013</v>
      </c>
      <c r="C10788" t="s">
        <v>119</v>
      </c>
      <c r="D10788" t="s">
        <v>183</v>
      </c>
      <c r="E10788" t="s">
        <v>14</v>
      </c>
      <c r="F10788">
        <v>0.8668244481086731</v>
      </c>
    </row>
    <row r="10789" spans="2:6">
      <c r="B10789">
        <v>2013</v>
      </c>
      <c r="C10789" t="s">
        <v>119</v>
      </c>
      <c r="D10789" t="s">
        <v>183</v>
      </c>
      <c r="E10789" t="s">
        <v>15</v>
      </c>
      <c r="F10789">
        <v>0.23544321954250336</v>
      </c>
    </row>
    <row r="10790" spans="2:6">
      <c r="B10790">
        <v>2014</v>
      </c>
      <c r="C10790" t="s">
        <v>119</v>
      </c>
      <c r="D10790" t="s">
        <v>183</v>
      </c>
      <c r="E10790" t="s">
        <v>7</v>
      </c>
      <c r="F10790">
        <v>7.3211884498596191</v>
      </c>
    </row>
    <row r="10791" spans="2:6">
      <c r="B10791">
        <v>2014</v>
      </c>
      <c r="C10791" t="s">
        <v>119</v>
      </c>
      <c r="D10791" t="s">
        <v>183</v>
      </c>
      <c r="E10791" t="s">
        <v>8</v>
      </c>
      <c r="F10791">
        <v>10.867283821105957</v>
      </c>
    </row>
    <row r="10792" spans="2:6">
      <c r="B10792">
        <v>2014</v>
      </c>
      <c r="C10792" t="s">
        <v>119</v>
      </c>
      <c r="D10792" t="s">
        <v>183</v>
      </c>
      <c r="E10792" t="s">
        <v>9</v>
      </c>
      <c r="F10792">
        <v>0.90899574756622314</v>
      </c>
    </row>
    <row r="10793" spans="2:6">
      <c r="B10793">
        <v>2014</v>
      </c>
      <c r="C10793" t="s">
        <v>119</v>
      </c>
      <c r="D10793" t="s">
        <v>183</v>
      </c>
      <c r="E10793" t="s">
        <v>10</v>
      </c>
      <c r="F10793">
        <v>71.879997253417969</v>
      </c>
    </row>
    <row r="10794" spans="2:6">
      <c r="B10794">
        <v>2014</v>
      </c>
      <c r="C10794" t="s">
        <v>119</v>
      </c>
      <c r="D10794" t="s">
        <v>183</v>
      </c>
      <c r="E10794" t="s">
        <v>11</v>
      </c>
      <c r="F10794">
        <v>0.91017961502075195</v>
      </c>
    </row>
    <row r="10795" spans="2:6">
      <c r="B10795">
        <v>2014</v>
      </c>
      <c r="C10795" t="s">
        <v>119</v>
      </c>
      <c r="D10795" t="s">
        <v>183</v>
      </c>
      <c r="E10795" t="s">
        <v>12</v>
      </c>
      <c r="F10795">
        <v>0.3313109278678894</v>
      </c>
    </row>
    <row r="10796" spans="2:6">
      <c r="B10796">
        <v>2014</v>
      </c>
      <c r="C10796" t="s">
        <v>119</v>
      </c>
      <c r="D10796" t="s">
        <v>183</v>
      </c>
      <c r="E10796" t="s">
        <v>13</v>
      </c>
      <c r="F10796">
        <v>0.45694836974143982</v>
      </c>
    </row>
    <row r="10797" spans="2:6">
      <c r="B10797">
        <v>2014</v>
      </c>
      <c r="C10797" t="s">
        <v>119</v>
      </c>
      <c r="D10797" t="s">
        <v>183</v>
      </c>
      <c r="E10797" t="s">
        <v>14</v>
      </c>
      <c r="F10797">
        <v>0.86776614189147949</v>
      </c>
    </row>
    <row r="10798" spans="2:6">
      <c r="B10798">
        <v>2014</v>
      </c>
      <c r="C10798" t="s">
        <v>119</v>
      </c>
      <c r="D10798" t="s">
        <v>183</v>
      </c>
      <c r="E10798" t="s">
        <v>15</v>
      </c>
      <c r="F10798">
        <v>0.22065652906894684</v>
      </c>
    </row>
    <row r="10799" spans="2:6">
      <c r="B10799">
        <v>2015</v>
      </c>
      <c r="C10799" t="s">
        <v>119</v>
      </c>
      <c r="D10799" t="s">
        <v>183</v>
      </c>
      <c r="E10799" t="s">
        <v>7</v>
      </c>
      <c r="F10799">
        <v>7.324437141418457</v>
      </c>
    </row>
    <row r="10800" spans="2:6">
      <c r="B10800">
        <v>2015</v>
      </c>
      <c r="C10800" t="s">
        <v>119</v>
      </c>
      <c r="D10800" t="s">
        <v>183</v>
      </c>
      <c r="E10800" t="s">
        <v>8</v>
      </c>
      <c r="F10800">
        <v>10.882254600524902</v>
      </c>
    </row>
    <row r="10801" spans="2:6">
      <c r="B10801">
        <v>2015</v>
      </c>
      <c r="C10801" t="s">
        <v>119</v>
      </c>
      <c r="D10801" t="s">
        <v>183</v>
      </c>
      <c r="E10801" t="s">
        <v>9</v>
      </c>
      <c r="F10801">
        <v>0.87901043891906738</v>
      </c>
    </row>
    <row r="10802" spans="2:6">
      <c r="B10802">
        <v>2015</v>
      </c>
      <c r="C10802" t="s">
        <v>119</v>
      </c>
      <c r="D10802" t="s">
        <v>183</v>
      </c>
      <c r="E10802" t="s">
        <v>10</v>
      </c>
      <c r="F10802">
        <v>72</v>
      </c>
    </row>
    <row r="10803" spans="2:6">
      <c r="B10803">
        <v>2015</v>
      </c>
      <c r="C10803" t="s">
        <v>119</v>
      </c>
      <c r="D10803" t="s">
        <v>183</v>
      </c>
      <c r="E10803" t="s">
        <v>11</v>
      </c>
      <c r="F10803">
        <v>0.90397876501083374</v>
      </c>
    </row>
    <row r="10804" spans="2:6">
      <c r="B10804">
        <v>2015</v>
      </c>
      <c r="C10804" t="s">
        <v>119</v>
      </c>
      <c r="D10804" t="s">
        <v>183</v>
      </c>
      <c r="E10804" t="s">
        <v>12</v>
      </c>
      <c r="F10804">
        <v>0.26144698262214661</v>
      </c>
    </row>
    <row r="10805" spans="2:6">
      <c r="B10805">
        <v>2015</v>
      </c>
      <c r="C10805" t="s">
        <v>119</v>
      </c>
      <c r="D10805" t="s">
        <v>183</v>
      </c>
      <c r="E10805" t="s">
        <v>13</v>
      </c>
      <c r="F10805">
        <v>0.411822110414505</v>
      </c>
    </row>
    <row r="10806" spans="2:6">
      <c r="B10806">
        <v>2015</v>
      </c>
      <c r="C10806" t="s">
        <v>119</v>
      </c>
      <c r="D10806" t="s">
        <v>183</v>
      </c>
      <c r="E10806" t="s">
        <v>14</v>
      </c>
      <c r="F10806">
        <v>0.83413368463516235</v>
      </c>
    </row>
    <row r="10807" spans="2:6">
      <c r="B10807">
        <v>2015</v>
      </c>
      <c r="C10807" t="s">
        <v>119</v>
      </c>
      <c r="D10807" t="s">
        <v>183</v>
      </c>
      <c r="E10807" t="s">
        <v>15</v>
      </c>
      <c r="F10807">
        <v>0.20212863385677338</v>
      </c>
    </row>
    <row r="10808" spans="2:6">
      <c r="B10808">
        <v>2016</v>
      </c>
      <c r="C10808" t="s">
        <v>119</v>
      </c>
      <c r="D10808" t="s">
        <v>183</v>
      </c>
      <c r="E10808" t="s">
        <v>7</v>
      </c>
      <c r="F10808">
        <v>7.5408773422241211</v>
      </c>
    </row>
    <row r="10809" spans="2:6">
      <c r="B10809">
        <v>2016</v>
      </c>
      <c r="C10809" t="s">
        <v>119</v>
      </c>
      <c r="D10809" t="s">
        <v>183</v>
      </c>
      <c r="E10809" t="s">
        <v>8</v>
      </c>
      <c r="F10809">
        <v>10.898612976074219</v>
      </c>
    </row>
    <row r="10810" spans="2:6">
      <c r="B10810">
        <v>2016</v>
      </c>
      <c r="C10810" t="s">
        <v>119</v>
      </c>
      <c r="D10810" t="s">
        <v>183</v>
      </c>
      <c r="E10810" t="s">
        <v>9</v>
      </c>
      <c r="F10810">
        <v>0.92594420909881592</v>
      </c>
    </row>
    <row r="10811" spans="2:6">
      <c r="B10811">
        <v>2016</v>
      </c>
      <c r="C10811" t="s">
        <v>119</v>
      </c>
      <c r="D10811" t="s">
        <v>183</v>
      </c>
      <c r="E10811" t="s">
        <v>10</v>
      </c>
      <c r="F10811">
        <v>72.099998474121094</v>
      </c>
    </row>
    <row r="10812" spans="2:6">
      <c r="B10812">
        <v>2016</v>
      </c>
      <c r="C10812" t="s">
        <v>119</v>
      </c>
      <c r="D10812" t="s">
        <v>183</v>
      </c>
      <c r="E10812" t="s">
        <v>11</v>
      </c>
      <c r="F10812">
        <v>0.90731000900268555</v>
      </c>
    </row>
    <row r="10813" spans="2:6">
      <c r="B10813">
        <v>2016</v>
      </c>
      <c r="C10813" t="s">
        <v>119</v>
      </c>
      <c r="D10813" t="s">
        <v>183</v>
      </c>
      <c r="E10813" t="s">
        <v>12</v>
      </c>
      <c r="F10813">
        <v>0.23866426944732666</v>
      </c>
    </row>
    <row r="10814" spans="2:6">
      <c r="B10814">
        <v>2016</v>
      </c>
      <c r="C10814" t="s">
        <v>119</v>
      </c>
      <c r="D10814" t="s">
        <v>183</v>
      </c>
      <c r="E10814" t="s">
        <v>13</v>
      </c>
      <c r="F10814">
        <v>0.43330425024032593</v>
      </c>
    </row>
    <row r="10815" spans="2:6">
      <c r="B10815">
        <v>2016</v>
      </c>
      <c r="C10815" t="s">
        <v>119</v>
      </c>
      <c r="D10815" t="s">
        <v>183</v>
      </c>
      <c r="E10815" t="s">
        <v>14</v>
      </c>
      <c r="F10815">
        <v>0.83843237161636353</v>
      </c>
    </row>
    <row r="10816" spans="2:6">
      <c r="B10816">
        <v>2016</v>
      </c>
      <c r="C10816" t="s">
        <v>119</v>
      </c>
      <c r="D10816" t="s">
        <v>183</v>
      </c>
      <c r="E10816" t="s">
        <v>15</v>
      </c>
      <c r="F10816">
        <v>0.21485073864459991</v>
      </c>
    </row>
    <row r="10817" spans="2:6">
      <c r="B10817">
        <v>2017</v>
      </c>
      <c r="C10817" t="s">
        <v>119</v>
      </c>
      <c r="D10817" t="s">
        <v>183</v>
      </c>
      <c r="E10817" t="s">
        <v>7</v>
      </c>
      <c r="F10817">
        <v>7.4589653015136719</v>
      </c>
    </row>
    <row r="10818" spans="2:6">
      <c r="B10818">
        <v>2017</v>
      </c>
      <c r="C10818" t="s">
        <v>119</v>
      </c>
      <c r="D10818" t="s">
        <v>183</v>
      </c>
      <c r="E10818" t="s">
        <v>8</v>
      </c>
      <c r="F10818">
        <v>10.921394348144531</v>
      </c>
    </row>
    <row r="10819" spans="2:6">
      <c r="B10819">
        <v>2017</v>
      </c>
      <c r="C10819" t="s">
        <v>119</v>
      </c>
      <c r="D10819" t="s">
        <v>183</v>
      </c>
      <c r="E10819" t="s">
        <v>9</v>
      </c>
      <c r="F10819">
        <v>0.93650132417678833</v>
      </c>
    </row>
    <row r="10820" spans="2:6">
      <c r="B10820">
        <v>2017</v>
      </c>
      <c r="C10820" t="s">
        <v>119</v>
      </c>
      <c r="D10820" t="s">
        <v>183</v>
      </c>
      <c r="E10820" t="s">
        <v>10</v>
      </c>
      <c r="F10820">
        <v>72.199996948242188</v>
      </c>
    </row>
    <row r="10821" spans="2:6">
      <c r="B10821">
        <v>2017</v>
      </c>
      <c r="C10821" t="s">
        <v>119</v>
      </c>
      <c r="D10821" t="s">
        <v>183</v>
      </c>
      <c r="E10821" t="s">
        <v>11</v>
      </c>
      <c r="F10821">
        <v>0.92031973600387573</v>
      </c>
    </row>
    <row r="10822" spans="2:6">
      <c r="B10822">
        <v>2017</v>
      </c>
      <c r="C10822" t="s">
        <v>119</v>
      </c>
      <c r="D10822" t="s">
        <v>183</v>
      </c>
      <c r="E10822" t="s">
        <v>12</v>
      </c>
      <c r="F10822">
        <v>0.25044003129005432</v>
      </c>
    </row>
    <row r="10823" spans="2:6">
      <c r="B10823">
        <v>2017</v>
      </c>
      <c r="C10823" t="s">
        <v>119</v>
      </c>
      <c r="D10823" t="s">
        <v>183</v>
      </c>
      <c r="E10823" t="s">
        <v>13</v>
      </c>
      <c r="F10823">
        <v>0.36313363909721375</v>
      </c>
    </row>
    <row r="10824" spans="2:6">
      <c r="B10824">
        <v>2017</v>
      </c>
      <c r="C10824" t="s">
        <v>119</v>
      </c>
      <c r="D10824" t="s">
        <v>183</v>
      </c>
      <c r="E10824" t="s">
        <v>14</v>
      </c>
      <c r="F10824">
        <v>0.85218489170074463</v>
      </c>
    </row>
    <row r="10825" spans="2:6">
      <c r="B10825">
        <v>2017</v>
      </c>
      <c r="C10825" t="s">
        <v>119</v>
      </c>
      <c r="D10825" t="s">
        <v>183</v>
      </c>
      <c r="E10825" t="s">
        <v>15</v>
      </c>
      <c r="F10825">
        <v>0.18451984226703644</v>
      </c>
    </row>
    <row r="10826" spans="2:6">
      <c r="B10826">
        <v>2018</v>
      </c>
      <c r="C10826" t="s">
        <v>119</v>
      </c>
      <c r="D10826" t="s">
        <v>183</v>
      </c>
      <c r="E10826" t="s">
        <v>7</v>
      </c>
      <c r="F10826">
        <v>7.463097095489502</v>
      </c>
    </row>
    <row r="10827" spans="2:6">
      <c r="B10827">
        <v>2018</v>
      </c>
      <c r="C10827" t="s">
        <v>119</v>
      </c>
      <c r="D10827" t="s">
        <v>183</v>
      </c>
      <c r="E10827" t="s">
        <v>8</v>
      </c>
      <c r="F10827">
        <v>10.941197395324707</v>
      </c>
    </row>
    <row r="10828" spans="2:6">
      <c r="B10828">
        <v>2018</v>
      </c>
      <c r="C10828" t="s">
        <v>119</v>
      </c>
      <c r="D10828" t="s">
        <v>183</v>
      </c>
      <c r="E10828" t="s">
        <v>9</v>
      </c>
      <c r="F10828">
        <v>0.93944317102432251</v>
      </c>
    </row>
    <row r="10829" spans="2:6">
      <c r="B10829">
        <v>2018</v>
      </c>
      <c r="C10829" t="s">
        <v>119</v>
      </c>
      <c r="D10829" t="s">
        <v>183</v>
      </c>
      <c r="E10829" t="s">
        <v>10</v>
      </c>
      <c r="F10829">
        <v>72.300003051757813</v>
      </c>
    </row>
    <row r="10830" spans="2:6">
      <c r="B10830">
        <v>2018</v>
      </c>
      <c r="C10830" t="s">
        <v>119</v>
      </c>
      <c r="D10830" t="s">
        <v>183</v>
      </c>
      <c r="E10830" t="s">
        <v>11</v>
      </c>
      <c r="F10830">
        <v>0.91998517513275146</v>
      </c>
    </row>
    <row r="10831" spans="2:6">
      <c r="B10831">
        <v>2018</v>
      </c>
      <c r="C10831" t="s">
        <v>119</v>
      </c>
      <c r="D10831" t="s">
        <v>183</v>
      </c>
      <c r="E10831" t="s">
        <v>12</v>
      </c>
      <c r="F10831">
        <v>0.16148877143859863</v>
      </c>
    </row>
    <row r="10832" spans="2:6">
      <c r="B10832">
        <v>2018</v>
      </c>
      <c r="C10832" t="s">
        <v>119</v>
      </c>
      <c r="D10832" t="s">
        <v>183</v>
      </c>
      <c r="E10832" t="s">
        <v>13</v>
      </c>
      <c r="F10832">
        <v>0.37055778503417969</v>
      </c>
    </row>
    <row r="10833" spans="2:6">
      <c r="B10833">
        <v>2018</v>
      </c>
      <c r="C10833" t="s">
        <v>119</v>
      </c>
      <c r="D10833" t="s">
        <v>183</v>
      </c>
      <c r="E10833" t="s">
        <v>14</v>
      </c>
      <c r="F10833">
        <v>0.86197662353515625</v>
      </c>
    </row>
    <row r="10834" spans="2:6">
      <c r="B10834">
        <v>2018</v>
      </c>
      <c r="C10834" t="s">
        <v>119</v>
      </c>
      <c r="D10834" t="s">
        <v>183</v>
      </c>
      <c r="E10834" t="s">
        <v>15</v>
      </c>
      <c r="F10834">
        <v>0.20479418337345123</v>
      </c>
    </row>
    <row r="10835" spans="2:6">
      <c r="B10835">
        <v>2019</v>
      </c>
      <c r="C10835" t="s">
        <v>119</v>
      </c>
      <c r="D10835" t="s">
        <v>183</v>
      </c>
      <c r="E10835" t="s">
        <v>7</v>
      </c>
      <c r="F10835">
        <v>7.4252686500549316</v>
      </c>
    </row>
    <row r="10836" spans="2:6">
      <c r="B10836">
        <v>2019</v>
      </c>
      <c r="C10836" t="s">
        <v>119</v>
      </c>
      <c r="D10836" t="s">
        <v>183</v>
      </c>
      <c r="E10836" t="s">
        <v>8</v>
      </c>
      <c r="F10836">
        <v>10.953283309936523</v>
      </c>
    </row>
    <row r="10837" spans="2:6">
      <c r="B10837">
        <v>2019</v>
      </c>
      <c r="C10837" t="s">
        <v>119</v>
      </c>
      <c r="D10837" t="s">
        <v>183</v>
      </c>
      <c r="E10837" t="s">
        <v>9</v>
      </c>
      <c r="F10837">
        <v>0.94147747755050659</v>
      </c>
    </row>
    <row r="10838" spans="2:6">
      <c r="B10838">
        <v>2019</v>
      </c>
      <c r="C10838" t="s">
        <v>119</v>
      </c>
      <c r="D10838" t="s">
        <v>183</v>
      </c>
      <c r="E10838" t="s">
        <v>10</v>
      </c>
      <c r="F10838">
        <v>72.400001525878906</v>
      </c>
    </row>
    <row r="10839" spans="2:6">
      <c r="B10839">
        <v>2019</v>
      </c>
      <c r="C10839" t="s">
        <v>119</v>
      </c>
      <c r="D10839" t="s">
        <v>183</v>
      </c>
      <c r="E10839" t="s">
        <v>11</v>
      </c>
      <c r="F10839">
        <v>0.88559252023696899</v>
      </c>
    </row>
    <row r="10840" spans="2:6">
      <c r="B10840">
        <v>2019</v>
      </c>
      <c r="C10840" t="s">
        <v>119</v>
      </c>
      <c r="D10840" t="s">
        <v>183</v>
      </c>
      <c r="E10840" t="s">
        <v>12</v>
      </c>
      <c r="F10840">
        <v>0.21253405511379242</v>
      </c>
    </row>
    <row r="10841" spans="2:6">
      <c r="B10841">
        <v>2019</v>
      </c>
      <c r="C10841" t="s">
        <v>119</v>
      </c>
      <c r="D10841" t="s">
        <v>183</v>
      </c>
      <c r="E10841" t="s">
        <v>13</v>
      </c>
      <c r="F10841">
        <v>0.36006811261177063</v>
      </c>
    </row>
    <row r="10842" spans="2:6">
      <c r="B10842">
        <v>2019</v>
      </c>
      <c r="C10842" t="s">
        <v>119</v>
      </c>
      <c r="D10842" t="s">
        <v>183</v>
      </c>
      <c r="E10842" t="s">
        <v>14</v>
      </c>
      <c r="F10842">
        <v>0.83830052614212036</v>
      </c>
    </row>
    <row r="10843" spans="2:6">
      <c r="B10843">
        <v>2019</v>
      </c>
      <c r="C10843" t="s">
        <v>119</v>
      </c>
      <c r="D10843" t="s">
        <v>183</v>
      </c>
      <c r="E10843" t="s">
        <v>15</v>
      </c>
      <c r="F10843">
        <v>0.23050227761268616</v>
      </c>
    </row>
    <row r="10844" spans="2:6">
      <c r="B10844">
        <v>2020</v>
      </c>
      <c r="C10844" t="s">
        <v>119</v>
      </c>
      <c r="D10844" t="s">
        <v>183</v>
      </c>
      <c r="E10844" t="s">
        <v>7</v>
      </c>
      <c r="F10844">
        <v>7.5044479370117188</v>
      </c>
    </row>
    <row r="10845" spans="2:6">
      <c r="B10845">
        <v>2020</v>
      </c>
      <c r="C10845" t="s">
        <v>119</v>
      </c>
      <c r="D10845" t="s">
        <v>183</v>
      </c>
      <c r="E10845" t="s">
        <v>8</v>
      </c>
      <c r="F10845">
        <v>10.900500297546387</v>
      </c>
    </row>
    <row r="10846" spans="2:6">
      <c r="B10846">
        <v>2020</v>
      </c>
      <c r="C10846" t="s">
        <v>119</v>
      </c>
      <c r="D10846" t="s">
        <v>183</v>
      </c>
      <c r="E10846" t="s">
        <v>9</v>
      </c>
      <c r="F10846">
        <v>0.94395613670349121</v>
      </c>
    </row>
    <row r="10847" spans="2:6">
      <c r="B10847">
        <v>2020</v>
      </c>
      <c r="C10847" t="s">
        <v>119</v>
      </c>
      <c r="D10847" t="s">
        <v>183</v>
      </c>
      <c r="E10847" t="s">
        <v>10</v>
      </c>
      <c r="F10847">
        <v>72.5</v>
      </c>
    </row>
    <row r="10848" spans="2:6">
      <c r="B10848">
        <v>2020</v>
      </c>
      <c r="C10848" t="s">
        <v>119</v>
      </c>
      <c r="D10848" t="s">
        <v>183</v>
      </c>
      <c r="E10848" t="s">
        <v>11</v>
      </c>
      <c r="F10848">
        <v>0.93452262878417969</v>
      </c>
    </row>
    <row r="10849" spans="2:6">
      <c r="B10849">
        <v>2020</v>
      </c>
      <c r="C10849" t="s">
        <v>119</v>
      </c>
      <c r="D10849" t="s">
        <v>183</v>
      </c>
      <c r="E10849" t="s">
        <v>12</v>
      </c>
      <c r="F10849">
        <v>0.15129804611206055</v>
      </c>
    </row>
    <row r="10850" spans="2:6">
      <c r="B10850">
        <v>2020</v>
      </c>
      <c r="C10850" t="s">
        <v>119</v>
      </c>
      <c r="D10850" t="s">
        <v>183</v>
      </c>
      <c r="E10850" t="s">
        <v>13</v>
      </c>
      <c r="F10850">
        <v>0.28060451149940491</v>
      </c>
    </row>
    <row r="10851" spans="2:6">
      <c r="B10851">
        <v>2020</v>
      </c>
      <c r="C10851" t="s">
        <v>119</v>
      </c>
      <c r="D10851" t="s">
        <v>183</v>
      </c>
      <c r="E10851" t="s">
        <v>14</v>
      </c>
      <c r="F10851">
        <v>0.78399062156677246</v>
      </c>
    </row>
    <row r="10852" spans="2:6">
      <c r="B10852">
        <v>2020</v>
      </c>
      <c r="C10852" t="s">
        <v>119</v>
      </c>
      <c r="D10852" t="s">
        <v>183</v>
      </c>
      <c r="E10852" t="s">
        <v>15</v>
      </c>
      <c r="F10852">
        <v>0.24651132524013519</v>
      </c>
    </row>
    <row r="10853" spans="2:6">
      <c r="B10853">
        <v>2006</v>
      </c>
      <c r="C10853" t="s">
        <v>120</v>
      </c>
      <c r="D10853" t="s">
        <v>186</v>
      </c>
      <c r="E10853" t="s">
        <v>7</v>
      </c>
      <c r="F10853">
        <v>7.3050141334533691</v>
      </c>
    </row>
    <row r="10854" spans="2:6">
      <c r="B10854">
        <v>2006</v>
      </c>
      <c r="C10854" t="s">
        <v>120</v>
      </c>
      <c r="D10854" t="s">
        <v>186</v>
      </c>
      <c r="E10854" t="s">
        <v>8</v>
      </c>
      <c r="F10854">
        <v>10.525516510009766</v>
      </c>
    </row>
    <row r="10855" spans="2:6">
      <c r="B10855">
        <v>2006</v>
      </c>
      <c r="C10855" t="s">
        <v>120</v>
      </c>
      <c r="D10855" t="s">
        <v>186</v>
      </c>
      <c r="E10855" t="s">
        <v>9</v>
      </c>
      <c r="F10855">
        <v>0.94604748487472534</v>
      </c>
    </row>
    <row r="10856" spans="2:6">
      <c r="B10856">
        <v>2006</v>
      </c>
      <c r="C10856" t="s">
        <v>120</v>
      </c>
      <c r="D10856" t="s">
        <v>186</v>
      </c>
      <c r="E10856" t="s">
        <v>10</v>
      </c>
      <c r="F10856">
        <v>71.199996948242188</v>
      </c>
    </row>
    <row r="10857" spans="2:6">
      <c r="B10857">
        <v>2006</v>
      </c>
      <c r="C10857" t="s">
        <v>120</v>
      </c>
      <c r="D10857" t="s">
        <v>186</v>
      </c>
      <c r="E10857" t="s">
        <v>11</v>
      </c>
      <c r="F10857">
        <v>0.93208026885986328</v>
      </c>
    </row>
    <row r="10858" spans="2:6">
      <c r="B10858">
        <v>2006</v>
      </c>
      <c r="C10858" t="s">
        <v>120</v>
      </c>
      <c r="D10858" t="s">
        <v>186</v>
      </c>
      <c r="E10858" t="s">
        <v>12</v>
      </c>
      <c r="F10858">
        <v>0.31150302290916443</v>
      </c>
    </row>
    <row r="10859" spans="2:6">
      <c r="B10859">
        <v>2006</v>
      </c>
      <c r="C10859" t="s">
        <v>120</v>
      </c>
      <c r="D10859" t="s">
        <v>186</v>
      </c>
      <c r="E10859" t="s">
        <v>13</v>
      </c>
      <c r="F10859">
        <v>0.22422023117542267</v>
      </c>
    </row>
    <row r="10860" spans="2:6">
      <c r="B10860">
        <v>2006</v>
      </c>
      <c r="C10860" t="s">
        <v>120</v>
      </c>
      <c r="D10860" t="s">
        <v>186</v>
      </c>
      <c r="E10860" t="s">
        <v>14</v>
      </c>
      <c r="F10860">
        <v>0.87967085838317871</v>
      </c>
    </row>
    <row r="10861" spans="2:6">
      <c r="B10861">
        <v>2006</v>
      </c>
      <c r="C10861" t="s">
        <v>120</v>
      </c>
      <c r="D10861" t="s">
        <v>186</v>
      </c>
      <c r="E10861" t="s">
        <v>15</v>
      </c>
      <c r="F10861">
        <v>0.21877320110797882</v>
      </c>
    </row>
    <row r="10862" spans="2:6">
      <c r="B10862">
        <v>2007</v>
      </c>
      <c r="C10862" t="s">
        <v>120</v>
      </c>
      <c r="D10862" t="s">
        <v>186</v>
      </c>
      <c r="E10862" t="s">
        <v>7</v>
      </c>
      <c r="F10862">
        <v>7.6041731834411621</v>
      </c>
    </row>
    <row r="10863" spans="2:6">
      <c r="B10863">
        <v>2007</v>
      </c>
      <c r="C10863" t="s">
        <v>120</v>
      </c>
      <c r="D10863" t="s">
        <v>186</v>
      </c>
      <c r="E10863" t="s">
        <v>8</v>
      </c>
      <c r="F10863">
        <v>10.546432495117188</v>
      </c>
    </row>
    <row r="10864" spans="2:6">
      <c r="B10864">
        <v>2007</v>
      </c>
      <c r="C10864" t="s">
        <v>120</v>
      </c>
      <c r="D10864" t="s">
        <v>186</v>
      </c>
      <c r="E10864" t="s">
        <v>9</v>
      </c>
      <c r="F10864">
        <v>0.96653276681900024</v>
      </c>
    </row>
    <row r="10865" spans="2:6">
      <c r="B10865">
        <v>2007</v>
      </c>
      <c r="C10865" t="s">
        <v>120</v>
      </c>
      <c r="D10865" t="s">
        <v>186</v>
      </c>
      <c r="E10865" t="s">
        <v>10</v>
      </c>
      <c r="F10865">
        <v>71.400001525878906</v>
      </c>
    </row>
    <row r="10866" spans="2:6">
      <c r="B10866">
        <v>2007</v>
      </c>
      <c r="C10866" t="s">
        <v>120</v>
      </c>
      <c r="D10866" t="s">
        <v>186</v>
      </c>
      <c r="E10866" t="s">
        <v>11</v>
      </c>
      <c r="F10866">
        <v>0.8782188892364502</v>
      </c>
    </row>
    <row r="10867" spans="2:6">
      <c r="B10867">
        <v>2007</v>
      </c>
      <c r="C10867" t="s">
        <v>120</v>
      </c>
      <c r="D10867" t="s">
        <v>186</v>
      </c>
      <c r="E10867" t="s">
        <v>12</v>
      </c>
      <c r="F10867">
        <v>0.2786802351474762</v>
      </c>
    </row>
    <row r="10868" spans="2:6">
      <c r="B10868">
        <v>2007</v>
      </c>
      <c r="C10868" t="s">
        <v>120</v>
      </c>
      <c r="D10868" t="s">
        <v>186</v>
      </c>
      <c r="E10868" t="s">
        <v>13</v>
      </c>
      <c r="F10868">
        <v>0.2946162223815918</v>
      </c>
    </row>
    <row r="10869" spans="2:6">
      <c r="B10869">
        <v>2007</v>
      </c>
      <c r="C10869" t="s">
        <v>120</v>
      </c>
      <c r="D10869" t="s">
        <v>186</v>
      </c>
      <c r="E10869" t="s">
        <v>14</v>
      </c>
      <c r="F10869">
        <v>0.85402733087539673</v>
      </c>
    </row>
    <row r="10870" spans="2:6">
      <c r="B10870">
        <v>2007</v>
      </c>
      <c r="C10870" t="s">
        <v>120</v>
      </c>
      <c r="D10870" t="s">
        <v>186</v>
      </c>
      <c r="E10870" t="s">
        <v>15</v>
      </c>
      <c r="F10870">
        <v>0.23799705505371094</v>
      </c>
    </row>
    <row r="10871" spans="2:6">
      <c r="B10871">
        <v>2008</v>
      </c>
      <c r="C10871" t="s">
        <v>120</v>
      </c>
      <c r="D10871" t="s">
        <v>186</v>
      </c>
      <c r="E10871" t="s">
        <v>7</v>
      </c>
      <c r="F10871">
        <v>7.3811707496643066</v>
      </c>
    </row>
    <row r="10872" spans="2:6">
      <c r="B10872">
        <v>2008</v>
      </c>
      <c r="C10872" t="s">
        <v>120</v>
      </c>
      <c r="D10872" t="s">
        <v>186</v>
      </c>
      <c r="E10872" t="s">
        <v>8</v>
      </c>
      <c r="F10872">
        <v>10.527591705322266</v>
      </c>
    </row>
    <row r="10873" spans="2:6">
      <c r="B10873">
        <v>2008</v>
      </c>
      <c r="C10873" t="s">
        <v>120</v>
      </c>
      <c r="D10873" t="s">
        <v>186</v>
      </c>
      <c r="E10873" t="s">
        <v>9</v>
      </c>
      <c r="F10873">
        <v>0.9442746639251709</v>
      </c>
    </row>
    <row r="10874" spans="2:6">
      <c r="B10874">
        <v>2008</v>
      </c>
      <c r="C10874" t="s">
        <v>120</v>
      </c>
      <c r="D10874" t="s">
        <v>186</v>
      </c>
      <c r="E10874" t="s">
        <v>10</v>
      </c>
      <c r="F10874">
        <v>71.599998474121094</v>
      </c>
    </row>
    <row r="10875" spans="2:6">
      <c r="B10875">
        <v>2008</v>
      </c>
      <c r="C10875" t="s">
        <v>120</v>
      </c>
      <c r="D10875" t="s">
        <v>186</v>
      </c>
      <c r="E10875" t="s">
        <v>11</v>
      </c>
      <c r="F10875">
        <v>0.89307248592376709</v>
      </c>
    </row>
    <row r="10876" spans="2:6">
      <c r="B10876">
        <v>2008</v>
      </c>
      <c r="C10876" t="s">
        <v>120</v>
      </c>
      <c r="D10876" t="s">
        <v>186</v>
      </c>
      <c r="E10876" t="s">
        <v>12</v>
      </c>
      <c r="F10876">
        <v>0.29772624373435974</v>
      </c>
    </row>
    <row r="10877" spans="2:6">
      <c r="B10877">
        <v>2008</v>
      </c>
      <c r="C10877" t="s">
        <v>120</v>
      </c>
      <c r="D10877" t="s">
        <v>186</v>
      </c>
      <c r="E10877" t="s">
        <v>13</v>
      </c>
      <c r="F10877">
        <v>0.33375087380409241</v>
      </c>
    </row>
    <row r="10878" spans="2:6">
      <c r="B10878">
        <v>2008</v>
      </c>
      <c r="C10878" t="s">
        <v>120</v>
      </c>
      <c r="D10878" t="s">
        <v>186</v>
      </c>
      <c r="E10878" t="s">
        <v>14</v>
      </c>
      <c r="F10878">
        <v>0.85424709320068359</v>
      </c>
    </row>
    <row r="10879" spans="2:6">
      <c r="B10879">
        <v>2008</v>
      </c>
      <c r="C10879" t="s">
        <v>120</v>
      </c>
      <c r="D10879" t="s">
        <v>186</v>
      </c>
      <c r="E10879" t="s">
        <v>15</v>
      </c>
      <c r="F10879">
        <v>0.23188064992427826</v>
      </c>
    </row>
    <row r="10880" spans="2:6">
      <c r="B10880">
        <v>2010</v>
      </c>
      <c r="C10880" t="s">
        <v>120</v>
      </c>
      <c r="D10880" t="s">
        <v>186</v>
      </c>
      <c r="E10880" t="s">
        <v>7</v>
      </c>
      <c r="F10880">
        <v>7.2237563133239746</v>
      </c>
    </row>
    <row r="10881" spans="2:6">
      <c r="B10881">
        <v>2010</v>
      </c>
      <c r="C10881" t="s">
        <v>120</v>
      </c>
      <c r="D10881" t="s">
        <v>186</v>
      </c>
      <c r="E10881" t="s">
        <v>8</v>
      </c>
      <c r="F10881">
        <v>10.520456314086914</v>
      </c>
    </row>
    <row r="10882" spans="2:6">
      <c r="B10882">
        <v>2010</v>
      </c>
      <c r="C10882" t="s">
        <v>120</v>
      </c>
      <c r="D10882" t="s">
        <v>186</v>
      </c>
      <c r="E10882" t="s">
        <v>9</v>
      </c>
      <c r="F10882">
        <v>0.97564220428466797</v>
      </c>
    </row>
    <row r="10883" spans="2:6">
      <c r="B10883">
        <v>2010</v>
      </c>
      <c r="C10883" t="s">
        <v>120</v>
      </c>
      <c r="D10883" t="s">
        <v>186</v>
      </c>
      <c r="E10883" t="s">
        <v>10</v>
      </c>
      <c r="F10883">
        <v>72</v>
      </c>
    </row>
    <row r="10884" spans="2:6">
      <c r="B10884">
        <v>2010</v>
      </c>
      <c r="C10884" t="s">
        <v>120</v>
      </c>
      <c r="D10884" t="s">
        <v>186</v>
      </c>
      <c r="E10884" t="s">
        <v>11</v>
      </c>
      <c r="F10884">
        <v>0.91775250434875488</v>
      </c>
    </row>
    <row r="10885" spans="2:6">
      <c r="B10885">
        <v>2010</v>
      </c>
      <c r="C10885" t="s">
        <v>120</v>
      </c>
      <c r="D10885" t="s">
        <v>186</v>
      </c>
      <c r="E10885" t="s">
        <v>12</v>
      </c>
      <c r="F10885">
        <v>0.25436416268348694</v>
      </c>
    </row>
    <row r="10886" spans="2:6">
      <c r="B10886">
        <v>2010</v>
      </c>
      <c r="C10886" t="s">
        <v>120</v>
      </c>
      <c r="D10886" t="s">
        <v>186</v>
      </c>
      <c r="E10886" t="s">
        <v>13</v>
      </c>
      <c r="F10886">
        <v>0.32074818015098572</v>
      </c>
    </row>
    <row r="10887" spans="2:6">
      <c r="B10887">
        <v>2010</v>
      </c>
      <c r="C10887" t="s">
        <v>120</v>
      </c>
      <c r="D10887" t="s">
        <v>186</v>
      </c>
      <c r="E10887" t="s">
        <v>14</v>
      </c>
      <c r="F10887">
        <v>0.84723418951034546</v>
      </c>
    </row>
    <row r="10888" spans="2:6">
      <c r="B10888">
        <v>2010</v>
      </c>
      <c r="C10888" t="s">
        <v>120</v>
      </c>
      <c r="D10888" t="s">
        <v>186</v>
      </c>
      <c r="E10888" t="s">
        <v>15</v>
      </c>
      <c r="F10888">
        <v>0.23475848138332367</v>
      </c>
    </row>
    <row r="10889" spans="2:6">
      <c r="B10889">
        <v>2011</v>
      </c>
      <c r="C10889" t="s">
        <v>120</v>
      </c>
      <c r="D10889" t="s">
        <v>186</v>
      </c>
      <c r="E10889" t="s">
        <v>7</v>
      </c>
      <c r="F10889">
        <v>7.1906380653381348</v>
      </c>
    </row>
    <row r="10890" spans="2:6">
      <c r="B10890">
        <v>2011</v>
      </c>
      <c r="C10890" t="s">
        <v>120</v>
      </c>
      <c r="D10890" t="s">
        <v>186</v>
      </c>
      <c r="E10890" t="s">
        <v>8</v>
      </c>
      <c r="F10890">
        <v>10.536145210266113</v>
      </c>
    </row>
    <row r="10891" spans="2:6">
      <c r="B10891">
        <v>2011</v>
      </c>
      <c r="C10891" t="s">
        <v>120</v>
      </c>
      <c r="D10891" t="s">
        <v>186</v>
      </c>
      <c r="E10891" t="s">
        <v>9</v>
      </c>
      <c r="F10891">
        <v>0.95364987850189209</v>
      </c>
    </row>
    <row r="10892" spans="2:6">
      <c r="B10892">
        <v>2011</v>
      </c>
      <c r="C10892" t="s">
        <v>120</v>
      </c>
      <c r="D10892" t="s">
        <v>186</v>
      </c>
      <c r="E10892" t="s">
        <v>10</v>
      </c>
      <c r="F10892">
        <v>72.120002746582031</v>
      </c>
    </row>
    <row r="10893" spans="2:6">
      <c r="B10893">
        <v>2011</v>
      </c>
      <c r="C10893" t="s">
        <v>120</v>
      </c>
      <c r="D10893" t="s">
        <v>186</v>
      </c>
      <c r="E10893" t="s">
        <v>11</v>
      </c>
      <c r="F10893">
        <v>0.93476873636245728</v>
      </c>
    </row>
    <row r="10894" spans="2:6">
      <c r="B10894">
        <v>2011</v>
      </c>
      <c r="C10894" t="s">
        <v>120</v>
      </c>
      <c r="D10894" t="s">
        <v>186</v>
      </c>
      <c r="E10894" t="s">
        <v>12</v>
      </c>
      <c r="F10894">
        <v>0.28432279825210571</v>
      </c>
    </row>
    <row r="10895" spans="2:6">
      <c r="B10895">
        <v>2011</v>
      </c>
      <c r="C10895" t="s">
        <v>120</v>
      </c>
      <c r="D10895" t="s">
        <v>186</v>
      </c>
      <c r="E10895" t="s">
        <v>13</v>
      </c>
      <c r="F10895">
        <v>0.26933020353317261</v>
      </c>
    </row>
    <row r="10896" spans="2:6">
      <c r="B10896">
        <v>2011</v>
      </c>
      <c r="C10896" t="s">
        <v>120</v>
      </c>
      <c r="D10896" t="s">
        <v>186</v>
      </c>
      <c r="E10896" t="s">
        <v>14</v>
      </c>
      <c r="F10896">
        <v>0.86391270160675049</v>
      </c>
    </row>
    <row r="10897" spans="2:6">
      <c r="B10897">
        <v>2011</v>
      </c>
      <c r="C10897" t="s">
        <v>120</v>
      </c>
      <c r="D10897" t="s">
        <v>186</v>
      </c>
      <c r="E10897" t="s">
        <v>15</v>
      </c>
      <c r="F10897">
        <v>0.21014964580535889</v>
      </c>
    </row>
    <row r="10898" spans="2:6">
      <c r="B10898">
        <v>2012</v>
      </c>
      <c r="C10898" t="s">
        <v>120</v>
      </c>
      <c r="D10898" t="s">
        <v>186</v>
      </c>
      <c r="E10898" t="s">
        <v>7</v>
      </c>
      <c r="F10898">
        <v>7.2496299743652344</v>
      </c>
    </row>
    <row r="10899" spans="2:6">
      <c r="B10899">
        <v>2012</v>
      </c>
      <c r="C10899" t="s">
        <v>120</v>
      </c>
      <c r="D10899" t="s">
        <v>186</v>
      </c>
      <c r="E10899" t="s">
        <v>8</v>
      </c>
      <c r="F10899">
        <v>10.552811622619629</v>
      </c>
    </row>
    <row r="10900" spans="2:6">
      <c r="B10900">
        <v>2012</v>
      </c>
      <c r="C10900" t="s">
        <v>120</v>
      </c>
      <c r="D10900" t="s">
        <v>186</v>
      </c>
      <c r="E10900" t="s">
        <v>9</v>
      </c>
      <c r="F10900">
        <v>0.93002861738204956</v>
      </c>
    </row>
    <row r="10901" spans="2:6">
      <c r="B10901">
        <v>2012</v>
      </c>
      <c r="C10901" t="s">
        <v>120</v>
      </c>
      <c r="D10901" t="s">
        <v>186</v>
      </c>
      <c r="E10901" t="s">
        <v>10</v>
      </c>
      <c r="F10901">
        <v>72.239997863769531</v>
      </c>
    </row>
    <row r="10902" spans="2:6">
      <c r="B10902">
        <v>2012</v>
      </c>
      <c r="C10902" t="s">
        <v>120</v>
      </c>
      <c r="D10902" t="s">
        <v>186</v>
      </c>
      <c r="E10902" t="s">
        <v>11</v>
      </c>
      <c r="F10902">
        <v>0.90185308456420898</v>
      </c>
    </row>
    <row r="10903" spans="2:6">
      <c r="B10903">
        <v>2012</v>
      </c>
      <c r="C10903" t="s">
        <v>120</v>
      </c>
      <c r="D10903" t="s">
        <v>186</v>
      </c>
      <c r="E10903" t="s">
        <v>12</v>
      </c>
      <c r="F10903">
        <v>0.28733536601066589</v>
      </c>
    </row>
    <row r="10904" spans="2:6">
      <c r="B10904">
        <v>2012</v>
      </c>
      <c r="C10904" t="s">
        <v>120</v>
      </c>
      <c r="D10904" t="s">
        <v>186</v>
      </c>
      <c r="E10904" t="s">
        <v>13</v>
      </c>
      <c r="F10904">
        <v>0.28929793834686279</v>
      </c>
    </row>
    <row r="10905" spans="2:6">
      <c r="B10905">
        <v>2012</v>
      </c>
      <c r="C10905" t="s">
        <v>120</v>
      </c>
      <c r="D10905" t="s">
        <v>186</v>
      </c>
      <c r="E10905" t="s">
        <v>14</v>
      </c>
      <c r="F10905">
        <v>0.86630415916442871</v>
      </c>
    </row>
    <row r="10906" spans="2:6">
      <c r="B10906">
        <v>2012</v>
      </c>
      <c r="C10906" t="s">
        <v>120</v>
      </c>
      <c r="D10906" t="s">
        <v>186</v>
      </c>
      <c r="E10906" t="s">
        <v>15</v>
      </c>
      <c r="F10906">
        <v>0.2068781703710556</v>
      </c>
    </row>
    <row r="10907" spans="2:6">
      <c r="B10907">
        <v>2013</v>
      </c>
      <c r="C10907" t="s">
        <v>120</v>
      </c>
      <c r="D10907" t="s">
        <v>186</v>
      </c>
      <c r="E10907" t="s">
        <v>7</v>
      </c>
      <c r="F10907">
        <v>7.2801518440246582</v>
      </c>
    </row>
    <row r="10908" spans="2:6">
      <c r="B10908">
        <v>2013</v>
      </c>
      <c r="C10908" t="s">
        <v>120</v>
      </c>
      <c r="D10908" t="s">
        <v>186</v>
      </c>
      <c r="E10908" t="s">
        <v>8</v>
      </c>
      <c r="F10908">
        <v>10.571076393127441</v>
      </c>
    </row>
    <row r="10909" spans="2:6">
      <c r="B10909">
        <v>2013</v>
      </c>
      <c r="C10909" t="s">
        <v>120</v>
      </c>
      <c r="D10909" t="s">
        <v>186</v>
      </c>
      <c r="E10909" t="s">
        <v>9</v>
      </c>
      <c r="F10909">
        <v>0.95815348625183105</v>
      </c>
    </row>
    <row r="10910" spans="2:6">
      <c r="B10910">
        <v>2013</v>
      </c>
      <c r="C10910" t="s">
        <v>120</v>
      </c>
      <c r="D10910" t="s">
        <v>186</v>
      </c>
      <c r="E10910" t="s">
        <v>10</v>
      </c>
      <c r="F10910">
        <v>72.360000610351563</v>
      </c>
    </row>
    <row r="10911" spans="2:6">
      <c r="B10911">
        <v>2013</v>
      </c>
      <c r="C10911" t="s">
        <v>120</v>
      </c>
      <c r="D10911" t="s">
        <v>186</v>
      </c>
      <c r="E10911" t="s">
        <v>11</v>
      </c>
      <c r="F10911">
        <v>0.94400042295455933</v>
      </c>
    </row>
    <row r="10912" spans="2:6">
      <c r="B10912">
        <v>2013</v>
      </c>
      <c r="C10912" t="s">
        <v>120</v>
      </c>
      <c r="D10912" t="s">
        <v>186</v>
      </c>
      <c r="E10912" t="s">
        <v>12</v>
      </c>
      <c r="F10912">
        <v>0.23699785768985748</v>
      </c>
    </row>
    <row r="10913" spans="2:6">
      <c r="B10913">
        <v>2013</v>
      </c>
      <c r="C10913" t="s">
        <v>120</v>
      </c>
      <c r="D10913" t="s">
        <v>186</v>
      </c>
      <c r="E10913" t="s">
        <v>13</v>
      </c>
      <c r="F10913">
        <v>0.31223580241203308</v>
      </c>
    </row>
    <row r="10914" spans="2:6">
      <c r="B10914">
        <v>2013</v>
      </c>
      <c r="C10914" t="s">
        <v>120</v>
      </c>
      <c r="D10914" t="s">
        <v>186</v>
      </c>
      <c r="E10914" t="s">
        <v>14</v>
      </c>
      <c r="F10914">
        <v>0.83495640754699707</v>
      </c>
    </row>
    <row r="10915" spans="2:6">
      <c r="B10915">
        <v>2013</v>
      </c>
      <c r="C10915" t="s">
        <v>120</v>
      </c>
      <c r="D10915" t="s">
        <v>186</v>
      </c>
      <c r="E10915" t="s">
        <v>15</v>
      </c>
      <c r="F10915">
        <v>0.15139691531658173</v>
      </c>
    </row>
    <row r="10916" spans="2:6">
      <c r="B10916">
        <v>2014</v>
      </c>
      <c r="C10916" t="s">
        <v>120</v>
      </c>
      <c r="D10916" t="s">
        <v>186</v>
      </c>
      <c r="E10916" t="s">
        <v>7</v>
      </c>
      <c r="F10916">
        <v>7.3058924674987793</v>
      </c>
    </row>
    <row r="10917" spans="2:6">
      <c r="B10917">
        <v>2014</v>
      </c>
      <c r="C10917" t="s">
        <v>120</v>
      </c>
      <c r="D10917" t="s">
        <v>186</v>
      </c>
      <c r="E10917" t="s">
        <v>8</v>
      </c>
      <c r="F10917">
        <v>10.591587066650391</v>
      </c>
    </row>
    <row r="10918" spans="2:6">
      <c r="B10918">
        <v>2014</v>
      </c>
      <c r="C10918" t="s">
        <v>120</v>
      </c>
      <c r="D10918" t="s">
        <v>186</v>
      </c>
      <c r="E10918" t="s">
        <v>9</v>
      </c>
      <c r="F10918">
        <v>0.94238084554672241</v>
      </c>
    </row>
    <row r="10919" spans="2:6">
      <c r="B10919">
        <v>2014</v>
      </c>
      <c r="C10919" t="s">
        <v>120</v>
      </c>
      <c r="D10919" t="s">
        <v>186</v>
      </c>
      <c r="E10919" t="s">
        <v>10</v>
      </c>
      <c r="F10919">
        <v>72.480003356933594</v>
      </c>
    </row>
    <row r="10920" spans="2:6">
      <c r="B10920">
        <v>2014</v>
      </c>
      <c r="C10920" t="s">
        <v>120</v>
      </c>
      <c r="D10920" t="s">
        <v>186</v>
      </c>
      <c r="E10920" t="s">
        <v>11</v>
      </c>
      <c r="F10920">
        <v>0.93188244104385376</v>
      </c>
    </row>
    <row r="10921" spans="2:6">
      <c r="B10921">
        <v>2014</v>
      </c>
      <c r="C10921" t="s">
        <v>120</v>
      </c>
      <c r="D10921" t="s">
        <v>186</v>
      </c>
      <c r="E10921" t="s">
        <v>12</v>
      </c>
      <c r="F10921">
        <v>0.34795275330543518</v>
      </c>
    </row>
    <row r="10922" spans="2:6">
      <c r="B10922">
        <v>2014</v>
      </c>
      <c r="C10922" t="s">
        <v>120</v>
      </c>
      <c r="D10922" t="s">
        <v>186</v>
      </c>
      <c r="E10922" t="s">
        <v>13</v>
      </c>
      <c r="F10922">
        <v>0.27260860800743103</v>
      </c>
    </row>
    <row r="10923" spans="2:6">
      <c r="B10923">
        <v>2014</v>
      </c>
      <c r="C10923" t="s">
        <v>120</v>
      </c>
      <c r="D10923" t="s">
        <v>186</v>
      </c>
      <c r="E10923" t="s">
        <v>14</v>
      </c>
      <c r="F10923">
        <v>0.84751409292221069</v>
      </c>
    </row>
    <row r="10924" spans="2:6">
      <c r="B10924">
        <v>2014</v>
      </c>
      <c r="C10924" t="s">
        <v>120</v>
      </c>
      <c r="D10924" t="s">
        <v>186</v>
      </c>
      <c r="E10924" t="s">
        <v>15</v>
      </c>
      <c r="F10924">
        <v>0.19901886582374573</v>
      </c>
    </row>
    <row r="10925" spans="2:6">
      <c r="B10925">
        <v>2015</v>
      </c>
      <c r="C10925" t="s">
        <v>120</v>
      </c>
      <c r="D10925" t="s">
        <v>186</v>
      </c>
      <c r="E10925" t="s">
        <v>7</v>
      </c>
      <c r="F10925">
        <v>7.4181208610534668</v>
      </c>
    </row>
    <row r="10926" spans="2:6">
      <c r="B10926">
        <v>2015</v>
      </c>
      <c r="C10926" t="s">
        <v>120</v>
      </c>
      <c r="D10926" t="s">
        <v>186</v>
      </c>
      <c r="E10926" t="s">
        <v>8</v>
      </c>
      <c r="F10926">
        <v>10.608246803283691</v>
      </c>
    </row>
    <row r="10927" spans="2:6">
      <c r="B10927">
        <v>2015</v>
      </c>
      <c r="C10927" t="s">
        <v>120</v>
      </c>
      <c r="D10927" t="s">
        <v>186</v>
      </c>
      <c r="E10927" t="s">
        <v>9</v>
      </c>
      <c r="F10927">
        <v>0.98734349012374878</v>
      </c>
    </row>
    <row r="10928" spans="2:6">
      <c r="B10928">
        <v>2015</v>
      </c>
      <c r="C10928" t="s">
        <v>120</v>
      </c>
      <c r="D10928" t="s">
        <v>186</v>
      </c>
      <c r="E10928" t="s">
        <v>10</v>
      </c>
      <c r="F10928">
        <v>72.599998474121094</v>
      </c>
    </row>
    <row r="10929" spans="2:6">
      <c r="B10929">
        <v>2015</v>
      </c>
      <c r="C10929" t="s">
        <v>120</v>
      </c>
      <c r="D10929" t="s">
        <v>186</v>
      </c>
      <c r="E10929" t="s">
        <v>11</v>
      </c>
      <c r="F10929">
        <v>0.94178426265716553</v>
      </c>
    </row>
    <row r="10930" spans="2:6">
      <c r="B10930">
        <v>2015</v>
      </c>
      <c r="C10930" t="s">
        <v>120</v>
      </c>
      <c r="D10930" t="s">
        <v>186</v>
      </c>
      <c r="E10930" t="s">
        <v>12</v>
      </c>
      <c r="F10930">
        <v>0.32943692803382874</v>
      </c>
    </row>
    <row r="10931" spans="2:6">
      <c r="B10931">
        <v>2015</v>
      </c>
      <c r="C10931" t="s">
        <v>120</v>
      </c>
      <c r="D10931" t="s">
        <v>186</v>
      </c>
      <c r="E10931" t="s">
        <v>13</v>
      </c>
      <c r="F10931">
        <v>0.18588870763778687</v>
      </c>
    </row>
    <row r="10932" spans="2:6">
      <c r="B10932">
        <v>2015</v>
      </c>
      <c r="C10932" t="s">
        <v>120</v>
      </c>
      <c r="D10932" t="s">
        <v>186</v>
      </c>
      <c r="E10932" t="s">
        <v>14</v>
      </c>
      <c r="F10932">
        <v>0.83364212512969971</v>
      </c>
    </row>
    <row r="10933" spans="2:6">
      <c r="B10933">
        <v>2015</v>
      </c>
      <c r="C10933" t="s">
        <v>120</v>
      </c>
      <c r="D10933" t="s">
        <v>186</v>
      </c>
      <c r="E10933" t="s">
        <v>15</v>
      </c>
      <c r="F10933">
        <v>0.15982998907566071</v>
      </c>
    </row>
    <row r="10934" spans="2:6">
      <c r="B10934">
        <v>2016</v>
      </c>
      <c r="C10934" t="s">
        <v>120</v>
      </c>
      <c r="D10934" t="s">
        <v>186</v>
      </c>
      <c r="E10934" t="s">
        <v>7</v>
      </c>
      <c r="F10934">
        <v>7.2256879806518555</v>
      </c>
    </row>
    <row r="10935" spans="2:6">
      <c r="B10935">
        <v>2016</v>
      </c>
      <c r="C10935" t="s">
        <v>120</v>
      </c>
      <c r="D10935" t="s">
        <v>186</v>
      </c>
      <c r="E10935" t="s">
        <v>8</v>
      </c>
      <c r="F10935">
        <v>10.623369216918945</v>
      </c>
    </row>
    <row r="10936" spans="2:6">
      <c r="B10936">
        <v>2016</v>
      </c>
      <c r="C10936" t="s">
        <v>120</v>
      </c>
      <c r="D10936" t="s">
        <v>186</v>
      </c>
      <c r="E10936" t="s">
        <v>9</v>
      </c>
      <c r="F10936">
        <v>0.9366028904914856</v>
      </c>
    </row>
    <row r="10937" spans="2:6">
      <c r="B10937">
        <v>2016</v>
      </c>
      <c r="C10937" t="s">
        <v>120</v>
      </c>
      <c r="D10937" t="s">
        <v>186</v>
      </c>
      <c r="E10937" t="s">
        <v>10</v>
      </c>
      <c r="F10937">
        <v>72.800003051757813</v>
      </c>
    </row>
    <row r="10938" spans="2:6">
      <c r="B10938">
        <v>2016</v>
      </c>
      <c r="C10938" t="s">
        <v>120</v>
      </c>
      <c r="D10938" t="s">
        <v>186</v>
      </c>
      <c r="E10938" t="s">
        <v>11</v>
      </c>
      <c r="F10938">
        <v>0.92657601833343506</v>
      </c>
    </row>
    <row r="10939" spans="2:6">
      <c r="B10939">
        <v>2016</v>
      </c>
      <c r="C10939" t="s">
        <v>120</v>
      </c>
      <c r="D10939" t="s">
        <v>186</v>
      </c>
      <c r="E10939" t="s">
        <v>12</v>
      </c>
      <c r="F10939">
        <v>0.26562947034835815</v>
      </c>
    </row>
    <row r="10940" spans="2:6">
      <c r="B10940">
        <v>2016</v>
      </c>
      <c r="C10940" t="s">
        <v>120</v>
      </c>
      <c r="D10940" t="s">
        <v>186</v>
      </c>
      <c r="E10940" t="s">
        <v>13</v>
      </c>
      <c r="F10940">
        <v>0.27827078104019165</v>
      </c>
    </row>
    <row r="10941" spans="2:6">
      <c r="B10941">
        <v>2016</v>
      </c>
      <c r="C10941" t="s">
        <v>120</v>
      </c>
      <c r="D10941" t="s">
        <v>186</v>
      </c>
      <c r="E10941" t="s">
        <v>14</v>
      </c>
      <c r="F10941">
        <v>0.83294469118118286</v>
      </c>
    </row>
    <row r="10942" spans="2:6">
      <c r="B10942">
        <v>2016</v>
      </c>
      <c r="C10942" t="s">
        <v>120</v>
      </c>
      <c r="D10942" t="s">
        <v>186</v>
      </c>
      <c r="E10942" t="s">
        <v>15</v>
      </c>
      <c r="F10942">
        <v>0.20741362869739532</v>
      </c>
    </row>
    <row r="10943" spans="2:6">
      <c r="B10943">
        <v>2017</v>
      </c>
      <c r="C10943" t="s">
        <v>120</v>
      </c>
      <c r="D10943" t="s">
        <v>186</v>
      </c>
      <c r="E10943" t="s">
        <v>7</v>
      </c>
      <c r="F10943">
        <v>7.3271827697753906</v>
      </c>
    </row>
    <row r="10944" spans="2:6">
      <c r="B10944">
        <v>2017</v>
      </c>
      <c r="C10944" t="s">
        <v>120</v>
      </c>
      <c r="D10944" t="s">
        <v>186</v>
      </c>
      <c r="E10944" t="s">
        <v>8</v>
      </c>
      <c r="F10944">
        <v>10.633280754089355</v>
      </c>
    </row>
    <row r="10945" spans="2:6">
      <c r="B10945">
        <v>2017</v>
      </c>
      <c r="C10945" t="s">
        <v>120</v>
      </c>
      <c r="D10945" t="s">
        <v>186</v>
      </c>
      <c r="E10945" t="s">
        <v>9</v>
      </c>
      <c r="F10945">
        <v>0.95492064952850342</v>
      </c>
    </row>
    <row r="10946" spans="2:6">
      <c r="B10946">
        <v>2017</v>
      </c>
      <c r="C10946" t="s">
        <v>120</v>
      </c>
      <c r="D10946" t="s">
        <v>186</v>
      </c>
      <c r="E10946" t="s">
        <v>10</v>
      </c>
      <c r="F10946">
        <v>73</v>
      </c>
    </row>
    <row r="10947" spans="2:6">
      <c r="B10947">
        <v>2017</v>
      </c>
      <c r="C10947" t="s">
        <v>120</v>
      </c>
      <c r="D10947" t="s">
        <v>186</v>
      </c>
      <c r="E10947" t="s">
        <v>11</v>
      </c>
      <c r="F10947">
        <v>0.94227945804595947</v>
      </c>
    </row>
    <row r="10948" spans="2:6">
      <c r="B10948">
        <v>2017</v>
      </c>
      <c r="C10948" t="s">
        <v>120</v>
      </c>
      <c r="D10948" t="s">
        <v>186</v>
      </c>
      <c r="E10948" t="s">
        <v>12</v>
      </c>
      <c r="F10948">
        <v>0.2941385805606842</v>
      </c>
    </row>
    <row r="10949" spans="2:6">
      <c r="B10949">
        <v>2017</v>
      </c>
      <c r="C10949" t="s">
        <v>120</v>
      </c>
      <c r="D10949" t="s">
        <v>186</v>
      </c>
      <c r="E10949" t="s">
        <v>13</v>
      </c>
      <c r="F10949">
        <v>0.22188748419284821</v>
      </c>
    </row>
    <row r="10950" spans="2:6">
      <c r="B10950">
        <v>2017</v>
      </c>
      <c r="C10950" t="s">
        <v>120</v>
      </c>
      <c r="D10950" t="s">
        <v>186</v>
      </c>
      <c r="E10950" t="s">
        <v>14</v>
      </c>
      <c r="F10950">
        <v>0.81743127107620239</v>
      </c>
    </row>
    <row r="10951" spans="2:6">
      <c r="B10951">
        <v>2017</v>
      </c>
      <c r="C10951" t="s">
        <v>120</v>
      </c>
      <c r="D10951" t="s">
        <v>186</v>
      </c>
      <c r="E10951" t="s">
        <v>15</v>
      </c>
      <c r="F10951">
        <v>0.17171657085418701</v>
      </c>
    </row>
    <row r="10952" spans="2:6">
      <c r="B10952">
        <v>2018</v>
      </c>
      <c r="C10952" t="s">
        <v>120</v>
      </c>
      <c r="D10952" t="s">
        <v>186</v>
      </c>
      <c r="E10952" t="s">
        <v>7</v>
      </c>
      <c r="F10952">
        <v>7.3702859878540039</v>
      </c>
    </row>
    <row r="10953" spans="2:6">
      <c r="B10953">
        <v>2018</v>
      </c>
      <c r="C10953" t="s">
        <v>120</v>
      </c>
      <c r="D10953" t="s">
        <v>186</v>
      </c>
      <c r="E10953" t="s">
        <v>8</v>
      </c>
      <c r="F10953">
        <v>10.660435676574707</v>
      </c>
    </row>
    <row r="10954" spans="2:6">
      <c r="B10954">
        <v>2018</v>
      </c>
      <c r="C10954" t="s">
        <v>120</v>
      </c>
      <c r="D10954" t="s">
        <v>186</v>
      </c>
      <c r="E10954" t="s">
        <v>9</v>
      </c>
      <c r="F10954">
        <v>0.95386272668838501</v>
      </c>
    </row>
    <row r="10955" spans="2:6">
      <c r="B10955">
        <v>2018</v>
      </c>
      <c r="C10955" t="s">
        <v>120</v>
      </c>
      <c r="D10955" t="s">
        <v>186</v>
      </c>
      <c r="E10955" t="s">
        <v>10</v>
      </c>
      <c r="F10955">
        <v>73.199996948242188</v>
      </c>
    </row>
    <row r="10956" spans="2:6">
      <c r="B10956">
        <v>2018</v>
      </c>
      <c r="C10956" t="s">
        <v>120</v>
      </c>
      <c r="D10956" t="s">
        <v>186</v>
      </c>
      <c r="E10956" t="s">
        <v>11</v>
      </c>
      <c r="F10956">
        <v>0.94930016994476318</v>
      </c>
    </row>
    <row r="10957" spans="2:6">
      <c r="B10957">
        <v>2018</v>
      </c>
      <c r="C10957" t="s">
        <v>120</v>
      </c>
      <c r="D10957" t="s">
        <v>186</v>
      </c>
      <c r="E10957" t="s">
        <v>12</v>
      </c>
      <c r="F10957">
        <v>0.11982706934213638</v>
      </c>
    </row>
    <row r="10958" spans="2:6">
      <c r="B10958">
        <v>2018</v>
      </c>
      <c r="C10958" t="s">
        <v>120</v>
      </c>
      <c r="D10958" t="s">
        <v>186</v>
      </c>
      <c r="E10958" t="s">
        <v>13</v>
      </c>
      <c r="F10958">
        <v>0.20658022165298462</v>
      </c>
    </row>
    <row r="10959" spans="2:6">
      <c r="B10959">
        <v>2018</v>
      </c>
      <c r="C10959" t="s">
        <v>120</v>
      </c>
      <c r="D10959" t="s">
        <v>186</v>
      </c>
      <c r="E10959" t="s">
        <v>14</v>
      </c>
      <c r="F10959">
        <v>0.84536260366439819</v>
      </c>
    </row>
    <row r="10960" spans="2:6">
      <c r="B10960">
        <v>2018</v>
      </c>
      <c r="C10960" t="s">
        <v>120</v>
      </c>
      <c r="D10960" t="s">
        <v>186</v>
      </c>
      <c r="E10960" t="s">
        <v>15</v>
      </c>
      <c r="F10960">
        <v>0.16795144975185394</v>
      </c>
    </row>
    <row r="10961" spans="2:6">
      <c r="B10961">
        <v>2019</v>
      </c>
      <c r="C10961" t="s">
        <v>120</v>
      </c>
      <c r="D10961" t="s">
        <v>186</v>
      </c>
      <c r="E10961" t="s">
        <v>7</v>
      </c>
      <c r="F10961">
        <v>7.205174446105957</v>
      </c>
    </row>
    <row r="10962" spans="2:6">
      <c r="B10962">
        <v>2019</v>
      </c>
      <c r="C10962" t="s">
        <v>120</v>
      </c>
      <c r="D10962" t="s">
        <v>186</v>
      </c>
      <c r="E10962" t="s">
        <v>8</v>
      </c>
      <c r="F10962">
        <v>10.666336059570313</v>
      </c>
    </row>
    <row r="10963" spans="2:6">
      <c r="B10963">
        <v>2019</v>
      </c>
      <c r="C10963" t="s">
        <v>120</v>
      </c>
      <c r="D10963" t="s">
        <v>186</v>
      </c>
      <c r="E10963" t="s">
        <v>9</v>
      </c>
      <c r="F10963">
        <v>0.93882119655609131</v>
      </c>
    </row>
    <row r="10964" spans="2:6">
      <c r="B10964">
        <v>2019</v>
      </c>
      <c r="C10964" t="s">
        <v>120</v>
      </c>
      <c r="D10964" t="s">
        <v>186</v>
      </c>
      <c r="E10964" t="s">
        <v>10</v>
      </c>
      <c r="F10964">
        <v>73.400001525878906</v>
      </c>
    </row>
    <row r="10965" spans="2:6">
      <c r="B10965">
        <v>2019</v>
      </c>
      <c r="C10965" t="s">
        <v>120</v>
      </c>
      <c r="D10965" t="s">
        <v>186</v>
      </c>
      <c r="E10965" t="s">
        <v>11</v>
      </c>
      <c r="F10965">
        <v>0.91204237937927246</v>
      </c>
    </row>
    <row r="10966" spans="2:6">
      <c r="B10966">
        <v>2019</v>
      </c>
      <c r="C10966" t="s">
        <v>120</v>
      </c>
      <c r="D10966" t="s">
        <v>186</v>
      </c>
      <c r="E10966" t="s">
        <v>12</v>
      </c>
      <c r="F10966">
        <v>0.15674664080142975</v>
      </c>
    </row>
    <row r="10967" spans="2:6">
      <c r="B10967">
        <v>2019</v>
      </c>
      <c r="C10967" t="s">
        <v>120</v>
      </c>
      <c r="D10967" t="s">
        <v>186</v>
      </c>
      <c r="E10967" t="s">
        <v>13</v>
      </c>
      <c r="F10967">
        <v>0.23383122682571411</v>
      </c>
    </row>
    <row r="10968" spans="2:6">
      <c r="B10968">
        <v>2019</v>
      </c>
      <c r="C10968" t="s">
        <v>120</v>
      </c>
      <c r="D10968" t="s">
        <v>186</v>
      </c>
      <c r="E10968" t="s">
        <v>14</v>
      </c>
      <c r="F10968">
        <v>0.81602263450622559</v>
      </c>
    </row>
    <row r="10969" spans="2:6">
      <c r="B10969">
        <v>2019</v>
      </c>
      <c r="C10969" t="s">
        <v>120</v>
      </c>
      <c r="D10969" t="s">
        <v>186</v>
      </c>
      <c r="E10969" t="s">
        <v>15</v>
      </c>
      <c r="F10969">
        <v>0.19117636978626251</v>
      </c>
    </row>
    <row r="10970" spans="2:6">
      <c r="B10970">
        <v>2020</v>
      </c>
      <c r="C10970" t="s">
        <v>120</v>
      </c>
      <c r="D10970" t="s">
        <v>186</v>
      </c>
      <c r="E10970" t="s">
        <v>7</v>
      </c>
      <c r="F10970">
        <v>7.2573819160461426</v>
      </c>
    </row>
    <row r="10971" spans="2:6">
      <c r="B10971">
        <v>2020</v>
      </c>
      <c r="C10971" t="s">
        <v>120</v>
      </c>
      <c r="D10971" t="s">
        <v>186</v>
      </c>
      <c r="E10971" t="s">
        <v>8</v>
      </c>
      <c r="F10971">
        <v>10.600457191467285</v>
      </c>
    </row>
    <row r="10972" spans="2:6">
      <c r="B10972">
        <v>2020</v>
      </c>
      <c r="C10972" t="s">
        <v>120</v>
      </c>
      <c r="D10972" t="s">
        <v>186</v>
      </c>
      <c r="E10972" t="s">
        <v>9</v>
      </c>
      <c r="F10972">
        <v>0.95199078321456909</v>
      </c>
    </row>
    <row r="10973" spans="2:6">
      <c r="B10973">
        <v>2020</v>
      </c>
      <c r="C10973" t="s">
        <v>120</v>
      </c>
      <c r="D10973" t="s">
        <v>186</v>
      </c>
      <c r="E10973" t="s">
        <v>10</v>
      </c>
      <c r="F10973">
        <v>73.599998474121094</v>
      </c>
    </row>
    <row r="10974" spans="2:6">
      <c r="B10974">
        <v>2020</v>
      </c>
      <c r="C10974" t="s">
        <v>120</v>
      </c>
      <c r="D10974" t="s">
        <v>186</v>
      </c>
      <c r="E10974" t="s">
        <v>11</v>
      </c>
      <c r="F10974">
        <v>0.91815459728240967</v>
      </c>
    </row>
    <row r="10975" spans="2:6">
      <c r="B10975">
        <v>2020</v>
      </c>
      <c r="C10975" t="s">
        <v>120</v>
      </c>
      <c r="D10975" t="s">
        <v>186</v>
      </c>
      <c r="E10975" t="s">
        <v>12</v>
      </c>
      <c r="F10975">
        <v>0.1252596527338028</v>
      </c>
    </row>
    <row r="10976" spans="2:6">
      <c r="B10976">
        <v>2020</v>
      </c>
      <c r="C10976" t="s">
        <v>120</v>
      </c>
      <c r="D10976" t="s">
        <v>186</v>
      </c>
      <c r="E10976" t="s">
        <v>13</v>
      </c>
      <c r="F10976">
        <v>0.28276795148849487</v>
      </c>
    </row>
    <row r="10977" spans="2:6">
      <c r="B10977">
        <v>2020</v>
      </c>
      <c r="C10977" t="s">
        <v>120</v>
      </c>
      <c r="D10977" t="s">
        <v>186</v>
      </c>
      <c r="E10977" t="s">
        <v>14</v>
      </c>
      <c r="F10977">
        <v>0.84941500425338745</v>
      </c>
    </row>
    <row r="10978" spans="2:6">
      <c r="B10978">
        <v>2020</v>
      </c>
      <c r="C10978" t="s">
        <v>120</v>
      </c>
      <c r="D10978" t="s">
        <v>186</v>
      </c>
      <c r="E10978" t="s">
        <v>15</v>
      </c>
      <c r="F10978">
        <v>0.20854105055332184</v>
      </c>
    </row>
    <row r="10979" spans="2:6">
      <c r="B10979">
        <v>2006</v>
      </c>
      <c r="C10979" t="s">
        <v>121</v>
      </c>
      <c r="D10979" t="s">
        <v>185</v>
      </c>
      <c r="E10979" t="s">
        <v>7</v>
      </c>
      <c r="F10979">
        <v>4.4601583480834961</v>
      </c>
    </row>
    <row r="10980" spans="2:6">
      <c r="B10980">
        <v>2006</v>
      </c>
      <c r="C10980" t="s">
        <v>121</v>
      </c>
      <c r="D10980" t="s">
        <v>185</v>
      </c>
      <c r="E10980" t="s">
        <v>8</v>
      </c>
      <c r="F10980">
        <v>8.3981618881225586</v>
      </c>
    </row>
    <row r="10981" spans="2:6">
      <c r="B10981">
        <v>2006</v>
      </c>
      <c r="C10981" t="s">
        <v>121</v>
      </c>
      <c r="D10981" t="s">
        <v>185</v>
      </c>
      <c r="E10981" t="s">
        <v>9</v>
      </c>
      <c r="F10981">
        <v>0.8771701455116272</v>
      </c>
    </row>
    <row r="10982" spans="2:6">
      <c r="B10982">
        <v>2006</v>
      </c>
      <c r="C10982" t="s">
        <v>121</v>
      </c>
      <c r="D10982" t="s">
        <v>185</v>
      </c>
      <c r="E10982" t="s">
        <v>10</v>
      </c>
      <c r="F10982">
        <v>64.139999389648438</v>
      </c>
    </row>
    <row r="10983" spans="2:6">
      <c r="B10983">
        <v>2006</v>
      </c>
      <c r="C10983" t="s">
        <v>121</v>
      </c>
      <c r="D10983" t="s">
        <v>185</v>
      </c>
      <c r="E10983" t="s">
        <v>11</v>
      </c>
      <c r="F10983">
        <v>0.74545633792877197</v>
      </c>
    </row>
    <row r="10984" spans="2:6">
      <c r="B10984">
        <v>2006</v>
      </c>
      <c r="C10984" t="s">
        <v>121</v>
      </c>
      <c r="D10984" t="s">
        <v>185</v>
      </c>
      <c r="E10984" t="s">
        <v>12</v>
      </c>
      <c r="F10984">
        <v>9.6658430993556976E-3</v>
      </c>
    </row>
    <row r="10985" spans="2:6">
      <c r="B10985">
        <v>2006</v>
      </c>
      <c r="C10985" t="s">
        <v>121</v>
      </c>
      <c r="D10985" t="s">
        <v>185</v>
      </c>
      <c r="E10985" t="s">
        <v>13</v>
      </c>
      <c r="F10985">
        <v>0.8443913459777832</v>
      </c>
    </row>
    <row r="10986" spans="2:6">
      <c r="B10986">
        <v>2006</v>
      </c>
      <c r="C10986" t="s">
        <v>121</v>
      </c>
      <c r="D10986" t="s">
        <v>185</v>
      </c>
      <c r="E10986" t="s">
        <v>14</v>
      </c>
      <c r="F10986">
        <v>0.77886104583740234</v>
      </c>
    </row>
    <row r="10987" spans="2:6">
      <c r="B10987">
        <v>2006</v>
      </c>
      <c r="C10987" t="s">
        <v>121</v>
      </c>
      <c r="D10987" t="s">
        <v>185</v>
      </c>
      <c r="E10987" t="s">
        <v>15</v>
      </c>
      <c r="F10987">
        <v>0.29441577196121216</v>
      </c>
    </row>
    <row r="10988" spans="2:6">
      <c r="B10988">
        <v>2007</v>
      </c>
      <c r="C10988" t="s">
        <v>121</v>
      </c>
      <c r="D10988" t="s">
        <v>185</v>
      </c>
      <c r="E10988" t="s">
        <v>7</v>
      </c>
      <c r="F10988">
        <v>4.9440908432006836</v>
      </c>
    </row>
    <row r="10989" spans="2:6">
      <c r="B10989">
        <v>2007</v>
      </c>
      <c r="C10989" t="s">
        <v>121</v>
      </c>
      <c r="D10989" t="s">
        <v>185</v>
      </c>
      <c r="E10989" t="s">
        <v>8</v>
      </c>
      <c r="F10989">
        <v>8.4339323043823242</v>
      </c>
    </row>
    <row r="10990" spans="2:6">
      <c r="B10990">
        <v>2007</v>
      </c>
      <c r="C10990" t="s">
        <v>121</v>
      </c>
      <c r="D10990" t="s">
        <v>185</v>
      </c>
      <c r="E10990" t="s">
        <v>9</v>
      </c>
      <c r="F10990">
        <v>0.86621302366256714</v>
      </c>
    </row>
    <row r="10991" spans="2:6">
      <c r="B10991">
        <v>2007</v>
      </c>
      <c r="C10991" t="s">
        <v>121</v>
      </c>
      <c r="D10991" t="s">
        <v>185</v>
      </c>
      <c r="E10991" t="s">
        <v>10</v>
      </c>
      <c r="F10991">
        <v>64.480003356933594</v>
      </c>
    </row>
    <row r="10992" spans="2:6">
      <c r="B10992">
        <v>2007</v>
      </c>
      <c r="C10992" t="s">
        <v>121</v>
      </c>
      <c r="D10992" t="s">
        <v>185</v>
      </c>
      <c r="E10992" t="s">
        <v>11</v>
      </c>
      <c r="F10992">
        <v>0.83555972576141357</v>
      </c>
    </row>
    <row r="10993" spans="2:6">
      <c r="B10993">
        <v>2007</v>
      </c>
      <c r="C10993" t="s">
        <v>121</v>
      </c>
      <c r="D10993" t="s">
        <v>185</v>
      </c>
      <c r="E10993" t="s">
        <v>12</v>
      </c>
      <c r="F10993">
        <v>0.14039160311222076</v>
      </c>
    </row>
    <row r="10994" spans="2:6">
      <c r="B10994">
        <v>2007</v>
      </c>
      <c r="C10994" t="s">
        <v>121</v>
      </c>
      <c r="D10994" t="s">
        <v>185</v>
      </c>
      <c r="E10994" t="s">
        <v>13</v>
      </c>
      <c r="F10994">
        <v>0.82579851150512695</v>
      </c>
    </row>
    <row r="10995" spans="2:6">
      <c r="B10995">
        <v>2007</v>
      </c>
      <c r="C10995" t="s">
        <v>121</v>
      </c>
      <c r="D10995" t="s">
        <v>185</v>
      </c>
      <c r="E10995" t="s">
        <v>14</v>
      </c>
      <c r="F10995">
        <v>0.80976212024688721</v>
      </c>
    </row>
    <row r="10996" spans="2:6">
      <c r="B10996">
        <v>2007</v>
      </c>
      <c r="C10996" t="s">
        <v>121</v>
      </c>
      <c r="D10996" t="s">
        <v>185</v>
      </c>
      <c r="E10996" t="s">
        <v>15</v>
      </c>
      <c r="F10996">
        <v>0.28748211264610291</v>
      </c>
    </row>
    <row r="10997" spans="2:6">
      <c r="B10997">
        <v>2008</v>
      </c>
      <c r="C10997" t="s">
        <v>121</v>
      </c>
      <c r="D10997" t="s">
        <v>185</v>
      </c>
      <c r="E10997" t="s">
        <v>7</v>
      </c>
      <c r="F10997">
        <v>5.1038274765014648</v>
      </c>
    </row>
    <row r="10998" spans="2:6">
      <c r="B10998">
        <v>2008</v>
      </c>
      <c r="C10998" t="s">
        <v>121</v>
      </c>
      <c r="D10998" t="s">
        <v>185</v>
      </c>
      <c r="E10998" t="s">
        <v>8</v>
      </c>
      <c r="F10998">
        <v>8.4539718627929688</v>
      </c>
    </row>
    <row r="10999" spans="2:6">
      <c r="B10999">
        <v>2008</v>
      </c>
      <c r="C10999" t="s">
        <v>121</v>
      </c>
      <c r="D10999" t="s">
        <v>185</v>
      </c>
      <c r="E10999" t="s">
        <v>9</v>
      </c>
      <c r="F10999">
        <v>0.85718625783920288</v>
      </c>
    </row>
    <row r="11000" spans="2:6">
      <c r="B11000">
        <v>2008</v>
      </c>
      <c r="C11000" t="s">
        <v>121</v>
      </c>
      <c r="D11000" t="s">
        <v>185</v>
      </c>
      <c r="E11000" t="s">
        <v>10</v>
      </c>
      <c r="F11000">
        <v>64.819999694824219</v>
      </c>
    </row>
    <row r="11001" spans="2:6">
      <c r="B11001">
        <v>2008</v>
      </c>
      <c r="C11001" t="s">
        <v>121</v>
      </c>
      <c r="D11001" t="s">
        <v>185</v>
      </c>
      <c r="E11001" t="s">
        <v>11</v>
      </c>
      <c r="F11001">
        <v>0.79083108901977539</v>
      </c>
    </row>
    <row r="11002" spans="2:6">
      <c r="B11002">
        <v>2008</v>
      </c>
      <c r="C11002" t="s">
        <v>121</v>
      </c>
      <c r="D11002" t="s">
        <v>185</v>
      </c>
      <c r="E11002" t="s">
        <v>12</v>
      </c>
      <c r="F11002">
        <v>7.5514182448387146E-2</v>
      </c>
    </row>
    <row r="11003" spans="2:6">
      <c r="B11003">
        <v>2008</v>
      </c>
      <c r="C11003" t="s">
        <v>121</v>
      </c>
      <c r="D11003" t="s">
        <v>185</v>
      </c>
      <c r="E11003" t="s">
        <v>13</v>
      </c>
      <c r="F11003">
        <v>0.81894922256469727</v>
      </c>
    </row>
    <row r="11004" spans="2:6">
      <c r="B11004">
        <v>2008</v>
      </c>
      <c r="C11004" t="s">
        <v>121</v>
      </c>
      <c r="D11004" t="s">
        <v>185</v>
      </c>
      <c r="E11004" t="s">
        <v>14</v>
      </c>
      <c r="F11004">
        <v>0.78384757041931152</v>
      </c>
    </row>
    <row r="11005" spans="2:6">
      <c r="B11005">
        <v>2008</v>
      </c>
      <c r="C11005" t="s">
        <v>121</v>
      </c>
      <c r="D11005" t="s">
        <v>185</v>
      </c>
      <c r="E11005" t="s">
        <v>15</v>
      </c>
      <c r="F11005">
        <v>0.28934472799301147</v>
      </c>
    </row>
    <row r="11006" spans="2:6">
      <c r="B11006">
        <v>2009</v>
      </c>
      <c r="C11006" t="s">
        <v>121</v>
      </c>
      <c r="D11006" t="s">
        <v>185</v>
      </c>
      <c r="E11006" t="s">
        <v>7</v>
      </c>
      <c r="F11006">
        <v>5.3528046607971191</v>
      </c>
    </row>
    <row r="11007" spans="2:6">
      <c r="B11007">
        <v>2009</v>
      </c>
      <c r="C11007" t="s">
        <v>121</v>
      </c>
      <c r="D11007" t="s">
        <v>185</v>
      </c>
      <c r="E11007" t="s">
        <v>8</v>
      </c>
      <c r="F11007">
        <v>8.406804084777832</v>
      </c>
    </row>
    <row r="11008" spans="2:6">
      <c r="B11008">
        <v>2009</v>
      </c>
      <c r="C11008" t="s">
        <v>121</v>
      </c>
      <c r="D11008" t="s">
        <v>185</v>
      </c>
      <c r="E11008" t="s">
        <v>9</v>
      </c>
      <c r="F11008">
        <v>0.83468806743621826</v>
      </c>
    </row>
    <row r="11009" spans="2:6">
      <c r="B11009">
        <v>2009</v>
      </c>
      <c r="C11009" t="s">
        <v>121</v>
      </c>
      <c r="D11009" t="s">
        <v>185</v>
      </c>
      <c r="E11009" t="s">
        <v>10</v>
      </c>
      <c r="F11009">
        <v>65.160003662109375</v>
      </c>
    </row>
    <row r="11010" spans="2:6">
      <c r="B11010">
        <v>2009</v>
      </c>
      <c r="C11010" t="s">
        <v>121</v>
      </c>
      <c r="D11010" t="s">
        <v>185</v>
      </c>
      <c r="E11010" t="s">
        <v>11</v>
      </c>
      <c r="F11010">
        <v>0.74606502056121826</v>
      </c>
    </row>
    <row r="11011" spans="2:6">
      <c r="B11011">
        <v>2009</v>
      </c>
      <c r="C11011" t="s">
        <v>121</v>
      </c>
      <c r="D11011" t="s">
        <v>185</v>
      </c>
      <c r="E11011" t="s">
        <v>12</v>
      </c>
      <c r="F11011">
        <v>7.0268690586090088E-2</v>
      </c>
    </row>
    <row r="11012" spans="2:6">
      <c r="B11012">
        <v>2009</v>
      </c>
      <c r="C11012" t="s">
        <v>121</v>
      </c>
      <c r="D11012" t="s">
        <v>185</v>
      </c>
      <c r="E11012" t="s">
        <v>13</v>
      </c>
      <c r="F11012">
        <v>0.79448676109313965</v>
      </c>
    </row>
    <row r="11013" spans="2:6">
      <c r="B11013">
        <v>2009</v>
      </c>
      <c r="C11013" t="s">
        <v>121</v>
      </c>
      <c r="D11013" t="s">
        <v>185</v>
      </c>
      <c r="E11013" t="s">
        <v>14</v>
      </c>
      <c r="F11013">
        <v>0.78109663724899292</v>
      </c>
    </row>
    <row r="11014" spans="2:6">
      <c r="B11014">
        <v>2009</v>
      </c>
      <c r="C11014" t="s">
        <v>121</v>
      </c>
      <c r="D11014" t="s">
        <v>185</v>
      </c>
      <c r="E11014" t="s">
        <v>15</v>
      </c>
      <c r="F11014">
        <v>0.29906466603279114</v>
      </c>
    </row>
    <row r="11015" spans="2:6">
      <c r="B11015">
        <v>2010</v>
      </c>
      <c r="C11015" t="s">
        <v>121</v>
      </c>
      <c r="D11015" t="s">
        <v>185</v>
      </c>
      <c r="E11015" t="s">
        <v>7</v>
      </c>
      <c r="F11015">
        <v>5.686699390411377</v>
      </c>
    </row>
    <row r="11016" spans="2:6">
      <c r="B11016">
        <v>2010</v>
      </c>
      <c r="C11016" t="s">
        <v>121</v>
      </c>
      <c r="D11016" t="s">
        <v>185</v>
      </c>
      <c r="E11016" t="s">
        <v>8</v>
      </c>
      <c r="F11016">
        <v>8.4363718032836914</v>
      </c>
    </row>
    <row r="11017" spans="2:6">
      <c r="B11017">
        <v>2010</v>
      </c>
      <c r="C11017" t="s">
        <v>121</v>
      </c>
      <c r="D11017" t="s">
        <v>185</v>
      </c>
      <c r="E11017" t="s">
        <v>9</v>
      </c>
      <c r="F11017">
        <v>0.86315155029296875</v>
      </c>
    </row>
    <row r="11018" spans="2:6">
      <c r="B11018">
        <v>2010</v>
      </c>
      <c r="C11018" t="s">
        <v>121</v>
      </c>
      <c r="D11018" t="s">
        <v>185</v>
      </c>
      <c r="E11018" t="s">
        <v>10</v>
      </c>
      <c r="F11018">
        <v>65.5</v>
      </c>
    </row>
    <row r="11019" spans="2:6">
      <c r="B11019">
        <v>2010</v>
      </c>
      <c r="C11019" t="s">
        <v>121</v>
      </c>
      <c r="D11019" t="s">
        <v>185</v>
      </c>
      <c r="E11019" t="s">
        <v>11</v>
      </c>
      <c r="F11019">
        <v>0.79177331924438477</v>
      </c>
    </row>
    <row r="11020" spans="2:6">
      <c r="B11020">
        <v>2010</v>
      </c>
      <c r="C11020" t="s">
        <v>121</v>
      </c>
      <c r="D11020" t="s">
        <v>185</v>
      </c>
      <c r="E11020" t="s">
        <v>12</v>
      </c>
      <c r="F11020">
        <v>1.8256174400448799E-2</v>
      </c>
    </row>
    <row r="11021" spans="2:6">
      <c r="B11021">
        <v>2010</v>
      </c>
      <c r="C11021" t="s">
        <v>121</v>
      </c>
      <c r="D11021" t="s">
        <v>185</v>
      </c>
      <c r="E11021" t="s">
        <v>13</v>
      </c>
      <c r="F11021">
        <v>0.80172890424728394</v>
      </c>
    </row>
    <row r="11022" spans="2:6">
      <c r="B11022">
        <v>2010</v>
      </c>
      <c r="C11022" t="s">
        <v>121</v>
      </c>
      <c r="D11022" t="s">
        <v>185</v>
      </c>
      <c r="E11022" t="s">
        <v>14</v>
      </c>
      <c r="F11022">
        <v>0.80537617206573486</v>
      </c>
    </row>
    <row r="11023" spans="2:6">
      <c r="B11023">
        <v>2010</v>
      </c>
      <c r="C11023" t="s">
        <v>121</v>
      </c>
      <c r="D11023" t="s">
        <v>185</v>
      </c>
      <c r="E11023" t="s">
        <v>15</v>
      </c>
      <c r="F11023">
        <v>0.26802337169647217</v>
      </c>
    </row>
    <row r="11024" spans="2:6">
      <c r="B11024">
        <v>2011</v>
      </c>
      <c r="C11024" t="s">
        <v>121</v>
      </c>
      <c r="D11024" t="s">
        <v>185</v>
      </c>
      <c r="E11024" t="s">
        <v>7</v>
      </c>
      <c r="F11024">
        <v>5.3857054710388184</v>
      </c>
    </row>
    <row r="11025" spans="2:6">
      <c r="B11025">
        <v>2011</v>
      </c>
      <c r="C11025" t="s">
        <v>121</v>
      </c>
      <c r="D11025" t="s">
        <v>185</v>
      </c>
      <c r="E11025" t="s">
        <v>8</v>
      </c>
      <c r="F11025">
        <v>8.4841623306274414</v>
      </c>
    </row>
    <row r="11026" spans="2:6">
      <c r="B11026">
        <v>2011</v>
      </c>
      <c r="C11026" t="s">
        <v>121</v>
      </c>
      <c r="D11026" t="s">
        <v>185</v>
      </c>
      <c r="E11026" t="s">
        <v>9</v>
      </c>
      <c r="F11026">
        <v>0.80030512809753418</v>
      </c>
    </row>
    <row r="11027" spans="2:6">
      <c r="B11027">
        <v>2011</v>
      </c>
      <c r="C11027" t="s">
        <v>121</v>
      </c>
      <c r="D11027" t="s">
        <v>185</v>
      </c>
      <c r="E11027" t="s">
        <v>10</v>
      </c>
      <c r="F11027">
        <v>65.720001220703125</v>
      </c>
    </row>
    <row r="11028" spans="2:6">
      <c r="B11028">
        <v>2011</v>
      </c>
      <c r="C11028" t="s">
        <v>121</v>
      </c>
      <c r="D11028" t="s">
        <v>185</v>
      </c>
      <c r="E11028" t="s">
        <v>11</v>
      </c>
      <c r="F11028">
        <v>0.77859103679656982</v>
      </c>
    </row>
    <row r="11029" spans="2:6">
      <c r="B11029">
        <v>2011</v>
      </c>
      <c r="C11029" t="s">
        <v>121</v>
      </c>
      <c r="D11029" t="s">
        <v>185</v>
      </c>
      <c r="E11029" t="s">
        <v>12</v>
      </c>
      <c r="F11029">
        <v>-1.9578710198402405E-2</v>
      </c>
    </row>
    <row r="11030" spans="2:6">
      <c r="B11030">
        <v>2011</v>
      </c>
      <c r="C11030" t="s">
        <v>121</v>
      </c>
      <c r="D11030" t="s">
        <v>185</v>
      </c>
      <c r="E11030" t="s">
        <v>13</v>
      </c>
      <c r="F11030">
        <v>0.7602425217628479</v>
      </c>
    </row>
    <row r="11031" spans="2:6">
      <c r="B11031">
        <v>2011</v>
      </c>
      <c r="C11031" t="s">
        <v>121</v>
      </c>
      <c r="D11031" t="s">
        <v>185</v>
      </c>
      <c r="E11031" t="s">
        <v>14</v>
      </c>
      <c r="F11031">
        <v>0.79143226146697998</v>
      </c>
    </row>
    <row r="11032" spans="2:6">
      <c r="B11032">
        <v>2011</v>
      </c>
      <c r="C11032" t="s">
        <v>121</v>
      </c>
      <c r="D11032" t="s">
        <v>185</v>
      </c>
      <c r="E11032" t="s">
        <v>15</v>
      </c>
      <c r="F11032">
        <v>0.3090188205242157</v>
      </c>
    </row>
    <row r="11033" spans="2:6">
      <c r="B11033">
        <v>2012</v>
      </c>
      <c r="C11033" t="s">
        <v>121</v>
      </c>
      <c r="D11033" t="s">
        <v>185</v>
      </c>
      <c r="E11033" t="s">
        <v>7</v>
      </c>
      <c r="F11033">
        <v>5.4480061531066895</v>
      </c>
    </row>
    <row r="11034" spans="2:6">
      <c r="B11034">
        <v>2012</v>
      </c>
      <c r="C11034" t="s">
        <v>121</v>
      </c>
      <c r="D11034" t="s">
        <v>185</v>
      </c>
      <c r="E11034" t="s">
        <v>8</v>
      </c>
      <c r="F11034">
        <v>8.5337314605712891</v>
      </c>
    </row>
    <row r="11035" spans="2:6">
      <c r="B11035">
        <v>2012</v>
      </c>
      <c r="C11035" t="s">
        <v>121</v>
      </c>
      <c r="D11035" t="s">
        <v>185</v>
      </c>
      <c r="E11035" t="s">
        <v>9</v>
      </c>
      <c r="F11035">
        <v>0.89405441284179688</v>
      </c>
    </row>
    <row r="11036" spans="2:6">
      <c r="B11036">
        <v>2012</v>
      </c>
      <c r="C11036" t="s">
        <v>121</v>
      </c>
      <c r="D11036" t="s">
        <v>185</v>
      </c>
      <c r="E11036" t="s">
        <v>10</v>
      </c>
      <c r="F11036">
        <v>65.94000244140625</v>
      </c>
    </row>
    <row r="11037" spans="2:6">
      <c r="B11037">
        <v>2012</v>
      </c>
      <c r="C11037" t="s">
        <v>121</v>
      </c>
      <c r="D11037" t="s">
        <v>185</v>
      </c>
      <c r="E11037" t="s">
        <v>11</v>
      </c>
      <c r="F11037">
        <v>0.85030490159988403</v>
      </c>
    </row>
    <row r="11038" spans="2:6">
      <c r="B11038">
        <v>2012</v>
      </c>
      <c r="C11038" t="s">
        <v>121</v>
      </c>
      <c r="D11038" t="s">
        <v>185</v>
      </c>
      <c r="E11038" t="s">
        <v>12</v>
      </c>
      <c r="F11038">
        <v>1.7166446894407272E-2</v>
      </c>
    </row>
    <row r="11039" spans="2:6">
      <c r="B11039">
        <v>2012</v>
      </c>
      <c r="C11039" t="s">
        <v>121</v>
      </c>
      <c r="D11039" t="s">
        <v>185</v>
      </c>
      <c r="E11039" t="s">
        <v>13</v>
      </c>
      <c r="F11039">
        <v>0.64357876777648926</v>
      </c>
    </row>
    <row r="11040" spans="2:6">
      <c r="B11040">
        <v>2012</v>
      </c>
      <c r="C11040" t="s">
        <v>121</v>
      </c>
      <c r="D11040" t="s">
        <v>185</v>
      </c>
      <c r="E11040" t="s">
        <v>14</v>
      </c>
      <c r="F11040">
        <v>0.80325382947921753</v>
      </c>
    </row>
    <row r="11041" spans="2:6">
      <c r="B11041">
        <v>2012</v>
      </c>
      <c r="C11041" t="s">
        <v>121</v>
      </c>
      <c r="D11041" t="s">
        <v>185</v>
      </c>
      <c r="E11041" t="s">
        <v>15</v>
      </c>
      <c r="F11041">
        <v>0.25466048717498779</v>
      </c>
    </row>
    <row r="11042" spans="2:6">
      <c r="B11042">
        <v>2013</v>
      </c>
      <c r="C11042" t="s">
        <v>121</v>
      </c>
      <c r="D11042" t="s">
        <v>185</v>
      </c>
      <c r="E11042" t="s">
        <v>7</v>
      </c>
      <c r="F11042">
        <v>5.7722749710083008</v>
      </c>
    </row>
    <row r="11043" spans="2:6">
      <c r="B11043">
        <v>2013</v>
      </c>
      <c r="C11043" t="s">
        <v>121</v>
      </c>
      <c r="D11043" t="s">
        <v>185</v>
      </c>
      <c r="E11043" t="s">
        <v>8</v>
      </c>
      <c r="F11043">
        <v>8.5685520172119141</v>
      </c>
    </row>
    <row r="11044" spans="2:6">
      <c r="B11044">
        <v>2013</v>
      </c>
      <c r="C11044" t="s">
        <v>121</v>
      </c>
      <c r="D11044" t="s">
        <v>185</v>
      </c>
      <c r="E11044" t="s">
        <v>9</v>
      </c>
      <c r="F11044">
        <v>0.86821603775024414</v>
      </c>
    </row>
    <row r="11045" spans="2:6">
      <c r="B11045">
        <v>2013</v>
      </c>
      <c r="C11045" t="s">
        <v>121</v>
      </c>
      <c r="D11045" t="s">
        <v>185</v>
      </c>
      <c r="E11045" t="s">
        <v>10</v>
      </c>
      <c r="F11045">
        <v>66.160003662109375</v>
      </c>
    </row>
    <row r="11046" spans="2:6">
      <c r="B11046">
        <v>2013</v>
      </c>
      <c r="C11046" t="s">
        <v>121</v>
      </c>
      <c r="D11046" t="s">
        <v>185</v>
      </c>
      <c r="E11046" t="s">
        <v>11</v>
      </c>
      <c r="F11046">
        <v>0.85914903879165649</v>
      </c>
    </row>
    <row r="11047" spans="2:6">
      <c r="B11047">
        <v>2013</v>
      </c>
      <c r="C11047" t="s">
        <v>121</v>
      </c>
      <c r="D11047" t="s">
        <v>185</v>
      </c>
      <c r="E11047" t="s">
        <v>12</v>
      </c>
      <c r="F11047">
        <v>3.9188601076602936E-2</v>
      </c>
    </row>
    <row r="11048" spans="2:6">
      <c r="B11048">
        <v>2013</v>
      </c>
      <c r="C11048" t="s">
        <v>121</v>
      </c>
      <c r="D11048" t="s">
        <v>185</v>
      </c>
      <c r="E11048" t="s">
        <v>13</v>
      </c>
      <c r="F11048">
        <v>0.63624674081802368</v>
      </c>
    </row>
    <row r="11049" spans="2:6">
      <c r="B11049">
        <v>2013</v>
      </c>
      <c r="C11049" t="s">
        <v>121</v>
      </c>
      <c r="D11049" t="s">
        <v>185</v>
      </c>
      <c r="E11049" t="s">
        <v>14</v>
      </c>
      <c r="F11049">
        <v>0.83862018585205078</v>
      </c>
    </row>
    <row r="11050" spans="2:6">
      <c r="B11050">
        <v>2013</v>
      </c>
      <c r="C11050" t="s">
        <v>121</v>
      </c>
      <c r="D11050" t="s">
        <v>185</v>
      </c>
      <c r="E11050" t="s">
        <v>15</v>
      </c>
      <c r="F11050">
        <v>0.27060955762863159</v>
      </c>
    </row>
    <row r="11051" spans="2:6">
      <c r="B11051">
        <v>2014</v>
      </c>
      <c r="C11051" t="s">
        <v>121</v>
      </c>
      <c r="D11051" t="s">
        <v>185</v>
      </c>
      <c r="E11051" t="s">
        <v>7</v>
      </c>
      <c r="F11051">
        <v>6.2752666473388672</v>
      </c>
    </row>
    <row r="11052" spans="2:6">
      <c r="B11052">
        <v>2014</v>
      </c>
      <c r="C11052" t="s">
        <v>121</v>
      </c>
      <c r="D11052" t="s">
        <v>185</v>
      </c>
      <c r="E11052" t="s">
        <v>8</v>
      </c>
      <c r="F11052">
        <v>8.6021451950073242</v>
      </c>
    </row>
    <row r="11053" spans="2:6">
      <c r="B11053">
        <v>2014</v>
      </c>
      <c r="C11053" t="s">
        <v>121</v>
      </c>
      <c r="D11053" t="s">
        <v>185</v>
      </c>
      <c r="E11053" t="s">
        <v>9</v>
      </c>
      <c r="F11053">
        <v>0.83856743574142456</v>
      </c>
    </row>
    <row r="11054" spans="2:6">
      <c r="B11054">
        <v>2014</v>
      </c>
      <c r="C11054" t="s">
        <v>121</v>
      </c>
      <c r="D11054" t="s">
        <v>185</v>
      </c>
      <c r="E11054" t="s">
        <v>10</v>
      </c>
      <c r="F11054">
        <v>66.379997253417969</v>
      </c>
    </row>
    <row r="11055" spans="2:6">
      <c r="B11055">
        <v>2014</v>
      </c>
      <c r="C11055" t="s">
        <v>121</v>
      </c>
      <c r="D11055" t="s">
        <v>185</v>
      </c>
      <c r="E11055" t="s">
        <v>11</v>
      </c>
      <c r="F11055">
        <v>0.81732064485549927</v>
      </c>
    </row>
    <row r="11056" spans="2:6">
      <c r="B11056">
        <v>2014</v>
      </c>
      <c r="C11056" t="s">
        <v>121</v>
      </c>
      <c r="D11056" t="s">
        <v>185</v>
      </c>
      <c r="E11056" t="s">
        <v>12</v>
      </c>
      <c r="F11056">
        <v>0.10403333604335785</v>
      </c>
    </row>
    <row r="11057" spans="2:6">
      <c r="B11057">
        <v>2014</v>
      </c>
      <c r="C11057" t="s">
        <v>121</v>
      </c>
      <c r="D11057" t="s">
        <v>185</v>
      </c>
      <c r="E11057" t="s">
        <v>13</v>
      </c>
      <c r="F11057">
        <v>0.69880801439285278</v>
      </c>
    </row>
    <row r="11058" spans="2:6">
      <c r="B11058">
        <v>2014</v>
      </c>
      <c r="C11058" t="s">
        <v>121</v>
      </c>
      <c r="D11058" t="s">
        <v>185</v>
      </c>
      <c r="E11058" t="s">
        <v>14</v>
      </c>
      <c r="F11058">
        <v>0.81328392028808594</v>
      </c>
    </row>
    <row r="11059" spans="2:6">
      <c r="B11059">
        <v>2014</v>
      </c>
      <c r="C11059" t="s">
        <v>121</v>
      </c>
      <c r="D11059" t="s">
        <v>185</v>
      </c>
      <c r="E11059" t="s">
        <v>15</v>
      </c>
      <c r="F11059">
        <v>0.33393573760986328</v>
      </c>
    </row>
    <row r="11060" spans="2:6">
      <c r="B11060">
        <v>2015</v>
      </c>
      <c r="C11060" t="s">
        <v>121</v>
      </c>
      <c r="D11060" t="s">
        <v>185</v>
      </c>
      <c r="E11060" t="s">
        <v>7</v>
      </c>
      <c r="F11060">
        <v>5.9241127967834473</v>
      </c>
    </row>
    <row r="11061" spans="2:6">
      <c r="B11061">
        <v>2015</v>
      </c>
      <c r="C11061" t="s">
        <v>121</v>
      </c>
      <c r="D11061" t="s">
        <v>185</v>
      </c>
      <c r="E11061" t="s">
        <v>8</v>
      </c>
      <c r="F11061">
        <v>8.6359262466430664</v>
      </c>
    </row>
    <row r="11062" spans="2:6">
      <c r="B11062">
        <v>2015</v>
      </c>
      <c r="C11062" t="s">
        <v>121</v>
      </c>
      <c r="D11062" t="s">
        <v>185</v>
      </c>
      <c r="E11062" t="s">
        <v>9</v>
      </c>
      <c r="F11062">
        <v>0.82690852880477905</v>
      </c>
    </row>
    <row r="11063" spans="2:6">
      <c r="B11063">
        <v>2015</v>
      </c>
      <c r="C11063" t="s">
        <v>121</v>
      </c>
      <c r="D11063" t="s">
        <v>185</v>
      </c>
      <c r="E11063" t="s">
        <v>10</v>
      </c>
      <c r="F11063">
        <v>66.599998474121094</v>
      </c>
    </row>
    <row r="11064" spans="2:6">
      <c r="B11064">
        <v>2015</v>
      </c>
      <c r="C11064" t="s">
        <v>121</v>
      </c>
      <c r="D11064" t="s">
        <v>185</v>
      </c>
      <c r="E11064" t="s">
        <v>11</v>
      </c>
      <c r="F11064">
        <v>0.80925917625427246</v>
      </c>
    </row>
    <row r="11065" spans="2:6">
      <c r="B11065">
        <v>2015</v>
      </c>
      <c r="C11065" t="s">
        <v>121</v>
      </c>
      <c r="D11065" t="s">
        <v>185</v>
      </c>
      <c r="E11065" t="s">
        <v>12</v>
      </c>
      <c r="F11065">
        <v>7.7173411846160889E-2</v>
      </c>
    </row>
    <row r="11066" spans="2:6">
      <c r="B11066">
        <v>2015</v>
      </c>
      <c r="C11066" t="s">
        <v>121</v>
      </c>
      <c r="D11066" t="s">
        <v>185</v>
      </c>
      <c r="E11066" t="s">
        <v>13</v>
      </c>
      <c r="F11066">
        <v>0.72799837589263916</v>
      </c>
    </row>
    <row r="11067" spans="2:6">
      <c r="B11067">
        <v>2015</v>
      </c>
      <c r="C11067" t="s">
        <v>121</v>
      </c>
      <c r="D11067" t="s">
        <v>185</v>
      </c>
      <c r="E11067" t="s">
        <v>14</v>
      </c>
      <c r="F11067">
        <v>0.79668498039245605</v>
      </c>
    </row>
    <row r="11068" spans="2:6">
      <c r="B11068">
        <v>2015</v>
      </c>
      <c r="C11068" t="s">
        <v>121</v>
      </c>
      <c r="D11068" t="s">
        <v>185</v>
      </c>
      <c r="E11068" t="s">
        <v>15</v>
      </c>
      <c r="F11068">
        <v>0.34559464454650879</v>
      </c>
    </row>
    <row r="11069" spans="2:6">
      <c r="B11069">
        <v>2016</v>
      </c>
      <c r="C11069" t="s">
        <v>121</v>
      </c>
      <c r="D11069" t="s">
        <v>185</v>
      </c>
      <c r="E11069" t="s">
        <v>7</v>
      </c>
      <c r="F11069">
        <v>6.0127396583557129</v>
      </c>
    </row>
    <row r="11070" spans="2:6">
      <c r="B11070">
        <v>2016</v>
      </c>
      <c r="C11070" t="s">
        <v>121</v>
      </c>
      <c r="D11070" t="s">
        <v>185</v>
      </c>
      <c r="E11070" t="s">
        <v>8</v>
      </c>
      <c r="F11070">
        <v>8.6676616668701172</v>
      </c>
    </row>
    <row r="11071" spans="2:6">
      <c r="B11071">
        <v>2016</v>
      </c>
      <c r="C11071" t="s">
        <v>121</v>
      </c>
      <c r="D11071" t="s">
        <v>185</v>
      </c>
      <c r="E11071" t="s">
        <v>9</v>
      </c>
      <c r="F11071">
        <v>0.85270243883132935</v>
      </c>
    </row>
    <row r="11072" spans="2:6">
      <c r="B11072">
        <v>2016</v>
      </c>
      <c r="C11072" t="s">
        <v>121</v>
      </c>
      <c r="D11072" t="s">
        <v>185</v>
      </c>
      <c r="E11072" t="s">
        <v>10</v>
      </c>
      <c r="F11072">
        <v>66.900001525878906</v>
      </c>
    </row>
    <row r="11073" spans="2:6">
      <c r="B11073">
        <v>2016</v>
      </c>
      <c r="C11073" t="s">
        <v>121</v>
      </c>
      <c r="D11073" t="s">
        <v>185</v>
      </c>
      <c r="E11073" t="s">
        <v>11</v>
      </c>
      <c r="F11073">
        <v>0.71653425693511963</v>
      </c>
    </row>
    <row r="11074" spans="2:6">
      <c r="B11074">
        <v>2016</v>
      </c>
      <c r="C11074" t="s">
        <v>121</v>
      </c>
      <c r="D11074" t="s">
        <v>185</v>
      </c>
      <c r="E11074" t="s">
        <v>12</v>
      </c>
      <c r="F11074">
        <v>3.9406701922416687E-2</v>
      </c>
    </row>
    <row r="11075" spans="2:6">
      <c r="B11075">
        <v>2016</v>
      </c>
      <c r="C11075" t="s">
        <v>121</v>
      </c>
      <c r="D11075" t="s">
        <v>185</v>
      </c>
      <c r="E11075" t="s">
        <v>13</v>
      </c>
      <c r="F11075">
        <v>0.7314649224281311</v>
      </c>
    </row>
    <row r="11076" spans="2:6">
      <c r="B11076">
        <v>2016</v>
      </c>
      <c r="C11076" t="s">
        <v>121</v>
      </c>
      <c r="D11076" t="s">
        <v>185</v>
      </c>
      <c r="E11076" t="s">
        <v>14</v>
      </c>
      <c r="F11076">
        <v>0.80512398481369019</v>
      </c>
    </row>
    <row r="11077" spans="2:6">
      <c r="B11077">
        <v>2016</v>
      </c>
      <c r="C11077" t="s">
        <v>121</v>
      </c>
      <c r="D11077" t="s">
        <v>185</v>
      </c>
      <c r="E11077" t="s">
        <v>15</v>
      </c>
      <c r="F11077">
        <v>0.38034728169441223</v>
      </c>
    </row>
    <row r="11078" spans="2:6">
      <c r="B11078">
        <v>2017</v>
      </c>
      <c r="C11078" t="s">
        <v>121</v>
      </c>
      <c r="D11078" t="s">
        <v>185</v>
      </c>
      <c r="E11078" t="s">
        <v>7</v>
      </c>
      <c r="F11078">
        <v>6.4763565063476563</v>
      </c>
    </row>
    <row r="11079" spans="2:6">
      <c r="B11079">
        <v>2017</v>
      </c>
      <c r="C11079" t="s">
        <v>121</v>
      </c>
      <c r="D11079" t="s">
        <v>185</v>
      </c>
      <c r="E11079" t="s">
        <v>8</v>
      </c>
      <c r="F11079">
        <v>8.7001867294311523</v>
      </c>
    </row>
    <row r="11080" spans="2:6">
      <c r="B11080">
        <v>2017</v>
      </c>
      <c r="C11080" t="s">
        <v>121</v>
      </c>
      <c r="D11080" t="s">
        <v>185</v>
      </c>
      <c r="E11080" t="s">
        <v>9</v>
      </c>
      <c r="F11080">
        <v>0.8380436897277832</v>
      </c>
    </row>
    <row r="11081" spans="2:6">
      <c r="B11081">
        <v>2017</v>
      </c>
      <c r="C11081" t="s">
        <v>121</v>
      </c>
      <c r="D11081" t="s">
        <v>185</v>
      </c>
      <c r="E11081" t="s">
        <v>10</v>
      </c>
      <c r="F11081">
        <v>67.199996948242188</v>
      </c>
    </row>
    <row r="11082" spans="2:6">
      <c r="B11082">
        <v>2017</v>
      </c>
      <c r="C11082" t="s">
        <v>121</v>
      </c>
      <c r="D11082" t="s">
        <v>185</v>
      </c>
      <c r="E11082" t="s">
        <v>11</v>
      </c>
      <c r="F11082">
        <v>0.92216277122497559</v>
      </c>
    </row>
    <row r="11083" spans="2:6">
      <c r="B11083">
        <v>2017</v>
      </c>
      <c r="C11083" t="s">
        <v>121</v>
      </c>
      <c r="D11083" t="s">
        <v>185</v>
      </c>
      <c r="E11083" t="s">
        <v>12</v>
      </c>
      <c r="F11083">
        <v>1.0171768255531788E-2</v>
      </c>
    </row>
    <row r="11084" spans="2:6">
      <c r="B11084">
        <v>2017</v>
      </c>
      <c r="C11084" t="s">
        <v>121</v>
      </c>
      <c r="D11084" t="s">
        <v>185</v>
      </c>
      <c r="E11084" t="s">
        <v>13</v>
      </c>
      <c r="F11084">
        <v>0.67296332120895386</v>
      </c>
    </row>
    <row r="11085" spans="2:6">
      <c r="B11085">
        <v>2017</v>
      </c>
      <c r="C11085" t="s">
        <v>121</v>
      </c>
      <c r="D11085" t="s">
        <v>185</v>
      </c>
      <c r="E11085" t="s">
        <v>14</v>
      </c>
      <c r="F11085">
        <v>0.84976416826248169</v>
      </c>
    </row>
    <row r="11086" spans="2:6">
      <c r="B11086">
        <v>2017</v>
      </c>
      <c r="C11086" t="s">
        <v>121</v>
      </c>
      <c r="D11086" t="s">
        <v>185</v>
      </c>
      <c r="E11086" t="s">
        <v>15</v>
      </c>
      <c r="F11086">
        <v>0.30844789743423462</v>
      </c>
    </row>
    <row r="11087" spans="2:6">
      <c r="B11087">
        <v>2018</v>
      </c>
      <c r="C11087" t="s">
        <v>121</v>
      </c>
      <c r="D11087" t="s">
        <v>185</v>
      </c>
      <c r="E11087" t="s">
        <v>7</v>
      </c>
      <c r="F11087">
        <v>5.8189525604248047</v>
      </c>
    </row>
    <row r="11088" spans="2:6">
      <c r="B11088">
        <v>2018</v>
      </c>
      <c r="C11088" t="s">
        <v>121</v>
      </c>
      <c r="D11088" t="s">
        <v>185</v>
      </c>
      <c r="E11088" t="s">
        <v>8</v>
      </c>
      <c r="F11088">
        <v>8.6473217010498047</v>
      </c>
    </row>
    <row r="11089" spans="2:6">
      <c r="B11089">
        <v>2018</v>
      </c>
      <c r="C11089" t="s">
        <v>121</v>
      </c>
      <c r="D11089" t="s">
        <v>185</v>
      </c>
      <c r="E11089" t="s">
        <v>9</v>
      </c>
      <c r="F11089">
        <v>0.85427653789520264</v>
      </c>
    </row>
    <row r="11090" spans="2:6">
      <c r="B11090">
        <v>2018</v>
      </c>
      <c r="C11090" t="s">
        <v>121</v>
      </c>
      <c r="D11090" t="s">
        <v>185</v>
      </c>
      <c r="E11090" t="s">
        <v>10</v>
      </c>
      <c r="F11090">
        <v>67.5</v>
      </c>
    </row>
    <row r="11091" spans="2:6">
      <c r="B11091">
        <v>2018</v>
      </c>
      <c r="C11091" t="s">
        <v>121</v>
      </c>
      <c r="D11091" t="s">
        <v>185</v>
      </c>
      <c r="E11091" t="s">
        <v>11</v>
      </c>
      <c r="F11091">
        <v>0.79705685377120972</v>
      </c>
    </row>
    <row r="11092" spans="2:6">
      <c r="B11092">
        <v>2018</v>
      </c>
      <c r="C11092" t="s">
        <v>121</v>
      </c>
      <c r="D11092" t="s">
        <v>185</v>
      </c>
      <c r="E11092" t="s">
        <v>12</v>
      </c>
      <c r="F11092">
        <v>9.081539697945118E-3</v>
      </c>
    </row>
    <row r="11093" spans="2:6">
      <c r="B11093">
        <v>2018</v>
      </c>
      <c r="C11093" t="s">
        <v>121</v>
      </c>
      <c r="D11093" t="s">
        <v>185</v>
      </c>
      <c r="E11093" t="s">
        <v>13</v>
      </c>
      <c r="F11093">
        <v>0.71282476186752319</v>
      </c>
    </row>
    <row r="11094" spans="2:6">
      <c r="B11094">
        <v>2018</v>
      </c>
      <c r="C11094" t="s">
        <v>121</v>
      </c>
      <c r="D11094" t="s">
        <v>185</v>
      </c>
      <c r="E11094" t="s">
        <v>14</v>
      </c>
      <c r="F11094">
        <v>0.79264932870864868</v>
      </c>
    </row>
    <row r="11095" spans="2:6">
      <c r="B11095">
        <v>2018</v>
      </c>
      <c r="C11095" t="s">
        <v>121</v>
      </c>
      <c r="D11095" t="s">
        <v>185</v>
      </c>
      <c r="E11095" t="s">
        <v>15</v>
      </c>
      <c r="F11095">
        <v>0.40834984183311462</v>
      </c>
    </row>
    <row r="11096" spans="2:6">
      <c r="B11096">
        <v>2019</v>
      </c>
      <c r="C11096" t="s">
        <v>121</v>
      </c>
      <c r="D11096" t="s">
        <v>185</v>
      </c>
      <c r="E11096" t="s">
        <v>7</v>
      </c>
      <c r="F11096">
        <v>6.1125450134277344</v>
      </c>
    </row>
    <row r="11097" spans="2:6">
      <c r="B11097">
        <v>2019</v>
      </c>
      <c r="C11097" t="s">
        <v>121</v>
      </c>
      <c r="D11097" t="s">
        <v>185</v>
      </c>
      <c r="E11097" t="s">
        <v>8</v>
      </c>
      <c r="F11097">
        <v>8.5954694747924805</v>
      </c>
    </row>
    <row r="11098" spans="2:6">
      <c r="B11098">
        <v>2019</v>
      </c>
      <c r="C11098" t="s">
        <v>121</v>
      </c>
      <c r="D11098" t="s">
        <v>185</v>
      </c>
      <c r="E11098" t="s">
        <v>9</v>
      </c>
      <c r="F11098">
        <v>0.87386393547058105</v>
      </c>
    </row>
    <row r="11099" spans="2:6">
      <c r="B11099">
        <v>2019</v>
      </c>
      <c r="C11099" t="s">
        <v>121</v>
      </c>
      <c r="D11099" t="s">
        <v>185</v>
      </c>
      <c r="E11099" t="s">
        <v>10</v>
      </c>
      <c r="F11099">
        <v>67.800003051757813</v>
      </c>
    </row>
    <row r="11100" spans="2:6">
      <c r="B11100">
        <v>2019</v>
      </c>
      <c r="C11100" t="s">
        <v>121</v>
      </c>
      <c r="D11100" t="s">
        <v>185</v>
      </c>
      <c r="E11100" t="s">
        <v>11</v>
      </c>
      <c r="F11100">
        <v>0.88267844915390015</v>
      </c>
    </row>
    <row r="11101" spans="2:6">
      <c r="B11101">
        <v>2019</v>
      </c>
      <c r="C11101" t="s">
        <v>121</v>
      </c>
      <c r="D11101" t="s">
        <v>185</v>
      </c>
      <c r="E11101" t="s">
        <v>12</v>
      </c>
      <c r="F11101">
        <v>2.9247265309095383E-2</v>
      </c>
    </row>
    <row r="11102" spans="2:6">
      <c r="B11102">
        <v>2019</v>
      </c>
      <c r="C11102" t="s">
        <v>121</v>
      </c>
      <c r="D11102" t="s">
        <v>185</v>
      </c>
      <c r="E11102" t="s">
        <v>13</v>
      </c>
      <c r="F11102">
        <v>0.62198173999786377</v>
      </c>
    </row>
    <row r="11103" spans="2:6">
      <c r="B11103">
        <v>2019</v>
      </c>
      <c r="C11103" t="s">
        <v>121</v>
      </c>
      <c r="D11103" t="s">
        <v>185</v>
      </c>
      <c r="E11103" t="s">
        <v>14</v>
      </c>
      <c r="F11103">
        <v>0.83542346954345703</v>
      </c>
    </row>
    <row r="11104" spans="2:6">
      <c r="B11104">
        <v>2019</v>
      </c>
      <c r="C11104" t="s">
        <v>121</v>
      </c>
      <c r="D11104" t="s">
        <v>185</v>
      </c>
      <c r="E11104" t="s">
        <v>15</v>
      </c>
      <c r="F11104">
        <v>0.33701297640800476</v>
      </c>
    </row>
    <row r="11105" spans="2:6">
      <c r="B11105">
        <v>2006</v>
      </c>
      <c r="C11105" t="s">
        <v>122</v>
      </c>
      <c r="D11105" t="s">
        <v>184</v>
      </c>
      <c r="E11105" t="s">
        <v>7</v>
      </c>
      <c r="F11105">
        <v>3.7369518280029297</v>
      </c>
    </row>
    <row r="11106" spans="2:6">
      <c r="B11106">
        <v>2006</v>
      </c>
      <c r="C11106" t="s">
        <v>122</v>
      </c>
      <c r="D11106" t="s">
        <v>184</v>
      </c>
      <c r="E11106" t="s">
        <v>8</v>
      </c>
      <c r="F11106">
        <v>6.887671947479248</v>
      </c>
    </row>
    <row r="11107" spans="2:6">
      <c r="B11107">
        <v>2006</v>
      </c>
      <c r="C11107" t="s">
        <v>122</v>
      </c>
      <c r="D11107" t="s">
        <v>184</v>
      </c>
      <c r="E11107" t="s">
        <v>9</v>
      </c>
      <c r="F11107">
        <v>0.67716550827026367</v>
      </c>
    </row>
    <row r="11108" spans="2:6">
      <c r="B11108">
        <v>2006</v>
      </c>
      <c r="C11108" t="s">
        <v>122</v>
      </c>
      <c r="D11108" t="s">
        <v>184</v>
      </c>
      <c r="E11108" t="s">
        <v>10</v>
      </c>
      <c r="F11108">
        <v>46.360000610351563</v>
      </c>
    </row>
    <row r="11109" spans="2:6">
      <c r="B11109">
        <v>2006</v>
      </c>
      <c r="C11109" t="s">
        <v>122</v>
      </c>
      <c r="D11109" t="s">
        <v>184</v>
      </c>
      <c r="E11109" t="s">
        <v>11</v>
      </c>
      <c r="F11109">
        <v>0.75033634901046753</v>
      </c>
    </row>
    <row r="11110" spans="2:6">
      <c r="B11110">
        <v>2006</v>
      </c>
      <c r="C11110" t="s">
        <v>122</v>
      </c>
      <c r="D11110" t="s">
        <v>184</v>
      </c>
      <c r="E11110" t="s">
        <v>12</v>
      </c>
      <c r="F11110">
        <v>7.6353490352630615E-2</v>
      </c>
    </row>
    <row r="11111" spans="2:6">
      <c r="B11111">
        <v>2006</v>
      </c>
      <c r="C11111" t="s">
        <v>122</v>
      </c>
      <c r="D11111" t="s">
        <v>184</v>
      </c>
      <c r="E11111" t="s">
        <v>13</v>
      </c>
      <c r="F11111">
        <v>0.75497537851333618</v>
      </c>
    </row>
    <row r="11112" spans="2:6">
      <c r="B11112">
        <v>2006</v>
      </c>
      <c r="C11112" t="s">
        <v>122</v>
      </c>
      <c r="D11112" t="s">
        <v>184</v>
      </c>
      <c r="E11112" t="s">
        <v>14</v>
      </c>
      <c r="F11112">
        <v>0.75532430410385132</v>
      </c>
    </row>
    <row r="11113" spans="2:6">
      <c r="B11113">
        <v>2006</v>
      </c>
      <c r="C11113" t="s">
        <v>122</v>
      </c>
      <c r="D11113" t="s">
        <v>184</v>
      </c>
      <c r="E11113" t="s">
        <v>15</v>
      </c>
      <c r="F11113">
        <v>0.17930358648300171</v>
      </c>
    </row>
    <row r="11114" spans="2:6">
      <c r="B11114">
        <v>2007</v>
      </c>
      <c r="C11114" t="s">
        <v>122</v>
      </c>
      <c r="D11114" t="s">
        <v>184</v>
      </c>
      <c r="E11114" t="s">
        <v>7</v>
      </c>
      <c r="F11114">
        <v>4.277402400970459</v>
      </c>
    </row>
    <row r="11115" spans="2:6">
      <c r="B11115">
        <v>2007</v>
      </c>
      <c r="C11115" t="s">
        <v>122</v>
      </c>
      <c r="D11115" t="s">
        <v>184</v>
      </c>
      <c r="E11115" t="s">
        <v>8</v>
      </c>
      <c r="F11115">
        <v>6.8806633949279785</v>
      </c>
    </row>
    <row r="11116" spans="2:6">
      <c r="B11116">
        <v>2007</v>
      </c>
      <c r="C11116" t="s">
        <v>122</v>
      </c>
      <c r="D11116" t="s">
        <v>184</v>
      </c>
      <c r="E11116" t="s">
        <v>9</v>
      </c>
      <c r="F11116">
        <v>0.72571283578872681</v>
      </c>
    </row>
    <row r="11117" spans="2:6">
      <c r="B11117">
        <v>2007</v>
      </c>
      <c r="C11117" t="s">
        <v>122</v>
      </c>
      <c r="D11117" t="s">
        <v>184</v>
      </c>
      <c r="E11117" t="s">
        <v>10</v>
      </c>
      <c r="F11117">
        <v>47.119998931884766</v>
      </c>
    </row>
    <row r="11118" spans="2:6">
      <c r="B11118">
        <v>2007</v>
      </c>
      <c r="C11118" t="s">
        <v>122</v>
      </c>
      <c r="D11118" t="s">
        <v>184</v>
      </c>
      <c r="E11118" t="s">
        <v>11</v>
      </c>
      <c r="F11118">
        <v>0.58406716585159302</v>
      </c>
    </row>
    <row r="11119" spans="2:6">
      <c r="B11119">
        <v>2007</v>
      </c>
      <c r="C11119" t="s">
        <v>122</v>
      </c>
      <c r="D11119" t="s">
        <v>184</v>
      </c>
      <c r="E11119" t="s">
        <v>12</v>
      </c>
      <c r="F11119">
        <v>-5.5892180651426315E-2</v>
      </c>
    </row>
    <row r="11120" spans="2:6">
      <c r="B11120">
        <v>2007</v>
      </c>
      <c r="C11120" t="s">
        <v>122</v>
      </c>
      <c r="D11120" t="s">
        <v>184</v>
      </c>
      <c r="E11120" t="s">
        <v>13</v>
      </c>
      <c r="F11120">
        <v>0.74756360054016113</v>
      </c>
    </row>
    <row r="11121" spans="2:6">
      <c r="B11121">
        <v>2007</v>
      </c>
      <c r="C11121" t="s">
        <v>122</v>
      </c>
      <c r="D11121" t="s">
        <v>184</v>
      </c>
      <c r="E11121" t="s">
        <v>14</v>
      </c>
      <c r="F11121">
        <v>0.70561718940734863</v>
      </c>
    </row>
    <row r="11122" spans="2:6">
      <c r="B11122">
        <v>2007</v>
      </c>
      <c r="C11122" t="s">
        <v>122</v>
      </c>
      <c r="D11122" t="s">
        <v>184</v>
      </c>
      <c r="E11122" t="s">
        <v>15</v>
      </c>
      <c r="F11122">
        <v>0.15848231315612793</v>
      </c>
    </row>
    <row r="11123" spans="2:6">
      <c r="B11123">
        <v>2008</v>
      </c>
      <c r="C11123" t="s">
        <v>122</v>
      </c>
      <c r="D11123" t="s">
        <v>184</v>
      </c>
      <c r="E11123" t="s">
        <v>7</v>
      </c>
      <c r="F11123">
        <v>4.2356572151184082</v>
      </c>
    </row>
    <row r="11124" spans="2:6">
      <c r="B11124">
        <v>2008</v>
      </c>
      <c r="C11124" t="s">
        <v>122</v>
      </c>
      <c r="D11124" t="s">
        <v>184</v>
      </c>
      <c r="E11124" t="s">
        <v>8</v>
      </c>
      <c r="F11124">
        <v>6.9177474975585938</v>
      </c>
    </row>
    <row r="11125" spans="2:6">
      <c r="B11125">
        <v>2008</v>
      </c>
      <c r="C11125" t="s">
        <v>122</v>
      </c>
      <c r="D11125" t="s">
        <v>184</v>
      </c>
      <c r="E11125" t="s">
        <v>9</v>
      </c>
      <c r="F11125">
        <v>0.60663866996765137</v>
      </c>
    </row>
    <row r="11126" spans="2:6">
      <c r="B11126">
        <v>2008</v>
      </c>
      <c r="C11126" t="s">
        <v>122</v>
      </c>
      <c r="D11126" t="s">
        <v>184</v>
      </c>
      <c r="E11126" t="s">
        <v>10</v>
      </c>
      <c r="F11126">
        <v>47.880001068115234</v>
      </c>
    </row>
    <row r="11127" spans="2:6">
      <c r="B11127">
        <v>2008</v>
      </c>
      <c r="C11127" t="s">
        <v>122</v>
      </c>
      <c r="D11127" t="s">
        <v>184</v>
      </c>
      <c r="E11127" t="s">
        <v>11</v>
      </c>
      <c r="F11127">
        <v>0.64872807264328003</v>
      </c>
    </row>
    <row r="11128" spans="2:6">
      <c r="B11128">
        <v>2008</v>
      </c>
      <c r="C11128" t="s">
        <v>122</v>
      </c>
      <c r="D11128" t="s">
        <v>184</v>
      </c>
      <c r="E11128" t="s">
        <v>12</v>
      </c>
      <c r="F11128">
        <v>-5.4814659059047699E-2</v>
      </c>
    </row>
    <row r="11129" spans="2:6">
      <c r="B11129">
        <v>2008</v>
      </c>
      <c r="C11129" t="s">
        <v>122</v>
      </c>
      <c r="D11129" t="s">
        <v>184</v>
      </c>
      <c r="E11129" t="s">
        <v>13</v>
      </c>
      <c r="F11129">
        <v>0.74875259399414063</v>
      </c>
    </row>
    <row r="11130" spans="2:6">
      <c r="B11130">
        <v>2008</v>
      </c>
      <c r="C11130" t="s">
        <v>122</v>
      </c>
      <c r="D11130" t="s">
        <v>184</v>
      </c>
      <c r="E11130" t="s">
        <v>14</v>
      </c>
      <c r="F11130">
        <v>0.64985185861587524</v>
      </c>
    </row>
    <row r="11131" spans="2:6">
      <c r="B11131">
        <v>2008</v>
      </c>
      <c r="C11131" t="s">
        <v>122</v>
      </c>
      <c r="D11131" t="s">
        <v>184</v>
      </c>
      <c r="E11131" t="s">
        <v>15</v>
      </c>
      <c r="F11131">
        <v>0.19388248026371002</v>
      </c>
    </row>
    <row r="11132" spans="2:6">
      <c r="B11132">
        <v>2009</v>
      </c>
      <c r="C11132" t="s">
        <v>122</v>
      </c>
      <c r="D11132" t="s">
        <v>184</v>
      </c>
      <c r="E11132" t="s">
        <v>7</v>
      </c>
      <c r="F11132">
        <v>4.2671699523925781</v>
      </c>
    </row>
    <row r="11133" spans="2:6">
      <c r="B11133">
        <v>2009</v>
      </c>
      <c r="C11133" t="s">
        <v>122</v>
      </c>
      <c r="D11133" t="s">
        <v>184</v>
      </c>
      <c r="E11133" t="s">
        <v>8</v>
      </c>
      <c r="F11133">
        <v>6.8980627059936523</v>
      </c>
    </row>
    <row r="11134" spans="2:6">
      <c r="B11134">
        <v>2009</v>
      </c>
      <c r="C11134" t="s">
        <v>122</v>
      </c>
      <c r="D11134" t="s">
        <v>184</v>
      </c>
      <c r="E11134" t="s">
        <v>9</v>
      </c>
      <c r="F11134">
        <v>0.77126514911651611</v>
      </c>
    </row>
    <row r="11135" spans="2:6">
      <c r="B11135">
        <v>2009</v>
      </c>
      <c r="C11135" t="s">
        <v>122</v>
      </c>
      <c r="D11135" t="s">
        <v>184</v>
      </c>
      <c r="E11135" t="s">
        <v>10</v>
      </c>
      <c r="F11135">
        <v>48.639999389648438</v>
      </c>
    </row>
    <row r="11136" spans="2:6">
      <c r="B11136">
        <v>2009</v>
      </c>
      <c r="C11136" t="s">
        <v>122</v>
      </c>
      <c r="D11136" t="s">
        <v>184</v>
      </c>
      <c r="E11136" t="s">
        <v>11</v>
      </c>
      <c r="F11136">
        <v>0.88004213571548462</v>
      </c>
    </row>
    <row r="11137" spans="2:6">
      <c r="B11137">
        <v>2009</v>
      </c>
      <c r="C11137" t="s">
        <v>122</v>
      </c>
      <c r="D11137" t="s">
        <v>184</v>
      </c>
      <c r="E11137" t="s">
        <v>12</v>
      </c>
      <c r="F11137">
        <v>-8.5992040112614632E-3</v>
      </c>
    </row>
    <row r="11138" spans="2:6">
      <c r="B11138">
        <v>2009</v>
      </c>
      <c r="C11138" t="s">
        <v>122</v>
      </c>
      <c r="D11138" t="s">
        <v>184</v>
      </c>
      <c r="E11138" t="s">
        <v>13</v>
      </c>
      <c r="F11138">
        <v>0.48315298557281494</v>
      </c>
    </row>
    <row r="11139" spans="2:6">
      <c r="B11139">
        <v>2009</v>
      </c>
      <c r="C11139" t="s">
        <v>122</v>
      </c>
      <c r="D11139" t="s">
        <v>184</v>
      </c>
      <c r="E11139" t="s">
        <v>14</v>
      </c>
      <c r="F11139">
        <v>0.73027122020721436</v>
      </c>
    </row>
    <row r="11140" spans="2:6">
      <c r="B11140">
        <v>2009</v>
      </c>
      <c r="C11140" t="s">
        <v>122</v>
      </c>
      <c r="D11140" t="s">
        <v>184</v>
      </c>
      <c r="E11140" t="s">
        <v>15</v>
      </c>
      <c r="F11140">
        <v>0.11524847894906998</v>
      </c>
    </row>
    <row r="11141" spans="2:6">
      <c r="B11141">
        <v>2010</v>
      </c>
      <c r="C11141" t="s">
        <v>122</v>
      </c>
      <c r="D11141" t="s">
        <v>184</v>
      </c>
      <c r="E11141" t="s">
        <v>7</v>
      </c>
      <c r="F11141">
        <v>4.1010160446166992</v>
      </c>
    </row>
    <row r="11142" spans="2:6">
      <c r="B11142">
        <v>2010</v>
      </c>
      <c r="C11142" t="s">
        <v>122</v>
      </c>
      <c r="D11142" t="s">
        <v>184</v>
      </c>
      <c r="E11142" t="s">
        <v>8</v>
      </c>
      <c r="F11142">
        <v>6.9405207633972168</v>
      </c>
    </row>
    <row r="11143" spans="2:6">
      <c r="B11143">
        <v>2010</v>
      </c>
      <c r="C11143" t="s">
        <v>122</v>
      </c>
      <c r="D11143" t="s">
        <v>184</v>
      </c>
      <c r="E11143" t="s">
        <v>9</v>
      </c>
      <c r="F11143">
        <v>0.65496498346328735</v>
      </c>
    </row>
    <row r="11144" spans="2:6">
      <c r="B11144">
        <v>2010</v>
      </c>
      <c r="C11144" t="s">
        <v>122</v>
      </c>
      <c r="D11144" t="s">
        <v>184</v>
      </c>
      <c r="E11144" t="s">
        <v>10</v>
      </c>
      <c r="F11144">
        <v>49.400001525878906</v>
      </c>
    </row>
    <row r="11145" spans="2:6">
      <c r="B11145">
        <v>2010</v>
      </c>
      <c r="C11145" t="s">
        <v>122</v>
      </c>
      <c r="D11145" t="s">
        <v>184</v>
      </c>
      <c r="E11145" t="s">
        <v>11</v>
      </c>
      <c r="F11145">
        <v>0.81721973419189453</v>
      </c>
    </row>
    <row r="11146" spans="2:6">
      <c r="B11146">
        <v>2010</v>
      </c>
      <c r="C11146" t="s">
        <v>122</v>
      </c>
      <c r="D11146" t="s">
        <v>184</v>
      </c>
      <c r="E11146" t="s">
        <v>12</v>
      </c>
      <c r="F11146">
        <v>-2.3038242012262344E-2</v>
      </c>
    </row>
    <row r="11147" spans="2:6">
      <c r="B11147">
        <v>2010</v>
      </c>
      <c r="C11147" t="s">
        <v>122</v>
      </c>
      <c r="D11147" t="s">
        <v>184</v>
      </c>
      <c r="E11147" t="s">
        <v>13</v>
      </c>
      <c r="F11147">
        <v>0.5289803147315979</v>
      </c>
    </row>
    <row r="11148" spans="2:6">
      <c r="B11148">
        <v>2010</v>
      </c>
      <c r="C11148" t="s">
        <v>122</v>
      </c>
      <c r="D11148" t="s">
        <v>184</v>
      </c>
      <c r="E11148" t="s">
        <v>14</v>
      </c>
      <c r="F11148">
        <v>0.74547994136810303</v>
      </c>
    </row>
    <row r="11149" spans="2:6">
      <c r="B11149">
        <v>2010</v>
      </c>
      <c r="C11149" t="s">
        <v>122</v>
      </c>
      <c r="D11149" t="s">
        <v>184</v>
      </c>
      <c r="E11149" t="s">
        <v>15</v>
      </c>
      <c r="F11149">
        <v>0.12583780288696289</v>
      </c>
    </row>
    <row r="11150" spans="2:6">
      <c r="B11150">
        <v>2011</v>
      </c>
      <c r="C11150" t="s">
        <v>122</v>
      </c>
      <c r="D11150" t="s">
        <v>184</v>
      </c>
      <c r="E11150" t="s">
        <v>7</v>
      </c>
      <c r="F11150">
        <v>4.5558295249938965</v>
      </c>
    </row>
    <row r="11151" spans="2:6">
      <c r="B11151">
        <v>2011</v>
      </c>
      <c r="C11151" t="s">
        <v>122</v>
      </c>
      <c r="D11151" t="s">
        <v>184</v>
      </c>
      <c r="E11151" t="s">
        <v>8</v>
      </c>
      <c r="F11151">
        <v>6.9251294136047363</v>
      </c>
    </row>
    <row r="11152" spans="2:6">
      <c r="B11152">
        <v>2011</v>
      </c>
      <c r="C11152" t="s">
        <v>122</v>
      </c>
      <c r="D11152" t="s">
        <v>184</v>
      </c>
      <c r="E11152" t="s">
        <v>9</v>
      </c>
      <c r="F11152">
        <v>0.81766068935394287</v>
      </c>
    </row>
    <row r="11153" spans="2:6">
      <c r="B11153">
        <v>2011</v>
      </c>
      <c r="C11153" t="s">
        <v>122</v>
      </c>
      <c r="D11153" t="s">
        <v>184</v>
      </c>
      <c r="E11153" t="s">
        <v>10</v>
      </c>
      <c r="F11153">
        <v>49.919998168945313</v>
      </c>
    </row>
    <row r="11154" spans="2:6">
      <c r="B11154">
        <v>2011</v>
      </c>
      <c r="C11154" t="s">
        <v>122</v>
      </c>
      <c r="D11154" t="s">
        <v>184</v>
      </c>
      <c r="E11154" t="s">
        <v>11</v>
      </c>
      <c r="F11154">
        <v>0.77951526641845703</v>
      </c>
    </row>
    <row r="11155" spans="2:6">
      <c r="B11155">
        <v>2011</v>
      </c>
      <c r="C11155" t="s">
        <v>122</v>
      </c>
      <c r="D11155" t="s">
        <v>184</v>
      </c>
      <c r="E11155" t="s">
        <v>12</v>
      </c>
      <c r="F11155">
        <v>-5.5357635021209717E-2</v>
      </c>
    </row>
    <row r="11156" spans="2:6">
      <c r="B11156">
        <v>2011</v>
      </c>
      <c r="C11156" t="s">
        <v>122</v>
      </c>
      <c r="D11156" t="s">
        <v>184</v>
      </c>
      <c r="E11156" t="s">
        <v>13</v>
      </c>
      <c r="F11156">
        <v>0.54909336566925049</v>
      </c>
    </row>
    <row r="11157" spans="2:6">
      <c r="B11157">
        <v>2011</v>
      </c>
      <c r="C11157" t="s">
        <v>122</v>
      </c>
      <c r="D11157" t="s">
        <v>184</v>
      </c>
      <c r="E11157" t="s">
        <v>14</v>
      </c>
      <c r="F11157">
        <v>0.70049363374710083</v>
      </c>
    </row>
    <row r="11158" spans="2:6">
      <c r="B11158">
        <v>2011</v>
      </c>
      <c r="C11158" t="s">
        <v>122</v>
      </c>
      <c r="D11158" t="s">
        <v>184</v>
      </c>
      <c r="E11158" t="s">
        <v>15</v>
      </c>
      <c r="F11158">
        <v>0.16615444421768188</v>
      </c>
    </row>
    <row r="11159" spans="2:6">
      <c r="B11159">
        <v>2012</v>
      </c>
      <c r="C11159" t="s">
        <v>122</v>
      </c>
      <c r="D11159" t="s">
        <v>184</v>
      </c>
      <c r="E11159" t="s">
        <v>7</v>
      </c>
      <c r="F11159">
        <v>3.7980883121490479</v>
      </c>
    </row>
    <row r="11160" spans="2:6">
      <c r="B11160">
        <v>2012</v>
      </c>
      <c r="C11160" t="s">
        <v>122</v>
      </c>
      <c r="D11160" t="s">
        <v>184</v>
      </c>
      <c r="E11160" t="s">
        <v>8</v>
      </c>
      <c r="F11160">
        <v>6.9868912696838379</v>
      </c>
    </row>
    <row r="11161" spans="2:6">
      <c r="B11161">
        <v>2012</v>
      </c>
      <c r="C11161" t="s">
        <v>122</v>
      </c>
      <c r="D11161" t="s">
        <v>184</v>
      </c>
      <c r="E11161" t="s">
        <v>9</v>
      </c>
      <c r="F11161">
        <v>0.70010757446289063</v>
      </c>
    </row>
    <row r="11162" spans="2:6">
      <c r="B11162">
        <v>2012</v>
      </c>
      <c r="C11162" t="s">
        <v>122</v>
      </c>
      <c r="D11162" t="s">
        <v>184</v>
      </c>
      <c r="E11162" t="s">
        <v>10</v>
      </c>
      <c r="F11162">
        <v>50.439998626708984</v>
      </c>
    </row>
    <row r="11163" spans="2:6">
      <c r="B11163">
        <v>2012</v>
      </c>
      <c r="C11163" t="s">
        <v>122</v>
      </c>
      <c r="D11163" t="s">
        <v>184</v>
      </c>
      <c r="E11163" t="s">
        <v>11</v>
      </c>
      <c r="F11163">
        <v>0.73443090915679932</v>
      </c>
    </row>
    <row r="11164" spans="2:6">
      <c r="B11164">
        <v>2012</v>
      </c>
      <c r="C11164" t="s">
        <v>122</v>
      </c>
      <c r="D11164" t="s">
        <v>184</v>
      </c>
      <c r="E11164" t="s">
        <v>12</v>
      </c>
      <c r="F11164">
        <v>-6.3501231372356415E-2</v>
      </c>
    </row>
    <row r="11165" spans="2:6">
      <c r="B11165">
        <v>2012</v>
      </c>
      <c r="C11165" t="s">
        <v>122</v>
      </c>
      <c r="D11165" t="s">
        <v>184</v>
      </c>
      <c r="E11165" t="s">
        <v>13</v>
      </c>
      <c r="F11165">
        <v>0.77734088897705078</v>
      </c>
    </row>
    <row r="11166" spans="2:6">
      <c r="B11166">
        <v>2012</v>
      </c>
      <c r="C11166" t="s">
        <v>122</v>
      </c>
      <c r="D11166" t="s">
        <v>184</v>
      </c>
      <c r="E11166" t="s">
        <v>14</v>
      </c>
      <c r="F11166">
        <v>0.60254466533660889</v>
      </c>
    </row>
    <row r="11167" spans="2:6">
      <c r="B11167">
        <v>2012</v>
      </c>
      <c r="C11167" t="s">
        <v>122</v>
      </c>
      <c r="D11167" t="s">
        <v>184</v>
      </c>
      <c r="E11167" t="s">
        <v>15</v>
      </c>
      <c r="F11167">
        <v>0.14155304431915283</v>
      </c>
    </row>
    <row r="11168" spans="2:6">
      <c r="B11168">
        <v>2013</v>
      </c>
      <c r="C11168" t="s">
        <v>122</v>
      </c>
      <c r="D11168" t="s">
        <v>184</v>
      </c>
      <c r="E11168" t="s">
        <v>7</v>
      </c>
      <c r="F11168">
        <v>3.71632981300354</v>
      </c>
    </row>
    <row r="11169" spans="2:6">
      <c r="B11169">
        <v>2013</v>
      </c>
      <c r="C11169" t="s">
        <v>122</v>
      </c>
      <c r="D11169" t="s">
        <v>184</v>
      </c>
      <c r="E11169" t="s">
        <v>8</v>
      </c>
      <c r="F11169">
        <v>7.0019826889038086</v>
      </c>
    </row>
    <row r="11170" spans="2:6">
      <c r="B11170">
        <v>2013</v>
      </c>
      <c r="C11170" t="s">
        <v>122</v>
      </c>
      <c r="D11170" t="s">
        <v>184</v>
      </c>
      <c r="E11170" t="s">
        <v>9</v>
      </c>
      <c r="F11170">
        <v>0.69581359624862671</v>
      </c>
    </row>
    <row r="11171" spans="2:6">
      <c r="B11171">
        <v>2013</v>
      </c>
      <c r="C11171" t="s">
        <v>122</v>
      </c>
      <c r="D11171" t="s">
        <v>184</v>
      </c>
      <c r="E11171" t="s">
        <v>10</v>
      </c>
      <c r="F11171">
        <v>50.959999084472656</v>
      </c>
    </row>
    <row r="11172" spans="2:6">
      <c r="B11172">
        <v>2013</v>
      </c>
      <c r="C11172" t="s">
        <v>122</v>
      </c>
      <c r="D11172" t="s">
        <v>184</v>
      </c>
      <c r="E11172" t="s">
        <v>11</v>
      </c>
      <c r="F11172">
        <v>0.82538706064224243</v>
      </c>
    </row>
    <row r="11173" spans="2:6">
      <c r="B11173">
        <v>2013</v>
      </c>
      <c r="C11173" t="s">
        <v>122</v>
      </c>
      <c r="D11173" t="s">
        <v>184</v>
      </c>
      <c r="E11173" t="s">
        <v>12</v>
      </c>
      <c r="F11173">
        <v>-7.7426500618457794E-2</v>
      </c>
    </row>
    <row r="11174" spans="2:6">
      <c r="B11174">
        <v>2013</v>
      </c>
      <c r="C11174" t="s">
        <v>122</v>
      </c>
      <c r="D11174" t="s">
        <v>184</v>
      </c>
      <c r="E11174" t="s">
        <v>13</v>
      </c>
      <c r="F11174">
        <v>0.71096342802047729</v>
      </c>
    </row>
    <row r="11175" spans="2:6">
      <c r="B11175">
        <v>2013</v>
      </c>
      <c r="C11175" t="s">
        <v>122</v>
      </c>
      <c r="D11175" t="s">
        <v>184</v>
      </c>
      <c r="E11175" t="s">
        <v>14</v>
      </c>
      <c r="F11175">
        <v>0.65020036697387695</v>
      </c>
    </row>
    <row r="11176" spans="2:6">
      <c r="B11176">
        <v>2013</v>
      </c>
      <c r="C11176" t="s">
        <v>122</v>
      </c>
      <c r="D11176" t="s">
        <v>184</v>
      </c>
      <c r="E11176" t="s">
        <v>15</v>
      </c>
      <c r="F11176">
        <v>0.20813019573688507</v>
      </c>
    </row>
    <row r="11177" spans="2:6">
      <c r="B11177">
        <v>2014</v>
      </c>
      <c r="C11177" t="s">
        <v>122</v>
      </c>
      <c r="D11177" t="s">
        <v>184</v>
      </c>
      <c r="E11177" t="s">
        <v>7</v>
      </c>
      <c r="F11177">
        <v>4.180943489074707</v>
      </c>
    </row>
    <row r="11178" spans="2:6">
      <c r="B11178">
        <v>2014</v>
      </c>
      <c r="C11178" t="s">
        <v>122</v>
      </c>
      <c r="D11178" t="s">
        <v>184</v>
      </c>
      <c r="E11178" t="s">
        <v>8</v>
      </c>
      <c r="F11178">
        <v>7.0265631675720215</v>
      </c>
    </row>
    <row r="11179" spans="2:6">
      <c r="B11179">
        <v>2014</v>
      </c>
      <c r="C11179" t="s">
        <v>122</v>
      </c>
      <c r="D11179" t="s">
        <v>184</v>
      </c>
      <c r="E11179" t="s">
        <v>9</v>
      </c>
      <c r="F11179">
        <v>0.75253385305404663</v>
      </c>
    </row>
    <row r="11180" spans="2:6">
      <c r="B11180">
        <v>2014</v>
      </c>
      <c r="C11180" t="s">
        <v>122</v>
      </c>
      <c r="D11180" t="s">
        <v>184</v>
      </c>
      <c r="E11180" t="s">
        <v>10</v>
      </c>
      <c r="F11180">
        <v>51.479999542236328</v>
      </c>
    </row>
    <row r="11181" spans="2:6">
      <c r="B11181">
        <v>2014</v>
      </c>
      <c r="C11181" t="s">
        <v>122</v>
      </c>
      <c r="D11181" t="s">
        <v>184</v>
      </c>
      <c r="E11181" t="s">
        <v>11</v>
      </c>
      <c r="F11181">
        <v>0.68763428926467896</v>
      </c>
    </row>
    <row r="11182" spans="2:6">
      <c r="B11182">
        <v>2014</v>
      </c>
      <c r="C11182" t="s">
        <v>122</v>
      </c>
      <c r="D11182" t="s">
        <v>184</v>
      </c>
      <c r="E11182" t="s">
        <v>12</v>
      </c>
      <c r="F11182">
        <v>-4.6316921710968018E-2</v>
      </c>
    </row>
    <row r="11183" spans="2:6">
      <c r="B11183">
        <v>2014</v>
      </c>
      <c r="C11183" t="s">
        <v>122</v>
      </c>
      <c r="D11183" t="s">
        <v>184</v>
      </c>
      <c r="E11183" t="s">
        <v>13</v>
      </c>
      <c r="F11183">
        <v>0.60472846031188965</v>
      </c>
    </row>
    <row r="11184" spans="2:6">
      <c r="B11184">
        <v>2014</v>
      </c>
      <c r="C11184" t="s">
        <v>122</v>
      </c>
      <c r="D11184" t="s">
        <v>184</v>
      </c>
      <c r="E11184" t="s">
        <v>14</v>
      </c>
      <c r="F11184">
        <v>0.6776120662689209</v>
      </c>
    </row>
    <row r="11185" spans="2:6">
      <c r="B11185">
        <v>2014</v>
      </c>
      <c r="C11185" t="s">
        <v>122</v>
      </c>
      <c r="D11185" t="s">
        <v>184</v>
      </c>
      <c r="E11185" t="s">
        <v>15</v>
      </c>
      <c r="F11185">
        <v>0.20466127991676331</v>
      </c>
    </row>
    <row r="11186" spans="2:6">
      <c r="B11186">
        <v>2015</v>
      </c>
      <c r="C11186" t="s">
        <v>122</v>
      </c>
      <c r="D11186" t="s">
        <v>184</v>
      </c>
      <c r="E11186" t="s">
        <v>7</v>
      </c>
      <c r="F11186">
        <v>3.6714537143707275</v>
      </c>
    </row>
    <row r="11187" spans="2:6">
      <c r="B11187">
        <v>2015</v>
      </c>
      <c r="C11187" t="s">
        <v>122</v>
      </c>
      <c r="D11187" t="s">
        <v>184</v>
      </c>
      <c r="E11187" t="s">
        <v>8</v>
      </c>
      <c r="F11187">
        <v>7.0304980278015137</v>
      </c>
    </row>
    <row r="11188" spans="2:6">
      <c r="B11188">
        <v>2015</v>
      </c>
      <c r="C11188" t="s">
        <v>122</v>
      </c>
      <c r="D11188" t="s">
        <v>184</v>
      </c>
      <c r="E11188" t="s">
        <v>9</v>
      </c>
      <c r="F11188">
        <v>0.71301960945129395</v>
      </c>
    </row>
    <row r="11189" spans="2:6">
      <c r="B11189">
        <v>2015</v>
      </c>
      <c r="C11189" t="s">
        <v>122</v>
      </c>
      <c r="D11189" t="s">
        <v>184</v>
      </c>
      <c r="E11189" t="s">
        <v>10</v>
      </c>
      <c r="F11189">
        <v>52</v>
      </c>
    </row>
    <row r="11190" spans="2:6">
      <c r="B11190">
        <v>2015</v>
      </c>
      <c r="C11190" t="s">
        <v>122</v>
      </c>
      <c r="D11190" t="s">
        <v>184</v>
      </c>
      <c r="E11190" t="s">
        <v>11</v>
      </c>
      <c r="F11190">
        <v>0.72812831401824951</v>
      </c>
    </row>
    <row r="11191" spans="2:6">
      <c r="B11191">
        <v>2015</v>
      </c>
      <c r="C11191" t="s">
        <v>122</v>
      </c>
      <c r="D11191" t="s">
        <v>184</v>
      </c>
      <c r="E11191" t="s">
        <v>12</v>
      </c>
      <c r="F11191">
        <v>-3.2140839844942093E-2</v>
      </c>
    </row>
    <row r="11192" spans="2:6">
      <c r="B11192">
        <v>2015</v>
      </c>
      <c r="C11192" t="s">
        <v>122</v>
      </c>
      <c r="D11192" t="s">
        <v>184</v>
      </c>
      <c r="E11192" t="s">
        <v>13</v>
      </c>
      <c r="F11192">
        <v>0.70254969596862793</v>
      </c>
    </row>
    <row r="11193" spans="2:6">
      <c r="B11193">
        <v>2015</v>
      </c>
      <c r="C11193" t="s">
        <v>122</v>
      </c>
      <c r="D11193" t="s">
        <v>184</v>
      </c>
      <c r="E11193" t="s">
        <v>14</v>
      </c>
      <c r="F11193">
        <v>0.6818726658821106</v>
      </c>
    </row>
    <row r="11194" spans="2:6">
      <c r="B11194">
        <v>2015</v>
      </c>
      <c r="C11194" t="s">
        <v>122</v>
      </c>
      <c r="D11194" t="s">
        <v>184</v>
      </c>
      <c r="E11194" t="s">
        <v>15</v>
      </c>
      <c r="F11194">
        <v>0.21842257678508759</v>
      </c>
    </row>
    <row r="11195" spans="2:6">
      <c r="B11195">
        <v>2016</v>
      </c>
      <c r="C11195" t="s">
        <v>122</v>
      </c>
      <c r="D11195" t="s">
        <v>184</v>
      </c>
      <c r="E11195" t="s">
        <v>7</v>
      </c>
      <c r="F11195">
        <v>4.2346458435058594</v>
      </c>
    </row>
    <row r="11196" spans="2:6">
      <c r="B11196">
        <v>2016</v>
      </c>
      <c r="C11196" t="s">
        <v>122</v>
      </c>
      <c r="D11196" t="s">
        <v>184</v>
      </c>
      <c r="E11196" t="s">
        <v>8</v>
      </c>
      <c r="F11196">
        <v>7.0472240447998047</v>
      </c>
    </row>
    <row r="11197" spans="2:6">
      <c r="B11197">
        <v>2016</v>
      </c>
      <c r="C11197" t="s">
        <v>122</v>
      </c>
      <c r="D11197" t="s">
        <v>184</v>
      </c>
      <c r="E11197" t="s">
        <v>9</v>
      </c>
      <c r="F11197">
        <v>0.68282824754714966</v>
      </c>
    </row>
    <row r="11198" spans="2:6">
      <c r="B11198">
        <v>2016</v>
      </c>
      <c r="C11198" t="s">
        <v>122</v>
      </c>
      <c r="D11198" t="s">
        <v>184</v>
      </c>
      <c r="E11198" t="s">
        <v>10</v>
      </c>
      <c r="F11198">
        <v>52.5</v>
      </c>
    </row>
    <row r="11199" spans="2:6">
      <c r="B11199">
        <v>2016</v>
      </c>
      <c r="C11199" t="s">
        <v>122</v>
      </c>
      <c r="D11199" t="s">
        <v>184</v>
      </c>
      <c r="E11199" t="s">
        <v>11</v>
      </c>
      <c r="F11199">
        <v>0.7019273042678833</v>
      </c>
    </row>
    <row r="11200" spans="2:6">
      <c r="B11200">
        <v>2016</v>
      </c>
      <c r="C11200" t="s">
        <v>122</v>
      </c>
      <c r="D11200" t="s">
        <v>184</v>
      </c>
      <c r="E11200" t="s">
        <v>12</v>
      </c>
      <c r="F11200">
        <v>-1.5741674229502678E-2</v>
      </c>
    </row>
    <row r="11201" spans="2:6">
      <c r="B11201">
        <v>2016</v>
      </c>
      <c r="C11201" t="s">
        <v>122</v>
      </c>
      <c r="D11201" t="s">
        <v>184</v>
      </c>
      <c r="E11201" t="s">
        <v>13</v>
      </c>
      <c r="F11201">
        <v>0.81449389457702637</v>
      </c>
    </row>
    <row r="11202" spans="2:6">
      <c r="B11202">
        <v>2016</v>
      </c>
      <c r="C11202" t="s">
        <v>122</v>
      </c>
      <c r="D11202" t="s">
        <v>184</v>
      </c>
      <c r="E11202" t="s">
        <v>14</v>
      </c>
      <c r="F11202">
        <v>0.67485892772674561</v>
      </c>
    </row>
    <row r="11203" spans="2:6">
      <c r="B11203">
        <v>2016</v>
      </c>
      <c r="C11203" t="s">
        <v>122</v>
      </c>
      <c r="D11203" t="s">
        <v>184</v>
      </c>
      <c r="E11203" t="s">
        <v>15</v>
      </c>
      <c r="F11203">
        <v>0.32544195652008057</v>
      </c>
    </row>
    <row r="11204" spans="2:6">
      <c r="B11204">
        <v>2017</v>
      </c>
      <c r="C11204" t="s">
        <v>122</v>
      </c>
      <c r="D11204" t="s">
        <v>184</v>
      </c>
      <c r="E11204" t="s">
        <v>7</v>
      </c>
      <c r="F11204">
        <v>4.6156735420227051</v>
      </c>
    </row>
    <row r="11205" spans="2:6">
      <c r="B11205">
        <v>2017</v>
      </c>
      <c r="C11205" t="s">
        <v>122</v>
      </c>
      <c r="D11205" t="s">
        <v>184</v>
      </c>
      <c r="E11205" t="s">
        <v>8</v>
      </c>
      <c r="F11205">
        <v>7.0576028823852539</v>
      </c>
    </row>
    <row r="11206" spans="2:6">
      <c r="B11206">
        <v>2017</v>
      </c>
      <c r="C11206" t="s">
        <v>122</v>
      </c>
      <c r="D11206" t="s">
        <v>184</v>
      </c>
      <c r="E11206" t="s">
        <v>9</v>
      </c>
      <c r="F11206">
        <v>0.58210957050323486</v>
      </c>
    </row>
    <row r="11207" spans="2:6">
      <c r="B11207">
        <v>2017</v>
      </c>
      <c r="C11207" t="s">
        <v>122</v>
      </c>
      <c r="D11207" t="s">
        <v>184</v>
      </c>
      <c r="E11207" t="s">
        <v>10</v>
      </c>
      <c r="F11207">
        <v>53</v>
      </c>
    </row>
    <row r="11208" spans="2:6">
      <c r="B11208">
        <v>2017</v>
      </c>
      <c r="C11208" t="s">
        <v>122</v>
      </c>
      <c r="D11208" t="s">
        <v>184</v>
      </c>
      <c r="E11208" t="s">
        <v>11</v>
      </c>
      <c r="F11208">
        <v>0.68355756998062134</v>
      </c>
    </row>
    <row r="11209" spans="2:6">
      <c r="B11209">
        <v>2017</v>
      </c>
      <c r="C11209" t="s">
        <v>122</v>
      </c>
      <c r="D11209" t="s">
        <v>184</v>
      </c>
      <c r="E11209" t="s">
        <v>12</v>
      </c>
      <c r="F11209">
        <v>-3.0251333490014076E-2</v>
      </c>
    </row>
    <row r="11210" spans="2:6">
      <c r="B11210">
        <v>2017</v>
      </c>
      <c r="C11210" t="s">
        <v>122</v>
      </c>
      <c r="D11210" t="s">
        <v>184</v>
      </c>
      <c r="E11210" t="s">
        <v>13</v>
      </c>
      <c r="F11210">
        <v>0.77766001224517822</v>
      </c>
    </row>
    <row r="11211" spans="2:6">
      <c r="B11211">
        <v>2017</v>
      </c>
      <c r="C11211" t="s">
        <v>122</v>
      </c>
      <c r="D11211" t="s">
        <v>184</v>
      </c>
      <c r="E11211" t="s">
        <v>14</v>
      </c>
      <c r="F11211">
        <v>0.73116141557693481</v>
      </c>
    </row>
    <row r="11212" spans="2:6">
      <c r="B11212">
        <v>2017</v>
      </c>
      <c r="C11212" t="s">
        <v>122</v>
      </c>
      <c r="D11212" t="s">
        <v>184</v>
      </c>
      <c r="E11212" t="s">
        <v>15</v>
      </c>
      <c r="F11212">
        <v>0.42652237415313721</v>
      </c>
    </row>
    <row r="11213" spans="2:6">
      <c r="B11213">
        <v>2018</v>
      </c>
      <c r="C11213" t="s">
        <v>122</v>
      </c>
      <c r="D11213" t="s">
        <v>184</v>
      </c>
      <c r="E11213" t="s">
        <v>7</v>
      </c>
      <c r="F11213">
        <v>5.1640071868896484</v>
      </c>
    </row>
    <row r="11214" spans="2:6">
      <c r="B11214">
        <v>2018</v>
      </c>
      <c r="C11214" t="s">
        <v>122</v>
      </c>
      <c r="D11214" t="s">
        <v>184</v>
      </c>
      <c r="E11214" t="s">
        <v>8</v>
      </c>
      <c r="F11214">
        <v>7.0871353149414063</v>
      </c>
    </row>
    <row r="11215" spans="2:6">
      <c r="B11215">
        <v>2018</v>
      </c>
      <c r="C11215" t="s">
        <v>122</v>
      </c>
      <c r="D11215" t="s">
        <v>184</v>
      </c>
      <c r="E11215" t="s">
        <v>9</v>
      </c>
      <c r="F11215">
        <v>0.6120256781578064</v>
      </c>
    </row>
    <row r="11216" spans="2:6">
      <c r="B11216">
        <v>2018</v>
      </c>
      <c r="C11216" t="s">
        <v>122</v>
      </c>
      <c r="D11216" t="s">
        <v>184</v>
      </c>
      <c r="E11216" t="s">
        <v>10</v>
      </c>
      <c r="F11216">
        <v>53.5</v>
      </c>
    </row>
    <row r="11217" spans="2:6">
      <c r="B11217">
        <v>2018</v>
      </c>
      <c r="C11217" t="s">
        <v>122</v>
      </c>
      <c r="D11217" t="s">
        <v>184</v>
      </c>
      <c r="E11217" t="s">
        <v>11</v>
      </c>
      <c r="F11217">
        <v>0.79066562652587891</v>
      </c>
    </row>
    <row r="11218" spans="2:6">
      <c r="B11218">
        <v>2018</v>
      </c>
      <c r="C11218" t="s">
        <v>122</v>
      </c>
      <c r="D11218" t="s">
        <v>184</v>
      </c>
      <c r="E11218" t="s">
        <v>12</v>
      </c>
      <c r="F11218">
        <v>8.891422301530838E-3</v>
      </c>
    </row>
    <row r="11219" spans="2:6">
      <c r="B11219">
        <v>2018</v>
      </c>
      <c r="C11219" t="s">
        <v>122</v>
      </c>
      <c r="D11219" t="s">
        <v>184</v>
      </c>
      <c r="E11219" t="s">
        <v>13</v>
      </c>
      <c r="F11219">
        <v>0.63716679811477661</v>
      </c>
    </row>
    <row r="11220" spans="2:6">
      <c r="B11220">
        <v>2018</v>
      </c>
      <c r="C11220" t="s">
        <v>122</v>
      </c>
      <c r="D11220" t="s">
        <v>184</v>
      </c>
      <c r="E11220" t="s">
        <v>14</v>
      </c>
      <c r="F11220">
        <v>0.77055764198303223</v>
      </c>
    </row>
    <row r="11221" spans="2:6">
      <c r="B11221">
        <v>2018</v>
      </c>
      <c r="C11221" t="s">
        <v>122</v>
      </c>
      <c r="D11221" t="s">
        <v>184</v>
      </c>
      <c r="E11221" t="s">
        <v>15</v>
      </c>
      <c r="F11221">
        <v>0.50255453586578369</v>
      </c>
    </row>
    <row r="11222" spans="2:6">
      <c r="B11222">
        <v>2019</v>
      </c>
      <c r="C11222" t="s">
        <v>122</v>
      </c>
      <c r="D11222" t="s">
        <v>184</v>
      </c>
      <c r="E11222" t="s">
        <v>7</v>
      </c>
      <c r="F11222">
        <v>5.0035443305969238</v>
      </c>
    </row>
    <row r="11223" spans="2:6">
      <c r="B11223">
        <v>2019</v>
      </c>
      <c r="C11223" t="s">
        <v>122</v>
      </c>
      <c r="D11223" t="s">
        <v>184</v>
      </c>
      <c r="E11223" t="s">
        <v>8</v>
      </c>
      <c r="F11223">
        <v>7.1058492660522461</v>
      </c>
    </row>
    <row r="11224" spans="2:6">
      <c r="B11224">
        <v>2019</v>
      </c>
      <c r="C11224" t="s">
        <v>122</v>
      </c>
      <c r="D11224" t="s">
        <v>184</v>
      </c>
      <c r="E11224" t="s">
        <v>9</v>
      </c>
      <c r="F11224">
        <v>0.67695873975753784</v>
      </c>
    </row>
    <row r="11225" spans="2:6">
      <c r="B11225">
        <v>2019</v>
      </c>
      <c r="C11225" t="s">
        <v>122</v>
      </c>
      <c r="D11225" t="s">
        <v>184</v>
      </c>
      <c r="E11225" t="s">
        <v>10</v>
      </c>
      <c r="F11225">
        <v>54</v>
      </c>
    </row>
    <row r="11226" spans="2:6">
      <c r="B11226">
        <v>2019</v>
      </c>
      <c r="C11226" t="s">
        <v>122</v>
      </c>
      <c r="D11226" t="s">
        <v>184</v>
      </c>
      <c r="E11226" t="s">
        <v>11</v>
      </c>
      <c r="F11226">
        <v>0.83136188983917236</v>
      </c>
    </row>
    <row r="11227" spans="2:6">
      <c r="B11227">
        <v>2019</v>
      </c>
      <c r="C11227" t="s">
        <v>122</v>
      </c>
      <c r="D11227" t="s">
        <v>184</v>
      </c>
      <c r="E11227" t="s">
        <v>12</v>
      </c>
      <c r="F11227">
        <v>2.5959890335798264E-2</v>
      </c>
    </row>
    <row r="11228" spans="2:6">
      <c r="B11228">
        <v>2019</v>
      </c>
      <c r="C11228" t="s">
        <v>122</v>
      </c>
      <c r="D11228" t="s">
        <v>184</v>
      </c>
      <c r="E11228" t="s">
        <v>13</v>
      </c>
      <c r="F11228">
        <v>0.72885513305664063</v>
      </c>
    </row>
    <row r="11229" spans="2:6">
      <c r="B11229">
        <v>2019</v>
      </c>
      <c r="C11229" t="s">
        <v>122</v>
      </c>
      <c r="D11229" t="s">
        <v>184</v>
      </c>
      <c r="E11229" t="s">
        <v>14</v>
      </c>
      <c r="F11229">
        <v>0.81591516733169556</v>
      </c>
    </row>
    <row r="11230" spans="2:6">
      <c r="B11230">
        <v>2019</v>
      </c>
      <c r="C11230" t="s">
        <v>122</v>
      </c>
      <c r="D11230" t="s">
        <v>184</v>
      </c>
      <c r="E11230" t="s">
        <v>15</v>
      </c>
      <c r="F11230">
        <v>0.3044382631778717</v>
      </c>
    </row>
    <row r="11231" spans="2:6">
      <c r="B11231">
        <v>2006</v>
      </c>
      <c r="C11231" t="s">
        <v>123</v>
      </c>
      <c r="D11231" t="s">
        <v>184</v>
      </c>
      <c r="E11231" t="s">
        <v>7</v>
      </c>
      <c r="F11231">
        <v>4.7097458839416504</v>
      </c>
    </row>
    <row r="11232" spans="2:6">
      <c r="B11232">
        <v>2006</v>
      </c>
      <c r="C11232" t="s">
        <v>123</v>
      </c>
      <c r="D11232" t="s">
        <v>184</v>
      </c>
      <c r="E11232" t="s">
        <v>8</v>
      </c>
      <c r="F11232">
        <v>8.3261299133300781</v>
      </c>
    </row>
    <row r="11233" spans="2:6">
      <c r="B11233">
        <v>2006</v>
      </c>
      <c r="C11233" t="s">
        <v>123</v>
      </c>
      <c r="D11233" t="s">
        <v>184</v>
      </c>
      <c r="E11233" t="s">
        <v>9</v>
      </c>
      <c r="F11233">
        <v>0.73517858982086182</v>
      </c>
    </row>
    <row r="11234" spans="2:6">
      <c r="B11234">
        <v>2006</v>
      </c>
      <c r="C11234" t="s">
        <v>123</v>
      </c>
      <c r="D11234" t="s">
        <v>184</v>
      </c>
      <c r="E11234" t="s">
        <v>10</v>
      </c>
      <c r="F11234">
        <v>44.119998931884766</v>
      </c>
    </row>
    <row r="11235" spans="2:6">
      <c r="B11235">
        <v>2006</v>
      </c>
      <c r="C11235" t="s">
        <v>123</v>
      </c>
      <c r="D11235" t="s">
        <v>184</v>
      </c>
      <c r="E11235" t="s">
        <v>11</v>
      </c>
      <c r="F11235">
        <v>0.64913976192474365</v>
      </c>
    </row>
    <row r="11236" spans="2:6">
      <c r="B11236">
        <v>2006</v>
      </c>
      <c r="C11236" t="s">
        <v>123</v>
      </c>
      <c r="D11236" t="s">
        <v>184</v>
      </c>
      <c r="E11236" t="s">
        <v>12</v>
      </c>
      <c r="F11236">
        <v>8.4854260087013245E-2</v>
      </c>
    </row>
    <row r="11237" spans="2:6">
      <c r="B11237">
        <v>2006</v>
      </c>
      <c r="C11237" t="s">
        <v>123</v>
      </c>
      <c r="D11237" t="s">
        <v>184</v>
      </c>
      <c r="E11237" t="s">
        <v>13</v>
      </c>
      <c r="F11237">
        <v>0.87074899673461914</v>
      </c>
    </row>
    <row r="11238" spans="2:6">
      <c r="B11238">
        <v>2006</v>
      </c>
      <c r="C11238" t="s">
        <v>123</v>
      </c>
      <c r="D11238" t="s">
        <v>184</v>
      </c>
      <c r="E11238" t="s">
        <v>14</v>
      </c>
      <c r="F11238">
        <v>0.78140008449554443</v>
      </c>
    </row>
    <row r="11239" spans="2:6">
      <c r="B11239">
        <v>2006</v>
      </c>
      <c r="C11239" t="s">
        <v>123</v>
      </c>
      <c r="D11239" t="s">
        <v>184</v>
      </c>
      <c r="E11239" t="s">
        <v>15</v>
      </c>
      <c r="F11239">
        <v>0.17823716998100281</v>
      </c>
    </row>
    <row r="11240" spans="2:6">
      <c r="B11240">
        <v>2007</v>
      </c>
      <c r="C11240" t="s">
        <v>123</v>
      </c>
      <c r="D11240" t="s">
        <v>184</v>
      </c>
      <c r="E11240" t="s">
        <v>7</v>
      </c>
      <c r="F11240">
        <v>4.8904194831848145</v>
      </c>
    </row>
    <row r="11241" spans="2:6">
      <c r="B11241">
        <v>2007</v>
      </c>
      <c r="C11241" t="s">
        <v>123</v>
      </c>
      <c r="D11241" t="s">
        <v>184</v>
      </c>
      <c r="E11241" t="s">
        <v>8</v>
      </c>
      <c r="F11241">
        <v>8.3636388778686523</v>
      </c>
    </row>
    <row r="11242" spans="2:6">
      <c r="B11242">
        <v>2007</v>
      </c>
      <c r="C11242" t="s">
        <v>123</v>
      </c>
      <c r="D11242" t="s">
        <v>184</v>
      </c>
      <c r="E11242" t="s">
        <v>9</v>
      </c>
      <c r="F11242">
        <v>0.71770381927490234</v>
      </c>
    </row>
    <row r="11243" spans="2:6">
      <c r="B11243">
        <v>2007</v>
      </c>
      <c r="C11243" t="s">
        <v>123</v>
      </c>
      <c r="D11243" t="s">
        <v>184</v>
      </c>
      <c r="E11243" t="s">
        <v>10</v>
      </c>
      <c r="F11243">
        <v>44.639999389648438</v>
      </c>
    </row>
    <row r="11244" spans="2:6">
      <c r="B11244">
        <v>2007</v>
      </c>
      <c r="C11244" t="s">
        <v>123</v>
      </c>
      <c r="D11244" t="s">
        <v>184</v>
      </c>
      <c r="E11244" t="s">
        <v>11</v>
      </c>
      <c r="F11244">
        <v>0.63507324457168579</v>
      </c>
    </row>
    <row r="11245" spans="2:6">
      <c r="B11245">
        <v>2007</v>
      </c>
      <c r="C11245" t="s">
        <v>123</v>
      </c>
      <c r="D11245" t="s">
        <v>184</v>
      </c>
      <c r="E11245" t="s">
        <v>12</v>
      </c>
      <c r="F11245">
        <v>0.13639411330223083</v>
      </c>
    </row>
    <row r="11246" spans="2:6">
      <c r="B11246">
        <v>2007</v>
      </c>
      <c r="C11246" t="s">
        <v>123</v>
      </c>
      <c r="D11246" t="s">
        <v>184</v>
      </c>
      <c r="E11246" t="s">
        <v>13</v>
      </c>
      <c r="F11246">
        <v>0.9183918833732605</v>
      </c>
    </row>
    <row r="11247" spans="2:6">
      <c r="B11247">
        <v>2007</v>
      </c>
      <c r="C11247" t="s">
        <v>123</v>
      </c>
      <c r="D11247" t="s">
        <v>184</v>
      </c>
      <c r="E11247" t="s">
        <v>14</v>
      </c>
      <c r="F11247">
        <v>0.82570946216583252</v>
      </c>
    </row>
    <row r="11248" spans="2:6">
      <c r="B11248">
        <v>2007</v>
      </c>
      <c r="C11248" t="s">
        <v>123</v>
      </c>
      <c r="D11248" t="s">
        <v>184</v>
      </c>
      <c r="E11248" t="s">
        <v>15</v>
      </c>
      <c r="F11248">
        <v>0.14140293002128601</v>
      </c>
    </row>
    <row r="11249" spans="2:6">
      <c r="B11249">
        <v>2008</v>
      </c>
      <c r="C11249" t="s">
        <v>123</v>
      </c>
      <c r="D11249" t="s">
        <v>184</v>
      </c>
      <c r="E11249" t="s">
        <v>7</v>
      </c>
      <c r="F11249">
        <v>4.9385604858398438</v>
      </c>
    </row>
    <row r="11250" spans="2:6">
      <c r="B11250">
        <v>2008</v>
      </c>
      <c r="C11250" t="s">
        <v>123</v>
      </c>
      <c r="D11250" t="s">
        <v>184</v>
      </c>
      <c r="E11250" t="s">
        <v>8</v>
      </c>
      <c r="F11250">
        <v>8.4025955200195313</v>
      </c>
    </row>
    <row r="11251" spans="2:6">
      <c r="B11251">
        <v>2008</v>
      </c>
      <c r="C11251" t="s">
        <v>123</v>
      </c>
      <c r="D11251" t="s">
        <v>184</v>
      </c>
      <c r="E11251" t="s">
        <v>9</v>
      </c>
      <c r="F11251">
        <v>0.77964049577713013</v>
      </c>
    </row>
    <row r="11252" spans="2:6">
      <c r="B11252">
        <v>2008</v>
      </c>
      <c r="C11252" t="s">
        <v>123</v>
      </c>
      <c r="D11252" t="s">
        <v>184</v>
      </c>
      <c r="E11252" t="s">
        <v>10</v>
      </c>
      <c r="F11252">
        <v>45.159999847412109</v>
      </c>
    </row>
    <row r="11253" spans="2:6">
      <c r="B11253">
        <v>2008</v>
      </c>
      <c r="C11253" t="s">
        <v>123</v>
      </c>
      <c r="D11253" t="s">
        <v>184</v>
      </c>
      <c r="E11253" t="s">
        <v>11</v>
      </c>
      <c r="F11253">
        <v>0.58422154188156128</v>
      </c>
    </row>
    <row r="11254" spans="2:6">
      <c r="B11254">
        <v>2008</v>
      </c>
      <c r="C11254" t="s">
        <v>123</v>
      </c>
      <c r="D11254" t="s">
        <v>184</v>
      </c>
      <c r="E11254" t="s">
        <v>12</v>
      </c>
      <c r="F11254">
        <v>0.11903340369462967</v>
      </c>
    </row>
    <row r="11255" spans="2:6">
      <c r="B11255">
        <v>2008</v>
      </c>
      <c r="C11255" t="s">
        <v>123</v>
      </c>
      <c r="D11255" t="s">
        <v>184</v>
      </c>
      <c r="E11255" t="s">
        <v>13</v>
      </c>
      <c r="F11255">
        <v>0.89189010858535767</v>
      </c>
    </row>
    <row r="11256" spans="2:6">
      <c r="B11256">
        <v>2008</v>
      </c>
      <c r="C11256" t="s">
        <v>123</v>
      </c>
      <c r="D11256" t="s">
        <v>184</v>
      </c>
      <c r="E11256" t="s">
        <v>14</v>
      </c>
      <c r="F11256">
        <v>0.73953664302825928</v>
      </c>
    </row>
    <row r="11257" spans="2:6">
      <c r="B11257">
        <v>2008</v>
      </c>
      <c r="C11257" t="s">
        <v>123</v>
      </c>
      <c r="D11257" t="s">
        <v>184</v>
      </c>
      <c r="E11257" t="s">
        <v>15</v>
      </c>
      <c r="F11257">
        <v>0.24409429728984833</v>
      </c>
    </row>
    <row r="11258" spans="2:6">
      <c r="B11258">
        <v>2009</v>
      </c>
      <c r="C11258" t="s">
        <v>123</v>
      </c>
      <c r="D11258" t="s">
        <v>184</v>
      </c>
      <c r="E11258" t="s">
        <v>7</v>
      </c>
      <c r="F11258">
        <v>4.9802203178405762</v>
      </c>
    </row>
    <row r="11259" spans="2:6">
      <c r="B11259">
        <v>2009</v>
      </c>
      <c r="C11259" t="s">
        <v>123</v>
      </c>
      <c r="D11259" t="s">
        <v>184</v>
      </c>
      <c r="E11259" t="s">
        <v>8</v>
      </c>
      <c r="F11259">
        <v>8.4532690048217773</v>
      </c>
    </row>
    <row r="11260" spans="2:6">
      <c r="B11260">
        <v>2009</v>
      </c>
      <c r="C11260" t="s">
        <v>123</v>
      </c>
      <c r="D11260" t="s">
        <v>184</v>
      </c>
      <c r="E11260" t="s">
        <v>9</v>
      </c>
      <c r="F11260">
        <v>0.72208178043365479</v>
      </c>
    </row>
    <row r="11261" spans="2:6">
      <c r="B11261">
        <v>2009</v>
      </c>
      <c r="C11261" t="s">
        <v>123</v>
      </c>
      <c r="D11261" t="s">
        <v>184</v>
      </c>
      <c r="E11261" t="s">
        <v>10</v>
      </c>
      <c r="F11261">
        <v>45.680000305175781</v>
      </c>
    </row>
    <row r="11262" spans="2:6">
      <c r="B11262">
        <v>2009</v>
      </c>
      <c r="C11262" t="s">
        <v>123</v>
      </c>
      <c r="D11262" t="s">
        <v>184</v>
      </c>
      <c r="E11262" t="s">
        <v>11</v>
      </c>
      <c r="F11262">
        <v>0.53672111034393311</v>
      </c>
    </row>
    <row r="11263" spans="2:6">
      <c r="B11263">
        <v>2009</v>
      </c>
      <c r="C11263" t="s">
        <v>123</v>
      </c>
      <c r="D11263" t="s">
        <v>184</v>
      </c>
      <c r="E11263" t="s">
        <v>12</v>
      </c>
      <c r="F11263">
        <v>6.7497752606868744E-2</v>
      </c>
    </row>
    <row r="11264" spans="2:6">
      <c r="B11264">
        <v>2009</v>
      </c>
      <c r="C11264" t="s">
        <v>123</v>
      </c>
      <c r="D11264" t="s">
        <v>184</v>
      </c>
      <c r="E11264" t="s">
        <v>13</v>
      </c>
      <c r="F11264">
        <v>0.91319572925567627</v>
      </c>
    </row>
    <row r="11265" spans="2:6">
      <c r="B11265">
        <v>2009</v>
      </c>
      <c r="C11265" t="s">
        <v>123</v>
      </c>
      <c r="D11265" t="s">
        <v>184</v>
      </c>
      <c r="E11265" t="s">
        <v>14</v>
      </c>
      <c r="F11265">
        <v>0.74471545219421387</v>
      </c>
    </row>
    <row r="11266" spans="2:6">
      <c r="B11266">
        <v>2009</v>
      </c>
      <c r="C11266" t="s">
        <v>123</v>
      </c>
      <c r="D11266" t="s">
        <v>184</v>
      </c>
      <c r="E11266" t="s">
        <v>15</v>
      </c>
      <c r="F11266">
        <v>0.22512304782867432</v>
      </c>
    </row>
    <row r="11267" spans="2:6">
      <c r="B11267">
        <v>2010</v>
      </c>
      <c r="C11267" t="s">
        <v>123</v>
      </c>
      <c r="D11267" t="s">
        <v>184</v>
      </c>
      <c r="E11267" t="s">
        <v>7</v>
      </c>
      <c r="F11267">
        <v>4.7602758407592773</v>
      </c>
    </row>
    <row r="11268" spans="2:6">
      <c r="B11268">
        <v>2010</v>
      </c>
      <c r="C11268" t="s">
        <v>123</v>
      </c>
      <c r="D11268" t="s">
        <v>184</v>
      </c>
      <c r="E11268" t="s">
        <v>8</v>
      </c>
      <c r="F11268">
        <v>8.5035676956176758</v>
      </c>
    </row>
    <row r="11269" spans="2:6">
      <c r="B11269">
        <v>2010</v>
      </c>
      <c r="C11269" t="s">
        <v>123</v>
      </c>
      <c r="D11269" t="s">
        <v>184</v>
      </c>
      <c r="E11269" t="s">
        <v>9</v>
      </c>
      <c r="F11269">
        <v>0.82382303476333618</v>
      </c>
    </row>
    <row r="11270" spans="2:6">
      <c r="B11270">
        <v>2010</v>
      </c>
      <c r="C11270" t="s">
        <v>123</v>
      </c>
      <c r="D11270" t="s">
        <v>184</v>
      </c>
      <c r="E11270" t="s">
        <v>10</v>
      </c>
      <c r="F11270">
        <v>46.200000762939453</v>
      </c>
    </row>
    <row r="11271" spans="2:6">
      <c r="B11271">
        <v>2010</v>
      </c>
      <c r="C11271" t="s">
        <v>123</v>
      </c>
      <c r="D11271" t="s">
        <v>184</v>
      </c>
      <c r="E11271" t="s">
        <v>11</v>
      </c>
      <c r="F11271">
        <v>0.56535106897354126</v>
      </c>
    </row>
    <row r="11272" spans="2:6">
      <c r="B11272">
        <v>2010</v>
      </c>
      <c r="C11272" t="s">
        <v>123</v>
      </c>
      <c r="D11272" t="s">
        <v>184</v>
      </c>
      <c r="E11272" t="s">
        <v>12</v>
      </c>
      <c r="F11272">
        <v>6.6604405641555786E-2</v>
      </c>
    </row>
    <row r="11273" spans="2:6">
      <c r="B11273">
        <v>2010</v>
      </c>
      <c r="C11273" t="s">
        <v>123</v>
      </c>
      <c r="D11273" t="s">
        <v>184</v>
      </c>
      <c r="E11273" t="s">
        <v>13</v>
      </c>
      <c r="F11273">
        <v>0.91071903705596924</v>
      </c>
    </row>
    <row r="11274" spans="2:6">
      <c r="B11274">
        <v>2010</v>
      </c>
      <c r="C11274" t="s">
        <v>123</v>
      </c>
      <c r="D11274" t="s">
        <v>184</v>
      </c>
      <c r="E11274" t="s">
        <v>14</v>
      </c>
      <c r="F11274">
        <v>0.78204953670501709</v>
      </c>
    </row>
    <row r="11275" spans="2:6">
      <c r="B11275">
        <v>2010</v>
      </c>
      <c r="C11275" t="s">
        <v>123</v>
      </c>
      <c r="D11275" t="s">
        <v>184</v>
      </c>
      <c r="E11275" t="s">
        <v>15</v>
      </c>
      <c r="F11275">
        <v>0.19034340977668762</v>
      </c>
    </row>
    <row r="11276" spans="2:6">
      <c r="B11276">
        <v>2012</v>
      </c>
      <c r="C11276" t="s">
        <v>123</v>
      </c>
      <c r="D11276" t="s">
        <v>184</v>
      </c>
      <c r="E11276" t="s">
        <v>7</v>
      </c>
      <c r="F11276">
        <v>5.4929542541503906</v>
      </c>
    </row>
    <row r="11277" spans="2:6">
      <c r="B11277">
        <v>2012</v>
      </c>
      <c r="C11277" t="s">
        <v>123</v>
      </c>
      <c r="D11277" t="s">
        <v>184</v>
      </c>
      <c r="E11277" t="s">
        <v>8</v>
      </c>
      <c r="F11277">
        <v>8.5431289672851563</v>
      </c>
    </row>
    <row r="11278" spans="2:6">
      <c r="B11278">
        <v>2012</v>
      </c>
      <c r="C11278" t="s">
        <v>123</v>
      </c>
      <c r="D11278" t="s">
        <v>184</v>
      </c>
      <c r="E11278" t="s">
        <v>9</v>
      </c>
      <c r="F11278">
        <v>0.81757956743240356</v>
      </c>
    </row>
    <row r="11279" spans="2:6">
      <c r="B11279">
        <v>2012</v>
      </c>
      <c r="C11279" t="s">
        <v>123</v>
      </c>
      <c r="D11279" t="s">
        <v>184</v>
      </c>
      <c r="E11279" t="s">
        <v>10</v>
      </c>
      <c r="F11279">
        <v>47.119998931884766</v>
      </c>
    </row>
    <row r="11280" spans="2:6">
      <c r="B11280">
        <v>2012</v>
      </c>
      <c r="C11280" t="s">
        <v>123</v>
      </c>
      <c r="D11280" t="s">
        <v>184</v>
      </c>
      <c r="E11280" t="s">
        <v>11</v>
      </c>
      <c r="F11280">
        <v>0.65168887376785278</v>
      </c>
    </row>
    <row r="11281" spans="2:6">
      <c r="B11281">
        <v>2012</v>
      </c>
      <c r="C11281" t="s">
        <v>123</v>
      </c>
      <c r="D11281" t="s">
        <v>184</v>
      </c>
      <c r="E11281" t="s">
        <v>12</v>
      </c>
      <c r="F11281">
        <v>6.6321052610874176E-2</v>
      </c>
    </row>
    <row r="11282" spans="2:6">
      <c r="B11282">
        <v>2012</v>
      </c>
      <c r="C11282" t="s">
        <v>123</v>
      </c>
      <c r="D11282" t="s">
        <v>184</v>
      </c>
      <c r="E11282" t="s">
        <v>13</v>
      </c>
      <c r="F11282">
        <v>0.90043139457702637</v>
      </c>
    </row>
    <row r="11283" spans="2:6">
      <c r="B11283">
        <v>2012</v>
      </c>
      <c r="C11283" t="s">
        <v>123</v>
      </c>
      <c r="D11283" t="s">
        <v>184</v>
      </c>
      <c r="E11283" t="s">
        <v>14</v>
      </c>
      <c r="F11283">
        <v>0.81090551614761353</v>
      </c>
    </row>
    <row r="11284" spans="2:6">
      <c r="B11284">
        <v>2012</v>
      </c>
      <c r="C11284" t="s">
        <v>123</v>
      </c>
      <c r="D11284" t="s">
        <v>184</v>
      </c>
      <c r="E11284" t="s">
        <v>15</v>
      </c>
      <c r="F11284">
        <v>0.20909948647022247</v>
      </c>
    </row>
    <row r="11285" spans="2:6">
      <c r="B11285">
        <v>2013</v>
      </c>
      <c r="C11285" t="s">
        <v>123</v>
      </c>
      <c r="D11285" t="s">
        <v>184</v>
      </c>
      <c r="E11285" t="s">
        <v>7</v>
      </c>
      <c r="F11285">
        <v>4.817868709564209</v>
      </c>
    </row>
    <row r="11286" spans="2:6">
      <c r="B11286">
        <v>2013</v>
      </c>
      <c r="C11286" t="s">
        <v>123</v>
      </c>
      <c r="D11286" t="s">
        <v>184</v>
      </c>
      <c r="E11286" t="s">
        <v>8</v>
      </c>
      <c r="F11286">
        <v>8.5809421539306641</v>
      </c>
    </row>
    <row r="11287" spans="2:6">
      <c r="B11287">
        <v>2013</v>
      </c>
      <c r="C11287" t="s">
        <v>123</v>
      </c>
      <c r="D11287" t="s">
        <v>184</v>
      </c>
      <c r="E11287" t="s">
        <v>9</v>
      </c>
      <c r="F11287">
        <v>0.66294330358505249</v>
      </c>
    </row>
    <row r="11288" spans="2:6">
      <c r="B11288">
        <v>2013</v>
      </c>
      <c r="C11288" t="s">
        <v>123</v>
      </c>
      <c r="D11288" t="s">
        <v>184</v>
      </c>
      <c r="E11288" t="s">
        <v>10</v>
      </c>
      <c r="F11288">
        <v>47.580001831054688</v>
      </c>
    </row>
    <row r="11289" spans="2:6">
      <c r="B11289">
        <v>2013</v>
      </c>
      <c r="C11289" t="s">
        <v>123</v>
      </c>
      <c r="D11289" t="s">
        <v>184</v>
      </c>
      <c r="E11289" t="s">
        <v>11</v>
      </c>
      <c r="F11289">
        <v>0.62158769369125366</v>
      </c>
    </row>
    <row r="11290" spans="2:6">
      <c r="B11290">
        <v>2013</v>
      </c>
      <c r="C11290" t="s">
        <v>123</v>
      </c>
      <c r="D11290" t="s">
        <v>184</v>
      </c>
      <c r="E11290" t="s">
        <v>12</v>
      </c>
      <c r="F11290">
        <v>5.0550848245620728E-2</v>
      </c>
    </row>
    <row r="11291" spans="2:6">
      <c r="B11291">
        <v>2013</v>
      </c>
      <c r="C11291" t="s">
        <v>123</v>
      </c>
      <c r="D11291" t="s">
        <v>184</v>
      </c>
      <c r="E11291" t="s">
        <v>13</v>
      </c>
      <c r="F11291">
        <v>0.90530931949615479</v>
      </c>
    </row>
    <row r="11292" spans="2:6">
      <c r="B11292">
        <v>2013</v>
      </c>
      <c r="C11292" t="s">
        <v>123</v>
      </c>
      <c r="D11292" t="s">
        <v>184</v>
      </c>
      <c r="E11292" t="s">
        <v>14</v>
      </c>
      <c r="F11292">
        <v>0.63848870992660522</v>
      </c>
    </row>
    <row r="11293" spans="2:6">
      <c r="B11293">
        <v>2013</v>
      </c>
      <c r="C11293" t="s">
        <v>123</v>
      </c>
      <c r="D11293" t="s">
        <v>184</v>
      </c>
      <c r="E11293" t="s">
        <v>15</v>
      </c>
      <c r="F11293">
        <v>0.28634592890739441</v>
      </c>
    </row>
    <row r="11294" spans="2:6">
      <c r="B11294">
        <v>2015</v>
      </c>
      <c r="C11294" t="s">
        <v>123</v>
      </c>
      <c r="D11294" t="s">
        <v>184</v>
      </c>
      <c r="E11294" t="s">
        <v>7</v>
      </c>
      <c r="F11294">
        <v>4.9329147338867188</v>
      </c>
    </row>
    <row r="11295" spans="2:6">
      <c r="B11295">
        <v>2015</v>
      </c>
      <c r="C11295" t="s">
        <v>123</v>
      </c>
      <c r="D11295" t="s">
        <v>184</v>
      </c>
      <c r="E11295" t="s">
        <v>8</v>
      </c>
      <c r="F11295">
        <v>8.6151857376098633</v>
      </c>
    </row>
    <row r="11296" spans="2:6">
      <c r="B11296">
        <v>2015</v>
      </c>
      <c r="C11296" t="s">
        <v>123</v>
      </c>
      <c r="D11296" t="s">
        <v>184</v>
      </c>
      <c r="E11296" t="s">
        <v>9</v>
      </c>
      <c r="F11296">
        <v>0.81164765357971191</v>
      </c>
    </row>
    <row r="11297" spans="2:6">
      <c r="B11297">
        <v>2015</v>
      </c>
      <c r="C11297" t="s">
        <v>123</v>
      </c>
      <c r="D11297" t="s">
        <v>184</v>
      </c>
      <c r="E11297" t="s">
        <v>10</v>
      </c>
      <c r="F11297">
        <v>48.5</v>
      </c>
    </row>
    <row r="11298" spans="2:6">
      <c r="B11298">
        <v>2015</v>
      </c>
      <c r="C11298" t="s">
        <v>123</v>
      </c>
      <c r="D11298" t="s">
        <v>184</v>
      </c>
      <c r="E11298" t="s">
        <v>11</v>
      </c>
      <c r="F11298">
        <v>0.68047028779983521</v>
      </c>
    </row>
    <row r="11299" spans="2:6">
      <c r="B11299">
        <v>2015</v>
      </c>
      <c r="C11299" t="s">
        <v>123</v>
      </c>
      <c r="D11299" t="s">
        <v>184</v>
      </c>
      <c r="E11299" t="s">
        <v>12</v>
      </c>
      <c r="F11299">
        <v>-3.5358082503080368E-2</v>
      </c>
    </row>
    <row r="11300" spans="2:6">
      <c r="B11300">
        <v>2015</v>
      </c>
      <c r="C11300" t="s">
        <v>123</v>
      </c>
      <c r="D11300" t="s">
        <v>184</v>
      </c>
      <c r="E11300" t="s">
        <v>13</v>
      </c>
      <c r="F11300">
        <v>0.92610925436019897</v>
      </c>
    </row>
    <row r="11301" spans="2:6">
      <c r="B11301">
        <v>2015</v>
      </c>
      <c r="C11301" t="s">
        <v>123</v>
      </c>
      <c r="D11301" t="s">
        <v>184</v>
      </c>
      <c r="E11301" t="s">
        <v>14</v>
      </c>
      <c r="F11301">
        <v>0.71689188480377197</v>
      </c>
    </row>
    <row r="11302" spans="2:6">
      <c r="B11302">
        <v>2015</v>
      </c>
      <c r="C11302" t="s">
        <v>123</v>
      </c>
      <c r="D11302" t="s">
        <v>184</v>
      </c>
      <c r="E11302" t="s">
        <v>15</v>
      </c>
      <c r="F11302">
        <v>0.25118955969810486</v>
      </c>
    </row>
    <row r="11303" spans="2:6">
      <c r="B11303">
        <v>2016</v>
      </c>
      <c r="C11303" t="s">
        <v>123</v>
      </c>
      <c r="D11303" t="s">
        <v>184</v>
      </c>
      <c r="E11303" t="s">
        <v>7</v>
      </c>
      <c r="F11303">
        <v>5.2195677757263184</v>
      </c>
    </row>
    <row r="11304" spans="2:6">
      <c r="B11304">
        <v>2016</v>
      </c>
      <c r="C11304" t="s">
        <v>123</v>
      </c>
      <c r="D11304" t="s">
        <v>184</v>
      </c>
      <c r="E11304" t="s">
        <v>8</v>
      </c>
      <c r="F11304">
        <v>8.5726070404052734</v>
      </c>
    </row>
    <row r="11305" spans="2:6">
      <c r="B11305">
        <v>2016</v>
      </c>
      <c r="C11305" t="s">
        <v>123</v>
      </c>
      <c r="D11305" t="s">
        <v>184</v>
      </c>
      <c r="E11305" t="s">
        <v>9</v>
      </c>
      <c r="F11305">
        <v>0.8047669529914856</v>
      </c>
    </row>
    <row r="11306" spans="2:6">
      <c r="B11306">
        <v>2016</v>
      </c>
      <c r="C11306" t="s">
        <v>123</v>
      </c>
      <c r="D11306" t="s">
        <v>184</v>
      </c>
      <c r="E11306" t="s">
        <v>10</v>
      </c>
      <c r="F11306">
        <v>48.900001525878906</v>
      </c>
    </row>
    <row r="11307" spans="2:6">
      <c r="B11307">
        <v>2016</v>
      </c>
      <c r="C11307" t="s">
        <v>123</v>
      </c>
      <c r="D11307" t="s">
        <v>184</v>
      </c>
      <c r="E11307" t="s">
        <v>11</v>
      </c>
      <c r="F11307">
        <v>0.79769051074981689</v>
      </c>
    </row>
    <row r="11308" spans="2:6">
      <c r="B11308">
        <v>2016</v>
      </c>
      <c r="C11308" t="s">
        <v>123</v>
      </c>
      <c r="D11308" t="s">
        <v>184</v>
      </c>
      <c r="E11308" t="s">
        <v>12</v>
      </c>
      <c r="F11308">
        <v>4.3092932552099228E-2</v>
      </c>
    </row>
    <row r="11309" spans="2:6">
      <c r="B11309">
        <v>2016</v>
      </c>
      <c r="C11309" t="s">
        <v>123</v>
      </c>
      <c r="D11309" t="s">
        <v>184</v>
      </c>
      <c r="E11309" t="s">
        <v>13</v>
      </c>
      <c r="F11309">
        <v>0.90470683574676514</v>
      </c>
    </row>
    <row r="11310" spans="2:6">
      <c r="B11310">
        <v>2016</v>
      </c>
      <c r="C11310" t="s">
        <v>123</v>
      </c>
      <c r="D11310" t="s">
        <v>184</v>
      </c>
      <c r="E11310" t="s">
        <v>14</v>
      </c>
      <c r="F11310">
        <v>0.73198610544204712</v>
      </c>
    </row>
    <row r="11311" spans="2:6">
      <c r="B11311">
        <v>2016</v>
      </c>
      <c r="C11311" t="s">
        <v>123</v>
      </c>
      <c r="D11311" t="s">
        <v>184</v>
      </c>
      <c r="E11311" t="s">
        <v>15</v>
      </c>
      <c r="F11311">
        <v>0.25183629989624023</v>
      </c>
    </row>
    <row r="11312" spans="2:6">
      <c r="B11312">
        <v>2017</v>
      </c>
      <c r="C11312" t="s">
        <v>123</v>
      </c>
      <c r="D11312" t="s">
        <v>184</v>
      </c>
      <c r="E11312" t="s">
        <v>7</v>
      </c>
      <c r="F11312">
        <v>5.3219280242919922</v>
      </c>
    </row>
    <row r="11313" spans="2:6">
      <c r="B11313">
        <v>2017</v>
      </c>
      <c r="C11313" t="s">
        <v>123</v>
      </c>
      <c r="D11313" t="s">
        <v>184</v>
      </c>
      <c r="E11313" t="s">
        <v>8</v>
      </c>
      <c r="F11313">
        <v>8.5545568466186523</v>
      </c>
    </row>
    <row r="11314" spans="2:6">
      <c r="B11314">
        <v>2017</v>
      </c>
      <c r="C11314" t="s">
        <v>123</v>
      </c>
      <c r="D11314" t="s">
        <v>184</v>
      </c>
      <c r="E11314" t="s">
        <v>9</v>
      </c>
      <c r="F11314">
        <v>0.73346853256225586</v>
      </c>
    </row>
    <row r="11315" spans="2:6">
      <c r="B11315">
        <v>2017</v>
      </c>
      <c r="C11315" t="s">
        <v>123</v>
      </c>
      <c r="D11315" t="s">
        <v>184</v>
      </c>
      <c r="E11315" t="s">
        <v>10</v>
      </c>
      <c r="F11315">
        <v>49.299999237060547</v>
      </c>
    </row>
    <row r="11316" spans="2:6">
      <c r="B11316">
        <v>2017</v>
      </c>
      <c r="C11316" t="s">
        <v>123</v>
      </c>
      <c r="D11316" t="s">
        <v>184</v>
      </c>
      <c r="E11316" t="s">
        <v>11</v>
      </c>
      <c r="F11316">
        <v>0.82590556144714355</v>
      </c>
    </row>
    <row r="11317" spans="2:6">
      <c r="B11317">
        <v>2017</v>
      </c>
      <c r="C11317" t="s">
        <v>123</v>
      </c>
      <c r="D11317" t="s">
        <v>184</v>
      </c>
      <c r="E11317" t="s">
        <v>12</v>
      </c>
      <c r="F11317">
        <v>0.12433876097202301</v>
      </c>
    </row>
    <row r="11318" spans="2:6">
      <c r="B11318">
        <v>2017</v>
      </c>
      <c r="C11318" t="s">
        <v>123</v>
      </c>
      <c r="D11318" t="s">
        <v>184</v>
      </c>
      <c r="E11318" t="s">
        <v>13</v>
      </c>
      <c r="F11318">
        <v>0.83489197492599487</v>
      </c>
    </row>
    <row r="11319" spans="2:6">
      <c r="B11319">
        <v>2017</v>
      </c>
      <c r="C11319" t="s">
        <v>123</v>
      </c>
      <c r="D11319" t="s">
        <v>184</v>
      </c>
      <c r="E11319" t="s">
        <v>14</v>
      </c>
      <c r="F11319">
        <v>0.72499054670333862</v>
      </c>
    </row>
    <row r="11320" spans="2:6">
      <c r="B11320">
        <v>2017</v>
      </c>
      <c r="C11320" t="s">
        <v>123</v>
      </c>
      <c r="D11320" t="s">
        <v>184</v>
      </c>
      <c r="E11320" t="s">
        <v>15</v>
      </c>
      <c r="F11320">
        <v>0.23596876859664917</v>
      </c>
    </row>
    <row r="11321" spans="2:6">
      <c r="B11321">
        <v>2018</v>
      </c>
      <c r="C11321" t="s">
        <v>123</v>
      </c>
      <c r="D11321" t="s">
        <v>184</v>
      </c>
      <c r="E11321" t="s">
        <v>7</v>
      </c>
      <c r="F11321">
        <v>5.2522883415222168</v>
      </c>
    </row>
    <row r="11322" spans="2:6">
      <c r="B11322">
        <v>2018</v>
      </c>
      <c r="C11322" t="s">
        <v>123</v>
      </c>
      <c r="D11322" t="s">
        <v>184</v>
      </c>
      <c r="E11322" t="s">
        <v>8</v>
      </c>
      <c r="F11322">
        <v>8.5477371215820313</v>
      </c>
    </row>
    <row r="11323" spans="2:6">
      <c r="B11323">
        <v>2018</v>
      </c>
      <c r="C11323" t="s">
        <v>123</v>
      </c>
      <c r="D11323" t="s">
        <v>184</v>
      </c>
      <c r="E11323" t="s">
        <v>9</v>
      </c>
      <c r="F11323">
        <v>0.74085420370101929</v>
      </c>
    </row>
    <row r="11324" spans="2:6">
      <c r="B11324">
        <v>2018</v>
      </c>
      <c r="C11324" t="s">
        <v>123</v>
      </c>
      <c r="D11324" t="s">
        <v>184</v>
      </c>
      <c r="E11324" t="s">
        <v>10</v>
      </c>
      <c r="F11324">
        <v>49.700000762939453</v>
      </c>
    </row>
    <row r="11325" spans="2:6">
      <c r="B11325">
        <v>2018</v>
      </c>
      <c r="C11325" t="s">
        <v>123</v>
      </c>
      <c r="D11325" t="s">
        <v>184</v>
      </c>
      <c r="E11325" t="s">
        <v>11</v>
      </c>
      <c r="F11325">
        <v>0.78988105058670044</v>
      </c>
    </row>
    <row r="11326" spans="2:6">
      <c r="B11326">
        <v>2018</v>
      </c>
      <c r="C11326" t="s">
        <v>123</v>
      </c>
      <c r="D11326" t="s">
        <v>184</v>
      </c>
      <c r="E11326" t="s">
        <v>12</v>
      </c>
      <c r="F11326">
        <v>-1.0153932496905327E-2</v>
      </c>
    </row>
    <row r="11327" spans="2:6">
      <c r="B11327">
        <v>2018</v>
      </c>
      <c r="C11327" t="s">
        <v>123</v>
      </c>
      <c r="D11327" t="s">
        <v>184</v>
      </c>
      <c r="E11327" t="s">
        <v>13</v>
      </c>
      <c r="F11327">
        <v>0.86560267210006714</v>
      </c>
    </row>
    <row r="11328" spans="2:6">
      <c r="B11328">
        <v>2018</v>
      </c>
      <c r="C11328" t="s">
        <v>123</v>
      </c>
      <c r="D11328" t="s">
        <v>184</v>
      </c>
      <c r="E11328" t="s">
        <v>14</v>
      </c>
      <c r="F11328">
        <v>0.80526185035705566</v>
      </c>
    </row>
    <row r="11329" spans="2:6">
      <c r="B11329">
        <v>2018</v>
      </c>
      <c r="C11329" t="s">
        <v>123</v>
      </c>
      <c r="D11329" t="s">
        <v>184</v>
      </c>
      <c r="E11329" t="s">
        <v>15</v>
      </c>
      <c r="F11329">
        <v>0.25646987557411194</v>
      </c>
    </row>
    <row r="11330" spans="2:6">
      <c r="B11330">
        <v>2019</v>
      </c>
      <c r="C11330" t="s">
        <v>123</v>
      </c>
      <c r="D11330" t="s">
        <v>184</v>
      </c>
      <c r="E11330" t="s">
        <v>7</v>
      </c>
      <c r="F11330">
        <v>4.3564190864562988</v>
      </c>
    </row>
    <row r="11331" spans="2:6">
      <c r="B11331">
        <v>2019</v>
      </c>
      <c r="C11331" t="s">
        <v>123</v>
      </c>
      <c r="D11331" t="s">
        <v>184</v>
      </c>
      <c r="E11331" t="s">
        <v>8</v>
      </c>
      <c r="F11331">
        <v>8.5439319610595703</v>
      </c>
    </row>
    <row r="11332" spans="2:6">
      <c r="B11332">
        <v>2019</v>
      </c>
      <c r="C11332" t="s">
        <v>123</v>
      </c>
      <c r="D11332" t="s">
        <v>184</v>
      </c>
      <c r="E11332" t="s">
        <v>9</v>
      </c>
      <c r="F11332">
        <v>0.73351794481277466</v>
      </c>
    </row>
    <row r="11333" spans="2:6">
      <c r="B11333">
        <v>2019</v>
      </c>
      <c r="C11333" t="s">
        <v>123</v>
      </c>
      <c r="D11333" t="s">
        <v>184</v>
      </c>
      <c r="E11333" t="s">
        <v>10</v>
      </c>
      <c r="F11333">
        <v>50.099998474121094</v>
      </c>
    </row>
    <row r="11334" spans="2:6">
      <c r="B11334">
        <v>2019</v>
      </c>
      <c r="C11334" t="s">
        <v>123</v>
      </c>
      <c r="D11334" t="s">
        <v>184</v>
      </c>
      <c r="E11334" t="s">
        <v>11</v>
      </c>
      <c r="F11334">
        <v>0.7293669581413269</v>
      </c>
    </row>
    <row r="11335" spans="2:6">
      <c r="B11335">
        <v>2019</v>
      </c>
      <c r="C11335" t="s">
        <v>123</v>
      </c>
      <c r="D11335" t="s">
        <v>184</v>
      </c>
      <c r="E11335" t="s">
        <v>12</v>
      </c>
      <c r="F11335">
        <v>3.2284621149301529E-2</v>
      </c>
    </row>
    <row r="11336" spans="2:6">
      <c r="B11336">
        <v>2019</v>
      </c>
      <c r="C11336" t="s">
        <v>123</v>
      </c>
      <c r="D11336" t="s">
        <v>184</v>
      </c>
      <c r="E11336" t="s">
        <v>13</v>
      </c>
      <c r="F11336">
        <v>0.87314027547836304</v>
      </c>
    </row>
    <row r="11337" spans="2:6">
      <c r="B11337">
        <v>2019</v>
      </c>
      <c r="C11337" t="s">
        <v>123</v>
      </c>
      <c r="D11337" t="s">
        <v>184</v>
      </c>
      <c r="E11337" t="s">
        <v>14</v>
      </c>
      <c r="F11337">
        <v>0.71499085426330566</v>
      </c>
    </row>
    <row r="11338" spans="2:6">
      <c r="B11338">
        <v>2019</v>
      </c>
      <c r="C11338" t="s">
        <v>123</v>
      </c>
      <c r="D11338" t="s">
        <v>184</v>
      </c>
      <c r="E11338" t="s">
        <v>15</v>
      </c>
      <c r="F11338">
        <v>0.24523738026618958</v>
      </c>
    </row>
    <row r="11339" spans="2:6">
      <c r="B11339">
        <v>2020</v>
      </c>
      <c r="C11339" t="s">
        <v>123</v>
      </c>
      <c r="D11339" t="s">
        <v>184</v>
      </c>
      <c r="E11339" t="s">
        <v>7</v>
      </c>
      <c r="F11339">
        <v>5.5029482841491699</v>
      </c>
    </row>
    <row r="11340" spans="2:6">
      <c r="B11340">
        <v>2020</v>
      </c>
      <c r="C11340" t="s">
        <v>123</v>
      </c>
      <c r="D11340" t="s">
        <v>184</v>
      </c>
      <c r="E11340" t="s">
        <v>8</v>
      </c>
      <c r="F11340">
        <v>8.4842033386230469</v>
      </c>
    </row>
    <row r="11341" spans="2:6">
      <c r="B11341">
        <v>2020</v>
      </c>
      <c r="C11341" t="s">
        <v>123</v>
      </c>
      <c r="D11341" t="s">
        <v>184</v>
      </c>
      <c r="E11341" t="s">
        <v>9</v>
      </c>
      <c r="F11341">
        <v>0.73928946256637573</v>
      </c>
    </row>
    <row r="11342" spans="2:6">
      <c r="B11342">
        <v>2020</v>
      </c>
      <c r="C11342" t="s">
        <v>123</v>
      </c>
      <c r="D11342" t="s">
        <v>184</v>
      </c>
      <c r="E11342" t="s">
        <v>10</v>
      </c>
      <c r="F11342">
        <v>50.5</v>
      </c>
    </row>
    <row r="11343" spans="2:6">
      <c r="B11343">
        <v>2020</v>
      </c>
      <c r="C11343" t="s">
        <v>123</v>
      </c>
      <c r="D11343" t="s">
        <v>184</v>
      </c>
      <c r="E11343" t="s">
        <v>11</v>
      </c>
      <c r="F11343">
        <v>0.71306151151657104</v>
      </c>
    </row>
    <row r="11344" spans="2:6">
      <c r="B11344">
        <v>2020</v>
      </c>
      <c r="C11344" t="s">
        <v>123</v>
      </c>
      <c r="D11344" t="s">
        <v>184</v>
      </c>
      <c r="E11344" t="s">
        <v>12</v>
      </c>
      <c r="F11344">
        <v>9.940405935049057E-2</v>
      </c>
    </row>
    <row r="11345" spans="2:6">
      <c r="B11345">
        <v>2020</v>
      </c>
      <c r="C11345" t="s">
        <v>123</v>
      </c>
      <c r="D11345" t="s">
        <v>184</v>
      </c>
      <c r="E11345" t="s">
        <v>13</v>
      </c>
      <c r="F11345">
        <v>0.91277444362640381</v>
      </c>
    </row>
    <row r="11346" spans="2:6">
      <c r="B11346">
        <v>2020</v>
      </c>
      <c r="C11346" t="s">
        <v>123</v>
      </c>
      <c r="D11346" t="s">
        <v>184</v>
      </c>
      <c r="E11346" t="s">
        <v>14</v>
      </c>
      <c r="F11346">
        <v>0.74397772550582886</v>
      </c>
    </row>
    <row r="11347" spans="2:6">
      <c r="B11347">
        <v>2020</v>
      </c>
      <c r="C11347" t="s">
        <v>123</v>
      </c>
      <c r="D11347" t="s">
        <v>184</v>
      </c>
      <c r="E11347" t="s">
        <v>15</v>
      </c>
      <c r="F11347">
        <v>0.31588682532310486</v>
      </c>
    </row>
    <row r="11348" spans="2:6">
      <c r="B11348">
        <v>2012</v>
      </c>
      <c r="C11348" t="s">
        <v>124</v>
      </c>
      <c r="D11348" t="s">
        <v>183</v>
      </c>
      <c r="E11348" t="s">
        <v>7</v>
      </c>
      <c r="F11348">
        <v>5.4633054733276367</v>
      </c>
    </row>
    <row r="11349" spans="2:6">
      <c r="B11349">
        <v>2012</v>
      </c>
      <c r="C11349" t="s">
        <v>124</v>
      </c>
      <c r="D11349" t="s">
        <v>183</v>
      </c>
      <c r="E11349" t="s">
        <v>9</v>
      </c>
      <c r="F11349">
        <v>0.87115007638931274</v>
      </c>
    </row>
    <row r="11350" spans="2:6">
      <c r="B11350">
        <v>2012</v>
      </c>
      <c r="C11350" t="s">
        <v>124</v>
      </c>
      <c r="D11350" t="s">
        <v>183</v>
      </c>
      <c r="E11350" t="s">
        <v>11</v>
      </c>
      <c r="F11350">
        <v>0.69256764650344849</v>
      </c>
    </row>
    <row r="11351" spans="2:6">
      <c r="B11351">
        <v>2012</v>
      </c>
      <c r="C11351" t="s">
        <v>124</v>
      </c>
      <c r="D11351" t="s">
        <v>183</v>
      </c>
      <c r="E11351" t="s">
        <v>13</v>
      </c>
      <c r="F11351">
        <v>0.85472965240478516</v>
      </c>
    </row>
    <row r="11352" spans="2:6">
      <c r="B11352">
        <v>2012</v>
      </c>
      <c r="C11352" t="s">
        <v>124</v>
      </c>
      <c r="D11352" t="s">
        <v>183</v>
      </c>
      <c r="E11352" t="s">
        <v>14</v>
      </c>
      <c r="F11352">
        <v>0.70923608541488647</v>
      </c>
    </row>
    <row r="11353" spans="2:6">
      <c r="B11353">
        <v>2012</v>
      </c>
      <c r="C11353" t="s">
        <v>124</v>
      </c>
      <c r="D11353" t="s">
        <v>183</v>
      </c>
      <c r="E11353" t="s">
        <v>15</v>
      </c>
      <c r="F11353">
        <v>0.40543466806411743</v>
      </c>
    </row>
    <row r="11354" spans="2:6">
      <c r="B11354">
        <v>2013</v>
      </c>
      <c r="C11354" t="s">
        <v>124</v>
      </c>
      <c r="D11354" t="s">
        <v>183</v>
      </c>
      <c r="E11354" t="s">
        <v>7</v>
      </c>
      <c r="F11354">
        <v>5.5668025016784668</v>
      </c>
    </row>
    <row r="11355" spans="2:6">
      <c r="B11355">
        <v>2013</v>
      </c>
      <c r="C11355" t="s">
        <v>124</v>
      </c>
      <c r="D11355" t="s">
        <v>183</v>
      </c>
      <c r="E11355" t="s">
        <v>9</v>
      </c>
      <c r="F11355">
        <v>0.86927419900894165</v>
      </c>
    </row>
    <row r="11356" spans="2:6">
      <c r="B11356">
        <v>2013</v>
      </c>
      <c r="C11356" t="s">
        <v>124</v>
      </c>
      <c r="D11356" t="s">
        <v>183</v>
      </c>
      <c r="E11356" t="s">
        <v>11</v>
      </c>
      <c r="F11356">
        <v>0.77538329362869263</v>
      </c>
    </row>
    <row r="11357" spans="2:6">
      <c r="B11357">
        <v>2013</v>
      </c>
      <c r="C11357" t="s">
        <v>124</v>
      </c>
      <c r="D11357" t="s">
        <v>183</v>
      </c>
      <c r="E11357" t="s">
        <v>13</v>
      </c>
      <c r="F11357">
        <v>0.71535617113113403</v>
      </c>
    </row>
    <row r="11358" spans="2:6">
      <c r="B11358">
        <v>2013</v>
      </c>
      <c r="C11358" t="s">
        <v>124</v>
      </c>
      <c r="D11358" t="s">
        <v>183</v>
      </c>
      <c r="E11358" t="s">
        <v>14</v>
      </c>
      <c r="F11358">
        <v>0.62155359983444214</v>
      </c>
    </row>
    <row r="11359" spans="2:6">
      <c r="B11359">
        <v>2013</v>
      </c>
      <c r="C11359" t="s">
        <v>124</v>
      </c>
      <c r="D11359" t="s">
        <v>183</v>
      </c>
      <c r="E11359" t="s">
        <v>15</v>
      </c>
      <c r="F11359">
        <v>0.44297236204147339</v>
      </c>
    </row>
    <row r="11360" spans="2:6">
      <c r="B11360">
        <v>2014</v>
      </c>
      <c r="C11360" t="s">
        <v>124</v>
      </c>
      <c r="D11360" t="s">
        <v>183</v>
      </c>
      <c r="E11360" t="s">
        <v>7</v>
      </c>
      <c r="F11360">
        <v>5.7859787940979004</v>
      </c>
    </row>
    <row r="11361" spans="2:6">
      <c r="B11361">
        <v>2014</v>
      </c>
      <c r="C11361" t="s">
        <v>124</v>
      </c>
      <c r="D11361" t="s">
        <v>183</v>
      </c>
      <c r="E11361" t="s">
        <v>9</v>
      </c>
      <c r="F11361">
        <v>0.80180168151855469</v>
      </c>
    </row>
    <row r="11362" spans="2:6">
      <c r="B11362">
        <v>2014</v>
      </c>
      <c r="C11362" t="s">
        <v>124</v>
      </c>
      <c r="D11362" t="s">
        <v>183</v>
      </c>
      <c r="E11362" t="s">
        <v>11</v>
      </c>
      <c r="F11362">
        <v>0.8296772837638855</v>
      </c>
    </row>
    <row r="11363" spans="2:6">
      <c r="B11363">
        <v>2014</v>
      </c>
      <c r="C11363" t="s">
        <v>124</v>
      </c>
      <c r="D11363" t="s">
        <v>183</v>
      </c>
      <c r="E11363" t="s">
        <v>13</v>
      </c>
      <c r="F11363">
        <v>0.69222128391265869</v>
      </c>
    </row>
    <row r="11364" spans="2:6">
      <c r="B11364">
        <v>2014</v>
      </c>
      <c r="C11364" t="s">
        <v>124</v>
      </c>
      <c r="D11364" t="s">
        <v>183</v>
      </c>
      <c r="E11364" t="s">
        <v>14</v>
      </c>
      <c r="F11364">
        <v>0.72384178638458252</v>
      </c>
    </row>
    <row r="11365" spans="2:6">
      <c r="B11365">
        <v>2014</v>
      </c>
      <c r="C11365" t="s">
        <v>124</v>
      </c>
      <c r="D11365" t="s">
        <v>183</v>
      </c>
      <c r="E11365" t="s">
        <v>15</v>
      </c>
      <c r="F11365">
        <v>0.31133586168289185</v>
      </c>
    </row>
    <row r="11366" spans="2:6">
      <c r="B11366">
        <v>2015</v>
      </c>
      <c r="C11366" t="s">
        <v>124</v>
      </c>
      <c r="D11366" t="s">
        <v>183</v>
      </c>
      <c r="E11366" t="s">
        <v>7</v>
      </c>
      <c r="F11366">
        <v>5.8425502777099609</v>
      </c>
    </row>
    <row r="11367" spans="2:6">
      <c r="B11367">
        <v>2015</v>
      </c>
      <c r="C11367" t="s">
        <v>124</v>
      </c>
      <c r="D11367" t="s">
        <v>183</v>
      </c>
      <c r="E11367" t="s">
        <v>9</v>
      </c>
      <c r="F11367">
        <v>0.79138273000717163</v>
      </c>
    </row>
    <row r="11368" spans="2:6">
      <c r="B11368">
        <v>2015</v>
      </c>
      <c r="C11368" t="s">
        <v>124</v>
      </c>
      <c r="D11368" t="s">
        <v>183</v>
      </c>
      <c r="E11368" t="s">
        <v>11</v>
      </c>
      <c r="F11368">
        <v>0.78535282611846924</v>
      </c>
    </row>
    <row r="11369" spans="2:6">
      <c r="B11369">
        <v>2015</v>
      </c>
      <c r="C11369" t="s">
        <v>124</v>
      </c>
      <c r="D11369" t="s">
        <v>183</v>
      </c>
      <c r="E11369" t="s">
        <v>13</v>
      </c>
      <c r="F11369">
        <v>0.65918028354644775</v>
      </c>
    </row>
    <row r="11370" spans="2:6">
      <c r="B11370">
        <v>2015</v>
      </c>
      <c r="C11370" t="s">
        <v>124</v>
      </c>
      <c r="D11370" t="s">
        <v>183</v>
      </c>
      <c r="E11370" t="s">
        <v>14</v>
      </c>
      <c r="F11370">
        <v>0.70160919427871704</v>
      </c>
    </row>
    <row r="11371" spans="2:6">
      <c r="B11371">
        <v>2015</v>
      </c>
      <c r="C11371" t="s">
        <v>124</v>
      </c>
      <c r="D11371" t="s">
        <v>183</v>
      </c>
      <c r="E11371" t="s">
        <v>15</v>
      </c>
      <c r="F11371">
        <v>0.31893017888069153</v>
      </c>
    </row>
    <row r="11372" spans="2:6">
      <c r="B11372">
        <v>2016</v>
      </c>
      <c r="C11372" t="s">
        <v>124</v>
      </c>
      <c r="D11372" t="s">
        <v>183</v>
      </c>
      <c r="E11372" t="s">
        <v>7</v>
      </c>
      <c r="F11372">
        <v>5.8271279335021973</v>
      </c>
    </row>
    <row r="11373" spans="2:6">
      <c r="B11373">
        <v>2016</v>
      </c>
      <c r="C11373" t="s">
        <v>124</v>
      </c>
      <c r="D11373" t="s">
        <v>183</v>
      </c>
      <c r="E11373" t="s">
        <v>9</v>
      </c>
      <c r="F11373">
        <v>0.80769026279449463</v>
      </c>
    </row>
    <row r="11374" spans="2:6">
      <c r="B11374">
        <v>2016</v>
      </c>
      <c r="C11374" t="s">
        <v>124</v>
      </c>
      <c r="D11374" t="s">
        <v>183</v>
      </c>
      <c r="E11374" t="s">
        <v>11</v>
      </c>
      <c r="F11374">
        <v>0.79623383283615112</v>
      </c>
    </row>
    <row r="11375" spans="2:6">
      <c r="B11375">
        <v>2016</v>
      </c>
      <c r="C11375" t="s">
        <v>124</v>
      </c>
      <c r="D11375" t="s">
        <v>183</v>
      </c>
      <c r="E11375" t="s">
        <v>13</v>
      </c>
      <c r="F11375">
        <v>0.67019140720367432</v>
      </c>
    </row>
    <row r="11376" spans="2:6">
      <c r="B11376">
        <v>2016</v>
      </c>
      <c r="C11376" t="s">
        <v>124</v>
      </c>
      <c r="D11376" t="s">
        <v>183</v>
      </c>
      <c r="E11376" t="s">
        <v>14</v>
      </c>
      <c r="F11376">
        <v>0.64366436004638672</v>
      </c>
    </row>
    <row r="11377" spans="2:6">
      <c r="B11377">
        <v>2016</v>
      </c>
      <c r="C11377" t="s">
        <v>124</v>
      </c>
      <c r="D11377" t="s">
        <v>183</v>
      </c>
      <c r="E11377" t="s">
        <v>15</v>
      </c>
      <c r="F11377">
        <v>0.34646537899971008</v>
      </c>
    </row>
    <row r="11378" spans="2:6">
      <c r="B11378">
        <v>2018</v>
      </c>
      <c r="C11378" t="s">
        <v>124</v>
      </c>
      <c r="D11378" t="s">
        <v>183</v>
      </c>
      <c r="E11378" t="s">
        <v>7</v>
      </c>
      <c r="F11378">
        <v>5.6080560684204102</v>
      </c>
    </row>
    <row r="11379" spans="2:6">
      <c r="B11379">
        <v>2018</v>
      </c>
      <c r="C11379" t="s">
        <v>124</v>
      </c>
      <c r="D11379" t="s">
        <v>183</v>
      </c>
      <c r="E11379" t="s">
        <v>9</v>
      </c>
      <c r="F11379">
        <v>0.83739179372787476</v>
      </c>
    </row>
    <row r="11380" spans="2:6">
      <c r="B11380">
        <v>2018</v>
      </c>
      <c r="C11380" t="s">
        <v>124</v>
      </c>
      <c r="D11380" t="s">
        <v>183</v>
      </c>
      <c r="E11380" t="s">
        <v>11</v>
      </c>
      <c r="F11380">
        <v>0.7970660924911499</v>
      </c>
    </row>
    <row r="11381" spans="2:6">
      <c r="B11381">
        <v>2018</v>
      </c>
      <c r="C11381" t="s">
        <v>124</v>
      </c>
      <c r="D11381" t="s">
        <v>183</v>
      </c>
      <c r="E11381" t="s">
        <v>13</v>
      </c>
      <c r="F11381">
        <v>0.61383700370788574</v>
      </c>
    </row>
    <row r="11382" spans="2:6">
      <c r="B11382">
        <v>2018</v>
      </c>
      <c r="C11382" t="s">
        <v>124</v>
      </c>
      <c r="D11382" t="s">
        <v>183</v>
      </c>
      <c r="E11382" t="s">
        <v>14</v>
      </c>
      <c r="F11382">
        <v>0.48045310378074646</v>
      </c>
    </row>
    <row r="11383" spans="2:6">
      <c r="B11383">
        <v>2018</v>
      </c>
      <c r="C11383" t="s">
        <v>124</v>
      </c>
      <c r="D11383" t="s">
        <v>183</v>
      </c>
      <c r="E11383" t="s">
        <v>15</v>
      </c>
      <c r="F11383">
        <v>0.26186782121658325</v>
      </c>
    </row>
    <row r="11384" spans="2:6">
      <c r="B11384">
        <v>2019</v>
      </c>
      <c r="C11384" t="s">
        <v>124</v>
      </c>
      <c r="D11384" t="s">
        <v>183</v>
      </c>
      <c r="E11384" t="s">
        <v>7</v>
      </c>
      <c r="F11384">
        <v>5.4666152000427246</v>
      </c>
    </row>
    <row r="11385" spans="2:6">
      <c r="B11385">
        <v>2019</v>
      </c>
      <c r="C11385" t="s">
        <v>124</v>
      </c>
      <c r="D11385" t="s">
        <v>183</v>
      </c>
      <c r="E11385" t="s">
        <v>9</v>
      </c>
      <c r="F11385">
        <v>0.80329453945159912</v>
      </c>
    </row>
    <row r="11386" spans="2:6">
      <c r="B11386">
        <v>2019</v>
      </c>
      <c r="C11386" t="s">
        <v>124</v>
      </c>
      <c r="D11386" t="s">
        <v>183</v>
      </c>
      <c r="E11386" t="s">
        <v>11</v>
      </c>
      <c r="F11386">
        <v>0.79273462295532227</v>
      </c>
    </row>
    <row r="11387" spans="2:6">
      <c r="B11387">
        <v>2019</v>
      </c>
      <c r="C11387" t="s">
        <v>124</v>
      </c>
      <c r="D11387" t="s">
        <v>183</v>
      </c>
      <c r="E11387" t="s">
        <v>13</v>
      </c>
      <c r="F11387">
        <v>0.64005887508392334</v>
      </c>
    </row>
    <row r="11388" spans="2:6">
      <c r="B11388">
        <v>2019</v>
      </c>
      <c r="C11388" t="s">
        <v>124</v>
      </c>
      <c r="D11388" t="s">
        <v>183</v>
      </c>
      <c r="E11388" t="s">
        <v>14</v>
      </c>
      <c r="F11388">
        <v>0.49369287490844727</v>
      </c>
    </row>
    <row r="11389" spans="2:6">
      <c r="B11389">
        <v>2019</v>
      </c>
      <c r="C11389" t="s">
        <v>124</v>
      </c>
      <c r="D11389" t="s">
        <v>183</v>
      </c>
      <c r="E11389" t="s">
        <v>15</v>
      </c>
      <c r="F11389">
        <v>0.29641112685203552</v>
      </c>
    </row>
    <row r="11390" spans="2:6">
      <c r="B11390">
        <v>2007</v>
      </c>
      <c r="C11390" t="s">
        <v>125</v>
      </c>
      <c r="D11390" t="s">
        <v>183</v>
      </c>
      <c r="E11390" t="s">
        <v>7</v>
      </c>
      <c r="F11390">
        <v>4.493598461151123</v>
      </c>
    </row>
    <row r="11391" spans="2:6">
      <c r="B11391">
        <v>2007</v>
      </c>
      <c r="C11391" t="s">
        <v>125</v>
      </c>
      <c r="D11391" t="s">
        <v>183</v>
      </c>
      <c r="E11391" t="s">
        <v>8</v>
      </c>
      <c r="F11391">
        <v>9.416015625</v>
      </c>
    </row>
    <row r="11392" spans="2:6">
      <c r="B11392">
        <v>2007</v>
      </c>
      <c r="C11392" t="s">
        <v>125</v>
      </c>
      <c r="D11392" t="s">
        <v>183</v>
      </c>
      <c r="E11392" t="s">
        <v>9</v>
      </c>
      <c r="F11392">
        <v>0.81053793430328369</v>
      </c>
    </row>
    <row r="11393" spans="2:6">
      <c r="B11393">
        <v>2007</v>
      </c>
      <c r="C11393" t="s">
        <v>125</v>
      </c>
      <c r="D11393" t="s">
        <v>183</v>
      </c>
      <c r="E11393" t="s">
        <v>10</v>
      </c>
      <c r="F11393">
        <v>64.09466552734375</v>
      </c>
    </row>
    <row r="11394" spans="2:6">
      <c r="B11394">
        <v>2007</v>
      </c>
      <c r="C11394" t="s">
        <v>125</v>
      </c>
      <c r="D11394" t="s">
        <v>183</v>
      </c>
      <c r="E11394" t="s">
        <v>11</v>
      </c>
      <c r="F11394">
        <v>0.43939977884292603</v>
      </c>
    </row>
    <row r="11395" spans="2:6">
      <c r="B11395">
        <v>2007</v>
      </c>
      <c r="C11395" t="s">
        <v>125</v>
      </c>
      <c r="D11395" t="s">
        <v>183</v>
      </c>
      <c r="E11395" t="s">
        <v>12</v>
      </c>
      <c r="F11395">
        <v>7.9751841723918915E-2</v>
      </c>
    </row>
    <row r="11396" spans="2:6">
      <c r="B11396">
        <v>2007</v>
      </c>
      <c r="C11396" t="s">
        <v>125</v>
      </c>
      <c r="D11396" t="s">
        <v>183</v>
      </c>
      <c r="E11396" t="s">
        <v>13</v>
      </c>
      <c r="F11396">
        <v>0.86954593658447266</v>
      </c>
    </row>
    <row r="11397" spans="2:6">
      <c r="B11397">
        <v>2007</v>
      </c>
      <c r="C11397" t="s">
        <v>125</v>
      </c>
      <c r="D11397" t="s">
        <v>183</v>
      </c>
      <c r="E11397" t="s">
        <v>14</v>
      </c>
      <c r="F11397">
        <v>0.60294610261917114</v>
      </c>
    </row>
    <row r="11398" spans="2:6">
      <c r="B11398">
        <v>2007</v>
      </c>
      <c r="C11398" t="s">
        <v>125</v>
      </c>
      <c r="D11398" t="s">
        <v>183</v>
      </c>
      <c r="E11398" t="s">
        <v>15</v>
      </c>
      <c r="F11398">
        <v>0.25112289190292358</v>
      </c>
    </row>
    <row r="11399" spans="2:6">
      <c r="B11399">
        <v>2009</v>
      </c>
      <c r="C11399" t="s">
        <v>125</v>
      </c>
      <c r="D11399" t="s">
        <v>183</v>
      </c>
      <c r="E11399" t="s">
        <v>7</v>
      </c>
      <c r="F11399">
        <v>4.4280219078063965</v>
      </c>
    </row>
    <row r="11400" spans="2:6">
      <c r="B11400">
        <v>2009</v>
      </c>
      <c r="C11400" t="s">
        <v>125</v>
      </c>
      <c r="D11400" t="s">
        <v>183</v>
      </c>
      <c r="E11400" t="s">
        <v>8</v>
      </c>
      <c r="F11400">
        <v>9.4639501571655273</v>
      </c>
    </row>
    <row r="11401" spans="2:6">
      <c r="B11401">
        <v>2009</v>
      </c>
      <c r="C11401" t="s">
        <v>125</v>
      </c>
      <c r="D11401" t="s">
        <v>183</v>
      </c>
      <c r="E11401" t="s">
        <v>9</v>
      </c>
      <c r="F11401">
        <v>0.73443096876144409</v>
      </c>
    </row>
    <row r="11402" spans="2:6">
      <c r="B11402">
        <v>2009</v>
      </c>
      <c r="C11402" t="s">
        <v>125</v>
      </c>
      <c r="D11402" t="s">
        <v>183</v>
      </c>
      <c r="E11402" t="s">
        <v>10</v>
      </c>
      <c r="F11402">
        <v>64.348663330078125</v>
      </c>
    </row>
    <row r="11403" spans="2:6">
      <c r="B11403">
        <v>2009</v>
      </c>
      <c r="C11403" t="s">
        <v>125</v>
      </c>
      <c r="D11403" t="s">
        <v>183</v>
      </c>
      <c r="E11403" t="s">
        <v>11</v>
      </c>
      <c r="F11403">
        <v>0.55217373371124268</v>
      </c>
    </row>
    <row r="11404" spans="2:6">
      <c r="B11404">
        <v>2009</v>
      </c>
      <c r="C11404" t="s">
        <v>125</v>
      </c>
      <c r="D11404" t="s">
        <v>183</v>
      </c>
      <c r="E11404" t="s">
        <v>12</v>
      </c>
      <c r="F11404">
        <v>-4.2020086199045181E-2</v>
      </c>
    </row>
    <row r="11405" spans="2:6">
      <c r="B11405">
        <v>2009</v>
      </c>
      <c r="C11405" t="s">
        <v>125</v>
      </c>
      <c r="D11405" t="s">
        <v>183</v>
      </c>
      <c r="E11405" t="s">
        <v>13</v>
      </c>
      <c r="F11405">
        <v>0.84391576051712036</v>
      </c>
    </row>
    <row r="11406" spans="2:6">
      <c r="B11406">
        <v>2009</v>
      </c>
      <c r="C11406" t="s">
        <v>125</v>
      </c>
      <c r="D11406" t="s">
        <v>183</v>
      </c>
      <c r="E11406" t="s">
        <v>14</v>
      </c>
      <c r="F11406">
        <v>0.57555246353149414</v>
      </c>
    </row>
    <row r="11407" spans="2:6">
      <c r="B11407">
        <v>2009</v>
      </c>
      <c r="C11407" t="s">
        <v>125</v>
      </c>
      <c r="D11407" t="s">
        <v>183</v>
      </c>
      <c r="E11407" t="s">
        <v>15</v>
      </c>
      <c r="F11407">
        <v>0.37005382776260376</v>
      </c>
    </row>
    <row r="11408" spans="2:6">
      <c r="B11408">
        <v>2010</v>
      </c>
      <c r="C11408" t="s">
        <v>125</v>
      </c>
      <c r="D11408" t="s">
        <v>183</v>
      </c>
      <c r="E11408" t="s">
        <v>7</v>
      </c>
      <c r="F11408">
        <v>4.1802020072937012</v>
      </c>
    </row>
    <row r="11409" spans="2:6">
      <c r="B11409">
        <v>2010</v>
      </c>
      <c r="C11409" t="s">
        <v>125</v>
      </c>
      <c r="D11409" t="s">
        <v>183</v>
      </c>
      <c r="E11409" t="s">
        <v>8</v>
      </c>
      <c r="F11409">
        <v>9.4961633682250977</v>
      </c>
    </row>
    <row r="11410" spans="2:6">
      <c r="B11410">
        <v>2010</v>
      </c>
      <c r="C11410" t="s">
        <v>125</v>
      </c>
      <c r="D11410" t="s">
        <v>183</v>
      </c>
      <c r="E11410" t="s">
        <v>9</v>
      </c>
      <c r="F11410">
        <v>0.6868547797203064</v>
      </c>
    </row>
    <row r="11411" spans="2:6">
      <c r="B11411">
        <v>2010</v>
      </c>
      <c r="C11411" t="s">
        <v>125</v>
      </c>
      <c r="D11411" t="s">
        <v>183</v>
      </c>
      <c r="E11411" t="s">
        <v>10</v>
      </c>
      <c r="F11411">
        <v>64.50244140625</v>
      </c>
    </row>
    <row r="11412" spans="2:6">
      <c r="B11412">
        <v>2010</v>
      </c>
      <c r="C11412" t="s">
        <v>125</v>
      </c>
      <c r="D11412" t="s">
        <v>183</v>
      </c>
      <c r="E11412" t="s">
        <v>11</v>
      </c>
      <c r="F11412">
        <v>0.51318395137786865</v>
      </c>
    </row>
    <row r="11413" spans="2:6">
      <c r="B11413">
        <v>2010</v>
      </c>
      <c r="C11413" t="s">
        <v>125</v>
      </c>
      <c r="D11413" t="s">
        <v>183</v>
      </c>
      <c r="E11413" t="s">
        <v>12</v>
      </c>
      <c r="F11413">
        <v>-5.8499272912740707E-2</v>
      </c>
    </row>
    <row r="11414" spans="2:6">
      <c r="B11414">
        <v>2010</v>
      </c>
      <c r="C11414" t="s">
        <v>125</v>
      </c>
      <c r="D11414" t="s">
        <v>183</v>
      </c>
      <c r="E11414" t="s">
        <v>13</v>
      </c>
      <c r="F11414">
        <v>0.85645264387130737</v>
      </c>
    </row>
    <row r="11415" spans="2:6">
      <c r="B11415">
        <v>2010</v>
      </c>
      <c r="C11415" t="s">
        <v>125</v>
      </c>
      <c r="D11415" t="s">
        <v>183</v>
      </c>
      <c r="E11415" t="s">
        <v>14</v>
      </c>
      <c r="F11415">
        <v>0.56694424152374268</v>
      </c>
    </row>
    <row r="11416" spans="2:6">
      <c r="B11416">
        <v>2010</v>
      </c>
      <c r="C11416" t="s">
        <v>125</v>
      </c>
      <c r="D11416" t="s">
        <v>183</v>
      </c>
      <c r="E11416" t="s">
        <v>15</v>
      </c>
      <c r="F11416">
        <v>0.31381905078887939</v>
      </c>
    </row>
    <row r="11417" spans="2:6">
      <c r="B11417">
        <v>2011</v>
      </c>
      <c r="C11417" t="s">
        <v>125</v>
      </c>
      <c r="D11417" t="s">
        <v>183</v>
      </c>
      <c r="E11417" t="s">
        <v>7</v>
      </c>
      <c r="F11417">
        <v>4.8981800079345703</v>
      </c>
    </row>
    <row r="11418" spans="2:6">
      <c r="B11418">
        <v>2011</v>
      </c>
      <c r="C11418" t="s">
        <v>125</v>
      </c>
      <c r="D11418" t="s">
        <v>183</v>
      </c>
      <c r="E11418" t="s">
        <v>8</v>
      </c>
      <c r="F11418">
        <v>9.5184497833251953</v>
      </c>
    </row>
    <row r="11419" spans="2:6">
      <c r="B11419">
        <v>2011</v>
      </c>
      <c r="C11419" t="s">
        <v>125</v>
      </c>
      <c r="D11419" t="s">
        <v>183</v>
      </c>
      <c r="E11419" t="s">
        <v>9</v>
      </c>
      <c r="F11419">
        <v>0.78430008888244629</v>
      </c>
    </row>
    <row r="11420" spans="2:6">
      <c r="B11420">
        <v>2011</v>
      </c>
      <c r="C11420" t="s">
        <v>125</v>
      </c>
      <c r="D11420" t="s">
        <v>183</v>
      </c>
      <c r="E11420" t="s">
        <v>10</v>
      </c>
      <c r="F11420">
        <v>64.661399841308594</v>
      </c>
    </row>
    <row r="11421" spans="2:6">
      <c r="B11421">
        <v>2011</v>
      </c>
      <c r="C11421" t="s">
        <v>125</v>
      </c>
      <c r="D11421" t="s">
        <v>183</v>
      </c>
      <c r="E11421" t="s">
        <v>11</v>
      </c>
      <c r="F11421">
        <v>0.60746324062347412</v>
      </c>
    </row>
    <row r="11422" spans="2:6">
      <c r="B11422">
        <v>2011</v>
      </c>
      <c r="C11422" t="s">
        <v>125</v>
      </c>
      <c r="D11422" t="s">
        <v>183</v>
      </c>
      <c r="E11422" t="s">
        <v>12</v>
      </c>
      <c r="F11422">
        <v>-8.7268345057964325E-2</v>
      </c>
    </row>
    <row r="11423" spans="2:6">
      <c r="B11423">
        <v>2011</v>
      </c>
      <c r="C11423" t="s">
        <v>125</v>
      </c>
      <c r="D11423" t="s">
        <v>183</v>
      </c>
      <c r="E11423" t="s">
        <v>13</v>
      </c>
      <c r="F11423">
        <v>0.86506247520446777</v>
      </c>
    </row>
    <row r="11424" spans="2:6">
      <c r="B11424">
        <v>2011</v>
      </c>
      <c r="C11424" t="s">
        <v>125</v>
      </c>
      <c r="D11424" t="s">
        <v>183</v>
      </c>
      <c r="E11424" t="s">
        <v>14</v>
      </c>
      <c r="F11424">
        <v>0.5883365273475647</v>
      </c>
    </row>
    <row r="11425" spans="2:6">
      <c r="B11425">
        <v>2011</v>
      </c>
      <c r="C11425" t="s">
        <v>125</v>
      </c>
      <c r="D11425" t="s">
        <v>183</v>
      </c>
      <c r="E11425" t="s">
        <v>15</v>
      </c>
      <c r="F11425">
        <v>0.36275061964988708</v>
      </c>
    </row>
    <row r="11426" spans="2:6">
      <c r="B11426">
        <v>2012</v>
      </c>
      <c r="C11426" t="s">
        <v>125</v>
      </c>
      <c r="D11426" t="s">
        <v>183</v>
      </c>
      <c r="E11426" t="s">
        <v>7</v>
      </c>
      <c r="F11426">
        <v>4.6396474838256836</v>
      </c>
    </row>
    <row r="11427" spans="2:6">
      <c r="B11427">
        <v>2012</v>
      </c>
      <c r="C11427" t="s">
        <v>125</v>
      </c>
      <c r="D11427" t="s">
        <v>183</v>
      </c>
      <c r="E11427" t="s">
        <v>8</v>
      </c>
      <c r="F11427">
        <v>9.5130138397216797</v>
      </c>
    </row>
    <row r="11428" spans="2:6">
      <c r="B11428">
        <v>2012</v>
      </c>
      <c r="C11428" t="s">
        <v>125</v>
      </c>
      <c r="D11428" t="s">
        <v>183</v>
      </c>
      <c r="E11428" t="s">
        <v>9</v>
      </c>
      <c r="F11428">
        <v>0.79830503463745117</v>
      </c>
    </row>
    <row r="11429" spans="2:6">
      <c r="B11429">
        <v>2012</v>
      </c>
      <c r="C11429" t="s">
        <v>125</v>
      </c>
      <c r="D11429" t="s">
        <v>183</v>
      </c>
      <c r="E11429" t="s">
        <v>10</v>
      </c>
      <c r="F11429">
        <v>64.810859680175781</v>
      </c>
    </row>
    <row r="11430" spans="2:6">
      <c r="B11430">
        <v>2012</v>
      </c>
      <c r="C11430" t="s">
        <v>125</v>
      </c>
      <c r="D11430" t="s">
        <v>183</v>
      </c>
      <c r="E11430" t="s">
        <v>11</v>
      </c>
      <c r="F11430">
        <v>0.61305570602416992</v>
      </c>
    </row>
    <row r="11431" spans="2:6">
      <c r="B11431">
        <v>2012</v>
      </c>
      <c r="C11431" t="s">
        <v>125</v>
      </c>
      <c r="D11431" t="s">
        <v>183</v>
      </c>
      <c r="E11431" t="s">
        <v>12</v>
      </c>
      <c r="F11431">
        <v>-8.4413997828960419E-2</v>
      </c>
    </row>
    <row r="11432" spans="2:6">
      <c r="B11432">
        <v>2012</v>
      </c>
      <c r="C11432" t="s">
        <v>125</v>
      </c>
      <c r="D11432" t="s">
        <v>183</v>
      </c>
      <c r="E11432" t="s">
        <v>13</v>
      </c>
      <c r="F11432">
        <v>0.91984516382217407</v>
      </c>
    </row>
    <row r="11433" spans="2:6">
      <c r="B11433">
        <v>2012</v>
      </c>
      <c r="C11433" t="s">
        <v>125</v>
      </c>
      <c r="D11433" t="s">
        <v>183</v>
      </c>
      <c r="E11433" t="s">
        <v>14</v>
      </c>
      <c r="F11433">
        <v>0.64188683032989502</v>
      </c>
    </row>
    <row r="11434" spans="2:6">
      <c r="B11434">
        <v>2012</v>
      </c>
      <c r="C11434" t="s">
        <v>125</v>
      </c>
      <c r="D11434" t="s">
        <v>183</v>
      </c>
      <c r="E11434" t="s">
        <v>15</v>
      </c>
      <c r="F11434">
        <v>0.42175191640853882</v>
      </c>
    </row>
    <row r="11435" spans="2:6">
      <c r="B11435">
        <v>2013</v>
      </c>
      <c r="C11435" t="s">
        <v>125</v>
      </c>
      <c r="D11435" t="s">
        <v>183</v>
      </c>
      <c r="E11435" t="s">
        <v>7</v>
      </c>
      <c r="F11435">
        <v>5.1861906051635742</v>
      </c>
    </row>
    <row r="11436" spans="2:6">
      <c r="B11436">
        <v>2013</v>
      </c>
      <c r="C11436" t="s">
        <v>125</v>
      </c>
      <c r="D11436" t="s">
        <v>183</v>
      </c>
      <c r="E11436" t="s">
        <v>8</v>
      </c>
      <c r="F11436">
        <v>9.540985107421875</v>
      </c>
    </row>
    <row r="11437" spans="2:6">
      <c r="B11437">
        <v>2013</v>
      </c>
      <c r="C11437" t="s">
        <v>125</v>
      </c>
      <c r="D11437" t="s">
        <v>183</v>
      </c>
      <c r="E11437" t="s">
        <v>9</v>
      </c>
      <c r="F11437">
        <v>0.83225375413894653</v>
      </c>
    </row>
    <row r="11438" spans="2:6">
      <c r="B11438">
        <v>2013</v>
      </c>
      <c r="C11438" t="s">
        <v>125</v>
      </c>
      <c r="D11438" t="s">
        <v>183</v>
      </c>
      <c r="E11438" t="s">
        <v>10</v>
      </c>
      <c r="F11438">
        <v>64.942176818847656</v>
      </c>
    </row>
    <row r="11439" spans="2:6">
      <c r="B11439">
        <v>2013</v>
      </c>
      <c r="C11439" t="s">
        <v>125</v>
      </c>
      <c r="D11439" t="s">
        <v>183</v>
      </c>
      <c r="E11439" t="s">
        <v>11</v>
      </c>
      <c r="F11439">
        <v>0.64095264673233032</v>
      </c>
    </row>
    <row r="11440" spans="2:6">
      <c r="B11440">
        <v>2013</v>
      </c>
      <c r="C11440" t="s">
        <v>125</v>
      </c>
      <c r="D11440" t="s">
        <v>183</v>
      </c>
      <c r="E11440" t="s">
        <v>12</v>
      </c>
      <c r="F11440">
        <v>2.460414357483387E-2</v>
      </c>
    </row>
    <row r="11441" spans="2:6">
      <c r="B11441">
        <v>2013</v>
      </c>
      <c r="C11441" t="s">
        <v>125</v>
      </c>
      <c r="D11441" t="s">
        <v>183</v>
      </c>
      <c r="E11441" t="s">
        <v>13</v>
      </c>
      <c r="F11441">
        <v>0.86054110527038574</v>
      </c>
    </row>
    <row r="11442" spans="2:6">
      <c r="B11442">
        <v>2013</v>
      </c>
      <c r="C11442" t="s">
        <v>125</v>
      </c>
      <c r="D11442" t="s">
        <v>183</v>
      </c>
      <c r="E11442" t="s">
        <v>14</v>
      </c>
      <c r="F11442">
        <v>0.57791155576705933</v>
      </c>
    </row>
    <row r="11443" spans="2:6">
      <c r="B11443">
        <v>2013</v>
      </c>
      <c r="C11443" t="s">
        <v>125</v>
      </c>
      <c r="D11443" t="s">
        <v>183</v>
      </c>
      <c r="E11443" t="s">
        <v>15</v>
      </c>
      <c r="F11443">
        <v>0.33087566494941711</v>
      </c>
    </row>
    <row r="11444" spans="2:6">
      <c r="B11444">
        <v>2014</v>
      </c>
      <c r="C11444" t="s">
        <v>125</v>
      </c>
      <c r="D11444" t="s">
        <v>183</v>
      </c>
      <c r="E11444" t="s">
        <v>7</v>
      </c>
      <c r="F11444">
        <v>5.2038259506225586</v>
      </c>
    </row>
    <row r="11445" spans="2:6">
      <c r="B11445">
        <v>2014</v>
      </c>
      <c r="C11445" t="s">
        <v>125</v>
      </c>
      <c r="D11445" t="s">
        <v>183</v>
      </c>
      <c r="E11445" t="s">
        <v>8</v>
      </c>
      <c r="F11445">
        <v>9.575810432434082</v>
      </c>
    </row>
    <row r="11446" spans="2:6">
      <c r="B11446">
        <v>2014</v>
      </c>
      <c r="C11446" t="s">
        <v>125</v>
      </c>
      <c r="D11446" t="s">
        <v>183</v>
      </c>
      <c r="E11446" t="s">
        <v>9</v>
      </c>
      <c r="F11446">
        <v>0.79299813508987427</v>
      </c>
    </row>
    <row r="11447" spans="2:6">
      <c r="B11447">
        <v>2014</v>
      </c>
      <c r="C11447" t="s">
        <v>125</v>
      </c>
      <c r="D11447" t="s">
        <v>183</v>
      </c>
      <c r="E11447" t="s">
        <v>10</v>
      </c>
      <c r="F11447">
        <v>65.052764892578125</v>
      </c>
    </row>
    <row r="11448" spans="2:6">
      <c r="B11448">
        <v>2014</v>
      </c>
      <c r="C11448" t="s">
        <v>125</v>
      </c>
      <c r="D11448" t="s">
        <v>183</v>
      </c>
      <c r="E11448" t="s">
        <v>11</v>
      </c>
      <c r="F11448">
        <v>0.64474081993103027</v>
      </c>
    </row>
    <row r="11449" spans="2:6">
      <c r="B11449">
        <v>2014</v>
      </c>
      <c r="C11449" t="s">
        <v>125</v>
      </c>
      <c r="D11449" t="s">
        <v>183</v>
      </c>
      <c r="E11449" t="s">
        <v>12</v>
      </c>
      <c r="F11449">
        <v>3.463919460773468E-2</v>
      </c>
    </row>
    <row r="11450" spans="2:6">
      <c r="B11450">
        <v>2014</v>
      </c>
      <c r="C11450" t="s">
        <v>125</v>
      </c>
      <c r="D11450" t="s">
        <v>183</v>
      </c>
      <c r="E11450" t="s">
        <v>13</v>
      </c>
      <c r="F11450">
        <v>0.86059969663619995</v>
      </c>
    </row>
    <row r="11451" spans="2:6">
      <c r="B11451">
        <v>2014</v>
      </c>
      <c r="C11451" t="s">
        <v>125</v>
      </c>
      <c r="D11451" t="s">
        <v>183</v>
      </c>
      <c r="E11451" t="s">
        <v>14</v>
      </c>
      <c r="F11451">
        <v>0.63732820749282837</v>
      </c>
    </row>
    <row r="11452" spans="2:6">
      <c r="B11452">
        <v>2014</v>
      </c>
      <c r="C11452" t="s">
        <v>125</v>
      </c>
      <c r="D11452" t="s">
        <v>183</v>
      </c>
      <c r="E11452" t="s">
        <v>15</v>
      </c>
      <c r="F11452">
        <v>0.30699834227561951</v>
      </c>
    </row>
    <row r="11453" spans="2:6">
      <c r="B11453">
        <v>2015</v>
      </c>
      <c r="C11453" t="s">
        <v>125</v>
      </c>
      <c r="D11453" t="s">
        <v>183</v>
      </c>
      <c r="E11453" t="s">
        <v>7</v>
      </c>
      <c r="F11453">
        <v>4.9755897521972656</v>
      </c>
    </row>
    <row r="11454" spans="2:6">
      <c r="B11454">
        <v>2015</v>
      </c>
      <c r="C11454" t="s">
        <v>125</v>
      </c>
      <c r="D11454" t="s">
        <v>183</v>
      </c>
      <c r="E11454" t="s">
        <v>8</v>
      </c>
      <c r="F11454">
        <v>9.6128978729248047</v>
      </c>
    </row>
    <row r="11455" spans="2:6">
      <c r="B11455">
        <v>2015</v>
      </c>
      <c r="C11455" t="s">
        <v>125</v>
      </c>
      <c r="D11455" t="s">
        <v>183</v>
      </c>
      <c r="E11455" t="s">
        <v>9</v>
      </c>
      <c r="F11455">
        <v>0.76636815071105957</v>
      </c>
    </row>
    <row r="11456" spans="2:6">
      <c r="B11456">
        <v>2015</v>
      </c>
      <c r="C11456" t="s">
        <v>125</v>
      </c>
      <c r="D11456" t="s">
        <v>183</v>
      </c>
      <c r="E11456" t="s">
        <v>10</v>
      </c>
      <c r="F11456">
        <v>65.14520263671875</v>
      </c>
    </row>
    <row r="11457" spans="2:6">
      <c r="B11457">
        <v>2015</v>
      </c>
      <c r="C11457" t="s">
        <v>125</v>
      </c>
      <c r="D11457" t="s">
        <v>183</v>
      </c>
      <c r="E11457" t="s">
        <v>11</v>
      </c>
      <c r="F11457">
        <v>0.66031891107559204</v>
      </c>
    </row>
    <row r="11458" spans="2:6">
      <c r="B11458">
        <v>2015</v>
      </c>
      <c r="C11458" t="s">
        <v>125</v>
      </c>
      <c r="D11458" t="s">
        <v>183</v>
      </c>
      <c r="E11458" t="s">
        <v>12</v>
      </c>
      <c r="F11458">
        <v>-4.6561792492866516E-2</v>
      </c>
    </row>
    <row r="11459" spans="2:6">
      <c r="B11459">
        <v>2015</v>
      </c>
      <c r="C11459" t="s">
        <v>125</v>
      </c>
      <c r="D11459" t="s">
        <v>183</v>
      </c>
      <c r="E11459" t="s">
        <v>13</v>
      </c>
      <c r="F11459">
        <v>0.82417899370193481</v>
      </c>
    </row>
    <row r="11460" spans="2:6">
      <c r="B11460">
        <v>2015</v>
      </c>
      <c r="C11460" t="s">
        <v>125</v>
      </c>
      <c r="D11460" t="s">
        <v>183</v>
      </c>
      <c r="E11460" t="s">
        <v>14</v>
      </c>
      <c r="F11460">
        <v>0.61969876289367676</v>
      </c>
    </row>
    <row r="11461" spans="2:6">
      <c r="B11461">
        <v>2015</v>
      </c>
      <c r="C11461" t="s">
        <v>125</v>
      </c>
      <c r="D11461" t="s">
        <v>183</v>
      </c>
      <c r="E11461" t="s">
        <v>15</v>
      </c>
      <c r="F11461">
        <v>0.29902207851409912</v>
      </c>
    </row>
    <row r="11462" spans="2:6">
      <c r="B11462">
        <v>2016</v>
      </c>
      <c r="C11462" t="s">
        <v>125</v>
      </c>
      <c r="D11462" t="s">
        <v>183</v>
      </c>
      <c r="E11462" t="s">
        <v>7</v>
      </c>
      <c r="F11462">
        <v>5.3457460403442383</v>
      </c>
    </row>
    <row r="11463" spans="2:6">
      <c r="B11463">
        <v>2016</v>
      </c>
      <c r="C11463" t="s">
        <v>125</v>
      </c>
      <c r="D11463" t="s">
        <v>183</v>
      </c>
      <c r="E11463" t="s">
        <v>8</v>
      </c>
      <c r="F11463">
        <v>9.6402997970581055</v>
      </c>
    </row>
    <row r="11464" spans="2:6">
      <c r="B11464">
        <v>2016</v>
      </c>
      <c r="C11464" t="s">
        <v>125</v>
      </c>
      <c r="D11464" t="s">
        <v>183</v>
      </c>
      <c r="E11464" t="s">
        <v>9</v>
      </c>
      <c r="F11464">
        <v>0.87121224403381348</v>
      </c>
    </row>
    <row r="11465" spans="2:6">
      <c r="B11465">
        <v>2016</v>
      </c>
      <c r="C11465" t="s">
        <v>125</v>
      </c>
      <c r="D11465" t="s">
        <v>183</v>
      </c>
      <c r="E11465" t="s">
        <v>10</v>
      </c>
      <c r="F11465">
        <v>65.224685668945313</v>
      </c>
    </row>
    <row r="11466" spans="2:6">
      <c r="B11466">
        <v>2016</v>
      </c>
      <c r="C11466" t="s">
        <v>125</v>
      </c>
      <c r="D11466" t="s">
        <v>183</v>
      </c>
      <c r="E11466" t="s">
        <v>11</v>
      </c>
      <c r="F11466">
        <v>0.70617932081222534</v>
      </c>
    </row>
    <row r="11467" spans="2:6">
      <c r="B11467">
        <v>2016</v>
      </c>
      <c r="C11467" t="s">
        <v>125</v>
      </c>
      <c r="D11467" t="s">
        <v>183</v>
      </c>
      <c r="E11467" t="s">
        <v>12</v>
      </c>
      <c r="F11467">
        <v>7.981351763010025E-2</v>
      </c>
    </row>
    <row r="11468" spans="2:6">
      <c r="B11468">
        <v>2016</v>
      </c>
      <c r="C11468" t="s">
        <v>125</v>
      </c>
      <c r="D11468" t="s">
        <v>183</v>
      </c>
      <c r="E11468" t="s">
        <v>13</v>
      </c>
      <c r="F11468">
        <v>0.86971902847290039</v>
      </c>
    </row>
    <row r="11469" spans="2:6">
      <c r="B11469">
        <v>2016</v>
      </c>
      <c r="C11469" t="s">
        <v>125</v>
      </c>
      <c r="D11469" t="s">
        <v>183</v>
      </c>
      <c r="E11469" t="s">
        <v>14</v>
      </c>
      <c r="F11469">
        <v>0.63873720169067383</v>
      </c>
    </row>
    <row r="11470" spans="2:6">
      <c r="B11470">
        <v>2016</v>
      </c>
      <c r="C11470" t="s">
        <v>125</v>
      </c>
      <c r="D11470" t="s">
        <v>183</v>
      </c>
      <c r="E11470" t="s">
        <v>15</v>
      </c>
      <c r="F11470">
        <v>0.29229468107223511</v>
      </c>
    </row>
    <row r="11471" spans="2:6">
      <c r="B11471">
        <v>2017</v>
      </c>
      <c r="C11471" t="s">
        <v>125</v>
      </c>
      <c r="D11471" t="s">
        <v>183</v>
      </c>
      <c r="E11471" t="s">
        <v>7</v>
      </c>
      <c r="F11471">
        <v>5.2338666915893555</v>
      </c>
    </row>
    <row r="11472" spans="2:6">
      <c r="B11472">
        <v>2017</v>
      </c>
      <c r="C11472" t="s">
        <v>125</v>
      </c>
      <c r="D11472" t="s">
        <v>183</v>
      </c>
      <c r="E11472" t="s">
        <v>8</v>
      </c>
      <c r="F11472">
        <v>9.6504583358764648</v>
      </c>
    </row>
    <row r="11473" spans="2:6">
      <c r="B11473">
        <v>2017</v>
      </c>
      <c r="C11473" t="s">
        <v>125</v>
      </c>
      <c r="D11473" t="s">
        <v>183</v>
      </c>
      <c r="E11473" t="s">
        <v>9</v>
      </c>
      <c r="F11473">
        <v>0.79995512962341309</v>
      </c>
    </row>
    <row r="11474" spans="2:6">
      <c r="B11474">
        <v>2017</v>
      </c>
      <c r="C11474" t="s">
        <v>125</v>
      </c>
      <c r="D11474" t="s">
        <v>183</v>
      </c>
      <c r="E11474" t="s">
        <v>10</v>
      </c>
      <c r="F11474">
        <v>65.303298950195313</v>
      </c>
    </row>
    <row r="11475" spans="2:6">
      <c r="B11475">
        <v>2017</v>
      </c>
      <c r="C11475" t="s">
        <v>125</v>
      </c>
      <c r="D11475" t="s">
        <v>183</v>
      </c>
      <c r="E11475" t="s">
        <v>11</v>
      </c>
      <c r="F11475">
        <v>0.75210660696029663</v>
      </c>
    </row>
    <row r="11476" spans="2:6">
      <c r="B11476">
        <v>2017</v>
      </c>
      <c r="C11476" t="s">
        <v>125</v>
      </c>
      <c r="D11476" t="s">
        <v>183</v>
      </c>
      <c r="E11476" t="s">
        <v>12</v>
      </c>
      <c r="F11476">
        <v>-5.8800026774406433E-2</v>
      </c>
    </row>
    <row r="11477" spans="2:6">
      <c r="B11477">
        <v>2017</v>
      </c>
      <c r="C11477" t="s">
        <v>125</v>
      </c>
      <c r="D11477" t="s">
        <v>183</v>
      </c>
      <c r="E11477" t="s">
        <v>13</v>
      </c>
      <c r="F11477">
        <v>0.85569727420806885</v>
      </c>
    </row>
    <row r="11478" spans="2:6">
      <c r="B11478">
        <v>2017</v>
      </c>
      <c r="C11478" t="s">
        <v>125</v>
      </c>
      <c r="D11478" t="s">
        <v>183</v>
      </c>
      <c r="E11478" t="s">
        <v>14</v>
      </c>
      <c r="F11478">
        <v>0.50245988368988037</v>
      </c>
    </row>
    <row r="11479" spans="2:6">
      <c r="B11479">
        <v>2017</v>
      </c>
      <c r="C11479" t="s">
        <v>125</v>
      </c>
      <c r="D11479" t="s">
        <v>183</v>
      </c>
      <c r="E11479" t="s">
        <v>15</v>
      </c>
      <c r="F11479">
        <v>0.29939058423042297</v>
      </c>
    </row>
    <row r="11480" spans="2:6">
      <c r="B11480">
        <v>2018</v>
      </c>
      <c r="C11480" t="s">
        <v>125</v>
      </c>
      <c r="D11480" t="s">
        <v>183</v>
      </c>
      <c r="E11480" t="s">
        <v>7</v>
      </c>
      <c r="F11480">
        <v>5.2398347854614258</v>
      </c>
    </row>
    <row r="11481" spans="2:6">
      <c r="B11481">
        <v>2018</v>
      </c>
      <c r="C11481" t="s">
        <v>125</v>
      </c>
      <c r="D11481" t="s">
        <v>183</v>
      </c>
      <c r="E11481" t="s">
        <v>8</v>
      </c>
      <c r="F11481">
        <v>9.6768350601196289</v>
      </c>
    </row>
    <row r="11482" spans="2:6">
      <c r="B11482">
        <v>2018</v>
      </c>
      <c r="C11482" t="s">
        <v>125</v>
      </c>
      <c r="D11482" t="s">
        <v>183</v>
      </c>
      <c r="E11482" t="s">
        <v>9</v>
      </c>
      <c r="F11482">
        <v>0.84891515970230103</v>
      </c>
    </row>
    <row r="11483" spans="2:6">
      <c r="B11483">
        <v>2018</v>
      </c>
      <c r="C11483" t="s">
        <v>125</v>
      </c>
      <c r="D11483" t="s">
        <v>183</v>
      </c>
      <c r="E11483" t="s">
        <v>10</v>
      </c>
      <c r="F11483">
        <v>65.388832092285156</v>
      </c>
    </row>
    <row r="11484" spans="2:6">
      <c r="B11484">
        <v>2018</v>
      </c>
      <c r="C11484" t="s">
        <v>125</v>
      </c>
      <c r="D11484" t="s">
        <v>183</v>
      </c>
      <c r="E11484" t="s">
        <v>11</v>
      </c>
      <c r="F11484">
        <v>0.74480092525482178</v>
      </c>
    </row>
    <row r="11485" spans="2:6">
      <c r="B11485">
        <v>2018</v>
      </c>
      <c r="C11485" t="s">
        <v>125</v>
      </c>
      <c r="D11485" t="s">
        <v>183</v>
      </c>
      <c r="E11485" t="s">
        <v>12</v>
      </c>
      <c r="F11485">
        <v>-4.1356872767210007E-2</v>
      </c>
    </row>
    <row r="11486" spans="2:6">
      <c r="B11486">
        <v>2018</v>
      </c>
      <c r="C11486" t="s">
        <v>125</v>
      </c>
      <c r="D11486" t="s">
        <v>183</v>
      </c>
      <c r="E11486" t="s">
        <v>13</v>
      </c>
      <c r="F11486">
        <v>0.90993434190750122</v>
      </c>
    </row>
    <row r="11487" spans="2:6">
      <c r="B11487">
        <v>2018</v>
      </c>
      <c r="C11487" t="s">
        <v>125</v>
      </c>
      <c r="D11487" t="s">
        <v>183</v>
      </c>
      <c r="E11487" t="s">
        <v>14</v>
      </c>
      <c r="F11487">
        <v>0.59013807773590088</v>
      </c>
    </row>
    <row r="11488" spans="2:6">
      <c r="B11488">
        <v>2018</v>
      </c>
      <c r="C11488" t="s">
        <v>125</v>
      </c>
      <c r="D11488" t="s">
        <v>183</v>
      </c>
      <c r="E11488" t="s">
        <v>15</v>
      </c>
      <c r="F11488">
        <v>0.29835286736488342</v>
      </c>
    </row>
    <row r="11489" spans="2:6">
      <c r="B11489">
        <v>2019</v>
      </c>
      <c r="C11489" t="s">
        <v>125</v>
      </c>
      <c r="D11489" t="s">
        <v>183</v>
      </c>
      <c r="E11489" t="s">
        <v>7</v>
      </c>
      <c r="F11489">
        <v>5.0154852867126465</v>
      </c>
    </row>
    <row r="11490" spans="2:6">
      <c r="B11490">
        <v>2019</v>
      </c>
      <c r="C11490" t="s">
        <v>125</v>
      </c>
      <c r="D11490" t="s">
        <v>183</v>
      </c>
      <c r="E11490" t="s">
        <v>8</v>
      </c>
      <c r="F11490">
        <v>9.7114849090576172</v>
      </c>
    </row>
    <row r="11491" spans="2:6">
      <c r="B11491">
        <v>2019</v>
      </c>
      <c r="C11491" t="s">
        <v>125</v>
      </c>
      <c r="D11491" t="s">
        <v>183</v>
      </c>
      <c r="E11491" t="s">
        <v>9</v>
      </c>
      <c r="F11491">
        <v>0.81463849544525146</v>
      </c>
    </row>
    <row r="11492" spans="2:6">
      <c r="B11492">
        <v>2019</v>
      </c>
      <c r="C11492" t="s">
        <v>125</v>
      </c>
      <c r="D11492" t="s">
        <v>183</v>
      </c>
      <c r="E11492" t="s">
        <v>10</v>
      </c>
      <c r="F11492">
        <v>65.474357604980469</v>
      </c>
    </row>
    <row r="11493" spans="2:6">
      <c r="B11493">
        <v>2019</v>
      </c>
      <c r="C11493" t="s">
        <v>125</v>
      </c>
      <c r="D11493" t="s">
        <v>183</v>
      </c>
      <c r="E11493" t="s">
        <v>11</v>
      </c>
      <c r="F11493">
        <v>0.72471040487289429</v>
      </c>
    </row>
    <row r="11494" spans="2:6">
      <c r="B11494">
        <v>2019</v>
      </c>
      <c r="C11494" t="s">
        <v>125</v>
      </c>
      <c r="D11494" t="s">
        <v>183</v>
      </c>
      <c r="E11494" t="s">
        <v>12</v>
      </c>
      <c r="F11494">
        <v>2.4418959394097328E-2</v>
      </c>
    </row>
    <row r="11495" spans="2:6">
      <c r="B11495">
        <v>2019</v>
      </c>
      <c r="C11495" t="s">
        <v>125</v>
      </c>
      <c r="D11495" t="s">
        <v>183</v>
      </c>
      <c r="E11495" t="s">
        <v>13</v>
      </c>
      <c r="F11495">
        <v>0.92259722948074341</v>
      </c>
    </row>
    <row r="11496" spans="2:6">
      <c r="B11496">
        <v>2019</v>
      </c>
      <c r="C11496" t="s">
        <v>125</v>
      </c>
      <c r="D11496" t="s">
        <v>183</v>
      </c>
      <c r="E11496" t="s">
        <v>14</v>
      </c>
      <c r="F11496">
        <v>0.57630044221878052</v>
      </c>
    </row>
    <row r="11497" spans="2:6">
      <c r="B11497">
        <v>2019</v>
      </c>
      <c r="C11497" t="s">
        <v>125</v>
      </c>
      <c r="D11497" t="s">
        <v>183</v>
      </c>
      <c r="E11497" t="s">
        <v>15</v>
      </c>
      <c r="F11497">
        <v>0.30360588431358337</v>
      </c>
    </row>
    <row r="11498" spans="2:6">
      <c r="B11498">
        <v>2020</v>
      </c>
      <c r="C11498" t="s">
        <v>125</v>
      </c>
      <c r="D11498" t="s">
        <v>183</v>
      </c>
      <c r="E11498" t="s">
        <v>7</v>
      </c>
      <c r="F11498">
        <v>5.0536642074584961</v>
      </c>
    </row>
    <row r="11499" spans="2:6">
      <c r="B11499">
        <v>2020</v>
      </c>
      <c r="C11499" t="s">
        <v>125</v>
      </c>
      <c r="D11499" t="s">
        <v>183</v>
      </c>
      <c r="E11499" t="s">
        <v>8</v>
      </c>
      <c r="F11499">
        <v>9.6900148391723633</v>
      </c>
    </row>
    <row r="11500" spans="2:6">
      <c r="B11500">
        <v>2020</v>
      </c>
      <c r="C11500" t="s">
        <v>125</v>
      </c>
      <c r="D11500" t="s">
        <v>183</v>
      </c>
      <c r="E11500" t="s">
        <v>9</v>
      </c>
      <c r="F11500">
        <v>0.7503741979598999</v>
      </c>
    </row>
    <row r="11501" spans="2:6">
      <c r="B11501">
        <v>2020</v>
      </c>
      <c r="C11501" t="s">
        <v>125</v>
      </c>
      <c r="D11501" t="s">
        <v>183</v>
      </c>
      <c r="E11501" t="s">
        <v>10</v>
      </c>
      <c r="F11501">
        <v>65.559883117675781</v>
      </c>
    </row>
    <row r="11502" spans="2:6">
      <c r="B11502">
        <v>2020</v>
      </c>
      <c r="C11502" t="s">
        <v>125</v>
      </c>
      <c r="D11502" t="s">
        <v>183</v>
      </c>
      <c r="E11502" t="s">
        <v>11</v>
      </c>
      <c r="F11502">
        <v>0.7872847318649292</v>
      </c>
    </row>
    <row r="11503" spans="2:6">
      <c r="B11503">
        <v>2020</v>
      </c>
      <c r="C11503" t="s">
        <v>125</v>
      </c>
      <c r="D11503" t="s">
        <v>183</v>
      </c>
      <c r="E11503" t="s">
        <v>12</v>
      </c>
      <c r="F11503">
        <v>0.13127434253692627</v>
      </c>
    </row>
    <row r="11504" spans="2:6">
      <c r="B11504">
        <v>2020</v>
      </c>
      <c r="C11504" t="s">
        <v>125</v>
      </c>
      <c r="D11504" t="s">
        <v>183</v>
      </c>
      <c r="E11504" t="s">
        <v>13</v>
      </c>
      <c r="F11504">
        <v>0.87742114067077637</v>
      </c>
    </row>
    <row r="11505" spans="2:6">
      <c r="B11505">
        <v>2020</v>
      </c>
      <c r="C11505" t="s">
        <v>125</v>
      </c>
      <c r="D11505" t="s">
        <v>183</v>
      </c>
      <c r="E11505" t="s">
        <v>14</v>
      </c>
      <c r="F11505">
        <v>0.60462683439254761</v>
      </c>
    </row>
    <row r="11506" spans="2:6">
      <c r="B11506">
        <v>2020</v>
      </c>
      <c r="C11506" t="s">
        <v>125</v>
      </c>
      <c r="D11506" t="s">
        <v>183</v>
      </c>
      <c r="E11506" t="s">
        <v>15</v>
      </c>
      <c r="F11506">
        <v>0.36512607336044312</v>
      </c>
    </row>
    <row r="11507" spans="2:6">
      <c r="B11507">
        <v>2006</v>
      </c>
      <c r="C11507" t="s">
        <v>126</v>
      </c>
      <c r="D11507" t="s">
        <v>183</v>
      </c>
      <c r="E11507" t="s">
        <v>7</v>
      </c>
      <c r="F11507">
        <v>7.415682315826416</v>
      </c>
    </row>
    <row r="11508" spans="2:6">
      <c r="B11508">
        <v>2006</v>
      </c>
      <c r="C11508" t="s">
        <v>126</v>
      </c>
      <c r="D11508" t="s">
        <v>183</v>
      </c>
      <c r="E11508" t="s">
        <v>8</v>
      </c>
      <c r="F11508">
        <v>11.030973434448242</v>
      </c>
    </row>
    <row r="11509" spans="2:6">
      <c r="B11509">
        <v>2006</v>
      </c>
      <c r="C11509" t="s">
        <v>126</v>
      </c>
      <c r="D11509" t="s">
        <v>183</v>
      </c>
      <c r="E11509" t="s">
        <v>9</v>
      </c>
      <c r="F11509">
        <v>0.95851129293441772</v>
      </c>
    </row>
    <row r="11510" spans="2:6">
      <c r="B11510">
        <v>2006</v>
      </c>
      <c r="C11510" t="s">
        <v>126</v>
      </c>
      <c r="D11510" t="s">
        <v>183</v>
      </c>
      <c r="E11510" t="s">
        <v>10</v>
      </c>
      <c r="F11510">
        <v>71.319999694824219</v>
      </c>
    </row>
    <row r="11511" spans="2:6">
      <c r="B11511">
        <v>2006</v>
      </c>
      <c r="C11511" t="s">
        <v>126</v>
      </c>
      <c r="D11511" t="s">
        <v>183</v>
      </c>
      <c r="E11511" t="s">
        <v>11</v>
      </c>
      <c r="F11511">
        <v>0.95953273773193359</v>
      </c>
    </row>
    <row r="11512" spans="2:6">
      <c r="B11512">
        <v>2006</v>
      </c>
      <c r="C11512" t="s">
        <v>126</v>
      </c>
      <c r="D11512" t="s">
        <v>183</v>
      </c>
      <c r="E11512" t="s">
        <v>12</v>
      </c>
      <c r="F11512">
        <v>0.10851313173770905</v>
      </c>
    </row>
    <row r="11513" spans="2:6">
      <c r="B11513">
        <v>2006</v>
      </c>
      <c r="C11513" t="s">
        <v>126</v>
      </c>
      <c r="D11513" t="s">
        <v>183</v>
      </c>
      <c r="E11513" t="s">
        <v>13</v>
      </c>
      <c r="F11513">
        <v>0.39715012907981873</v>
      </c>
    </row>
    <row r="11514" spans="2:6">
      <c r="B11514">
        <v>2006</v>
      </c>
      <c r="C11514" t="s">
        <v>126</v>
      </c>
      <c r="D11514" t="s">
        <v>183</v>
      </c>
      <c r="E11514" t="s">
        <v>14</v>
      </c>
      <c r="F11514">
        <v>0.83173108100891113</v>
      </c>
    </row>
    <row r="11515" spans="2:6">
      <c r="B11515">
        <v>2006</v>
      </c>
      <c r="C11515" t="s">
        <v>126</v>
      </c>
      <c r="D11515" t="s">
        <v>183</v>
      </c>
      <c r="E11515" t="s">
        <v>15</v>
      </c>
      <c r="F11515">
        <v>0.19711318612098694</v>
      </c>
    </row>
    <row r="11516" spans="2:6">
      <c r="B11516">
        <v>2008</v>
      </c>
      <c r="C11516" t="s">
        <v>126</v>
      </c>
      <c r="D11516" t="s">
        <v>183</v>
      </c>
      <c r="E11516" t="s">
        <v>7</v>
      </c>
      <c r="F11516">
        <v>7.6322875022888184</v>
      </c>
    </row>
    <row r="11517" spans="2:6">
      <c r="B11517">
        <v>2008</v>
      </c>
      <c r="C11517" t="s">
        <v>126</v>
      </c>
      <c r="D11517" t="s">
        <v>183</v>
      </c>
      <c r="E11517" t="s">
        <v>8</v>
      </c>
      <c r="F11517">
        <v>11.042418479919434</v>
      </c>
    </row>
    <row r="11518" spans="2:6">
      <c r="B11518">
        <v>2008</v>
      </c>
      <c r="C11518" t="s">
        <v>126</v>
      </c>
      <c r="D11518" t="s">
        <v>183</v>
      </c>
      <c r="E11518" t="s">
        <v>9</v>
      </c>
      <c r="F11518">
        <v>0.9358789324760437</v>
      </c>
    </row>
    <row r="11519" spans="2:6">
      <c r="B11519">
        <v>2008</v>
      </c>
      <c r="C11519" t="s">
        <v>126</v>
      </c>
      <c r="D11519" t="s">
        <v>183</v>
      </c>
      <c r="E11519" t="s">
        <v>10</v>
      </c>
      <c r="F11519">
        <v>71.55999755859375</v>
      </c>
    </row>
    <row r="11520" spans="2:6">
      <c r="B11520">
        <v>2008</v>
      </c>
      <c r="C11520" t="s">
        <v>126</v>
      </c>
      <c r="D11520" t="s">
        <v>183</v>
      </c>
      <c r="E11520" t="s">
        <v>11</v>
      </c>
      <c r="F11520">
        <v>0.9472888708114624</v>
      </c>
    </row>
    <row r="11521" spans="2:6">
      <c r="B11521">
        <v>2008</v>
      </c>
      <c r="C11521" t="s">
        <v>126</v>
      </c>
      <c r="D11521" t="s">
        <v>183</v>
      </c>
      <c r="E11521" t="s">
        <v>12</v>
      </c>
      <c r="F11521">
        <v>1.7757194116711617E-2</v>
      </c>
    </row>
    <row r="11522" spans="2:6">
      <c r="B11522">
        <v>2008</v>
      </c>
      <c r="C11522" t="s">
        <v>126</v>
      </c>
      <c r="D11522" t="s">
        <v>183</v>
      </c>
      <c r="E11522" t="s">
        <v>13</v>
      </c>
      <c r="F11522">
        <v>0.50277632474899292</v>
      </c>
    </row>
    <row r="11523" spans="2:6">
      <c r="B11523">
        <v>2008</v>
      </c>
      <c r="C11523" t="s">
        <v>126</v>
      </c>
      <c r="D11523" t="s">
        <v>183</v>
      </c>
      <c r="E11523" t="s">
        <v>14</v>
      </c>
      <c r="F11523">
        <v>0.79172235727310181</v>
      </c>
    </row>
    <row r="11524" spans="2:6">
      <c r="B11524">
        <v>2008</v>
      </c>
      <c r="C11524" t="s">
        <v>126</v>
      </c>
      <c r="D11524" t="s">
        <v>183</v>
      </c>
      <c r="E11524" t="s">
        <v>15</v>
      </c>
      <c r="F11524">
        <v>0.15509520471096039</v>
      </c>
    </row>
    <row r="11525" spans="2:6">
      <c r="B11525">
        <v>2012</v>
      </c>
      <c r="C11525" t="s">
        <v>126</v>
      </c>
      <c r="D11525" t="s">
        <v>183</v>
      </c>
      <c r="E11525" t="s">
        <v>7</v>
      </c>
      <c r="F11525">
        <v>7.6782770156860352</v>
      </c>
    </row>
    <row r="11526" spans="2:6">
      <c r="B11526">
        <v>2012</v>
      </c>
      <c r="C11526" t="s">
        <v>126</v>
      </c>
      <c r="D11526" t="s">
        <v>183</v>
      </c>
      <c r="E11526" t="s">
        <v>8</v>
      </c>
      <c r="F11526">
        <v>11.017254829406738</v>
      </c>
    </row>
    <row r="11527" spans="2:6">
      <c r="B11527">
        <v>2012</v>
      </c>
      <c r="C11527" t="s">
        <v>126</v>
      </c>
      <c r="D11527" t="s">
        <v>183</v>
      </c>
      <c r="E11527" t="s">
        <v>9</v>
      </c>
      <c r="F11527">
        <v>0.94765740633010864</v>
      </c>
    </row>
    <row r="11528" spans="2:6">
      <c r="B11528">
        <v>2012</v>
      </c>
      <c r="C11528" t="s">
        <v>126</v>
      </c>
      <c r="D11528" t="s">
        <v>183</v>
      </c>
      <c r="E11528" t="s">
        <v>10</v>
      </c>
      <c r="F11528">
        <v>72.239997863769531</v>
      </c>
    </row>
    <row r="11529" spans="2:6">
      <c r="B11529">
        <v>2012</v>
      </c>
      <c r="C11529" t="s">
        <v>126</v>
      </c>
      <c r="D11529" t="s">
        <v>183</v>
      </c>
      <c r="E11529" t="s">
        <v>11</v>
      </c>
      <c r="F11529">
        <v>0.94656586647033691</v>
      </c>
    </row>
    <row r="11530" spans="2:6">
      <c r="B11530">
        <v>2012</v>
      </c>
      <c r="C11530" t="s">
        <v>126</v>
      </c>
      <c r="D11530" t="s">
        <v>183</v>
      </c>
      <c r="E11530" t="s">
        <v>12</v>
      </c>
      <c r="F11530">
        <v>0.14715234935283661</v>
      </c>
    </row>
    <row r="11531" spans="2:6">
      <c r="B11531">
        <v>2012</v>
      </c>
      <c r="C11531" t="s">
        <v>126</v>
      </c>
      <c r="D11531" t="s">
        <v>183</v>
      </c>
      <c r="E11531" t="s">
        <v>13</v>
      </c>
      <c r="F11531">
        <v>0.36804267764091492</v>
      </c>
    </row>
    <row r="11532" spans="2:6">
      <c r="B11532">
        <v>2012</v>
      </c>
      <c r="C11532" t="s">
        <v>126</v>
      </c>
      <c r="D11532" t="s">
        <v>183</v>
      </c>
      <c r="E11532" t="s">
        <v>14</v>
      </c>
      <c r="F11532">
        <v>0.82274985313415527</v>
      </c>
    </row>
    <row r="11533" spans="2:6">
      <c r="B11533">
        <v>2012</v>
      </c>
      <c r="C11533" t="s">
        <v>126</v>
      </c>
      <c r="D11533" t="s">
        <v>183</v>
      </c>
      <c r="E11533" t="s">
        <v>15</v>
      </c>
      <c r="F11533">
        <v>0.2128211110830307</v>
      </c>
    </row>
    <row r="11534" spans="2:6">
      <c r="B11534">
        <v>2014</v>
      </c>
      <c r="C11534" t="s">
        <v>126</v>
      </c>
      <c r="D11534" t="s">
        <v>183</v>
      </c>
      <c r="E11534" t="s">
        <v>7</v>
      </c>
      <c r="F11534">
        <v>7.4444708824157715</v>
      </c>
    </row>
    <row r="11535" spans="2:6">
      <c r="B11535">
        <v>2014</v>
      </c>
      <c r="C11535" t="s">
        <v>126</v>
      </c>
      <c r="D11535" t="s">
        <v>183</v>
      </c>
      <c r="E11535" t="s">
        <v>8</v>
      </c>
      <c r="F11535">
        <v>11.023677825927734</v>
      </c>
    </row>
    <row r="11536" spans="2:6">
      <c r="B11536">
        <v>2014</v>
      </c>
      <c r="C11536" t="s">
        <v>126</v>
      </c>
      <c r="D11536" t="s">
        <v>183</v>
      </c>
      <c r="E11536" t="s">
        <v>9</v>
      </c>
      <c r="F11536">
        <v>0.94116193056106567</v>
      </c>
    </row>
    <row r="11537" spans="2:6">
      <c r="B11537">
        <v>2014</v>
      </c>
      <c r="C11537" t="s">
        <v>126</v>
      </c>
      <c r="D11537" t="s">
        <v>183</v>
      </c>
      <c r="E11537" t="s">
        <v>10</v>
      </c>
      <c r="F11537">
        <v>72.680000305175781</v>
      </c>
    </row>
    <row r="11538" spans="2:6">
      <c r="B11538">
        <v>2014</v>
      </c>
      <c r="C11538" t="s">
        <v>126</v>
      </c>
      <c r="D11538" t="s">
        <v>183</v>
      </c>
      <c r="E11538" t="s">
        <v>11</v>
      </c>
      <c r="F11538">
        <v>0.95631617307662964</v>
      </c>
    </row>
    <row r="11539" spans="2:6">
      <c r="B11539">
        <v>2014</v>
      </c>
      <c r="C11539" t="s">
        <v>126</v>
      </c>
      <c r="D11539" t="s">
        <v>183</v>
      </c>
      <c r="E11539" t="s">
        <v>12</v>
      </c>
      <c r="F11539">
        <v>0.18097618222236633</v>
      </c>
    </row>
    <row r="11540" spans="2:6">
      <c r="B11540">
        <v>2014</v>
      </c>
      <c r="C11540" t="s">
        <v>126</v>
      </c>
      <c r="D11540" t="s">
        <v>183</v>
      </c>
      <c r="E11540" t="s">
        <v>13</v>
      </c>
      <c r="F11540">
        <v>0.4048258364200592</v>
      </c>
    </row>
    <row r="11541" spans="2:6">
      <c r="B11541">
        <v>2014</v>
      </c>
      <c r="C11541" t="s">
        <v>126</v>
      </c>
      <c r="D11541" t="s">
        <v>183</v>
      </c>
      <c r="E11541" t="s">
        <v>14</v>
      </c>
      <c r="F11541">
        <v>0.83369660377502441</v>
      </c>
    </row>
    <row r="11542" spans="2:6">
      <c r="B11542">
        <v>2014</v>
      </c>
      <c r="C11542" t="s">
        <v>126</v>
      </c>
      <c r="D11542" t="s">
        <v>183</v>
      </c>
      <c r="E11542" t="s">
        <v>15</v>
      </c>
      <c r="F11542">
        <v>0.19435493648052216</v>
      </c>
    </row>
    <row r="11543" spans="2:6">
      <c r="B11543">
        <v>2015</v>
      </c>
      <c r="C11543" t="s">
        <v>126</v>
      </c>
      <c r="D11543" t="s">
        <v>183</v>
      </c>
      <c r="E11543" t="s">
        <v>7</v>
      </c>
      <c r="F11543">
        <v>7.6034336090087891</v>
      </c>
    </row>
    <row r="11544" spans="2:6">
      <c r="B11544">
        <v>2015</v>
      </c>
      <c r="C11544" t="s">
        <v>126</v>
      </c>
      <c r="D11544" t="s">
        <v>183</v>
      </c>
      <c r="E11544" t="s">
        <v>8</v>
      </c>
      <c r="F11544">
        <v>11.033207893371582</v>
      </c>
    </row>
    <row r="11545" spans="2:6">
      <c r="B11545">
        <v>2015</v>
      </c>
      <c r="C11545" t="s">
        <v>126</v>
      </c>
      <c r="D11545" t="s">
        <v>183</v>
      </c>
      <c r="E11545" t="s">
        <v>9</v>
      </c>
      <c r="F11545">
        <v>0.94683396816253662</v>
      </c>
    </row>
    <row r="11546" spans="2:6">
      <c r="B11546">
        <v>2015</v>
      </c>
      <c r="C11546" t="s">
        <v>126</v>
      </c>
      <c r="D11546" t="s">
        <v>183</v>
      </c>
      <c r="E11546" t="s">
        <v>10</v>
      </c>
      <c r="F11546">
        <v>72.900001525878906</v>
      </c>
    </row>
    <row r="11547" spans="2:6">
      <c r="B11547">
        <v>2015</v>
      </c>
      <c r="C11547" t="s">
        <v>126</v>
      </c>
      <c r="D11547" t="s">
        <v>183</v>
      </c>
      <c r="E11547" t="s">
        <v>11</v>
      </c>
      <c r="F11547">
        <v>0.94762051105499268</v>
      </c>
    </row>
    <row r="11548" spans="2:6">
      <c r="B11548">
        <v>2015</v>
      </c>
      <c r="C11548" t="s">
        <v>126</v>
      </c>
      <c r="D11548" t="s">
        <v>183</v>
      </c>
      <c r="E11548" t="s">
        <v>12</v>
      </c>
      <c r="F11548">
        <v>0.25690135359764099</v>
      </c>
    </row>
    <row r="11549" spans="2:6">
      <c r="B11549">
        <v>2015</v>
      </c>
      <c r="C11549" t="s">
        <v>126</v>
      </c>
      <c r="D11549" t="s">
        <v>183</v>
      </c>
      <c r="E11549" t="s">
        <v>13</v>
      </c>
      <c r="F11549">
        <v>0.29881435632705688</v>
      </c>
    </row>
    <row r="11550" spans="2:6">
      <c r="B11550">
        <v>2015</v>
      </c>
      <c r="C11550" t="s">
        <v>126</v>
      </c>
      <c r="D11550" t="s">
        <v>183</v>
      </c>
      <c r="E11550" t="s">
        <v>14</v>
      </c>
      <c r="F11550">
        <v>0.8428875207901001</v>
      </c>
    </row>
    <row r="11551" spans="2:6">
      <c r="B11551">
        <v>2015</v>
      </c>
      <c r="C11551" t="s">
        <v>126</v>
      </c>
      <c r="D11551" t="s">
        <v>183</v>
      </c>
      <c r="E11551" t="s">
        <v>15</v>
      </c>
      <c r="F11551">
        <v>0.20940987765789032</v>
      </c>
    </row>
    <row r="11552" spans="2:6">
      <c r="B11552">
        <v>2016</v>
      </c>
      <c r="C11552" t="s">
        <v>126</v>
      </c>
      <c r="D11552" t="s">
        <v>183</v>
      </c>
      <c r="E11552" t="s">
        <v>7</v>
      </c>
      <c r="F11552">
        <v>7.5963315963745117</v>
      </c>
    </row>
    <row r="11553" spans="2:6">
      <c r="B11553">
        <v>2016</v>
      </c>
      <c r="C11553" t="s">
        <v>126</v>
      </c>
      <c r="D11553" t="s">
        <v>183</v>
      </c>
      <c r="E11553" t="s">
        <v>8</v>
      </c>
      <c r="F11553">
        <v>11.035056114196777</v>
      </c>
    </row>
    <row r="11554" spans="2:6">
      <c r="B11554">
        <v>2016</v>
      </c>
      <c r="C11554" t="s">
        <v>126</v>
      </c>
      <c r="D11554" t="s">
        <v>183</v>
      </c>
      <c r="E11554" t="s">
        <v>9</v>
      </c>
      <c r="F11554">
        <v>0.95974284410476685</v>
      </c>
    </row>
    <row r="11555" spans="2:6">
      <c r="B11555">
        <v>2016</v>
      </c>
      <c r="C11555" t="s">
        <v>126</v>
      </c>
      <c r="D11555" t="s">
        <v>183</v>
      </c>
      <c r="E11555" t="s">
        <v>10</v>
      </c>
      <c r="F11555">
        <v>73</v>
      </c>
    </row>
    <row r="11556" spans="2:6">
      <c r="B11556">
        <v>2016</v>
      </c>
      <c r="C11556" t="s">
        <v>126</v>
      </c>
      <c r="D11556" t="s">
        <v>183</v>
      </c>
      <c r="E11556" t="s">
        <v>11</v>
      </c>
      <c r="F11556">
        <v>0.95435231924057007</v>
      </c>
    </row>
    <row r="11557" spans="2:6">
      <c r="B11557">
        <v>2016</v>
      </c>
      <c r="C11557" t="s">
        <v>126</v>
      </c>
      <c r="D11557" t="s">
        <v>183</v>
      </c>
      <c r="E11557" t="s">
        <v>12</v>
      </c>
      <c r="F11557">
        <v>0.13286271691322327</v>
      </c>
    </row>
    <row r="11558" spans="2:6">
      <c r="B11558">
        <v>2016</v>
      </c>
      <c r="C11558" t="s">
        <v>126</v>
      </c>
      <c r="D11558" t="s">
        <v>183</v>
      </c>
      <c r="E11558" t="s">
        <v>13</v>
      </c>
      <c r="F11558">
        <v>0.40966612100601196</v>
      </c>
    </row>
    <row r="11559" spans="2:6">
      <c r="B11559">
        <v>2016</v>
      </c>
      <c r="C11559" t="s">
        <v>126</v>
      </c>
      <c r="D11559" t="s">
        <v>183</v>
      </c>
      <c r="E11559" t="s">
        <v>14</v>
      </c>
      <c r="F11559">
        <v>0.84962594509124756</v>
      </c>
    </row>
    <row r="11560" spans="2:6">
      <c r="B11560">
        <v>2016</v>
      </c>
      <c r="C11560" t="s">
        <v>126</v>
      </c>
      <c r="D11560" t="s">
        <v>183</v>
      </c>
      <c r="E11560" t="s">
        <v>15</v>
      </c>
      <c r="F11560">
        <v>0.2092621922492981</v>
      </c>
    </row>
    <row r="11561" spans="2:6">
      <c r="B11561">
        <v>2017</v>
      </c>
      <c r="C11561" t="s">
        <v>126</v>
      </c>
      <c r="D11561" t="s">
        <v>183</v>
      </c>
      <c r="E11561" t="s">
        <v>7</v>
      </c>
      <c r="F11561">
        <v>7.5787448883056641</v>
      </c>
    </row>
    <row r="11562" spans="2:6">
      <c r="B11562">
        <v>2017</v>
      </c>
      <c r="C11562" t="s">
        <v>126</v>
      </c>
      <c r="D11562" t="s">
        <v>183</v>
      </c>
      <c r="E11562" t="s">
        <v>8</v>
      </c>
      <c r="F11562">
        <v>11.049946784973145</v>
      </c>
    </row>
    <row r="11563" spans="2:6">
      <c r="B11563">
        <v>2017</v>
      </c>
      <c r="C11563" t="s">
        <v>126</v>
      </c>
      <c r="D11563" t="s">
        <v>183</v>
      </c>
      <c r="E11563" t="s">
        <v>9</v>
      </c>
      <c r="F11563">
        <v>0.95012766122817993</v>
      </c>
    </row>
    <row r="11564" spans="2:6">
      <c r="B11564">
        <v>2017</v>
      </c>
      <c r="C11564" t="s">
        <v>126</v>
      </c>
      <c r="D11564" t="s">
        <v>183</v>
      </c>
      <c r="E11564" t="s">
        <v>10</v>
      </c>
      <c r="F11564">
        <v>73.099998474121094</v>
      </c>
    </row>
    <row r="11565" spans="2:6">
      <c r="B11565">
        <v>2017</v>
      </c>
      <c r="C11565" t="s">
        <v>126</v>
      </c>
      <c r="D11565" t="s">
        <v>183</v>
      </c>
      <c r="E11565" t="s">
        <v>11</v>
      </c>
      <c r="F11565">
        <v>0.95301681756973267</v>
      </c>
    </row>
    <row r="11566" spans="2:6">
      <c r="B11566">
        <v>2017</v>
      </c>
      <c r="C11566" t="s">
        <v>126</v>
      </c>
      <c r="D11566" t="s">
        <v>183</v>
      </c>
      <c r="E11566" t="s">
        <v>12</v>
      </c>
      <c r="F11566">
        <v>0.23638990521430969</v>
      </c>
    </row>
    <row r="11567" spans="2:6">
      <c r="B11567">
        <v>2017</v>
      </c>
      <c r="C11567" t="s">
        <v>126</v>
      </c>
      <c r="D11567" t="s">
        <v>183</v>
      </c>
      <c r="E11567" t="s">
        <v>13</v>
      </c>
      <c r="F11567">
        <v>0.24971137940883636</v>
      </c>
    </row>
    <row r="11568" spans="2:6">
      <c r="B11568">
        <v>2017</v>
      </c>
      <c r="C11568" t="s">
        <v>126</v>
      </c>
      <c r="D11568" t="s">
        <v>183</v>
      </c>
      <c r="E11568" t="s">
        <v>14</v>
      </c>
      <c r="F11568">
        <v>0.84909999370574951</v>
      </c>
    </row>
    <row r="11569" spans="2:6">
      <c r="B11569">
        <v>2017</v>
      </c>
      <c r="C11569" t="s">
        <v>126</v>
      </c>
      <c r="D11569" t="s">
        <v>183</v>
      </c>
      <c r="E11569" t="s">
        <v>15</v>
      </c>
      <c r="F11569">
        <v>0.2029138058423996</v>
      </c>
    </row>
    <row r="11570" spans="2:6">
      <c r="B11570">
        <v>2018</v>
      </c>
      <c r="C11570" t="s">
        <v>126</v>
      </c>
      <c r="D11570" t="s">
        <v>183</v>
      </c>
      <c r="E11570" t="s">
        <v>7</v>
      </c>
      <c r="F11570">
        <v>7.4442620277404785</v>
      </c>
    </row>
    <row r="11571" spans="2:6">
      <c r="B11571">
        <v>2018</v>
      </c>
      <c r="C11571" t="s">
        <v>126</v>
      </c>
      <c r="D11571" t="s">
        <v>183</v>
      </c>
      <c r="E11571" t="s">
        <v>8</v>
      </c>
      <c r="F11571">
        <v>11.056159019470215</v>
      </c>
    </row>
    <row r="11572" spans="2:6">
      <c r="B11572">
        <v>2018</v>
      </c>
      <c r="C11572" t="s">
        <v>126</v>
      </c>
      <c r="D11572" t="s">
        <v>183</v>
      </c>
      <c r="E11572" t="s">
        <v>9</v>
      </c>
      <c r="F11572">
        <v>0.96596193313598633</v>
      </c>
    </row>
    <row r="11573" spans="2:6">
      <c r="B11573">
        <v>2018</v>
      </c>
      <c r="C11573" t="s">
        <v>126</v>
      </c>
      <c r="D11573" t="s">
        <v>183</v>
      </c>
      <c r="E11573" t="s">
        <v>10</v>
      </c>
      <c r="F11573">
        <v>73.199996948242188</v>
      </c>
    </row>
    <row r="11574" spans="2:6">
      <c r="B11574">
        <v>2018</v>
      </c>
      <c r="C11574" t="s">
        <v>126</v>
      </c>
      <c r="D11574" t="s">
        <v>183</v>
      </c>
      <c r="E11574" t="s">
        <v>11</v>
      </c>
      <c r="F11574">
        <v>0.96042901277542114</v>
      </c>
    </row>
    <row r="11575" spans="2:6">
      <c r="B11575">
        <v>2018</v>
      </c>
      <c r="C11575" t="s">
        <v>126</v>
      </c>
      <c r="D11575" t="s">
        <v>183</v>
      </c>
      <c r="E11575" t="s">
        <v>12</v>
      </c>
      <c r="F11575">
        <v>9.4058729708194733E-2</v>
      </c>
    </row>
    <row r="11576" spans="2:6">
      <c r="B11576">
        <v>2018</v>
      </c>
      <c r="C11576" t="s">
        <v>126</v>
      </c>
      <c r="D11576" t="s">
        <v>183</v>
      </c>
      <c r="E11576" t="s">
        <v>13</v>
      </c>
      <c r="F11576">
        <v>0.26820144057273865</v>
      </c>
    </row>
    <row r="11577" spans="2:6">
      <c r="B11577">
        <v>2018</v>
      </c>
      <c r="C11577" t="s">
        <v>126</v>
      </c>
      <c r="D11577" t="s">
        <v>183</v>
      </c>
      <c r="E11577" t="s">
        <v>14</v>
      </c>
      <c r="F11577">
        <v>0.82741403579711914</v>
      </c>
    </row>
    <row r="11578" spans="2:6">
      <c r="B11578">
        <v>2018</v>
      </c>
      <c r="C11578" t="s">
        <v>126</v>
      </c>
      <c r="D11578" t="s">
        <v>183</v>
      </c>
      <c r="E11578" t="s">
        <v>15</v>
      </c>
      <c r="F11578">
        <v>0.21186237037181854</v>
      </c>
    </row>
    <row r="11579" spans="2:6">
      <c r="B11579">
        <v>2019</v>
      </c>
      <c r="C11579" t="s">
        <v>126</v>
      </c>
      <c r="D11579" t="s">
        <v>183</v>
      </c>
      <c r="E11579" t="s">
        <v>7</v>
      </c>
      <c r="F11579">
        <v>7.4421396255493164</v>
      </c>
    </row>
    <row r="11580" spans="2:6">
      <c r="B11580">
        <v>2019</v>
      </c>
      <c r="C11580" t="s">
        <v>126</v>
      </c>
      <c r="D11580" t="s">
        <v>183</v>
      </c>
      <c r="E11580" t="s">
        <v>8</v>
      </c>
      <c r="F11580">
        <v>11.06088924407959</v>
      </c>
    </row>
    <row r="11581" spans="2:6">
      <c r="B11581">
        <v>2019</v>
      </c>
      <c r="C11581" t="s">
        <v>126</v>
      </c>
      <c r="D11581" t="s">
        <v>183</v>
      </c>
      <c r="E11581" t="s">
        <v>9</v>
      </c>
      <c r="F11581">
        <v>0.94178402423858643</v>
      </c>
    </row>
    <row r="11582" spans="2:6">
      <c r="B11582">
        <v>2019</v>
      </c>
      <c r="C11582" t="s">
        <v>126</v>
      </c>
      <c r="D11582" t="s">
        <v>183</v>
      </c>
      <c r="E11582" t="s">
        <v>10</v>
      </c>
      <c r="F11582">
        <v>73.300003051757813</v>
      </c>
    </row>
    <row r="11583" spans="2:6">
      <c r="B11583">
        <v>2019</v>
      </c>
      <c r="C11583" t="s">
        <v>126</v>
      </c>
      <c r="D11583" t="s">
        <v>183</v>
      </c>
      <c r="E11583" t="s">
        <v>11</v>
      </c>
      <c r="F11583">
        <v>0.95404446125030518</v>
      </c>
    </row>
    <row r="11584" spans="2:6">
      <c r="B11584">
        <v>2019</v>
      </c>
      <c r="C11584" t="s">
        <v>126</v>
      </c>
      <c r="D11584" t="s">
        <v>183</v>
      </c>
      <c r="E11584" t="s">
        <v>12</v>
      </c>
      <c r="F11584">
        <v>0.11068715900182724</v>
      </c>
    </row>
    <row r="11585" spans="2:6">
      <c r="B11585">
        <v>2019</v>
      </c>
      <c r="C11585" t="s">
        <v>126</v>
      </c>
      <c r="D11585" t="s">
        <v>183</v>
      </c>
      <c r="E11585" t="s">
        <v>13</v>
      </c>
      <c r="F11585">
        <v>0.27057179808616638</v>
      </c>
    </row>
    <row r="11586" spans="2:6">
      <c r="B11586">
        <v>2019</v>
      </c>
      <c r="C11586" t="s">
        <v>126</v>
      </c>
      <c r="D11586" t="s">
        <v>183</v>
      </c>
      <c r="E11586" t="s">
        <v>14</v>
      </c>
      <c r="F11586">
        <v>0.82271581888198853</v>
      </c>
    </row>
    <row r="11587" spans="2:6">
      <c r="B11587">
        <v>2019</v>
      </c>
      <c r="C11587" t="s">
        <v>126</v>
      </c>
      <c r="D11587" t="s">
        <v>183</v>
      </c>
      <c r="E11587" t="s">
        <v>15</v>
      </c>
      <c r="F11587">
        <v>0.19548650085926056</v>
      </c>
    </row>
    <row r="11588" spans="2:6">
      <c r="B11588">
        <v>2020</v>
      </c>
      <c r="C11588" t="s">
        <v>126</v>
      </c>
      <c r="D11588" t="s">
        <v>183</v>
      </c>
      <c r="E11588" t="s">
        <v>7</v>
      </c>
      <c r="F11588">
        <v>7.2900323867797852</v>
      </c>
    </row>
    <row r="11589" spans="2:6">
      <c r="B11589">
        <v>2020</v>
      </c>
      <c r="C11589" t="s">
        <v>126</v>
      </c>
      <c r="D11589" t="s">
        <v>183</v>
      </c>
      <c r="E11589" t="s">
        <v>8</v>
      </c>
      <c r="F11589">
        <v>11.042160034179688</v>
      </c>
    </row>
    <row r="11590" spans="2:6">
      <c r="B11590">
        <v>2020</v>
      </c>
      <c r="C11590" t="s">
        <v>126</v>
      </c>
      <c r="D11590" t="s">
        <v>183</v>
      </c>
      <c r="E11590" t="s">
        <v>9</v>
      </c>
      <c r="F11590">
        <v>0.95597994327545166</v>
      </c>
    </row>
    <row r="11591" spans="2:6">
      <c r="B11591">
        <v>2020</v>
      </c>
      <c r="C11591" t="s">
        <v>126</v>
      </c>
      <c r="D11591" t="s">
        <v>183</v>
      </c>
      <c r="E11591" t="s">
        <v>10</v>
      </c>
      <c r="F11591">
        <v>73.400001525878906</v>
      </c>
    </row>
    <row r="11592" spans="2:6">
      <c r="B11592">
        <v>2020</v>
      </c>
      <c r="C11592" t="s">
        <v>126</v>
      </c>
      <c r="D11592" t="s">
        <v>183</v>
      </c>
      <c r="E11592" t="s">
        <v>11</v>
      </c>
      <c r="F11592">
        <v>0.9645611047744751</v>
      </c>
    </row>
    <row r="11593" spans="2:6">
      <c r="B11593">
        <v>2020</v>
      </c>
      <c r="C11593" t="s">
        <v>126</v>
      </c>
      <c r="D11593" t="s">
        <v>183</v>
      </c>
      <c r="E11593" t="s">
        <v>12</v>
      </c>
      <c r="F11593">
        <v>7.5148537755012512E-2</v>
      </c>
    </row>
    <row r="11594" spans="2:6">
      <c r="B11594">
        <v>2020</v>
      </c>
      <c r="C11594" t="s">
        <v>126</v>
      </c>
      <c r="D11594" t="s">
        <v>183</v>
      </c>
      <c r="E11594" t="s">
        <v>13</v>
      </c>
      <c r="F11594">
        <v>0.2710832953453064</v>
      </c>
    </row>
    <row r="11595" spans="2:6">
      <c r="B11595">
        <v>2020</v>
      </c>
      <c r="C11595" t="s">
        <v>126</v>
      </c>
      <c r="D11595" t="s">
        <v>183</v>
      </c>
      <c r="E11595" t="s">
        <v>14</v>
      </c>
      <c r="F11595">
        <v>0.82309383153915405</v>
      </c>
    </row>
    <row r="11596" spans="2:6">
      <c r="B11596">
        <v>2020</v>
      </c>
      <c r="C11596" t="s">
        <v>126</v>
      </c>
      <c r="D11596" t="s">
        <v>183</v>
      </c>
      <c r="E11596" t="s">
        <v>15</v>
      </c>
      <c r="F11596">
        <v>0.21603392064571381</v>
      </c>
    </row>
    <row r="11597" spans="2:6">
      <c r="B11597">
        <v>2011</v>
      </c>
      <c r="C11597" t="s">
        <v>127</v>
      </c>
      <c r="D11597" t="s">
        <v>182</v>
      </c>
      <c r="E11597" t="s">
        <v>7</v>
      </c>
      <c r="F11597">
        <v>6.8529820442199707</v>
      </c>
    </row>
    <row r="11598" spans="2:6">
      <c r="B11598">
        <v>2011</v>
      </c>
      <c r="C11598" t="s">
        <v>127</v>
      </c>
      <c r="D11598" t="s">
        <v>182</v>
      </c>
      <c r="E11598" t="s">
        <v>8</v>
      </c>
      <c r="F11598">
        <v>10.382461547851563</v>
      </c>
    </row>
    <row r="11599" spans="2:6">
      <c r="B11599">
        <v>2011</v>
      </c>
      <c r="C11599" t="s">
        <v>127</v>
      </c>
      <c r="D11599" t="s">
        <v>182</v>
      </c>
      <c r="E11599" t="s">
        <v>10</v>
      </c>
      <c r="F11599">
        <v>65.5</v>
      </c>
    </row>
    <row r="11600" spans="2:6">
      <c r="B11600">
        <v>2011</v>
      </c>
      <c r="C11600" t="s">
        <v>127</v>
      </c>
      <c r="D11600" t="s">
        <v>182</v>
      </c>
      <c r="E11600" t="s">
        <v>11</v>
      </c>
      <c r="F11600">
        <v>0.91629302501678467</v>
      </c>
    </row>
    <row r="11601" spans="2:6">
      <c r="B11601">
        <v>2011</v>
      </c>
      <c r="C11601" t="s">
        <v>127</v>
      </c>
      <c r="D11601" t="s">
        <v>182</v>
      </c>
      <c r="E11601" t="s">
        <v>12</v>
      </c>
      <c r="F11601">
        <v>2.4908492341637611E-2</v>
      </c>
    </row>
    <row r="11602" spans="2:6">
      <c r="B11602">
        <v>2011</v>
      </c>
      <c r="C11602" t="s">
        <v>127</v>
      </c>
      <c r="D11602" t="s">
        <v>182</v>
      </c>
      <c r="E11602" t="s">
        <v>15</v>
      </c>
      <c r="F11602">
        <v>0.29516410827636719</v>
      </c>
    </row>
    <row r="11603" spans="2:6">
      <c r="B11603">
        <v>2005</v>
      </c>
      <c r="C11603" t="s">
        <v>128</v>
      </c>
      <c r="D11603" t="s">
        <v>182</v>
      </c>
      <c r="E11603" t="s">
        <v>7</v>
      </c>
      <c r="F11603">
        <v>5.2246575355529785</v>
      </c>
    </row>
    <row r="11604" spans="2:6">
      <c r="B11604">
        <v>2005</v>
      </c>
      <c r="C11604" t="s">
        <v>128</v>
      </c>
      <c r="D11604" t="s">
        <v>182</v>
      </c>
      <c r="E11604" t="s">
        <v>8</v>
      </c>
      <c r="F11604">
        <v>8.217930793762207</v>
      </c>
    </row>
    <row r="11605" spans="2:6">
      <c r="B11605">
        <v>2005</v>
      </c>
      <c r="C11605" t="s">
        <v>128</v>
      </c>
      <c r="D11605" t="s">
        <v>182</v>
      </c>
      <c r="E11605" t="s">
        <v>9</v>
      </c>
      <c r="F11605">
        <v>0.59094572067260742</v>
      </c>
    </row>
    <row r="11606" spans="2:6">
      <c r="B11606">
        <v>2005</v>
      </c>
      <c r="C11606" t="s">
        <v>128</v>
      </c>
      <c r="D11606" t="s">
        <v>182</v>
      </c>
      <c r="E11606" t="s">
        <v>10</v>
      </c>
      <c r="F11606">
        <v>54.200000762939453</v>
      </c>
    </row>
    <row r="11607" spans="2:6">
      <c r="B11607">
        <v>2005</v>
      </c>
      <c r="C11607" t="s">
        <v>128</v>
      </c>
      <c r="D11607" t="s">
        <v>182</v>
      </c>
      <c r="E11607" t="s">
        <v>11</v>
      </c>
      <c r="F11607">
        <v>0.62999588251113892</v>
      </c>
    </row>
    <row r="11608" spans="2:6">
      <c r="B11608">
        <v>2005</v>
      </c>
      <c r="C11608" t="s">
        <v>128</v>
      </c>
      <c r="D11608" t="s">
        <v>182</v>
      </c>
      <c r="E11608" t="s">
        <v>13</v>
      </c>
      <c r="F11608">
        <v>0.8444361686706543</v>
      </c>
    </row>
    <row r="11609" spans="2:6">
      <c r="B11609">
        <v>2005</v>
      </c>
      <c r="C11609" t="s">
        <v>128</v>
      </c>
      <c r="D11609" t="s">
        <v>182</v>
      </c>
      <c r="E11609" t="s">
        <v>15</v>
      </c>
      <c r="F11609">
        <v>0.23726570606231689</v>
      </c>
    </row>
    <row r="11610" spans="2:6">
      <c r="B11610">
        <v>2007</v>
      </c>
      <c r="C11610" t="s">
        <v>128</v>
      </c>
      <c r="D11610" t="s">
        <v>182</v>
      </c>
      <c r="E11610" t="s">
        <v>7</v>
      </c>
      <c r="F11610">
        <v>5.6714606285095215</v>
      </c>
    </row>
    <row r="11611" spans="2:6">
      <c r="B11611">
        <v>2007</v>
      </c>
      <c r="C11611" t="s">
        <v>128</v>
      </c>
      <c r="D11611" t="s">
        <v>182</v>
      </c>
      <c r="E11611" t="s">
        <v>8</v>
      </c>
      <c r="F11611">
        <v>8.2766942977905273</v>
      </c>
    </row>
    <row r="11612" spans="2:6">
      <c r="B11612">
        <v>2007</v>
      </c>
      <c r="C11612" t="s">
        <v>128</v>
      </c>
      <c r="D11612" t="s">
        <v>182</v>
      </c>
      <c r="E11612" t="s">
        <v>9</v>
      </c>
      <c r="F11612">
        <v>0.47888737916946411</v>
      </c>
    </row>
    <row r="11613" spans="2:6">
      <c r="B11613">
        <v>2007</v>
      </c>
      <c r="C11613" t="s">
        <v>128</v>
      </c>
      <c r="D11613" t="s">
        <v>182</v>
      </c>
      <c r="E11613" t="s">
        <v>10</v>
      </c>
      <c r="F11613">
        <v>55</v>
      </c>
    </row>
    <row r="11614" spans="2:6">
      <c r="B11614">
        <v>2007</v>
      </c>
      <c r="C11614" t="s">
        <v>128</v>
      </c>
      <c r="D11614" t="s">
        <v>182</v>
      </c>
      <c r="E11614" t="s">
        <v>11</v>
      </c>
      <c r="F11614">
        <v>0.39564222097396851</v>
      </c>
    </row>
    <row r="11615" spans="2:6">
      <c r="B11615">
        <v>2007</v>
      </c>
      <c r="C11615" t="s">
        <v>128</v>
      </c>
      <c r="D11615" t="s">
        <v>182</v>
      </c>
      <c r="E11615" t="s">
        <v>12</v>
      </c>
      <c r="F11615">
        <v>8.9100636541843414E-2</v>
      </c>
    </row>
    <row r="11616" spans="2:6">
      <c r="B11616">
        <v>2007</v>
      </c>
      <c r="C11616" t="s">
        <v>128</v>
      </c>
      <c r="D11616" t="s">
        <v>182</v>
      </c>
      <c r="E11616" t="s">
        <v>13</v>
      </c>
      <c r="F11616">
        <v>0.79379540681838989</v>
      </c>
    </row>
    <row r="11617" spans="2:6">
      <c r="B11617">
        <v>2007</v>
      </c>
      <c r="C11617" t="s">
        <v>128</v>
      </c>
      <c r="D11617" t="s">
        <v>182</v>
      </c>
      <c r="E11617" t="s">
        <v>14</v>
      </c>
      <c r="F11617">
        <v>0.68274760246276855</v>
      </c>
    </row>
    <row r="11618" spans="2:6">
      <c r="B11618">
        <v>2007</v>
      </c>
      <c r="C11618" t="s">
        <v>128</v>
      </c>
      <c r="D11618" t="s">
        <v>182</v>
      </c>
      <c r="E11618" t="s">
        <v>15</v>
      </c>
      <c r="F11618">
        <v>0.31036725640296936</v>
      </c>
    </row>
    <row r="11619" spans="2:6">
      <c r="B11619">
        <v>2008</v>
      </c>
      <c r="C11619" t="s">
        <v>128</v>
      </c>
      <c r="D11619" t="s">
        <v>182</v>
      </c>
      <c r="E11619" t="s">
        <v>7</v>
      </c>
      <c r="F11619">
        <v>4.4139189720153809</v>
      </c>
    </row>
    <row r="11620" spans="2:6">
      <c r="B11620">
        <v>2008</v>
      </c>
      <c r="C11620" t="s">
        <v>128</v>
      </c>
      <c r="D11620" t="s">
        <v>182</v>
      </c>
      <c r="E11620" t="s">
        <v>8</v>
      </c>
      <c r="F11620">
        <v>8.2709341049194336</v>
      </c>
    </row>
    <row r="11621" spans="2:6">
      <c r="B11621">
        <v>2008</v>
      </c>
      <c r="C11621" t="s">
        <v>128</v>
      </c>
      <c r="D11621" t="s">
        <v>182</v>
      </c>
      <c r="E11621" t="s">
        <v>9</v>
      </c>
      <c r="F11621">
        <v>0.37290787696838379</v>
      </c>
    </row>
    <row r="11622" spans="2:6">
      <c r="B11622">
        <v>2008</v>
      </c>
      <c r="C11622" t="s">
        <v>128</v>
      </c>
      <c r="D11622" t="s">
        <v>182</v>
      </c>
      <c r="E11622" t="s">
        <v>10</v>
      </c>
      <c r="F11622">
        <v>55.400001525878906</v>
      </c>
    </row>
    <row r="11623" spans="2:6">
      <c r="B11623">
        <v>2008</v>
      </c>
      <c r="C11623" t="s">
        <v>128</v>
      </c>
      <c r="D11623" t="s">
        <v>182</v>
      </c>
      <c r="E11623" t="s">
        <v>11</v>
      </c>
      <c r="F11623">
        <v>0.33522364497184753</v>
      </c>
    </row>
    <row r="11624" spans="2:6">
      <c r="B11624">
        <v>2008</v>
      </c>
      <c r="C11624" t="s">
        <v>128</v>
      </c>
      <c r="D11624" t="s">
        <v>182</v>
      </c>
      <c r="E11624" t="s">
        <v>12</v>
      </c>
      <c r="F11624">
        <v>0.10036711394786835</v>
      </c>
    </row>
    <row r="11625" spans="2:6">
      <c r="B11625">
        <v>2008</v>
      </c>
      <c r="C11625" t="s">
        <v>128</v>
      </c>
      <c r="D11625" t="s">
        <v>182</v>
      </c>
      <c r="E11625" t="s">
        <v>13</v>
      </c>
      <c r="F11625">
        <v>0.84768259525299072</v>
      </c>
    </row>
    <row r="11626" spans="2:6">
      <c r="B11626">
        <v>2008</v>
      </c>
      <c r="C11626" t="s">
        <v>128</v>
      </c>
      <c r="D11626" t="s">
        <v>182</v>
      </c>
      <c r="E11626" t="s">
        <v>14</v>
      </c>
      <c r="F11626">
        <v>0.65506249666213989</v>
      </c>
    </row>
    <row r="11627" spans="2:6">
      <c r="B11627">
        <v>2008</v>
      </c>
      <c r="C11627" t="s">
        <v>128</v>
      </c>
      <c r="D11627" t="s">
        <v>182</v>
      </c>
      <c r="E11627" t="s">
        <v>15</v>
      </c>
      <c r="F11627">
        <v>0.32065832614898682</v>
      </c>
    </row>
    <row r="11628" spans="2:6">
      <c r="B11628">
        <v>2009</v>
      </c>
      <c r="C11628" t="s">
        <v>128</v>
      </c>
      <c r="D11628" t="s">
        <v>182</v>
      </c>
      <c r="E11628" t="s">
        <v>7</v>
      </c>
      <c r="F11628">
        <v>5.2081465721130371</v>
      </c>
    </row>
    <row r="11629" spans="2:6">
      <c r="B11629">
        <v>2009</v>
      </c>
      <c r="C11629" t="s">
        <v>128</v>
      </c>
      <c r="D11629" t="s">
        <v>182</v>
      </c>
      <c r="E11629" t="s">
        <v>8</v>
      </c>
      <c r="F11629">
        <v>8.2765235900878906</v>
      </c>
    </row>
    <row r="11630" spans="2:6">
      <c r="B11630">
        <v>2009</v>
      </c>
      <c r="C11630" t="s">
        <v>128</v>
      </c>
      <c r="D11630" t="s">
        <v>182</v>
      </c>
      <c r="E11630" t="s">
        <v>9</v>
      </c>
      <c r="F11630">
        <v>0.52174669504165649</v>
      </c>
    </row>
    <row r="11631" spans="2:6">
      <c r="B11631">
        <v>2009</v>
      </c>
      <c r="C11631" t="s">
        <v>128</v>
      </c>
      <c r="D11631" t="s">
        <v>182</v>
      </c>
      <c r="E11631" t="s">
        <v>10</v>
      </c>
      <c r="F11631">
        <v>55.799999237060547</v>
      </c>
    </row>
    <row r="11632" spans="2:6">
      <c r="B11632">
        <v>2009</v>
      </c>
      <c r="C11632" t="s">
        <v>128</v>
      </c>
      <c r="D11632" t="s">
        <v>182</v>
      </c>
      <c r="E11632" t="s">
        <v>11</v>
      </c>
      <c r="F11632">
        <v>0.38769766688346863</v>
      </c>
    </row>
    <row r="11633" spans="2:6">
      <c r="B11633">
        <v>2009</v>
      </c>
      <c r="C11633" t="s">
        <v>128</v>
      </c>
      <c r="D11633" t="s">
        <v>182</v>
      </c>
      <c r="E11633" t="s">
        <v>12</v>
      </c>
      <c r="F11633">
        <v>7.709900289773941E-2</v>
      </c>
    </row>
    <row r="11634" spans="2:6">
      <c r="B11634">
        <v>2009</v>
      </c>
      <c r="C11634" t="s">
        <v>128</v>
      </c>
      <c r="D11634" t="s">
        <v>182</v>
      </c>
      <c r="E11634" t="s">
        <v>13</v>
      </c>
      <c r="F11634">
        <v>0.87364906072616577</v>
      </c>
    </row>
    <row r="11635" spans="2:6">
      <c r="B11635">
        <v>2009</v>
      </c>
      <c r="C11635" t="s">
        <v>128</v>
      </c>
      <c r="D11635" t="s">
        <v>182</v>
      </c>
      <c r="E11635" t="s">
        <v>14</v>
      </c>
      <c r="F11635">
        <v>0.63921600580215454</v>
      </c>
    </row>
    <row r="11636" spans="2:6">
      <c r="B11636">
        <v>2009</v>
      </c>
      <c r="C11636" t="s">
        <v>128</v>
      </c>
      <c r="D11636" t="s">
        <v>182</v>
      </c>
      <c r="E11636" t="s">
        <v>15</v>
      </c>
      <c r="F11636">
        <v>0.34870564937591553</v>
      </c>
    </row>
    <row r="11637" spans="2:6">
      <c r="B11637">
        <v>2010</v>
      </c>
      <c r="C11637" t="s">
        <v>128</v>
      </c>
      <c r="D11637" t="s">
        <v>182</v>
      </c>
      <c r="E11637" t="s">
        <v>7</v>
      </c>
      <c r="F11637">
        <v>5.7861328125</v>
      </c>
    </row>
    <row r="11638" spans="2:6">
      <c r="B11638">
        <v>2010</v>
      </c>
      <c r="C11638" t="s">
        <v>128</v>
      </c>
      <c r="D11638" t="s">
        <v>182</v>
      </c>
      <c r="E11638" t="s">
        <v>8</v>
      </c>
      <c r="F11638">
        <v>8.2704925537109375</v>
      </c>
    </row>
    <row r="11639" spans="2:6">
      <c r="B11639">
        <v>2010</v>
      </c>
      <c r="C11639" t="s">
        <v>128</v>
      </c>
      <c r="D11639" t="s">
        <v>182</v>
      </c>
      <c r="E11639" t="s">
        <v>9</v>
      </c>
      <c r="F11639">
        <v>0.5713159441947937</v>
      </c>
    </row>
    <row r="11640" spans="2:6">
      <c r="B11640">
        <v>2010</v>
      </c>
      <c r="C11640" t="s">
        <v>128</v>
      </c>
      <c r="D11640" t="s">
        <v>182</v>
      </c>
      <c r="E11640" t="s">
        <v>10</v>
      </c>
      <c r="F11640">
        <v>56.200000762939453</v>
      </c>
    </row>
    <row r="11641" spans="2:6">
      <c r="B11641">
        <v>2010</v>
      </c>
      <c r="C11641" t="s">
        <v>128</v>
      </c>
      <c r="D11641" t="s">
        <v>182</v>
      </c>
      <c r="E11641" t="s">
        <v>11</v>
      </c>
      <c r="F11641">
        <v>0.36420592665672302</v>
      </c>
    </row>
    <row r="11642" spans="2:6">
      <c r="B11642">
        <v>2010</v>
      </c>
      <c r="C11642" t="s">
        <v>128</v>
      </c>
      <c r="D11642" t="s">
        <v>182</v>
      </c>
      <c r="E11642" t="s">
        <v>12</v>
      </c>
      <c r="F11642">
        <v>0.30037698149681091</v>
      </c>
    </row>
    <row r="11643" spans="2:6">
      <c r="B11643">
        <v>2010</v>
      </c>
      <c r="C11643" t="s">
        <v>128</v>
      </c>
      <c r="D11643" t="s">
        <v>182</v>
      </c>
      <c r="E11643" t="s">
        <v>13</v>
      </c>
      <c r="F11643">
        <v>0.85165590047836304</v>
      </c>
    </row>
    <row r="11644" spans="2:6">
      <c r="B11644">
        <v>2010</v>
      </c>
      <c r="C11644" t="s">
        <v>128</v>
      </c>
      <c r="D11644" t="s">
        <v>182</v>
      </c>
      <c r="E11644" t="s">
        <v>14</v>
      </c>
      <c r="F11644">
        <v>0.6507079005241394</v>
      </c>
    </row>
    <row r="11645" spans="2:6">
      <c r="B11645">
        <v>2010</v>
      </c>
      <c r="C11645" t="s">
        <v>128</v>
      </c>
      <c r="D11645" t="s">
        <v>182</v>
      </c>
      <c r="E11645" t="s">
        <v>15</v>
      </c>
      <c r="F11645">
        <v>0.37194141745567322</v>
      </c>
    </row>
    <row r="11646" spans="2:6">
      <c r="B11646">
        <v>2011</v>
      </c>
      <c r="C11646" t="s">
        <v>128</v>
      </c>
      <c r="D11646" t="s">
        <v>182</v>
      </c>
      <c r="E11646" t="s">
        <v>7</v>
      </c>
      <c r="F11646">
        <v>5.267186164855957</v>
      </c>
    </row>
    <row r="11647" spans="2:6">
      <c r="B11647">
        <v>2011</v>
      </c>
      <c r="C11647" t="s">
        <v>128</v>
      </c>
      <c r="D11647" t="s">
        <v>182</v>
      </c>
      <c r="E11647" t="s">
        <v>8</v>
      </c>
      <c r="F11647">
        <v>8.2760152816772461</v>
      </c>
    </row>
    <row r="11648" spans="2:6">
      <c r="B11648">
        <v>2011</v>
      </c>
      <c r="C11648" t="s">
        <v>128</v>
      </c>
      <c r="D11648" t="s">
        <v>182</v>
      </c>
      <c r="E11648" t="s">
        <v>9</v>
      </c>
      <c r="F11648">
        <v>0.50988411903381348</v>
      </c>
    </row>
    <row r="11649" spans="2:6">
      <c r="B11649">
        <v>2011</v>
      </c>
      <c r="C11649" t="s">
        <v>128</v>
      </c>
      <c r="D11649" t="s">
        <v>182</v>
      </c>
      <c r="E11649" t="s">
        <v>10</v>
      </c>
      <c r="F11649">
        <v>56.419998168945313</v>
      </c>
    </row>
    <row r="11650" spans="2:6">
      <c r="B11650">
        <v>2011</v>
      </c>
      <c r="C11650" t="s">
        <v>128</v>
      </c>
      <c r="D11650" t="s">
        <v>182</v>
      </c>
      <c r="E11650" t="s">
        <v>11</v>
      </c>
      <c r="F11650">
        <v>0.37582263350486755</v>
      </c>
    </row>
    <row r="11651" spans="2:6">
      <c r="B11651">
        <v>2011</v>
      </c>
      <c r="C11651" t="s">
        <v>128</v>
      </c>
      <c r="D11651" t="s">
        <v>182</v>
      </c>
      <c r="E11651" t="s">
        <v>12</v>
      </c>
      <c r="F11651">
        <v>2.9675872996449471E-2</v>
      </c>
    </row>
    <row r="11652" spans="2:6">
      <c r="B11652">
        <v>2011</v>
      </c>
      <c r="C11652" t="s">
        <v>128</v>
      </c>
      <c r="D11652" t="s">
        <v>182</v>
      </c>
      <c r="E11652" t="s">
        <v>13</v>
      </c>
      <c r="F11652">
        <v>0.85717761516571045</v>
      </c>
    </row>
    <row r="11653" spans="2:6">
      <c r="B11653">
        <v>2011</v>
      </c>
      <c r="C11653" t="s">
        <v>128</v>
      </c>
      <c r="D11653" t="s">
        <v>182</v>
      </c>
      <c r="E11653" t="s">
        <v>14</v>
      </c>
      <c r="F11653">
        <v>0.62777405977249146</v>
      </c>
    </row>
    <row r="11654" spans="2:6">
      <c r="B11654">
        <v>2011</v>
      </c>
      <c r="C11654" t="s">
        <v>128</v>
      </c>
      <c r="D11654" t="s">
        <v>182</v>
      </c>
      <c r="E11654" t="s">
        <v>15</v>
      </c>
      <c r="F11654">
        <v>0.35780081152915955</v>
      </c>
    </row>
    <row r="11655" spans="2:6">
      <c r="B11655">
        <v>2012</v>
      </c>
      <c r="C11655" t="s">
        <v>128</v>
      </c>
      <c r="D11655" t="s">
        <v>182</v>
      </c>
      <c r="E11655" t="s">
        <v>7</v>
      </c>
      <c r="F11655">
        <v>5.1315650939941406</v>
      </c>
    </row>
    <row r="11656" spans="2:6">
      <c r="B11656">
        <v>2012</v>
      </c>
      <c r="C11656" t="s">
        <v>128</v>
      </c>
      <c r="D11656" t="s">
        <v>182</v>
      </c>
      <c r="E11656" t="s">
        <v>8</v>
      </c>
      <c r="F11656">
        <v>8.2892179489135742</v>
      </c>
    </row>
    <row r="11657" spans="2:6">
      <c r="B11657">
        <v>2012</v>
      </c>
      <c r="C11657" t="s">
        <v>128</v>
      </c>
      <c r="D11657" t="s">
        <v>182</v>
      </c>
      <c r="E11657" t="s">
        <v>9</v>
      </c>
      <c r="F11657">
        <v>0.54203802347183228</v>
      </c>
    </row>
    <row r="11658" spans="2:6">
      <c r="B11658">
        <v>2012</v>
      </c>
      <c r="C11658" t="s">
        <v>128</v>
      </c>
      <c r="D11658" t="s">
        <v>182</v>
      </c>
      <c r="E11658" t="s">
        <v>10</v>
      </c>
      <c r="F11658">
        <v>56.639999389648438</v>
      </c>
    </row>
    <row r="11659" spans="2:6">
      <c r="B11659">
        <v>2012</v>
      </c>
      <c r="C11659" t="s">
        <v>128</v>
      </c>
      <c r="D11659" t="s">
        <v>182</v>
      </c>
      <c r="E11659" t="s">
        <v>11</v>
      </c>
      <c r="F11659">
        <v>0.36684411764144897</v>
      </c>
    </row>
    <row r="11660" spans="2:6">
      <c r="B11660">
        <v>2012</v>
      </c>
      <c r="C11660" t="s">
        <v>128</v>
      </c>
      <c r="D11660" t="s">
        <v>182</v>
      </c>
      <c r="E11660" t="s">
        <v>12</v>
      </c>
      <c r="F11660">
        <v>0.1648796945810318</v>
      </c>
    </row>
    <row r="11661" spans="2:6">
      <c r="B11661">
        <v>2012</v>
      </c>
      <c r="C11661" t="s">
        <v>128</v>
      </c>
      <c r="D11661" t="s">
        <v>182</v>
      </c>
      <c r="E11661" t="s">
        <v>13</v>
      </c>
      <c r="F11661">
        <v>0.84202450513839722</v>
      </c>
    </row>
    <row r="11662" spans="2:6">
      <c r="B11662">
        <v>2012</v>
      </c>
      <c r="C11662" t="s">
        <v>128</v>
      </c>
      <c r="D11662" t="s">
        <v>182</v>
      </c>
      <c r="E11662" t="s">
        <v>14</v>
      </c>
      <c r="F11662">
        <v>0.66461849212646484</v>
      </c>
    </row>
    <row r="11663" spans="2:6">
      <c r="B11663">
        <v>2012</v>
      </c>
      <c r="C11663" t="s">
        <v>128</v>
      </c>
      <c r="D11663" t="s">
        <v>182</v>
      </c>
      <c r="E11663" t="s">
        <v>15</v>
      </c>
      <c r="F11663">
        <v>0.33244773745536804</v>
      </c>
    </row>
    <row r="11664" spans="2:6">
      <c r="B11664">
        <v>2013</v>
      </c>
      <c r="C11664" t="s">
        <v>128</v>
      </c>
      <c r="D11664" t="s">
        <v>182</v>
      </c>
      <c r="E11664" t="s">
        <v>7</v>
      </c>
      <c r="F11664">
        <v>5.1380825042724609</v>
      </c>
    </row>
    <row r="11665" spans="2:6">
      <c r="B11665">
        <v>2013</v>
      </c>
      <c r="C11665" t="s">
        <v>128</v>
      </c>
      <c r="D11665" t="s">
        <v>182</v>
      </c>
      <c r="E11665" t="s">
        <v>8</v>
      </c>
      <c r="F11665">
        <v>8.3112068176269531</v>
      </c>
    </row>
    <row r="11666" spans="2:6">
      <c r="B11666">
        <v>2013</v>
      </c>
      <c r="C11666" t="s">
        <v>128</v>
      </c>
      <c r="D11666" t="s">
        <v>182</v>
      </c>
      <c r="E11666" t="s">
        <v>9</v>
      </c>
      <c r="F11666">
        <v>0.60708707571029663</v>
      </c>
    </row>
    <row r="11667" spans="2:6">
      <c r="B11667">
        <v>2013</v>
      </c>
      <c r="C11667" t="s">
        <v>128</v>
      </c>
      <c r="D11667" t="s">
        <v>182</v>
      </c>
      <c r="E11667" t="s">
        <v>10</v>
      </c>
      <c r="F11667">
        <v>56.860000610351563</v>
      </c>
    </row>
    <row r="11668" spans="2:6">
      <c r="B11668">
        <v>2013</v>
      </c>
      <c r="C11668" t="s">
        <v>128</v>
      </c>
      <c r="D11668" t="s">
        <v>182</v>
      </c>
      <c r="E11668" t="s">
        <v>11</v>
      </c>
      <c r="F11668">
        <v>0.44790959358215332</v>
      </c>
    </row>
    <row r="11669" spans="2:6">
      <c r="B11669">
        <v>2013</v>
      </c>
      <c r="C11669" t="s">
        <v>128</v>
      </c>
      <c r="D11669" t="s">
        <v>182</v>
      </c>
      <c r="E11669" t="s">
        <v>12</v>
      </c>
      <c r="F11669">
        <v>9.9550008773803711E-2</v>
      </c>
    </row>
    <row r="11670" spans="2:6">
      <c r="B11670">
        <v>2013</v>
      </c>
      <c r="C11670" t="s">
        <v>128</v>
      </c>
      <c r="D11670" t="s">
        <v>182</v>
      </c>
      <c r="E11670" t="s">
        <v>13</v>
      </c>
      <c r="F11670">
        <v>0.7918352484703064</v>
      </c>
    </row>
    <row r="11671" spans="2:6">
      <c r="B11671">
        <v>2013</v>
      </c>
      <c r="C11671" t="s">
        <v>128</v>
      </c>
      <c r="D11671" t="s">
        <v>182</v>
      </c>
      <c r="E11671" t="s">
        <v>14</v>
      </c>
      <c r="F11671">
        <v>0.59788686037063599</v>
      </c>
    </row>
    <row r="11672" spans="2:6">
      <c r="B11672">
        <v>2013</v>
      </c>
      <c r="C11672" t="s">
        <v>128</v>
      </c>
      <c r="D11672" t="s">
        <v>182</v>
      </c>
      <c r="E11672" t="s">
        <v>15</v>
      </c>
      <c r="F11672">
        <v>0.27370989322662354</v>
      </c>
    </row>
    <row r="11673" spans="2:6">
      <c r="B11673">
        <v>2014</v>
      </c>
      <c r="C11673" t="s">
        <v>128</v>
      </c>
      <c r="D11673" t="s">
        <v>182</v>
      </c>
      <c r="E11673" t="s">
        <v>7</v>
      </c>
      <c r="F11673">
        <v>5.4356579780578613</v>
      </c>
    </row>
    <row r="11674" spans="2:6">
      <c r="B11674">
        <v>2014</v>
      </c>
      <c r="C11674" t="s">
        <v>128</v>
      </c>
      <c r="D11674" t="s">
        <v>182</v>
      </c>
      <c r="E11674" t="s">
        <v>8</v>
      </c>
      <c r="F11674">
        <v>8.3359718322753906</v>
      </c>
    </row>
    <row r="11675" spans="2:6">
      <c r="B11675">
        <v>2014</v>
      </c>
      <c r="C11675" t="s">
        <v>128</v>
      </c>
      <c r="D11675" t="s">
        <v>182</v>
      </c>
      <c r="E11675" t="s">
        <v>9</v>
      </c>
      <c r="F11675">
        <v>0.55168330669403076</v>
      </c>
    </row>
    <row r="11676" spans="2:6">
      <c r="B11676">
        <v>2014</v>
      </c>
      <c r="C11676" t="s">
        <v>128</v>
      </c>
      <c r="D11676" t="s">
        <v>182</v>
      </c>
      <c r="E11676" t="s">
        <v>10</v>
      </c>
      <c r="F11676">
        <v>57.080001831054688</v>
      </c>
    </row>
    <row r="11677" spans="2:6">
      <c r="B11677">
        <v>2014</v>
      </c>
      <c r="C11677" t="s">
        <v>128</v>
      </c>
      <c r="D11677" t="s">
        <v>182</v>
      </c>
      <c r="E11677" t="s">
        <v>11</v>
      </c>
      <c r="F11677">
        <v>0.54313850402832031</v>
      </c>
    </row>
    <row r="11678" spans="2:6">
      <c r="B11678">
        <v>2014</v>
      </c>
      <c r="C11678" t="s">
        <v>128</v>
      </c>
      <c r="D11678" t="s">
        <v>182</v>
      </c>
      <c r="E11678" t="s">
        <v>12</v>
      </c>
      <c r="F11678">
        <v>0.14049890637397766</v>
      </c>
    </row>
    <row r="11679" spans="2:6">
      <c r="B11679">
        <v>2014</v>
      </c>
      <c r="C11679" t="s">
        <v>128</v>
      </c>
      <c r="D11679" t="s">
        <v>182</v>
      </c>
      <c r="E11679" t="s">
        <v>13</v>
      </c>
      <c r="F11679">
        <v>0.67692750692367554</v>
      </c>
    </row>
    <row r="11680" spans="2:6">
      <c r="B11680">
        <v>2014</v>
      </c>
      <c r="C11680" t="s">
        <v>128</v>
      </c>
      <c r="D11680" t="s">
        <v>182</v>
      </c>
      <c r="E11680" t="s">
        <v>14</v>
      </c>
      <c r="F11680">
        <v>0.58493739366531372</v>
      </c>
    </row>
    <row r="11681" spans="2:6">
      <c r="B11681">
        <v>2014</v>
      </c>
      <c r="C11681" t="s">
        <v>128</v>
      </c>
      <c r="D11681" t="s">
        <v>182</v>
      </c>
      <c r="E11681" t="s">
        <v>15</v>
      </c>
      <c r="F11681">
        <v>0.29547977447509766</v>
      </c>
    </row>
    <row r="11682" spans="2:6">
      <c r="B11682">
        <v>2015</v>
      </c>
      <c r="C11682" t="s">
        <v>128</v>
      </c>
      <c r="D11682" t="s">
        <v>182</v>
      </c>
      <c r="E11682" t="s">
        <v>7</v>
      </c>
      <c r="F11682">
        <v>4.8231949806213379</v>
      </c>
    </row>
    <row r="11683" spans="2:6">
      <c r="B11683">
        <v>2015</v>
      </c>
      <c r="C11683" t="s">
        <v>128</v>
      </c>
      <c r="D11683" t="s">
        <v>182</v>
      </c>
      <c r="E11683" t="s">
        <v>8</v>
      </c>
      <c r="F11683">
        <v>8.3613214492797852</v>
      </c>
    </row>
    <row r="11684" spans="2:6">
      <c r="B11684">
        <v>2015</v>
      </c>
      <c r="C11684" t="s">
        <v>128</v>
      </c>
      <c r="D11684" t="s">
        <v>182</v>
      </c>
      <c r="E11684" t="s">
        <v>9</v>
      </c>
      <c r="F11684">
        <v>0.56172013282775879</v>
      </c>
    </row>
    <row r="11685" spans="2:6">
      <c r="B11685">
        <v>2015</v>
      </c>
      <c r="C11685" t="s">
        <v>128</v>
      </c>
      <c r="D11685" t="s">
        <v>182</v>
      </c>
      <c r="E11685" t="s">
        <v>10</v>
      </c>
      <c r="F11685">
        <v>57.299999237060547</v>
      </c>
    </row>
    <row r="11686" spans="2:6">
      <c r="B11686">
        <v>2015</v>
      </c>
      <c r="C11686" t="s">
        <v>128</v>
      </c>
      <c r="D11686" t="s">
        <v>182</v>
      </c>
      <c r="E11686" t="s">
        <v>11</v>
      </c>
      <c r="F11686">
        <v>0.58654624223709106</v>
      </c>
    </row>
    <row r="11687" spans="2:6">
      <c r="B11687">
        <v>2015</v>
      </c>
      <c r="C11687" t="s">
        <v>128</v>
      </c>
      <c r="D11687" t="s">
        <v>182</v>
      </c>
      <c r="E11687" t="s">
        <v>12</v>
      </c>
      <c r="F11687">
        <v>8.5402369499206543E-2</v>
      </c>
    </row>
    <row r="11688" spans="2:6">
      <c r="B11688">
        <v>2015</v>
      </c>
      <c r="C11688" t="s">
        <v>128</v>
      </c>
      <c r="D11688" t="s">
        <v>182</v>
      </c>
      <c r="E11688" t="s">
        <v>13</v>
      </c>
      <c r="F11688">
        <v>0.71664118766784668</v>
      </c>
    </row>
    <row r="11689" spans="2:6">
      <c r="B11689">
        <v>2015</v>
      </c>
      <c r="C11689" t="s">
        <v>128</v>
      </c>
      <c r="D11689" t="s">
        <v>182</v>
      </c>
      <c r="E11689" t="s">
        <v>14</v>
      </c>
      <c r="F11689">
        <v>0.57525527477264404</v>
      </c>
    </row>
    <row r="11690" spans="2:6">
      <c r="B11690">
        <v>2015</v>
      </c>
      <c r="C11690" t="s">
        <v>128</v>
      </c>
      <c r="D11690" t="s">
        <v>182</v>
      </c>
      <c r="E11690" t="s">
        <v>15</v>
      </c>
      <c r="F11690">
        <v>0.32864671945571899</v>
      </c>
    </row>
    <row r="11691" spans="2:6">
      <c r="B11691">
        <v>2016</v>
      </c>
      <c r="C11691" t="s">
        <v>128</v>
      </c>
      <c r="D11691" t="s">
        <v>182</v>
      </c>
      <c r="E11691" t="s">
        <v>7</v>
      </c>
      <c r="F11691">
        <v>5.5485081672668457</v>
      </c>
    </row>
    <row r="11692" spans="2:6">
      <c r="B11692">
        <v>2016</v>
      </c>
      <c r="C11692" t="s">
        <v>128</v>
      </c>
      <c r="D11692" t="s">
        <v>182</v>
      </c>
      <c r="E11692" t="s">
        <v>8</v>
      </c>
      <c r="F11692">
        <v>8.3942728042602539</v>
      </c>
    </row>
    <row r="11693" spans="2:6">
      <c r="B11693">
        <v>2016</v>
      </c>
      <c r="C11693" t="s">
        <v>128</v>
      </c>
      <c r="D11693" t="s">
        <v>182</v>
      </c>
      <c r="E11693" t="s">
        <v>9</v>
      </c>
      <c r="F11693">
        <v>0.62692129611968994</v>
      </c>
    </row>
    <row r="11694" spans="2:6">
      <c r="B11694">
        <v>2016</v>
      </c>
      <c r="C11694" t="s">
        <v>128</v>
      </c>
      <c r="D11694" t="s">
        <v>182</v>
      </c>
      <c r="E11694" t="s">
        <v>10</v>
      </c>
      <c r="F11694">
        <v>57.700000762939453</v>
      </c>
    </row>
    <row r="11695" spans="2:6">
      <c r="B11695">
        <v>2016</v>
      </c>
      <c r="C11695" t="s">
        <v>128</v>
      </c>
      <c r="D11695" t="s">
        <v>182</v>
      </c>
      <c r="E11695" t="s">
        <v>11</v>
      </c>
      <c r="F11695">
        <v>0.63418281078338623</v>
      </c>
    </row>
    <row r="11696" spans="2:6">
      <c r="B11696">
        <v>2016</v>
      </c>
      <c r="C11696" t="s">
        <v>128</v>
      </c>
      <c r="D11696" t="s">
        <v>182</v>
      </c>
      <c r="E11696" t="s">
        <v>12</v>
      </c>
      <c r="F11696">
        <v>9.4835944473743439E-2</v>
      </c>
    </row>
    <row r="11697" spans="2:6">
      <c r="B11697">
        <v>2016</v>
      </c>
      <c r="C11697" t="s">
        <v>128</v>
      </c>
      <c r="D11697" t="s">
        <v>182</v>
      </c>
      <c r="E11697" t="s">
        <v>13</v>
      </c>
      <c r="F11697">
        <v>0.79253005981445313</v>
      </c>
    </row>
    <row r="11698" spans="2:6">
      <c r="B11698">
        <v>2016</v>
      </c>
      <c r="C11698" t="s">
        <v>128</v>
      </c>
      <c r="D11698" t="s">
        <v>182</v>
      </c>
      <c r="E11698" t="s">
        <v>14</v>
      </c>
      <c r="F11698">
        <v>0.64763975143432617</v>
      </c>
    </row>
    <row r="11699" spans="2:6">
      <c r="B11699">
        <v>2016</v>
      </c>
      <c r="C11699" t="s">
        <v>128</v>
      </c>
      <c r="D11699" t="s">
        <v>182</v>
      </c>
      <c r="E11699" t="s">
        <v>15</v>
      </c>
      <c r="F11699">
        <v>0.33161666989326477</v>
      </c>
    </row>
    <row r="11700" spans="2:6">
      <c r="B11700">
        <v>2017</v>
      </c>
      <c r="C11700" t="s">
        <v>128</v>
      </c>
      <c r="D11700" t="s">
        <v>182</v>
      </c>
      <c r="E11700" t="s">
        <v>7</v>
      </c>
      <c r="F11700">
        <v>5.8308706283569336</v>
      </c>
    </row>
    <row r="11701" spans="2:6">
      <c r="B11701">
        <v>2017</v>
      </c>
      <c r="C11701" t="s">
        <v>128</v>
      </c>
      <c r="D11701" t="s">
        <v>182</v>
      </c>
      <c r="E11701" t="s">
        <v>8</v>
      </c>
      <c r="F11701">
        <v>8.4275779724121094</v>
      </c>
    </row>
    <row r="11702" spans="2:6">
      <c r="B11702">
        <v>2017</v>
      </c>
      <c r="C11702" t="s">
        <v>128</v>
      </c>
      <c r="D11702" t="s">
        <v>182</v>
      </c>
      <c r="E11702" t="s">
        <v>9</v>
      </c>
      <c r="F11702">
        <v>0.69026356935501099</v>
      </c>
    </row>
    <row r="11703" spans="2:6">
      <c r="B11703">
        <v>2017</v>
      </c>
      <c r="C11703" t="s">
        <v>128</v>
      </c>
      <c r="D11703" t="s">
        <v>182</v>
      </c>
      <c r="E11703" t="s">
        <v>10</v>
      </c>
      <c r="F11703">
        <v>58.099998474121094</v>
      </c>
    </row>
    <row r="11704" spans="2:6">
      <c r="B11704">
        <v>2017</v>
      </c>
      <c r="C11704" t="s">
        <v>128</v>
      </c>
      <c r="D11704" t="s">
        <v>182</v>
      </c>
      <c r="E11704" t="s">
        <v>11</v>
      </c>
      <c r="F11704">
        <v>0.71265709400177002</v>
      </c>
    </row>
    <row r="11705" spans="2:6">
      <c r="B11705">
        <v>2017</v>
      </c>
      <c r="C11705" t="s">
        <v>128</v>
      </c>
      <c r="D11705" t="s">
        <v>182</v>
      </c>
      <c r="E11705" t="s">
        <v>12</v>
      </c>
      <c r="F11705">
        <v>4.5268401503562927E-2</v>
      </c>
    </row>
    <row r="11706" spans="2:6">
      <c r="B11706">
        <v>2017</v>
      </c>
      <c r="C11706" t="s">
        <v>128</v>
      </c>
      <c r="D11706" t="s">
        <v>182</v>
      </c>
      <c r="E11706" t="s">
        <v>13</v>
      </c>
      <c r="F11706">
        <v>0.71392822265625</v>
      </c>
    </row>
    <row r="11707" spans="2:6">
      <c r="B11707">
        <v>2017</v>
      </c>
      <c r="C11707" t="s">
        <v>128</v>
      </c>
      <c r="D11707" t="s">
        <v>182</v>
      </c>
      <c r="E11707" t="s">
        <v>14</v>
      </c>
      <c r="F11707">
        <v>0.58616697788238525</v>
      </c>
    </row>
    <row r="11708" spans="2:6">
      <c r="B11708">
        <v>2017</v>
      </c>
      <c r="C11708" t="s">
        <v>128</v>
      </c>
      <c r="D11708" t="s">
        <v>182</v>
      </c>
      <c r="E11708" t="s">
        <v>15</v>
      </c>
      <c r="F11708">
        <v>0.30834108591079712</v>
      </c>
    </row>
    <row r="11709" spans="2:6">
      <c r="B11709">
        <v>2018</v>
      </c>
      <c r="C11709" t="s">
        <v>128</v>
      </c>
      <c r="D11709" t="s">
        <v>182</v>
      </c>
      <c r="E11709" t="s">
        <v>7</v>
      </c>
      <c r="F11709">
        <v>5.4715538024902344</v>
      </c>
    </row>
    <row r="11710" spans="2:6">
      <c r="B11710">
        <v>2018</v>
      </c>
      <c r="C11710" t="s">
        <v>128</v>
      </c>
      <c r="D11710" t="s">
        <v>182</v>
      </c>
      <c r="E11710" t="s">
        <v>8</v>
      </c>
      <c r="F11710">
        <v>8.4637441635131836</v>
      </c>
    </row>
    <row r="11711" spans="2:6">
      <c r="B11711">
        <v>2018</v>
      </c>
      <c r="C11711" t="s">
        <v>128</v>
      </c>
      <c r="D11711" t="s">
        <v>182</v>
      </c>
      <c r="E11711" t="s">
        <v>9</v>
      </c>
      <c r="F11711">
        <v>0.68505948781967163</v>
      </c>
    </row>
    <row r="11712" spans="2:6">
      <c r="B11712">
        <v>2018</v>
      </c>
      <c r="C11712" t="s">
        <v>128</v>
      </c>
      <c r="D11712" t="s">
        <v>182</v>
      </c>
      <c r="E11712" t="s">
        <v>10</v>
      </c>
      <c r="F11712">
        <v>58.5</v>
      </c>
    </row>
    <row r="11713" spans="2:6">
      <c r="B11713">
        <v>2018</v>
      </c>
      <c r="C11713" t="s">
        <v>128</v>
      </c>
      <c r="D11713" t="s">
        <v>182</v>
      </c>
      <c r="E11713" t="s">
        <v>11</v>
      </c>
      <c r="F11713">
        <v>0.77256911993026733</v>
      </c>
    </row>
    <row r="11714" spans="2:6">
      <c r="B11714">
        <v>2018</v>
      </c>
      <c r="C11714" t="s">
        <v>128</v>
      </c>
      <c r="D11714" t="s">
        <v>182</v>
      </c>
      <c r="E11714" t="s">
        <v>12</v>
      </c>
      <c r="F11714">
        <v>6.8940453231334686E-2</v>
      </c>
    </row>
    <row r="11715" spans="2:6">
      <c r="B11715">
        <v>2018</v>
      </c>
      <c r="C11715" t="s">
        <v>128</v>
      </c>
      <c r="D11715" t="s">
        <v>182</v>
      </c>
      <c r="E11715" t="s">
        <v>13</v>
      </c>
      <c r="F11715">
        <v>0.79884165525436401</v>
      </c>
    </row>
    <row r="11716" spans="2:6">
      <c r="B11716">
        <v>2018</v>
      </c>
      <c r="C11716" t="s">
        <v>128</v>
      </c>
      <c r="D11716" t="s">
        <v>182</v>
      </c>
      <c r="E11716" t="s">
        <v>14</v>
      </c>
      <c r="F11716">
        <v>0.56729477643966675</v>
      </c>
    </row>
    <row r="11717" spans="2:6">
      <c r="B11717">
        <v>2018</v>
      </c>
      <c r="C11717" t="s">
        <v>128</v>
      </c>
      <c r="D11717" t="s">
        <v>182</v>
      </c>
      <c r="E11717" t="s">
        <v>15</v>
      </c>
      <c r="F11717">
        <v>0.37670606374740601</v>
      </c>
    </row>
    <row r="11718" spans="2:6">
      <c r="B11718">
        <v>2019</v>
      </c>
      <c r="C11718" t="s">
        <v>128</v>
      </c>
      <c r="D11718" t="s">
        <v>182</v>
      </c>
      <c r="E11718" t="s">
        <v>7</v>
      </c>
      <c r="F11718">
        <v>4.4427175521850586</v>
      </c>
    </row>
    <row r="11719" spans="2:6">
      <c r="B11719">
        <v>2019</v>
      </c>
      <c r="C11719" t="s">
        <v>128</v>
      </c>
      <c r="D11719" t="s">
        <v>182</v>
      </c>
      <c r="E11719" t="s">
        <v>8</v>
      </c>
      <c r="F11719">
        <v>8.4532909393310547</v>
      </c>
    </row>
    <row r="11720" spans="2:6">
      <c r="B11720">
        <v>2019</v>
      </c>
      <c r="C11720" t="s">
        <v>128</v>
      </c>
      <c r="D11720" t="s">
        <v>182</v>
      </c>
      <c r="E11720" t="s">
        <v>9</v>
      </c>
      <c r="F11720">
        <v>0.61729574203491211</v>
      </c>
    </row>
    <row r="11721" spans="2:6">
      <c r="B11721">
        <v>2019</v>
      </c>
      <c r="C11721" t="s">
        <v>128</v>
      </c>
      <c r="D11721" t="s">
        <v>182</v>
      </c>
      <c r="E11721" t="s">
        <v>10</v>
      </c>
      <c r="F11721">
        <v>58.900001525878906</v>
      </c>
    </row>
    <row r="11722" spans="2:6">
      <c r="B11722">
        <v>2019</v>
      </c>
      <c r="C11722" t="s">
        <v>128</v>
      </c>
      <c r="D11722" t="s">
        <v>182</v>
      </c>
      <c r="E11722" t="s">
        <v>11</v>
      </c>
      <c r="F11722">
        <v>0.68467557430267334</v>
      </c>
    </row>
    <row r="11723" spans="2:6">
      <c r="B11723">
        <v>2019</v>
      </c>
      <c r="C11723" t="s">
        <v>128</v>
      </c>
      <c r="D11723" t="s">
        <v>182</v>
      </c>
      <c r="E11723" t="s">
        <v>12</v>
      </c>
      <c r="F11723">
        <v>0.12372947484254837</v>
      </c>
    </row>
    <row r="11724" spans="2:6">
      <c r="B11724">
        <v>2019</v>
      </c>
      <c r="C11724" t="s">
        <v>128</v>
      </c>
      <c r="D11724" t="s">
        <v>182</v>
      </c>
      <c r="E11724" t="s">
        <v>13</v>
      </c>
      <c r="F11724">
        <v>0.77599805593490601</v>
      </c>
    </row>
    <row r="11725" spans="2:6">
      <c r="B11725">
        <v>2019</v>
      </c>
      <c r="C11725" t="s">
        <v>128</v>
      </c>
      <c r="D11725" t="s">
        <v>182</v>
      </c>
      <c r="E11725" t="s">
        <v>14</v>
      </c>
      <c r="F11725">
        <v>0.58106738328933716</v>
      </c>
    </row>
    <row r="11726" spans="2:6">
      <c r="B11726">
        <v>2019</v>
      </c>
      <c r="C11726" t="s">
        <v>128</v>
      </c>
      <c r="D11726" t="s">
        <v>182</v>
      </c>
      <c r="E11726" t="s">
        <v>15</v>
      </c>
      <c r="F11726">
        <v>0.42424008250236511</v>
      </c>
    </row>
    <row r="11727" spans="2:6">
      <c r="B11727">
        <v>2006</v>
      </c>
      <c r="C11727" t="s">
        <v>129</v>
      </c>
      <c r="D11727" t="s">
        <v>182</v>
      </c>
      <c r="E11727" t="s">
        <v>7</v>
      </c>
      <c r="F11727">
        <v>4.7163877487182617</v>
      </c>
    </row>
    <row r="11728" spans="2:6">
      <c r="B11728">
        <v>2006</v>
      </c>
      <c r="C11728" t="s">
        <v>129</v>
      </c>
      <c r="D11728" t="s">
        <v>182</v>
      </c>
      <c r="E11728" t="s">
        <v>8</v>
      </c>
      <c r="F11728">
        <v>8.2127571105957031</v>
      </c>
    </row>
    <row r="11729" spans="2:6">
      <c r="B11729">
        <v>2006</v>
      </c>
      <c r="C11729" t="s">
        <v>129</v>
      </c>
      <c r="D11729" t="s">
        <v>182</v>
      </c>
      <c r="E11729" t="s">
        <v>9</v>
      </c>
      <c r="F11729">
        <v>0.81794542074203491</v>
      </c>
    </row>
    <row r="11730" spans="2:6">
      <c r="B11730">
        <v>2006</v>
      </c>
      <c r="C11730" t="s">
        <v>129</v>
      </c>
      <c r="D11730" t="s">
        <v>182</v>
      </c>
      <c r="E11730" t="s">
        <v>10</v>
      </c>
      <c r="F11730">
        <v>61.779998779296875</v>
      </c>
    </row>
    <row r="11731" spans="2:6">
      <c r="B11731">
        <v>2006</v>
      </c>
      <c r="C11731" t="s">
        <v>129</v>
      </c>
      <c r="D11731" t="s">
        <v>182</v>
      </c>
      <c r="E11731" t="s">
        <v>11</v>
      </c>
      <c r="F11731">
        <v>0.54650646448135376</v>
      </c>
    </row>
    <row r="11732" spans="2:6">
      <c r="B11732">
        <v>2006</v>
      </c>
      <c r="C11732" t="s">
        <v>129</v>
      </c>
      <c r="D11732" t="s">
        <v>182</v>
      </c>
      <c r="E11732" t="s">
        <v>13</v>
      </c>
      <c r="F11732">
        <v>0.85782396793365479</v>
      </c>
    </row>
    <row r="11733" spans="2:6">
      <c r="B11733">
        <v>2006</v>
      </c>
      <c r="C11733" t="s">
        <v>129</v>
      </c>
      <c r="D11733" t="s">
        <v>182</v>
      </c>
      <c r="E11733" t="s">
        <v>14</v>
      </c>
      <c r="F11733">
        <v>0.4971463680267334</v>
      </c>
    </row>
    <row r="11734" spans="2:6">
      <c r="B11734">
        <v>2006</v>
      </c>
      <c r="C11734" t="s">
        <v>129</v>
      </c>
      <c r="D11734" t="s">
        <v>182</v>
      </c>
      <c r="E11734" t="s">
        <v>15</v>
      </c>
      <c r="F11734">
        <v>0.43057960271835327</v>
      </c>
    </row>
    <row r="11735" spans="2:6">
      <c r="B11735">
        <v>2007</v>
      </c>
      <c r="C11735" t="s">
        <v>129</v>
      </c>
      <c r="D11735" t="s">
        <v>182</v>
      </c>
      <c r="E11735" t="s">
        <v>7</v>
      </c>
      <c r="F11735">
        <v>4.1510539054870605</v>
      </c>
    </row>
    <row r="11736" spans="2:6">
      <c r="B11736">
        <v>2007</v>
      </c>
      <c r="C11736" t="s">
        <v>129</v>
      </c>
      <c r="D11736" t="s">
        <v>182</v>
      </c>
      <c r="E11736" t="s">
        <v>8</v>
      </c>
      <c r="F11736">
        <v>8.2184257507324219</v>
      </c>
    </row>
    <row r="11737" spans="2:6">
      <c r="B11737">
        <v>2007</v>
      </c>
      <c r="C11737" t="s">
        <v>129</v>
      </c>
      <c r="D11737" t="s">
        <v>182</v>
      </c>
      <c r="E11737" t="s">
        <v>9</v>
      </c>
      <c r="F11737">
        <v>0.7118186354637146</v>
      </c>
    </row>
    <row r="11738" spans="2:6">
      <c r="B11738">
        <v>2007</v>
      </c>
      <c r="C11738" t="s">
        <v>129</v>
      </c>
      <c r="D11738" t="s">
        <v>182</v>
      </c>
      <c r="E11738" t="s">
        <v>10</v>
      </c>
      <c r="F11738">
        <v>61.897499084472656</v>
      </c>
    </row>
    <row r="11739" spans="2:6">
      <c r="B11739">
        <v>2007</v>
      </c>
      <c r="C11739" t="s">
        <v>129</v>
      </c>
      <c r="D11739" t="s">
        <v>182</v>
      </c>
      <c r="E11739" t="s">
        <v>11</v>
      </c>
      <c r="F11739">
        <v>0.36529615521430969</v>
      </c>
    </row>
    <row r="11740" spans="2:6">
      <c r="B11740">
        <v>2007</v>
      </c>
      <c r="C11740" t="s">
        <v>129</v>
      </c>
      <c r="D11740" t="s">
        <v>182</v>
      </c>
      <c r="E11740" t="s">
        <v>12</v>
      </c>
      <c r="F11740">
        <v>-8.0295480787754059E-2</v>
      </c>
    </row>
    <row r="11741" spans="2:6">
      <c r="B11741">
        <v>2007</v>
      </c>
      <c r="C11741" t="s">
        <v>129</v>
      </c>
      <c r="D11741" t="s">
        <v>182</v>
      </c>
      <c r="E11741" t="s">
        <v>13</v>
      </c>
      <c r="F11741">
        <v>0.8441804051399231</v>
      </c>
    </row>
    <row r="11742" spans="2:6">
      <c r="B11742">
        <v>2007</v>
      </c>
      <c r="C11742" t="s">
        <v>129</v>
      </c>
      <c r="D11742" t="s">
        <v>182</v>
      </c>
      <c r="E11742" t="s">
        <v>14</v>
      </c>
      <c r="F11742">
        <v>0.56648921966552734</v>
      </c>
    </row>
    <row r="11743" spans="2:6">
      <c r="B11743">
        <v>2007</v>
      </c>
      <c r="C11743" t="s">
        <v>129</v>
      </c>
      <c r="D11743" t="s">
        <v>182</v>
      </c>
      <c r="E11743" t="s">
        <v>15</v>
      </c>
      <c r="F11743">
        <v>0.41232788562774658</v>
      </c>
    </row>
    <row r="11744" spans="2:6">
      <c r="B11744">
        <v>2008</v>
      </c>
      <c r="C11744" t="s">
        <v>129</v>
      </c>
      <c r="D11744" t="s">
        <v>182</v>
      </c>
      <c r="E11744" t="s">
        <v>7</v>
      </c>
      <c r="F11744">
        <v>4.3856034278869629</v>
      </c>
    </row>
    <row r="11745" spans="2:6">
      <c r="B11745">
        <v>2008</v>
      </c>
      <c r="C11745" t="s">
        <v>129</v>
      </c>
      <c r="D11745" t="s">
        <v>182</v>
      </c>
      <c r="E11745" t="s">
        <v>8</v>
      </c>
      <c r="F11745">
        <v>8.2757654190063477</v>
      </c>
    </row>
    <row r="11746" spans="2:6">
      <c r="B11746">
        <v>2008</v>
      </c>
      <c r="C11746" t="s">
        <v>129</v>
      </c>
      <c r="D11746" t="s">
        <v>182</v>
      </c>
      <c r="E11746" t="s">
        <v>9</v>
      </c>
      <c r="F11746">
        <v>0.66591072082519531</v>
      </c>
    </row>
    <row r="11747" spans="2:6">
      <c r="B11747">
        <v>2008</v>
      </c>
      <c r="C11747" t="s">
        <v>129</v>
      </c>
      <c r="D11747" t="s">
        <v>182</v>
      </c>
      <c r="E11747" t="s">
        <v>10</v>
      </c>
      <c r="F11747">
        <v>62.014999389648438</v>
      </c>
    </row>
    <row r="11748" spans="2:6">
      <c r="B11748">
        <v>2008</v>
      </c>
      <c r="C11748" t="s">
        <v>129</v>
      </c>
      <c r="D11748" t="s">
        <v>182</v>
      </c>
      <c r="E11748" t="s">
        <v>11</v>
      </c>
      <c r="F11748">
        <v>0.35775652527809143</v>
      </c>
    </row>
    <row r="11749" spans="2:6">
      <c r="B11749">
        <v>2008</v>
      </c>
      <c r="C11749" t="s">
        <v>129</v>
      </c>
      <c r="D11749" t="s">
        <v>182</v>
      </c>
      <c r="E11749" t="s">
        <v>12</v>
      </c>
      <c r="F11749">
        <v>-6.9941282272338867E-2</v>
      </c>
    </row>
    <row r="11750" spans="2:6">
      <c r="B11750">
        <v>2008</v>
      </c>
      <c r="C11750" t="s">
        <v>129</v>
      </c>
      <c r="D11750" t="s">
        <v>182</v>
      </c>
      <c r="E11750" t="s">
        <v>13</v>
      </c>
      <c r="F11750">
        <v>0.75321304798126221</v>
      </c>
    </row>
    <row r="11751" spans="2:6">
      <c r="B11751">
        <v>2008</v>
      </c>
      <c r="C11751" t="s">
        <v>129</v>
      </c>
      <c r="D11751" t="s">
        <v>182</v>
      </c>
      <c r="E11751" t="s">
        <v>14</v>
      </c>
      <c r="F11751">
        <v>0.57126921415328979</v>
      </c>
    </row>
    <row r="11752" spans="2:6">
      <c r="B11752">
        <v>2008</v>
      </c>
      <c r="C11752" t="s">
        <v>129</v>
      </c>
      <c r="D11752" t="s">
        <v>182</v>
      </c>
      <c r="E11752" t="s">
        <v>15</v>
      </c>
      <c r="F11752">
        <v>0.40328255295753479</v>
      </c>
    </row>
    <row r="11753" spans="2:6">
      <c r="B11753">
        <v>2009</v>
      </c>
      <c r="C11753" t="s">
        <v>129</v>
      </c>
      <c r="D11753" t="s">
        <v>182</v>
      </c>
      <c r="E11753" t="s">
        <v>7</v>
      </c>
      <c r="F11753">
        <v>4.470191478729248</v>
      </c>
    </row>
    <row r="11754" spans="2:6">
      <c r="B11754">
        <v>2009</v>
      </c>
      <c r="C11754" t="s">
        <v>129</v>
      </c>
      <c r="D11754" t="s">
        <v>182</v>
      </c>
      <c r="E11754" t="s">
        <v>8</v>
      </c>
      <c r="F11754">
        <v>8.3285961151123047</v>
      </c>
    </row>
    <row r="11755" spans="2:6">
      <c r="B11755">
        <v>2009</v>
      </c>
      <c r="C11755" t="s">
        <v>129</v>
      </c>
      <c r="D11755" t="s">
        <v>182</v>
      </c>
      <c r="E11755" t="s">
        <v>9</v>
      </c>
      <c r="F11755">
        <v>0.73807668685913086</v>
      </c>
    </row>
    <row r="11756" spans="2:6">
      <c r="B11756">
        <v>2009</v>
      </c>
      <c r="C11756" t="s">
        <v>129</v>
      </c>
      <c r="D11756" t="s">
        <v>182</v>
      </c>
      <c r="E11756" t="s">
        <v>10</v>
      </c>
      <c r="F11756">
        <v>62.132499694824219</v>
      </c>
    </row>
    <row r="11757" spans="2:6">
      <c r="B11757">
        <v>2009</v>
      </c>
      <c r="C11757" t="s">
        <v>129</v>
      </c>
      <c r="D11757" t="s">
        <v>182</v>
      </c>
      <c r="E11757" t="s">
        <v>11</v>
      </c>
      <c r="F11757">
        <v>0.4678119421005249</v>
      </c>
    </row>
    <row r="11758" spans="2:6">
      <c r="B11758">
        <v>2009</v>
      </c>
      <c r="C11758" t="s">
        <v>129</v>
      </c>
      <c r="D11758" t="s">
        <v>182</v>
      </c>
      <c r="E11758" t="s">
        <v>12</v>
      </c>
      <c r="F11758">
        <v>-8.5346989333629608E-2</v>
      </c>
    </row>
    <row r="11759" spans="2:6">
      <c r="B11759">
        <v>2009</v>
      </c>
      <c r="C11759" t="s">
        <v>129</v>
      </c>
      <c r="D11759" t="s">
        <v>182</v>
      </c>
      <c r="E11759" t="s">
        <v>13</v>
      </c>
      <c r="F11759">
        <v>0.79735422134399414</v>
      </c>
    </row>
    <row r="11760" spans="2:6">
      <c r="B11760">
        <v>2009</v>
      </c>
      <c r="C11760" t="s">
        <v>129</v>
      </c>
      <c r="D11760" t="s">
        <v>182</v>
      </c>
      <c r="E11760" t="s">
        <v>14</v>
      </c>
      <c r="F11760">
        <v>0.54438662528991699</v>
      </c>
    </row>
    <row r="11761" spans="2:6">
      <c r="B11761">
        <v>2009</v>
      </c>
      <c r="C11761" t="s">
        <v>129</v>
      </c>
      <c r="D11761" t="s">
        <v>182</v>
      </c>
      <c r="E11761" t="s">
        <v>15</v>
      </c>
      <c r="F11761">
        <v>0.4664282500743866</v>
      </c>
    </row>
    <row r="11762" spans="2:6">
      <c r="B11762">
        <v>2010</v>
      </c>
      <c r="C11762" t="s">
        <v>129</v>
      </c>
      <c r="D11762" t="s">
        <v>182</v>
      </c>
      <c r="E11762" t="s">
        <v>7</v>
      </c>
      <c r="F11762">
        <v>4.702603816986084</v>
      </c>
    </row>
    <row r="11763" spans="2:6">
      <c r="B11763">
        <v>2010</v>
      </c>
      <c r="C11763" t="s">
        <v>129</v>
      </c>
      <c r="D11763" t="s">
        <v>182</v>
      </c>
      <c r="E11763" t="s">
        <v>8</v>
      </c>
      <c r="F11763">
        <v>8.3832159042358398</v>
      </c>
    </row>
    <row r="11764" spans="2:6">
      <c r="B11764">
        <v>2010</v>
      </c>
      <c r="C11764" t="s">
        <v>129</v>
      </c>
      <c r="D11764" t="s">
        <v>182</v>
      </c>
      <c r="E11764" t="s">
        <v>9</v>
      </c>
      <c r="F11764">
        <v>0.82174628973007202</v>
      </c>
    </row>
    <row r="11765" spans="2:6">
      <c r="B11765">
        <v>2010</v>
      </c>
      <c r="C11765" t="s">
        <v>129</v>
      </c>
      <c r="D11765" t="s">
        <v>182</v>
      </c>
      <c r="E11765" t="s">
        <v>10</v>
      </c>
      <c r="F11765">
        <v>62.25</v>
      </c>
    </row>
    <row r="11766" spans="2:6">
      <c r="B11766">
        <v>2010</v>
      </c>
      <c r="C11766" t="s">
        <v>129</v>
      </c>
      <c r="D11766" t="s">
        <v>182</v>
      </c>
      <c r="E11766" t="s">
        <v>11</v>
      </c>
      <c r="F11766">
        <v>0.50426226854324341</v>
      </c>
    </row>
    <row r="11767" spans="2:6">
      <c r="B11767">
        <v>2010</v>
      </c>
      <c r="C11767" t="s">
        <v>129</v>
      </c>
      <c r="D11767" t="s">
        <v>182</v>
      </c>
      <c r="E11767" t="s">
        <v>12</v>
      </c>
      <c r="F11767">
        <v>-0.11725807934999466</v>
      </c>
    </row>
    <row r="11768" spans="2:6">
      <c r="B11768">
        <v>2010</v>
      </c>
      <c r="C11768" t="s">
        <v>129</v>
      </c>
      <c r="D11768" t="s">
        <v>182</v>
      </c>
      <c r="E11768" t="s">
        <v>13</v>
      </c>
      <c r="F11768">
        <v>0.75241464376449585</v>
      </c>
    </row>
    <row r="11769" spans="2:6">
      <c r="B11769">
        <v>2010</v>
      </c>
      <c r="C11769" t="s">
        <v>129</v>
      </c>
      <c r="D11769" t="s">
        <v>182</v>
      </c>
      <c r="E11769" t="s">
        <v>14</v>
      </c>
      <c r="F11769">
        <v>0.62758785486221313</v>
      </c>
    </row>
    <row r="11770" spans="2:6">
      <c r="B11770">
        <v>2010</v>
      </c>
      <c r="C11770" t="s">
        <v>129</v>
      </c>
      <c r="D11770" t="s">
        <v>182</v>
      </c>
      <c r="E11770" t="s">
        <v>15</v>
      </c>
      <c r="F11770">
        <v>0.38149005174636841</v>
      </c>
    </row>
    <row r="11771" spans="2:6">
      <c r="B11771">
        <v>2011</v>
      </c>
      <c r="C11771" t="s">
        <v>129</v>
      </c>
      <c r="D11771" t="s">
        <v>182</v>
      </c>
      <c r="E11771" t="s">
        <v>7</v>
      </c>
      <c r="F11771">
        <v>4.7512197494506836</v>
      </c>
    </row>
    <row r="11772" spans="2:6">
      <c r="B11772">
        <v>2011</v>
      </c>
      <c r="C11772" t="s">
        <v>129</v>
      </c>
      <c r="D11772" t="s">
        <v>182</v>
      </c>
      <c r="E11772" t="s">
        <v>8</v>
      </c>
      <c r="F11772">
        <v>8.4744253158569336</v>
      </c>
    </row>
    <row r="11773" spans="2:6">
      <c r="B11773">
        <v>2011</v>
      </c>
      <c r="C11773" t="s">
        <v>129</v>
      </c>
      <c r="D11773" t="s">
        <v>182</v>
      </c>
      <c r="E11773" t="s">
        <v>9</v>
      </c>
      <c r="F11773">
        <v>0.75083225965499878</v>
      </c>
    </row>
    <row r="11774" spans="2:6">
      <c r="B11774">
        <v>2011</v>
      </c>
      <c r="C11774" t="s">
        <v>129</v>
      </c>
      <c r="D11774" t="s">
        <v>182</v>
      </c>
      <c r="E11774" t="s">
        <v>11</v>
      </c>
      <c r="F11774">
        <v>0.52188926935195923</v>
      </c>
    </row>
    <row r="11775" spans="2:6">
      <c r="B11775">
        <v>2011</v>
      </c>
      <c r="C11775" t="s">
        <v>129</v>
      </c>
      <c r="D11775" t="s">
        <v>182</v>
      </c>
      <c r="E11775" t="s">
        <v>12</v>
      </c>
      <c r="F11775">
        <v>-0.1270526796579361</v>
      </c>
    </row>
    <row r="11776" spans="2:6">
      <c r="B11776">
        <v>2011</v>
      </c>
      <c r="C11776" t="s">
        <v>129</v>
      </c>
      <c r="D11776" t="s">
        <v>182</v>
      </c>
      <c r="E11776" t="s">
        <v>13</v>
      </c>
      <c r="F11776">
        <v>0.75020760297775269</v>
      </c>
    </row>
    <row r="11777" spans="2:6">
      <c r="B11777">
        <v>2011</v>
      </c>
      <c r="C11777" t="s">
        <v>129</v>
      </c>
      <c r="D11777" t="s">
        <v>182</v>
      </c>
      <c r="E11777" t="s">
        <v>14</v>
      </c>
      <c r="F11777">
        <v>0.56700736284255981</v>
      </c>
    </row>
    <row r="11778" spans="2:6">
      <c r="B11778">
        <v>2011</v>
      </c>
      <c r="C11778" t="s">
        <v>129</v>
      </c>
      <c r="D11778" t="s">
        <v>182</v>
      </c>
      <c r="E11778" t="s">
        <v>15</v>
      </c>
      <c r="F11778">
        <v>0.3876512348651886</v>
      </c>
    </row>
    <row r="11779" spans="2:6">
      <c r="B11779">
        <v>2012</v>
      </c>
      <c r="C11779" t="s">
        <v>129</v>
      </c>
      <c r="D11779" t="s">
        <v>182</v>
      </c>
      <c r="E11779" t="s">
        <v>7</v>
      </c>
      <c r="F11779">
        <v>4.6466083526611328</v>
      </c>
    </row>
    <row r="11780" spans="2:6">
      <c r="B11780">
        <v>2012</v>
      </c>
      <c r="C11780" t="s">
        <v>129</v>
      </c>
      <c r="D11780" t="s">
        <v>182</v>
      </c>
      <c r="E11780" t="s">
        <v>8</v>
      </c>
      <c r="F11780">
        <v>8.530909538269043</v>
      </c>
    </row>
    <row r="11781" spans="2:6">
      <c r="B11781">
        <v>2012</v>
      </c>
      <c r="C11781" t="s">
        <v>129</v>
      </c>
      <c r="D11781" t="s">
        <v>182</v>
      </c>
      <c r="E11781" t="s">
        <v>9</v>
      </c>
      <c r="F11781">
        <v>0.78216910362243652</v>
      </c>
    </row>
    <row r="11782" spans="2:6">
      <c r="B11782">
        <v>2012</v>
      </c>
      <c r="C11782" t="s">
        <v>129</v>
      </c>
      <c r="D11782" t="s">
        <v>182</v>
      </c>
      <c r="E11782" t="s">
        <v>11</v>
      </c>
      <c r="F11782">
        <v>0.54158288240432739</v>
      </c>
    </row>
    <row r="11783" spans="2:6">
      <c r="B11783">
        <v>2012</v>
      </c>
      <c r="C11783" t="s">
        <v>129</v>
      </c>
      <c r="D11783" t="s">
        <v>182</v>
      </c>
      <c r="E11783" t="s">
        <v>12</v>
      </c>
      <c r="F11783">
        <v>-0.15328946709632874</v>
      </c>
    </row>
    <row r="11784" spans="2:6">
      <c r="B11784">
        <v>2012</v>
      </c>
      <c r="C11784" t="s">
        <v>129</v>
      </c>
      <c r="D11784" t="s">
        <v>182</v>
      </c>
      <c r="E11784" t="s">
        <v>13</v>
      </c>
      <c r="F11784">
        <v>0.730194091796875</v>
      </c>
    </row>
    <row r="11785" spans="2:6">
      <c r="B11785">
        <v>2012</v>
      </c>
      <c r="C11785" t="s">
        <v>129</v>
      </c>
      <c r="D11785" t="s">
        <v>182</v>
      </c>
      <c r="E11785" t="s">
        <v>14</v>
      </c>
      <c r="F11785">
        <v>0.61635518074035645</v>
      </c>
    </row>
    <row r="11786" spans="2:6">
      <c r="B11786">
        <v>2012</v>
      </c>
      <c r="C11786" t="s">
        <v>129</v>
      </c>
      <c r="D11786" t="s">
        <v>182</v>
      </c>
      <c r="E11786" t="s">
        <v>15</v>
      </c>
      <c r="F11786">
        <v>0.37850382924079895</v>
      </c>
    </row>
    <row r="11787" spans="2:6">
      <c r="B11787">
        <v>2013</v>
      </c>
      <c r="C11787" t="s">
        <v>129</v>
      </c>
      <c r="D11787" t="s">
        <v>182</v>
      </c>
      <c r="E11787" t="s">
        <v>7</v>
      </c>
      <c r="F11787">
        <v>4.8440279960632324</v>
      </c>
    </row>
    <row r="11788" spans="2:6">
      <c r="B11788">
        <v>2013</v>
      </c>
      <c r="C11788" t="s">
        <v>129</v>
      </c>
      <c r="D11788" t="s">
        <v>182</v>
      </c>
      <c r="E11788" t="s">
        <v>8</v>
      </c>
      <c r="F11788">
        <v>8.48858642578125</v>
      </c>
    </row>
    <row r="11789" spans="2:6">
      <c r="B11789">
        <v>2013</v>
      </c>
      <c r="C11789" t="s">
        <v>129</v>
      </c>
      <c r="D11789" t="s">
        <v>182</v>
      </c>
      <c r="E11789" t="s">
        <v>9</v>
      </c>
      <c r="F11789">
        <v>0.76089954376220703</v>
      </c>
    </row>
    <row r="11790" spans="2:6">
      <c r="B11790">
        <v>2013</v>
      </c>
      <c r="C11790" t="s">
        <v>129</v>
      </c>
      <c r="D11790" t="s">
        <v>182</v>
      </c>
      <c r="E11790" t="s">
        <v>11</v>
      </c>
      <c r="F11790">
        <v>0.45390337705612183</v>
      </c>
    </row>
    <row r="11791" spans="2:6">
      <c r="B11791">
        <v>2013</v>
      </c>
      <c r="C11791" t="s">
        <v>129</v>
      </c>
      <c r="D11791" t="s">
        <v>182</v>
      </c>
      <c r="E11791" t="s">
        <v>12</v>
      </c>
      <c r="F11791">
        <v>-0.15011793375015259</v>
      </c>
    </row>
    <row r="11792" spans="2:6">
      <c r="B11792">
        <v>2013</v>
      </c>
      <c r="C11792" t="s">
        <v>129</v>
      </c>
      <c r="D11792" t="s">
        <v>182</v>
      </c>
      <c r="E11792" t="s">
        <v>13</v>
      </c>
      <c r="F11792">
        <v>0.77964574098587036</v>
      </c>
    </row>
    <row r="11793" spans="2:6">
      <c r="B11793">
        <v>2013</v>
      </c>
      <c r="C11793" t="s">
        <v>129</v>
      </c>
      <c r="D11793" t="s">
        <v>182</v>
      </c>
      <c r="E11793" t="s">
        <v>14</v>
      </c>
      <c r="F11793">
        <v>0.59370088577270508</v>
      </c>
    </row>
    <row r="11794" spans="2:6">
      <c r="B11794">
        <v>2013</v>
      </c>
      <c r="C11794" t="s">
        <v>129</v>
      </c>
      <c r="D11794" t="s">
        <v>182</v>
      </c>
      <c r="E11794" t="s">
        <v>15</v>
      </c>
      <c r="F11794">
        <v>0.36527574062347412</v>
      </c>
    </row>
    <row r="11795" spans="2:6">
      <c r="B11795">
        <v>2014</v>
      </c>
      <c r="C11795" t="s">
        <v>129</v>
      </c>
      <c r="D11795" t="s">
        <v>182</v>
      </c>
      <c r="E11795" t="s">
        <v>7</v>
      </c>
      <c r="F11795">
        <v>4.7219381332397461</v>
      </c>
    </row>
    <row r="11796" spans="2:6">
      <c r="B11796">
        <v>2014</v>
      </c>
      <c r="C11796" t="s">
        <v>129</v>
      </c>
      <c r="D11796" t="s">
        <v>182</v>
      </c>
      <c r="E11796" t="s">
        <v>8</v>
      </c>
      <c r="F11796">
        <v>8.4570894241333008</v>
      </c>
    </row>
    <row r="11797" spans="2:6">
      <c r="B11797">
        <v>2014</v>
      </c>
      <c r="C11797" t="s">
        <v>129</v>
      </c>
      <c r="D11797" t="s">
        <v>182</v>
      </c>
      <c r="E11797" t="s">
        <v>9</v>
      </c>
      <c r="F11797">
        <v>0.77508670091629028</v>
      </c>
    </row>
    <row r="11798" spans="2:6">
      <c r="B11798">
        <v>2014</v>
      </c>
      <c r="C11798" t="s">
        <v>129</v>
      </c>
      <c r="D11798" t="s">
        <v>182</v>
      </c>
      <c r="E11798" t="s">
        <v>11</v>
      </c>
      <c r="F11798">
        <v>0.65704983472824097</v>
      </c>
    </row>
    <row r="11799" spans="2:6">
      <c r="B11799">
        <v>2014</v>
      </c>
      <c r="C11799" t="s">
        <v>129</v>
      </c>
      <c r="D11799" t="s">
        <v>182</v>
      </c>
      <c r="E11799" t="s">
        <v>12</v>
      </c>
      <c r="F11799">
        <v>-0.14658750593662262</v>
      </c>
    </row>
    <row r="11800" spans="2:6">
      <c r="B11800">
        <v>2014</v>
      </c>
      <c r="C11800" t="s">
        <v>129</v>
      </c>
      <c r="D11800" t="s">
        <v>182</v>
      </c>
      <c r="E11800" t="s">
        <v>13</v>
      </c>
      <c r="F11800">
        <v>0.80416542291641235</v>
      </c>
    </row>
    <row r="11801" spans="2:6">
      <c r="B11801">
        <v>2014</v>
      </c>
      <c r="C11801" t="s">
        <v>129</v>
      </c>
      <c r="D11801" t="s">
        <v>182</v>
      </c>
      <c r="E11801" t="s">
        <v>14</v>
      </c>
      <c r="F11801">
        <v>0.56505692005157471</v>
      </c>
    </row>
    <row r="11802" spans="2:6">
      <c r="B11802">
        <v>2014</v>
      </c>
      <c r="C11802" t="s">
        <v>129</v>
      </c>
      <c r="D11802" t="s">
        <v>182</v>
      </c>
      <c r="E11802" t="s">
        <v>15</v>
      </c>
      <c r="F11802">
        <v>0.38045242428779602</v>
      </c>
    </row>
    <row r="11803" spans="2:6">
      <c r="B11803">
        <v>2015</v>
      </c>
      <c r="C11803" t="s">
        <v>129</v>
      </c>
      <c r="D11803" t="s">
        <v>182</v>
      </c>
      <c r="E11803" t="s">
        <v>7</v>
      </c>
      <c r="F11803">
        <v>4.6952390670776367</v>
      </c>
    </row>
    <row r="11804" spans="2:6">
      <c r="B11804">
        <v>2015</v>
      </c>
      <c r="C11804" t="s">
        <v>129</v>
      </c>
      <c r="D11804" t="s">
        <v>182</v>
      </c>
      <c r="E11804" t="s">
        <v>8</v>
      </c>
      <c r="F11804">
        <v>8.4800252914428711</v>
      </c>
    </row>
    <row r="11805" spans="2:6">
      <c r="B11805">
        <v>2015</v>
      </c>
      <c r="C11805" t="s">
        <v>129</v>
      </c>
      <c r="D11805" t="s">
        <v>182</v>
      </c>
      <c r="E11805" t="s">
        <v>9</v>
      </c>
      <c r="F11805">
        <v>0.76610124111175537</v>
      </c>
    </row>
    <row r="11806" spans="2:6">
      <c r="B11806">
        <v>2015</v>
      </c>
      <c r="C11806" t="s">
        <v>129</v>
      </c>
      <c r="D11806" t="s">
        <v>182</v>
      </c>
      <c r="E11806" t="s">
        <v>11</v>
      </c>
      <c r="F11806">
        <v>0.55604094266891479</v>
      </c>
    </row>
    <row r="11807" spans="2:6">
      <c r="B11807">
        <v>2015</v>
      </c>
      <c r="C11807" t="s">
        <v>129</v>
      </c>
      <c r="D11807" t="s">
        <v>182</v>
      </c>
      <c r="E11807" t="s">
        <v>12</v>
      </c>
      <c r="F11807">
        <v>-0.15281307697296143</v>
      </c>
    </row>
    <row r="11808" spans="2:6">
      <c r="B11808">
        <v>2015</v>
      </c>
      <c r="C11808" t="s">
        <v>129</v>
      </c>
      <c r="D11808" t="s">
        <v>182</v>
      </c>
      <c r="E11808" t="s">
        <v>13</v>
      </c>
      <c r="F11808">
        <v>0.77430135011672974</v>
      </c>
    </row>
    <row r="11809" spans="2:6">
      <c r="B11809">
        <v>2015</v>
      </c>
      <c r="C11809" t="s">
        <v>129</v>
      </c>
      <c r="D11809" t="s">
        <v>182</v>
      </c>
      <c r="E11809" t="s">
        <v>14</v>
      </c>
      <c r="F11809">
        <v>0.59445649385452271</v>
      </c>
    </row>
    <row r="11810" spans="2:6">
      <c r="B11810">
        <v>2015</v>
      </c>
      <c r="C11810" t="s">
        <v>129</v>
      </c>
      <c r="D11810" t="s">
        <v>182</v>
      </c>
      <c r="E11810" t="s">
        <v>15</v>
      </c>
      <c r="F11810">
        <v>0.36908489465713501</v>
      </c>
    </row>
    <row r="11811" spans="2:6">
      <c r="B11811">
        <v>2016</v>
      </c>
      <c r="C11811" t="s">
        <v>129</v>
      </c>
      <c r="D11811" t="s">
        <v>182</v>
      </c>
      <c r="E11811" t="s">
        <v>7</v>
      </c>
      <c r="F11811">
        <v>4.9066181182861328</v>
      </c>
    </row>
    <row r="11812" spans="2:6">
      <c r="B11812">
        <v>2016</v>
      </c>
      <c r="C11812" t="s">
        <v>129</v>
      </c>
      <c r="D11812" t="s">
        <v>182</v>
      </c>
      <c r="E11812" t="s">
        <v>8</v>
      </c>
      <c r="F11812">
        <v>8.4982204437255859</v>
      </c>
    </row>
    <row r="11813" spans="2:6">
      <c r="B11813">
        <v>2016</v>
      </c>
      <c r="C11813" t="s">
        <v>129</v>
      </c>
      <c r="D11813" t="s">
        <v>182</v>
      </c>
      <c r="E11813" t="s">
        <v>9</v>
      </c>
      <c r="F11813">
        <v>0.81777095794677734</v>
      </c>
    </row>
    <row r="11814" spans="2:6">
      <c r="B11814">
        <v>2016</v>
      </c>
      <c r="C11814" t="s">
        <v>129</v>
      </c>
      <c r="D11814" t="s">
        <v>182</v>
      </c>
      <c r="E11814" t="s">
        <v>11</v>
      </c>
      <c r="F11814">
        <v>0.6076694130897522</v>
      </c>
    </row>
    <row r="11815" spans="2:6">
      <c r="B11815">
        <v>2016</v>
      </c>
      <c r="C11815" t="s">
        <v>129</v>
      </c>
      <c r="D11815" t="s">
        <v>182</v>
      </c>
      <c r="E11815" t="s">
        <v>12</v>
      </c>
      <c r="F11815">
        <v>-0.12892511487007141</v>
      </c>
    </row>
    <row r="11816" spans="2:6">
      <c r="B11816">
        <v>2016</v>
      </c>
      <c r="C11816" t="s">
        <v>129</v>
      </c>
      <c r="D11816" t="s">
        <v>182</v>
      </c>
      <c r="E11816" t="s">
        <v>13</v>
      </c>
      <c r="F11816">
        <v>0.81246465444564819</v>
      </c>
    </row>
    <row r="11817" spans="2:6">
      <c r="B11817">
        <v>2016</v>
      </c>
      <c r="C11817" t="s">
        <v>129</v>
      </c>
      <c r="D11817" t="s">
        <v>182</v>
      </c>
      <c r="E11817" t="s">
        <v>14</v>
      </c>
      <c r="F11817">
        <v>0.59276914596557617</v>
      </c>
    </row>
    <row r="11818" spans="2:6">
      <c r="B11818">
        <v>2016</v>
      </c>
      <c r="C11818" t="s">
        <v>129</v>
      </c>
      <c r="D11818" t="s">
        <v>182</v>
      </c>
      <c r="E11818" t="s">
        <v>15</v>
      </c>
      <c r="F11818">
        <v>0.37764179706573486</v>
      </c>
    </row>
    <row r="11819" spans="2:6">
      <c r="B11819">
        <v>2017</v>
      </c>
      <c r="C11819" t="s">
        <v>129</v>
      </c>
      <c r="D11819" t="s">
        <v>182</v>
      </c>
      <c r="E11819" t="s">
        <v>7</v>
      </c>
      <c r="F11819">
        <v>4.6281328201293945</v>
      </c>
    </row>
    <row r="11820" spans="2:6">
      <c r="B11820">
        <v>2017</v>
      </c>
      <c r="C11820" t="s">
        <v>129</v>
      </c>
      <c r="D11820" t="s">
        <v>182</v>
      </c>
      <c r="E11820" t="s">
        <v>8</v>
      </c>
      <c r="F11820">
        <v>8.4845333099365234</v>
      </c>
    </row>
    <row r="11821" spans="2:6">
      <c r="B11821">
        <v>2017</v>
      </c>
      <c r="C11821" t="s">
        <v>129</v>
      </c>
      <c r="D11821" t="s">
        <v>182</v>
      </c>
      <c r="E11821" t="s">
        <v>9</v>
      </c>
      <c r="F11821">
        <v>0.82434511184692383</v>
      </c>
    </row>
    <row r="11822" spans="2:6">
      <c r="B11822">
        <v>2017</v>
      </c>
      <c r="C11822" t="s">
        <v>129</v>
      </c>
      <c r="D11822" t="s">
        <v>182</v>
      </c>
      <c r="E11822" t="s">
        <v>11</v>
      </c>
      <c r="F11822">
        <v>0.63161128759384155</v>
      </c>
    </row>
    <row r="11823" spans="2:6">
      <c r="B11823">
        <v>2017</v>
      </c>
      <c r="C11823" t="s">
        <v>129</v>
      </c>
      <c r="D11823" t="s">
        <v>182</v>
      </c>
      <c r="E11823" t="s">
        <v>12</v>
      </c>
      <c r="F11823">
        <v>-0.16252174973487854</v>
      </c>
    </row>
    <row r="11824" spans="2:6">
      <c r="B11824">
        <v>2017</v>
      </c>
      <c r="C11824" t="s">
        <v>129</v>
      </c>
      <c r="D11824" t="s">
        <v>182</v>
      </c>
      <c r="E11824" t="s">
        <v>13</v>
      </c>
      <c r="F11824">
        <v>0.8306463360786438</v>
      </c>
    </row>
    <row r="11825" spans="2:6">
      <c r="B11825">
        <v>2017</v>
      </c>
      <c r="C11825" t="s">
        <v>129</v>
      </c>
      <c r="D11825" t="s">
        <v>182</v>
      </c>
      <c r="E11825" t="s">
        <v>14</v>
      </c>
      <c r="F11825">
        <v>0.59676557779312134</v>
      </c>
    </row>
    <row r="11826" spans="2:6">
      <c r="B11826">
        <v>2017</v>
      </c>
      <c r="C11826" t="s">
        <v>129</v>
      </c>
      <c r="D11826" t="s">
        <v>182</v>
      </c>
      <c r="E11826" t="s">
        <v>15</v>
      </c>
      <c r="F11826">
        <v>0.41607204079627991</v>
      </c>
    </row>
    <row r="11827" spans="2:6">
      <c r="B11827">
        <v>2018</v>
      </c>
      <c r="C11827" t="s">
        <v>129</v>
      </c>
      <c r="D11827" t="s">
        <v>182</v>
      </c>
      <c r="E11827" t="s">
        <v>7</v>
      </c>
      <c r="F11827">
        <v>4.5539216995239258</v>
      </c>
    </row>
    <row r="11828" spans="2:6">
      <c r="B11828">
        <v>2018</v>
      </c>
      <c r="C11828" t="s">
        <v>129</v>
      </c>
      <c r="D11828" t="s">
        <v>182</v>
      </c>
      <c r="E11828" t="s">
        <v>9</v>
      </c>
      <c r="F11828">
        <v>0.81947928667068481</v>
      </c>
    </row>
    <row r="11829" spans="2:6">
      <c r="B11829">
        <v>2018</v>
      </c>
      <c r="C11829" t="s">
        <v>129</v>
      </c>
      <c r="D11829" t="s">
        <v>182</v>
      </c>
      <c r="E11829" t="s">
        <v>11</v>
      </c>
      <c r="F11829">
        <v>0.65453451871871948</v>
      </c>
    </row>
    <row r="11830" spans="2:6">
      <c r="B11830">
        <v>2018</v>
      </c>
      <c r="C11830" t="s">
        <v>129</v>
      </c>
      <c r="D11830" t="s">
        <v>182</v>
      </c>
      <c r="E11830" t="s">
        <v>13</v>
      </c>
      <c r="F11830">
        <v>0.81377953290939331</v>
      </c>
    </row>
    <row r="11831" spans="2:6">
      <c r="B11831">
        <v>2018</v>
      </c>
      <c r="C11831" t="s">
        <v>129</v>
      </c>
      <c r="D11831" t="s">
        <v>182</v>
      </c>
      <c r="E11831" t="s">
        <v>14</v>
      </c>
      <c r="F11831">
        <v>0.61040544509887695</v>
      </c>
    </row>
    <row r="11832" spans="2:6">
      <c r="B11832">
        <v>2018</v>
      </c>
      <c r="C11832" t="s">
        <v>129</v>
      </c>
      <c r="D11832" t="s">
        <v>182</v>
      </c>
      <c r="E11832" t="s">
        <v>15</v>
      </c>
      <c r="F11832">
        <v>0.41892853379249573</v>
      </c>
    </row>
    <row r="11833" spans="2:6">
      <c r="B11833">
        <v>2019</v>
      </c>
      <c r="C11833" t="s">
        <v>129</v>
      </c>
      <c r="D11833" t="s">
        <v>182</v>
      </c>
      <c r="E11833" t="s">
        <v>7</v>
      </c>
      <c r="F11833">
        <v>4.4825372695922852</v>
      </c>
    </row>
    <row r="11834" spans="2:6">
      <c r="B11834">
        <v>2019</v>
      </c>
      <c r="C11834" t="s">
        <v>129</v>
      </c>
      <c r="D11834" t="s">
        <v>182</v>
      </c>
      <c r="E11834" t="s">
        <v>9</v>
      </c>
      <c r="F11834">
        <v>0.832550048828125</v>
      </c>
    </row>
    <row r="11835" spans="2:6">
      <c r="B11835">
        <v>2019</v>
      </c>
      <c r="C11835" t="s">
        <v>129</v>
      </c>
      <c r="D11835" t="s">
        <v>182</v>
      </c>
      <c r="E11835" t="s">
        <v>11</v>
      </c>
      <c r="F11835">
        <v>0.65348827838897705</v>
      </c>
    </row>
    <row r="11836" spans="2:6">
      <c r="B11836">
        <v>2019</v>
      </c>
      <c r="C11836" t="s">
        <v>129</v>
      </c>
      <c r="D11836" t="s">
        <v>182</v>
      </c>
      <c r="E11836" t="s">
        <v>13</v>
      </c>
      <c r="F11836">
        <v>0.82928276062011719</v>
      </c>
    </row>
    <row r="11837" spans="2:6">
      <c r="B11837">
        <v>2019</v>
      </c>
      <c r="C11837" t="s">
        <v>129</v>
      </c>
      <c r="D11837" t="s">
        <v>182</v>
      </c>
      <c r="E11837" t="s">
        <v>14</v>
      </c>
      <c r="F11837">
        <v>0.62517642974853516</v>
      </c>
    </row>
    <row r="11838" spans="2:6">
      <c r="B11838">
        <v>2019</v>
      </c>
      <c r="C11838" t="s">
        <v>129</v>
      </c>
      <c r="D11838" t="s">
        <v>182</v>
      </c>
      <c r="E11838" t="s">
        <v>15</v>
      </c>
      <c r="F11838">
        <v>0.39967229962348938</v>
      </c>
    </row>
    <row r="11839" spans="2:6">
      <c r="B11839">
        <v>2006</v>
      </c>
      <c r="C11839" t="s">
        <v>130</v>
      </c>
      <c r="D11839" t="s">
        <v>185</v>
      </c>
      <c r="E11839" t="s">
        <v>7</v>
      </c>
      <c r="F11839">
        <v>6.127988338470459</v>
      </c>
    </row>
    <row r="11840" spans="2:6">
      <c r="B11840">
        <v>2006</v>
      </c>
      <c r="C11840" t="s">
        <v>130</v>
      </c>
      <c r="D11840" t="s">
        <v>185</v>
      </c>
      <c r="E11840" t="s">
        <v>8</v>
      </c>
      <c r="F11840">
        <v>9.7639026641845703</v>
      </c>
    </row>
    <row r="11841" spans="2:6">
      <c r="B11841">
        <v>2006</v>
      </c>
      <c r="C11841" t="s">
        <v>130</v>
      </c>
      <c r="D11841" t="s">
        <v>185</v>
      </c>
      <c r="E11841" t="s">
        <v>9</v>
      </c>
      <c r="F11841">
        <v>0.95098036527633667</v>
      </c>
    </row>
    <row r="11842" spans="2:6">
      <c r="B11842">
        <v>2006</v>
      </c>
      <c r="C11842" t="s">
        <v>130</v>
      </c>
      <c r="D11842" t="s">
        <v>185</v>
      </c>
      <c r="E11842" t="s">
        <v>10</v>
      </c>
      <c r="F11842">
        <v>67.900001525878906</v>
      </c>
    </row>
    <row r="11843" spans="2:6">
      <c r="B11843">
        <v>2006</v>
      </c>
      <c r="C11843" t="s">
        <v>130</v>
      </c>
      <c r="D11843" t="s">
        <v>185</v>
      </c>
      <c r="E11843" t="s">
        <v>11</v>
      </c>
      <c r="F11843">
        <v>0.88204723596572876</v>
      </c>
    </row>
    <row r="11844" spans="2:6">
      <c r="B11844">
        <v>2006</v>
      </c>
      <c r="C11844" t="s">
        <v>130</v>
      </c>
      <c r="D11844" t="s">
        <v>185</v>
      </c>
      <c r="E11844" t="s">
        <v>12</v>
      </c>
      <c r="F11844">
        <v>-4.7106996178627014E-2</v>
      </c>
    </row>
    <row r="11845" spans="2:6">
      <c r="B11845">
        <v>2006</v>
      </c>
      <c r="C11845" t="s">
        <v>130</v>
      </c>
      <c r="D11845" t="s">
        <v>185</v>
      </c>
      <c r="E11845" t="s">
        <v>13</v>
      </c>
      <c r="F11845">
        <v>0.91175591945648193</v>
      </c>
    </row>
    <row r="11846" spans="2:6">
      <c r="B11846">
        <v>2006</v>
      </c>
      <c r="C11846" t="s">
        <v>130</v>
      </c>
      <c r="D11846" t="s">
        <v>185</v>
      </c>
      <c r="E11846" t="s">
        <v>14</v>
      </c>
      <c r="F11846">
        <v>0.84519213438034058</v>
      </c>
    </row>
    <row r="11847" spans="2:6">
      <c r="B11847">
        <v>2006</v>
      </c>
      <c r="C11847" t="s">
        <v>130</v>
      </c>
      <c r="D11847" t="s">
        <v>185</v>
      </c>
      <c r="E11847" t="s">
        <v>15</v>
      </c>
      <c r="F11847">
        <v>0.23206260800361633</v>
      </c>
    </row>
    <row r="11848" spans="2:6">
      <c r="B11848">
        <v>2007</v>
      </c>
      <c r="C11848" t="s">
        <v>130</v>
      </c>
      <c r="D11848" t="s">
        <v>185</v>
      </c>
      <c r="E11848" t="s">
        <v>7</v>
      </c>
      <c r="F11848">
        <v>6.8941397666931152</v>
      </c>
    </row>
    <row r="11849" spans="2:6">
      <c r="B11849">
        <v>2007</v>
      </c>
      <c r="C11849" t="s">
        <v>130</v>
      </c>
      <c r="D11849" t="s">
        <v>185</v>
      </c>
      <c r="E11849" t="s">
        <v>8</v>
      </c>
      <c r="F11849">
        <v>9.8589706420898438</v>
      </c>
    </row>
    <row r="11850" spans="2:6">
      <c r="B11850">
        <v>2007</v>
      </c>
      <c r="C11850" t="s">
        <v>130</v>
      </c>
      <c r="D11850" t="s">
        <v>185</v>
      </c>
      <c r="E11850" t="s">
        <v>9</v>
      </c>
      <c r="F11850">
        <v>0.93707805871963501</v>
      </c>
    </row>
    <row r="11851" spans="2:6">
      <c r="B11851">
        <v>2007</v>
      </c>
      <c r="C11851" t="s">
        <v>130</v>
      </c>
      <c r="D11851" t="s">
        <v>185</v>
      </c>
      <c r="E11851" t="s">
        <v>10</v>
      </c>
      <c r="F11851">
        <v>68</v>
      </c>
    </row>
    <row r="11852" spans="2:6">
      <c r="B11852">
        <v>2007</v>
      </c>
      <c r="C11852" t="s">
        <v>130</v>
      </c>
      <c r="D11852" t="s">
        <v>185</v>
      </c>
      <c r="E11852" t="s">
        <v>11</v>
      </c>
      <c r="F11852">
        <v>0.64021879434585571</v>
      </c>
    </row>
    <row r="11853" spans="2:6">
      <c r="B11853">
        <v>2007</v>
      </c>
      <c r="C11853" t="s">
        <v>130</v>
      </c>
      <c r="D11853" t="s">
        <v>185</v>
      </c>
      <c r="E11853" t="s">
        <v>12</v>
      </c>
      <c r="F11853">
        <v>8.3108909428119659E-2</v>
      </c>
    </row>
    <row r="11854" spans="2:6">
      <c r="B11854">
        <v>2007</v>
      </c>
      <c r="C11854" t="s">
        <v>130</v>
      </c>
      <c r="D11854" t="s">
        <v>185</v>
      </c>
      <c r="E11854" t="s">
        <v>13</v>
      </c>
      <c r="F11854">
        <v>0.91528737545013428</v>
      </c>
    </row>
    <row r="11855" spans="2:6">
      <c r="B11855">
        <v>2007</v>
      </c>
      <c r="C11855" t="s">
        <v>130</v>
      </c>
      <c r="D11855" t="s">
        <v>185</v>
      </c>
      <c r="E11855" t="s">
        <v>14</v>
      </c>
      <c r="F11855">
        <v>0.81998705863952637</v>
      </c>
    </row>
    <row r="11856" spans="2:6">
      <c r="B11856">
        <v>2007</v>
      </c>
      <c r="C11856" t="s">
        <v>130</v>
      </c>
      <c r="D11856" t="s">
        <v>185</v>
      </c>
      <c r="E11856" t="s">
        <v>15</v>
      </c>
      <c r="F11856">
        <v>0.14934146404266357</v>
      </c>
    </row>
    <row r="11857" spans="2:6">
      <c r="B11857">
        <v>2008</v>
      </c>
      <c r="C11857" t="s">
        <v>130</v>
      </c>
      <c r="D11857" t="s">
        <v>185</v>
      </c>
      <c r="E11857" t="s">
        <v>7</v>
      </c>
      <c r="F11857">
        <v>6.930903434753418</v>
      </c>
    </row>
    <row r="11858" spans="2:6">
      <c r="B11858">
        <v>2008</v>
      </c>
      <c r="C11858" t="s">
        <v>130</v>
      </c>
      <c r="D11858" t="s">
        <v>185</v>
      </c>
      <c r="E11858" t="s">
        <v>8</v>
      </c>
      <c r="F11858">
        <v>9.9350252151489258</v>
      </c>
    </row>
    <row r="11859" spans="2:6">
      <c r="B11859">
        <v>2008</v>
      </c>
      <c r="C11859" t="s">
        <v>130</v>
      </c>
      <c r="D11859" t="s">
        <v>185</v>
      </c>
      <c r="E11859" t="s">
        <v>9</v>
      </c>
      <c r="F11859">
        <v>0.92248129844665527</v>
      </c>
    </row>
    <row r="11860" spans="2:6">
      <c r="B11860">
        <v>2008</v>
      </c>
      <c r="C11860" t="s">
        <v>130</v>
      </c>
      <c r="D11860" t="s">
        <v>185</v>
      </c>
      <c r="E11860" t="s">
        <v>10</v>
      </c>
      <c r="F11860">
        <v>68.099998474121094</v>
      </c>
    </row>
    <row r="11861" spans="2:6">
      <c r="B11861">
        <v>2008</v>
      </c>
      <c r="C11861" t="s">
        <v>130</v>
      </c>
      <c r="D11861" t="s">
        <v>185</v>
      </c>
      <c r="E11861" t="s">
        <v>11</v>
      </c>
      <c r="F11861">
        <v>0.70738458633422852</v>
      </c>
    </row>
    <row r="11862" spans="2:6">
      <c r="B11862">
        <v>2008</v>
      </c>
      <c r="C11862" t="s">
        <v>130</v>
      </c>
      <c r="D11862" t="s">
        <v>185</v>
      </c>
      <c r="E11862" t="s">
        <v>12</v>
      </c>
      <c r="F11862">
        <v>5.9697844088077545E-2</v>
      </c>
    </row>
    <row r="11863" spans="2:6">
      <c r="B11863">
        <v>2008</v>
      </c>
      <c r="C11863" t="s">
        <v>130</v>
      </c>
      <c r="D11863" t="s">
        <v>185</v>
      </c>
      <c r="E11863" t="s">
        <v>13</v>
      </c>
      <c r="F11863">
        <v>0.88065052032470703</v>
      </c>
    </row>
    <row r="11864" spans="2:6">
      <c r="B11864">
        <v>2008</v>
      </c>
      <c r="C11864" t="s">
        <v>130</v>
      </c>
      <c r="D11864" t="s">
        <v>185</v>
      </c>
      <c r="E11864" t="s">
        <v>14</v>
      </c>
      <c r="F11864">
        <v>0.81930088996887207</v>
      </c>
    </row>
    <row r="11865" spans="2:6">
      <c r="B11865">
        <v>2008</v>
      </c>
      <c r="C11865" t="s">
        <v>130</v>
      </c>
      <c r="D11865" t="s">
        <v>185</v>
      </c>
      <c r="E11865" t="s">
        <v>15</v>
      </c>
      <c r="F11865">
        <v>0.15014313161373138</v>
      </c>
    </row>
    <row r="11866" spans="2:6">
      <c r="B11866">
        <v>2009</v>
      </c>
      <c r="C11866" t="s">
        <v>130</v>
      </c>
      <c r="D11866" t="s">
        <v>185</v>
      </c>
      <c r="E11866" t="s">
        <v>7</v>
      </c>
      <c r="F11866">
        <v>7.0337400436401367</v>
      </c>
    </row>
    <row r="11867" spans="2:6">
      <c r="B11867">
        <v>2009</v>
      </c>
      <c r="C11867" t="s">
        <v>130</v>
      </c>
      <c r="D11867" t="s">
        <v>185</v>
      </c>
      <c r="E11867" t="s">
        <v>8</v>
      </c>
      <c r="F11867">
        <v>9.9296169281005859</v>
      </c>
    </row>
    <row r="11868" spans="2:6">
      <c r="B11868">
        <v>2009</v>
      </c>
      <c r="C11868" t="s">
        <v>130</v>
      </c>
      <c r="D11868" t="s">
        <v>185</v>
      </c>
      <c r="E11868" t="s">
        <v>9</v>
      </c>
      <c r="F11868">
        <v>0.90502852201461792</v>
      </c>
    </row>
    <row r="11869" spans="2:6">
      <c r="B11869">
        <v>2009</v>
      </c>
      <c r="C11869" t="s">
        <v>130</v>
      </c>
      <c r="D11869" t="s">
        <v>185</v>
      </c>
      <c r="E11869" t="s">
        <v>10</v>
      </c>
      <c r="F11869">
        <v>68.199996948242188</v>
      </c>
    </row>
    <row r="11870" spans="2:6">
      <c r="B11870">
        <v>2009</v>
      </c>
      <c r="C11870" t="s">
        <v>130</v>
      </c>
      <c r="D11870" t="s">
        <v>185</v>
      </c>
      <c r="E11870" t="s">
        <v>11</v>
      </c>
      <c r="F11870">
        <v>0.7213936448097229</v>
      </c>
    </row>
    <row r="11871" spans="2:6">
      <c r="B11871">
        <v>2009</v>
      </c>
      <c r="C11871" t="s">
        <v>130</v>
      </c>
      <c r="D11871" t="s">
        <v>185</v>
      </c>
      <c r="E11871" t="s">
        <v>12</v>
      </c>
      <c r="F11871">
        <v>1.4428784139454365E-2</v>
      </c>
    </row>
    <row r="11872" spans="2:6">
      <c r="B11872">
        <v>2009</v>
      </c>
      <c r="C11872" t="s">
        <v>130</v>
      </c>
      <c r="D11872" t="s">
        <v>185</v>
      </c>
      <c r="E11872" t="s">
        <v>13</v>
      </c>
      <c r="F11872">
        <v>0.8894239068031311</v>
      </c>
    </row>
    <row r="11873" spans="2:6">
      <c r="B11873">
        <v>2009</v>
      </c>
      <c r="C11873" t="s">
        <v>130</v>
      </c>
      <c r="D11873" t="s">
        <v>185</v>
      </c>
      <c r="E11873" t="s">
        <v>14</v>
      </c>
      <c r="F11873">
        <v>0.88302832841873169</v>
      </c>
    </row>
    <row r="11874" spans="2:6">
      <c r="B11874">
        <v>2009</v>
      </c>
      <c r="C11874" t="s">
        <v>130</v>
      </c>
      <c r="D11874" t="s">
        <v>185</v>
      </c>
      <c r="E11874" t="s">
        <v>15</v>
      </c>
      <c r="F11874">
        <v>0.14420002698898315</v>
      </c>
    </row>
    <row r="11875" spans="2:6">
      <c r="B11875">
        <v>2010</v>
      </c>
      <c r="C11875" t="s">
        <v>130</v>
      </c>
      <c r="D11875" t="s">
        <v>185</v>
      </c>
      <c r="E11875" t="s">
        <v>7</v>
      </c>
      <c r="F11875">
        <v>7.321467399597168</v>
      </c>
    </row>
    <row r="11876" spans="2:6">
      <c r="B11876">
        <v>2010</v>
      </c>
      <c r="C11876" t="s">
        <v>130</v>
      </c>
      <c r="D11876" t="s">
        <v>185</v>
      </c>
      <c r="E11876" t="s">
        <v>8</v>
      </c>
      <c r="F11876">
        <v>9.9686822891235352</v>
      </c>
    </row>
    <row r="11877" spans="2:6">
      <c r="B11877">
        <v>2010</v>
      </c>
      <c r="C11877" t="s">
        <v>130</v>
      </c>
      <c r="D11877" t="s">
        <v>185</v>
      </c>
      <c r="E11877" t="s">
        <v>9</v>
      </c>
      <c r="F11877">
        <v>0.92753309011459351</v>
      </c>
    </row>
    <row r="11878" spans="2:6">
      <c r="B11878">
        <v>2010</v>
      </c>
      <c r="C11878" t="s">
        <v>130</v>
      </c>
      <c r="D11878" t="s">
        <v>185</v>
      </c>
      <c r="E11878" t="s">
        <v>10</v>
      </c>
      <c r="F11878">
        <v>68.300003051757813</v>
      </c>
    </row>
    <row r="11879" spans="2:6">
      <c r="B11879">
        <v>2010</v>
      </c>
      <c r="C11879" t="s">
        <v>130</v>
      </c>
      <c r="D11879" t="s">
        <v>185</v>
      </c>
      <c r="E11879" t="s">
        <v>11</v>
      </c>
      <c r="F11879">
        <v>0.75452369451522827</v>
      </c>
    </row>
    <row r="11880" spans="2:6">
      <c r="B11880">
        <v>2010</v>
      </c>
      <c r="C11880" t="s">
        <v>130</v>
      </c>
      <c r="D11880" t="s">
        <v>185</v>
      </c>
      <c r="E11880" t="s">
        <v>12</v>
      </c>
      <c r="F11880">
        <v>-8.5314624011516571E-3</v>
      </c>
    </row>
    <row r="11881" spans="2:6">
      <c r="B11881">
        <v>2010</v>
      </c>
      <c r="C11881" t="s">
        <v>130</v>
      </c>
      <c r="D11881" t="s">
        <v>185</v>
      </c>
      <c r="E11881" t="s">
        <v>13</v>
      </c>
      <c r="F11881">
        <v>0.87982583045959473</v>
      </c>
    </row>
    <row r="11882" spans="2:6">
      <c r="B11882">
        <v>2010</v>
      </c>
      <c r="C11882" t="s">
        <v>130</v>
      </c>
      <c r="D11882" t="s">
        <v>185</v>
      </c>
      <c r="E11882" t="s">
        <v>14</v>
      </c>
      <c r="F11882">
        <v>0.88758468627929688</v>
      </c>
    </row>
    <row r="11883" spans="2:6">
      <c r="B11883">
        <v>2010</v>
      </c>
      <c r="C11883" t="s">
        <v>130</v>
      </c>
      <c r="D11883" t="s">
        <v>185</v>
      </c>
      <c r="E11883" t="s">
        <v>15</v>
      </c>
      <c r="F11883">
        <v>0.14636875689029694</v>
      </c>
    </row>
    <row r="11884" spans="2:6">
      <c r="B11884">
        <v>2011</v>
      </c>
      <c r="C11884" t="s">
        <v>130</v>
      </c>
      <c r="D11884" t="s">
        <v>185</v>
      </c>
      <c r="E11884" t="s">
        <v>7</v>
      </c>
      <c r="F11884">
        <v>7.2480807304382324</v>
      </c>
    </row>
    <row r="11885" spans="2:6">
      <c r="B11885">
        <v>2011</v>
      </c>
      <c r="C11885" t="s">
        <v>130</v>
      </c>
      <c r="D11885" t="s">
        <v>185</v>
      </c>
      <c r="E11885" t="s">
        <v>8</v>
      </c>
      <c r="F11885">
        <v>10.058502197265625</v>
      </c>
    </row>
    <row r="11886" spans="2:6">
      <c r="B11886">
        <v>2011</v>
      </c>
      <c r="C11886" t="s">
        <v>130</v>
      </c>
      <c r="D11886" t="s">
        <v>185</v>
      </c>
      <c r="E11886" t="s">
        <v>9</v>
      </c>
      <c r="F11886">
        <v>0.87628418207168579</v>
      </c>
    </row>
    <row r="11887" spans="2:6">
      <c r="B11887">
        <v>2011</v>
      </c>
      <c r="C11887" t="s">
        <v>130</v>
      </c>
      <c r="D11887" t="s">
        <v>185</v>
      </c>
      <c r="E11887" t="s">
        <v>10</v>
      </c>
      <c r="F11887">
        <v>68.5</v>
      </c>
    </row>
    <row r="11888" spans="2:6">
      <c r="B11888">
        <v>2011</v>
      </c>
      <c r="C11888" t="s">
        <v>130</v>
      </c>
      <c r="D11888" t="s">
        <v>185</v>
      </c>
      <c r="E11888" t="s">
        <v>11</v>
      </c>
      <c r="F11888">
        <v>0.82901287078857422</v>
      </c>
    </row>
    <row r="11889" spans="2:6">
      <c r="B11889">
        <v>2011</v>
      </c>
      <c r="C11889" t="s">
        <v>130</v>
      </c>
      <c r="D11889" t="s">
        <v>185</v>
      </c>
      <c r="E11889" t="s">
        <v>12</v>
      </c>
      <c r="F11889">
        <v>8.9649250730872154E-3</v>
      </c>
    </row>
    <row r="11890" spans="2:6">
      <c r="B11890">
        <v>2011</v>
      </c>
      <c r="C11890" t="s">
        <v>130</v>
      </c>
      <c r="D11890" t="s">
        <v>185</v>
      </c>
      <c r="E11890" t="s">
        <v>13</v>
      </c>
      <c r="F11890">
        <v>0.83968448638916016</v>
      </c>
    </row>
    <row r="11891" spans="2:6">
      <c r="B11891">
        <v>2011</v>
      </c>
      <c r="C11891" t="s">
        <v>130</v>
      </c>
      <c r="D11891" t="s">
        <v>185</v>
      </c>
      <c r="E11891" t="s">
        <v>14</v>
      </c>
      <c r="F11891">
        <v>0.88529324531555176</v>
      </c>
    </row>
    <row r="11892" spans="2:6">
      <c r="B11892">
        <v>2011</v>
      </c>
      <c r="C11892" t="s">
        <v>130</v>
      </c>
      <c r="D11892" t="s">
        <v>185</v>
      </c>
      <c r="E11892" t="s">
        <v>15</v>
      </c>
      <c r="F11892">
        <v>0.17964132130146027</v>
      </c>
    </row>
    <row r="11893" spans="2:6">
      <c r="B11893">
        <v>2012</v>
      </c>
      <c r="C11893" t="s">
        <v>130</v>
      </c>
      <c r="D11893" t="s">
        <v>185</v>
      </c>
      <c r="E11893" t="s">
        <v>7</v>
      </c>
      <c r="F11893">
        <v>6.8598356246948242</v>
      </c>
    </row>
    <row r="11894" spans="2:6">
      <c r="B11894">
        <v>2012</v>
      </c>
      <c r="C11894" t="s">
        <v>130</v>
      </c>
      <c r="D11894" t="s">
        <v>185</v>
      </c>
      <c r="E11894" t="s">
        <v>8</v>
      </c>
      <c r="F11894">
        <v>10.1346435546875</v>
      </c>
    </row>
    <row r="11895" spans="2:6">
      <c r="B11895">
        <v>2012</v>
      </c>
      <c r="C11895" t="s">
        <v>130</v>
      </c>
      <c r="D11895" t="s">
        <v>185</v>
      </c>
      <c r="E11895" t="s">
        <v>9</v>
      </c>
      <c r="F11895">
        <v>0.89739114046096802</v>
      </c>
    </row>
    <row r="11896" spans="2:6">
      <c r="B11896">
        <v>2012</v>
      </c>
      <c r="C11896" t="s">
        <v>130</v>
      </c>
      <c r="D11896" t="s">
        <v>185</v>
      </c>
      <c r="E11896" t="s">
        <v>10</v>
      </c>
      <c r="F11896">
        <v>68.699996948242188</v>
      </c>
    </row>
    <row r="11897" spans="2:6">
      <c r="B11897">
        <v>2012</v>
      </c>
      <c r="C11897" t="s">
        <v>130</v>
      </c>
      <c r="D11897" t="s">
        <v>185</v>
      </c>
      <c r="E11897" t="s">
        <v>11</v>
      </c>
      <c r="F11897">
        <v>0.78318250179290771</v>
      </c>
    </row>
    <row r="11898" spans="2:6">
      <c r="B11898">
        <v>2012</v>
      </c>
      <c r="C11898" t="s">
        <v>130</v>
      </c>
      <c r="D11898" t="s">
        <v>185</v>
      </c>
      <c r="E11898" t="s">
        <v>12</v>
      </c>
      <c r="F11898">
        <v>-1.8142388435080647E-3</v>
      </c>
    </row>
    <row r="11899" spans="2:6">
      <c r="B11899">
        <v>2012</v>
      </c>
      <c r="C11899" t="s">
        <v>130</v>
      </c>
      <c r="D11899" t="s">
        <v>185</v>
      </c>
      <c r="E11899" t="s">
        <v>13</v>
      </c>
      <c r="F11899">
        <v>0.79579663276672363</v>
      </c>
    </row>
    <row r="11900" spans="2:6">
      <c r="B11900">
        <v>2012</v>
      </c>
      <c r="C11900" t="s">
        <v>130</v>
      </c>
      <c r="D11900" t="s">
        <v>185</v>
      </c>
      <c r="E11900" t="s">
        <v>14</v>
      </c>
      <c r="F11900">
        <v>0.86858749389648438</v>
      </c>
    </row>
    <row r="11901" spans="2:6">
      <c r="B11901">
        <v>2012</v>
      </c>
      <c r="C11901" t="s">
        <v>130</v>
      </c>
      <c r="D11901" t="s">
        <v>185</v>
      </c>
      <c r="E11901" t="s">
        <v>15</v>
      </c>
      <c r="F11901">
        <v>0.20664134621620178</v>
      </c>
    </row>
    <row r="11902" spans="2:6">
      <c r="B11902">
        <v>2013</v>
      </c>
      <c r="C11902" t="s">
        <v>130</v>
      </c>
      <c r="D11902" t="s">
        <v>185</v>
      </c>
      <c r="E11902" t="s">
        <v>7</v>
      </c>
      <c r="F11902">
        <v>6.8664803504943848</v>
      </c>
    </row>
    <row r="11903" spans="2:6">
      <c r="B11903">
        <v>2013</v>
      </c>
      <c r="C11903" t="s">
        <v>130</v>
      </c>
      <c r="D11903" t="s">
        <v>185</v>
      </c>
      <c r="E11903" t="s">
        <v>8</v>
      </c>
      <c r="F11903">
        <v>10.184354782104492</v>
      </c>
    </row>
    <row r="11904" spans="2:6">
      <c r="B11904">
        <v>2013</v>
      </c>
      <c r="C11904" t="s">
        <v>130</v>
      </c>
      <c r="D11904" t="s">
        <v>185</v>
      </c>
      <c r="E11904" t="s">
        <v>9</v>
      </c>
      <c r="F11904">
        <v>0.89571982622146606</v>
      </c>
    </row>
    <row r="11905" spans="2:6">
      <c r="B11905">
        <v>2013</v>
      </c>
      <c r="C11905" t="s">
        <v>130</v>
      </c>
      <c r="D11905" t="s">
        <v>185</v>
      </c>
      <c r="E11905" t="s">
        <v>10</v>
      </c>
      <c r="F11905">
        <v>68.900001525878906</v>
      </c>
    </row>
    <row r="11906" spans="2:6">
      <c r="B11906">
        <v>2013</v>
      </c>
      <c r="C11906" t="s">
        <v>130</v>
      </c>
      <c r="D11906" t="s">
        <v>185</v>
      </c>
      <c r="E11906" t="s">
        <v>11</v>
      </c>
      <c r="F11906">
        <v>0.81133794784545898</v>
      </c>
    </row>
    <row r="11907" spans="2:6">
      <c r="B11907">
        <v>2013</v>
      </c>
      <c r="C11907" t="s">
        <v>130</v>
      </c>
      <c r="D11907" t="s">
        <v>185</v>
      </c>
      <c r="E11907" t="s">
        <v>12</v>
      </c>
      <c r="F11907">
        <v>1.8311867490410805E-2</v>
      </c>
    </row>
    <row r="11908" spans="2:6">
      <c r="B11908">
        <v>2013</v>
      </c>
      <c r="C11908" t="s">
        <v>130</v>
      </c>
      <c r="D11908" t="s">
        <v>185</v>
      </c>
      <c r="E11908" t="s">
        <v>13</v>
      </c>
      <c r="F11908">
        <v>0.81446462869644165</v>
      </c>
    </row>
    <row r="11909" spans="2:6">
      <c r="B11909">
        <v>2013</v>
      </c>
      <c r="C11909" t="s">
        <v>130</v>
      </c>
      <c r="D11909" t="s">
        <v>185</v>
      </c>
      <c r="E11909" t="s">
        <v>14</v>
      </c>
      <c r="F11909">
        <v>0.86871474981307983</v>
      </c>
    </row>
    <row r="11910" spans="2:6">
      <c r="B11910">
        <v>2013</v>
      </c>
      <c r="C11910" t="s">
        <v>130</v>
      </c>
      <c r="D11910" t="s">
        <v>185</v>
      </c>
      <c r="E11910" t="s">
        <v>15</v>
      </c>
      <c r="F11910">
        <v>0.22574551403522491</v>
      </c>
    </row>
    <row r="11911" spans="2:6">
      <c r="B11911">
        <v>2014</v>
      </c>
      <c r="C11911" t="s">
        <v>130</v>
      </c>
      <c r="D11911" t="s">
        <v>185</v>
      </c>
      <c r="E11911" t="s">
        <v>7</v>
      </c>
      <c r="F11911">
        <v>6.6311712265014648</v>
      </c>
    </row>
    <row r="11912" spans="2:6">
      <c r="B11912">
        <v>2014</v>
      </c>
      <c r="C11912" t="s">
        <v>130</v>
      </c>
      <c r="D11912" t="s">
        <v>185</v>
      </c>
      <c r="E11912" t="s">
        <v>8</v>
      </c>
      <c r="F11912">
        <v>10.216750144958496</v>
      </c>
    </row>
    <row r="11913" spans="2:6">
      <c r="B11913">
        <v>2014</v>
      </c>
      <c r="C11913" t="s">
        <v>130</v>
      </c>
      <c r="D11913" t="s">
        <v>185</v>
      </c>
      <c r="E11913" t="s">
        <v>9</v>
      </c>
      <c r="F11913">
        <v>0.87347424030303955</v>
      </c>
    </row>
    <row r="11914" spans="2:6">
      <c r="B11914">
        <v>2014</v>
      </c>
      <c r="C11914" t="s">
        <v>130</v>
      </c>
      <c r="D11914" t="s">
        <v>185</v>
      </c>
      <c r="E11914" t="s">
        <v>10</v>
      </c>
      <c r="F11914">
        <v>69.099998474121094</v>
      </c>
    </row>
    <row r="11915" spans="2:6">
      <c r="B11915">
        <v>2014</v>
      </c>
      <c r="C11915" t="s">
        <v>130</v>
      </c>
      <c r="D11915" t="s">
        <v>185</v>
      </c>
      <c r="E11915" t="s">
        <v>11</v>
      </c>
      <c r="F11915">
        <v>0.89391511678695679</v>
      </c>
    </row>
    <row r="11916" spans="2:6">
      <c r="B11916">
        <v>2014</v>
      </c>
      <c r="C11916" t="s">
        <v>130</v>
      </c>
      <c r="D11916" t="s">
        <v>185</v>
      </c>
      <c r="E11916" t="s">
        <v>12</v>
      </c>
      <c r="F11916">
        <v>2.1342728286981583E-3</v>
      </c>
    </row>
    <row r="11917" spans="2:6">
      <c r="B11917">
        <v>2014</v>
      </c>
      <c r="C11917" t="s">
        <v>130</v>
      </c>
      <c r="D11917" t="s">
        <v>185</v>
      </c>
      <c r="E11917" t="s">
        <v>13</v>
      </c>
      <c r="F11917">
        <v>0.84659385681152344</v>
      </c>
    </row>
    <row r="11918" spans="2:6">
      <c r="B11918">
        <v>2014</v>
      </c>
      <c r="C11918" t="s">
        <v>130</v>
      </c>
      <c r="D11918" t="s">
        <v>185</v>
      </c>
      <c r="E11918" t="s">
        <v>14</v>
      </c>
      <c r="F11918">
        <v>0.80768978595733643</v>
      </c>
    </row>
    <row r="11919" spans="2:6">
      <c r="B11919">
        <v>2014</v>
      </c>
      <c r="C11919" t="s">
        <v>130</v>
      </c>
      <c r="D11919" t="s">
        <v>185</v>
      </c>
      <c r="E11919" t="s">
        <v>15</v>
      </c>
      <c r="F11919">
        <v>0.25381565093994141</v>
      </c>
    </row>
    <row r="11920" spans="2:6">
      <c r="B11920">
        <v>2015</v>
      </c>
      <c r="C11920" t="s">
        <v>130</v>
      </c>
      <c r="D11920" t="s">
        <v>185</v>
      </c>
      <c r="E11920" t="s">
        <v>7</v>
      </c>
      <c r="F11920">
        <v>6.6055502891540527</v>
      </c>
    </row>
    <row r="11921" spans="2:6">
      <c r="B11921">
        <v>2015</v>
      </c>
      <c r="C11921" t="s">
        <v>130</v>
      </c>
      <c r="D11921" t="s">
        <v>185</v>
      </c>
      <c r="E11921" t="s">
        <v>8</v>
      </c>
      <c r="F11921">
        <v>10.255423545837402</v>
      </c>
    </row>
    <row r="11922" spans="2:6">
      <c r="B11922">
        <v>2015</v>
      </c>
      <c r="C11922" t="s">
        <v>130</v>
      </c>
      <c r="D11922" t="s">
        <v>185</v>
      </c>
      <c r="E11922" t="s">
        <v>9</v>
      </c>
      <c r="F11922">
        <v>0.88261502981185913</v>
      </c>
    </row>
    <row r="11923" spans="2:6">
      <c r="B11923">
        <v>2015</v>
      </c>
      <c r="C11923" t="s">
        <v>130</v>
      </c>
      <c r="D11923" t="s">
        <v>185</v>
      </c>
      <c r="E11923" t="s">
        <v>10</v>
      </c>
      <c r="F11923">
        <v>69.300003051757813</v>
      </c>
    </row>
    <row r="11924" spans="2:6">
      <c r="B11924">
        <v>2015</v>
      </c>
      <c r="C11924" t="s">
        <v>130</v>
      </c>
      <c r="D11924" t="s">
        <v>185</v>
      </c>
      <c r="E11924" t="s">
        <v>11</v>
      </c>
      <c r="F11924">
        <v>0.84666919708251953</v>
      </c>
    </row>
    <row r="11925" spans="2:6">
      <c r="B11925">
        <v>2015</v>
      </c>
      <c r="C11925" t="s">
        <v>130</v>
      </c>
      <c r="D11925" t="s">
        <v>185</v>
      </c>
      <c r="E11925" t="s">
        <v>12</v>
      </c>
      <c r="F11925">
        <v>-6.9577698595821857E-3</v>
      </c>
    </row>
    <row r="11926" spans="2:6">
      <c r="B11926">
        <v>2015</v>
      </c>
      <c r="C11926" t="s">
        <v>130</v>
      </c>
      <c r="D11926" t="s">
        <v>185</v>
      </c>
      <c r="E11926" t="s">
        <v>13</v>
      </c>
      <c r="F11926">
        <v>0.80994290113449097</v>
      </c>
    </row>
    <row r="11927" spans="2:6">
      <c r="B11927">
        <v>2015</v>
      </c>
      <c r="C11927" t="s">
        <v>130</v>
      </c>
      <c r="D11927" t="s">
        <v>185</v>
      </c>
      <c r="E11927" t="s">
        <v>14</v>
      </c>
      <c r="F11927">
        <v>0.80063378810882568</v>
      </c>
    </row>
    <row r="11928" spans="2:6">
      <c r="B11928">
        <v>2015</v>
      </c>
      <c r="C11928" t="s">
        <v>130</v>
      </c>
      <c r="D11928" t="s">
        <v>185</v>
      </c>
      <c r="E11928" t="s">
        <v>15</v>
      </c>
      <c r="F11928">
        <v>0.26382586359977722</v>
      </c>
    </row>
    <row r="11929" spans="2:6">
      <c r="B11929">
        <v>2016</v>
      </c>
      <c r="C11929" t="s">
        <v>130</v>
      </c>
      <c r="D11929" t="s">
        <v>185</v>
      </c>
      <c r="E11929" t="s">
        <v>7</v>
      </c>
      <c r="F11929">
        <v>6.117638111114502</v>
      </c>
    </row>
    <row r="11930" spans="2:6">
      <c r="B11930">
        <v>2016</v>
      </c>
      <c r="C11930" t="s">
        <v>130</v>
      </c>
      <c r="D11930" t="s">
        <v>185</v>
      </c>
      <c r="E11930" t="s">
        <v>8</v>
      </c>
      <c r="F11930">
        <v>10.28663444519043</v>
      </c>
    </row>
    <row r="11931" spans="2:6">
      <c r="B11931">
        <v>2016</v>
      </c>
      <c r="C11931" t="s">
        <v>130</v>
      </c>
      <c r="D11931" t="s">
        <v>185</v>
      </c>
      <c r="E11931" t="s">
        <v>9</v>
      </c>
      <c r="F11931">
        <v>0.88246023654937744</v>
      </c>
    </row>
    <row r="11932" spans="2:6">
      <c r="B11932">
        <v>2016</v>
      </c>
      <c r="C11932" t="s">
        <v>130</v>
      </c>
      <c r="D11932" t="s">
        <v>185</v>
      </c>
      <c r="E11932" t="s">
        <v>10</v>
      </c>
      <c r="F11932">
        <v>69.400001525878906</v>
      </c>
    </row>
    <row r="11933" spans="2:6">
      <c r="B11933">
        <v>2016</v>
      </c>
      <c r="C11933" t="s">
        <v>130</v>
      </c>
      <c r="D11933" t="s">
        <v>185</v>
      </c>
      <c r="E11933" t="s">
        <v>11</v>
      </c>
      <c r="F11933">
        <v>0.88447976112365723</v>
      </c>
    </row>
    <row r="11934" spans="2:6">
      <c r="B11934">
        <v>2016</v>
      </c>
      <c r="C11934" t="s">
        <v>130</v>
      </c>
      <c r="D11934" t="s">
        <v>185</v>
      </c>
      <c r="E11934" t="s">
        <v>12</v>
      </c>
      <c r="F11934">
        <v>-0.10245398432016373</v>
      </c>
    </row>
    <row r="11935" spans="2:6">
      <c r="B11935">
        <v>2016</v>
      </c>
      <c r="C11935" t="s">
        <v>130</v>
      </c>
      <c r="D11935" t="s">
        <v>185</v>
      </c>
      <c r="E11935" t="s">
        <v>13</v>
      </c>
      <c r="F11935">
        <v>0.83697676658630371</v>
      </c>
    </row>
    <row r="11936" spans="2:6">
      <c r="B11936">
        <v>2016</v>
      </c>
      <c r="C11936" t="s">
        <v>130</v>
      </c>
      <c r="D11936" t="s">
        <v>185</v>
      </c>
      <c r="E11936" t="s">
        <v>14</v>
      </c>
      <c r="F11936">
        <v>0.85762357711791992</v>
      </c>
    </row>
    <row r="11937" spans="2:6">
      <c r="B11937">
        <v>2016</v>
      </c>
      <c r="C11937" t="s">
        <v>130</v>
      </c>
      <c r="D11937" t="s">
        <v>185</v>
      </c>
      <c r="E11937" t="s">
        <v>15</v>
      </c>
      <c r="F11937">
        <v>0.24413178861141205</v>
      </c>
    </row>
    <row r="11938" spans="2:6">
      <c r="B11938">
        <v>2017</v>
      </c>
      <c r="C11938" t="s">
        <v>130</v>
      </c>
      <c r="D11938" t="s">
        <v>185</v>
      </c>
      <c r="E11938" t="s">
        <v>7</v>
      </c>
      <c r="F11938">
        <v>6.5676589012145996</v>
      </c>
    </row>
    <row r="11939" spans="2:6">
      <c r="B11939">
        <v>2017</v>
      </c>
      <c r="C11939" t="s">
        <v>130</v>
      </c>
      <c r="D11939" t="s">
        <v>185</v>
      </c>
      <c r="E11939" t="s">
        <v>8</v>
      </c>
      <c r="F11939">
        <v>10.323997497558594</v>
      </c>
    </row>
    <row r="11940" spans="2:6">
      <c r="B11940">
        <v>2017</v>
      </c>
      <c r="C11940" t="s">
        <v>130</v>
      </c>
      <c r="D11940" t="s">
        <v>185</v>
      </c>
      <c r="E11940" t="s">
        <v>9</v>
      </c>
      <c r="F11940">
        <v>0.91190481185913086</v>
      </c>
    </row>
    <row r="11941" spans="2:6">
      <c r="B11941">
        <v>2017</v>
      </c>
      <c r="C11941" t="s">
        <v>130</v>
      </c>
      <c r="D11941" t="s">
        <v>185</v>
      </c>
      <c r="E11941" t="s">
        <v>10</v>
      </c>
      <c r="F11941">
        <v>69.5</v>
      </c>
    </row>
    <row r="11942" spans="2:6">
      <c r="B11942">
        <v>2017</v>
      </c>
      <c r="C11942" t="s">
        <v>130</v>
      </c>
      <c r="D11942" t="s">
        <v>185</v>
      </c>
      <c r="E11942" t="s">
        <v>11</v>
      </c>
      <c r="F11942">
        <v>0.89957350492477417</v>
      </c>
    </row>
    <row r="11943" spans="2:6">
      <c r="B11943">
        <v>2017</v>
      </c>
      <c r="C11943" t="s">
        <v>130</v>
      </c>
      <c r="D11943" t="s">
        <v>185</v>
      </c>
      <c r="E11943" t="s">
        <v>12</v>
      </c>
      <c r="F11943">
        <v>-0.16956639289855957</v>
      </c>
    </row>
    <row r="11944" spans="2:6">
      <c r="B11944">
        <v>2017</v>
      </c>
      <c r="C11944" t="s">
        <v>130</v>
      </c>
      <c r="D11944" t="s">
        <v>185</v>
      </c>
      <c r="E11944" t="s">
        <v>13</v>
      </c>
      <c r="F11944">
        <v>0.84077709913253784</v>
      </c>
    </row>
    <row r="11945" spans="2:6">
      <c r="B11945">
        <v>2017</v>
      </c>
      <c r="C11945" t="s">
        <v>130</v>
      </c>
      <c r="D11945" t="s">
        <v>185</v>
      </c>
      <c r="E11945" t="s">
        <v>14</v>
      </c>
      <c r="F11945">
        <v>0.83268880844116211</v>
      </c>
    </row>
    <row r="11946" spans="2:6">
      <c r="B11946">
        <v>2017</v>
      </c>
      <c r="C11946" t="s">
        <v>130</v>
      </c>
      <c r="D11946" t="s">
        <v>185</v>
      </c>
      <c r="E11946" t="s">
        <v>15</v>
      </c>
      <c r="F11946">
        <v>0.24231933057308197</v>
      </c>
    </row>
    <row r="11947" spans="2:6">
      <c r="B11947">
        <v>2018</v>
      </c>
      <c r="C11947" t="s">
        <v>130</v>
      </c>
      <c r="D11947" t="s">
        <v>185</v>
      </c>
      <c r="E11947" t="s">
        <v>7</v>
      </c>
      <c r="F11947">
        <v>6.2814340591430664</v>
      </c>
    </row>
    <row r="11948" spans="2:6">
      <c r="B11948">
        <v>2018</v>
      </c>
      <c r="C11948" t="s">
        <v>130</v>
      </c>
      <c r="D11948" t="s">
        <v>185</v>
      </c>
      <c r="E11948" t="s">
        <v>8</v>
      </c>
      <c r="F11948">
        <v>10.343327522277832</v>
      </c>
    </row>
    <row r="11949" spans="2:6">
      <c r="B11949">
        <v>2018</v>
      </c>
      <c r="C11949" t="s">
        <v>130</v>
      </c>
      <c r="D11949" t="s">
        <v>185</v>
      </c>
      <c r="E11949" t="s">
        <v>9</v>
      </c>
      <c r="F11949">
        <v>0.90438979864120483</v>
      </c>
    </row>
    <row r="11950" spans="2:6">
      <c r="B11950">
        <v>2018</v>
      </c>
      <c r="C11950" t="s">
        <v>130</v>
      </c>
      <c r="D11950" t="s">
        <v>185</v>
      </c>
      <c r="E11950" t="s">
        <v>10</v>
      </c>
      <c r="F11950">
        <v>69.599998474121094</v>
      </c>
    </row>
    <row r="11951" spans="2:6">
      <c r="B11951">
        <v>2018</v>
      </c>
      <c r="C11951" t="s">
        <v>130</v>
      </c>
      <c r="D11951" t="s">
        <v>185</v>
      </c>
      <c r="E11951" t="s">
        <v>11</v>
      </c>
      <c r="F11951">
        <v>0.86144810914993286</v>
      </c>
    </row>
    <row r="11952" spans="2:6">
      <c r="B11952">
        <v>2018</v>
      </c>
      <c r="C11952" t="s">
        <v>130</v>
      </c>
      <c r="D11952" t="s">
        <v>185</v>
      </c>
      <c r="E11952" t="s">
        <v>12</v>
      </c>
      <c r="F11952">
        <v>-0.1307104080915451</v>
      </c>
    </row>
    <row r="11953" spans="2:6">
      <c r="B11953">
        <v>2018</v>
      </c>
      <c r="C11953" t="s">
        <v>130</v>
      </c>
      <c r="D11953" t="s">
        <v>185</v>
      </c>
      <c r="E11953" t="s">
        <v>13</v>
      </c>
      <c r="F11953">
        <v>0.83693099021911621</v>
      </c>
    </row>
    <row r="11954" spans="2:6">
      <c r="B11954">
        <v>2018</v>
      </c>
      <c r="C11954" t="s">
        <v>130</v>
      </c>
      <c r="D11954" t="s">
        <v>185</v>
      </c>
      <c r="E11954" t="s">
        <v>14</v>
      </c>
      <c r="F11954">
        <v>0.88358050584793091</v>
      </c>
    </row>
    <row r="11955" spans="2:6">
      <c r="B11955">
        <v>2018</v>
      </c>
      <c r="C11955" t="s">
        <v>130</v>
      </c>
      <c r="D11955" t="s">
        <v>185</v>
      </c>
      <c r="E11955" t="s">
        <v>15</v>
      </c>
      <c r="F11955">
        <v>0.22259874641895294</v>
      </c>
    </row>
    <row r="11956" spans="2:6">
      <c r="B11956">
        <v>2019</v>
      </c>
      <c r="C11956" t="s">
        <v>130</v>
      </c>
      <c r="D11956" t="s">
        <v>185</v>
      </c>
      <c r="E11956" t="s">
        <v>7</v>
      </c>
      <c r="F11956">
        <v>6.0859551429748535</v>
      </c>
    </row>
    <row r="11957" spans="2:6">
      <c r="B11957">
        <v>2019</v>
      </c>
      <c r="C11957" t="s">
        <v>130</v>
      </c>
      <c r="D11957" t="s">
        <v>185</v>
      </c>
      <c r="E11957" t="s">
        <v>8</v>
      </c>
      <c r="F11957">
        <v>10.356431007385254</v>
      </c>
    </row>
    <row r="11958" spans="2:6">
      <c r="B11958">
        <v>2019</v>
      </c>
      <c r="C11958" t="s">
        <v>130</v>
      </c>
      <c r="D11958" t="s">
        <v>185</v>
      </c>
      <c r="E11958" t="s">
        <v>9</v>
      </c>
      <c r="F11958">
        <v>0.88572138547897339</v>
      </c>
    </row>
    <row r="11959" spans="2:6">
      <c r="B11959">
        <v>2019</v>
      </c>
      <c r="C11959" t="s">
        <v>130</v>
      </c>
      <c r="D11959" t="s">
        <v>185</v>
      </c>
      <c r="E11959" t="s">
        <v>10</v>
      </c>
      <c r="F11959">
        <v>69.699996948242188</v>
      </c>
    </row>
    <row r="11960" spans="2:6">
      <c r="B11960">
        <v>2019</v>
      </c>
      <c r="C11960" t="s">
        <v>130</v>
      </c>
      <c r="D11960" t="s">
        <v>185</v>
      </c>
      <c r="E11960" t="s">
        <v>11</v>
      </c>
      <c r="F11960">
        <v>0.88296109437942505</v>
      </c>
    </row>
    <row r="11961" spans="2:6">
      <c r="B11961">
        <v>2019</v>
      </c>
      <c r="C11961" t="s">
        <v>130</v>
      </c>
      <c r="D11961" t="s">
        <v>185</v>
      </c>
      <c r="E11961" t="s">
        <v>12</v>
      </c>
      <c r="F11961">
        <v>-0.19898499548435211</v>
      </c>
    </row>
    <row r="11962" spans="2:6">
      <c r="B11962">
        <v>2019</v>
      </c>
      <c r="C11962" t="s">
        <v>130</v>
      </c>
      <c r="D11962" t="s">
        <v>185</v>
      </c>
      <c r="E11962" t="s">
        <v>13</v>
      </c>
      <c r="F11962">
        <v>0.86882752180099487</v>
      </c>
    </row>
    <row r="11963" spans="2:6">
      <c r="B11963">
        <v>2019</v>
      </c>
      <c r="C11963" t="s">
        <v>130</v>
      </c>
      <c r="D11963" t="s">
        <v>185</v>
      </c>
      <c r="E11963" t="s">
        <v>14</v>
      </c>
      <c r="F11963">
        <v>0.87756162881851196</v>
      </c>
    </row>
    <row r="11964" spans="2:6">
      <c r="B11964">
        <v>2019</v>
      </c>
      <c r="C11964" t="s">
        <v>130</v>
      </c>
      <c r="D11964" t="s">
        <v>185</v>
      </c>
      <c r="E11964" t="s">
        <v>15</v>
      </c>
      <c r="F11964">
        <v>0.2435666024684906</v>
      </c>
    </row>
    <row r="11965" spans="2:6">
      <c r="B11965">
        <v>2006</v>
      </c>
      <c r="C11965" t="s">
        <v>131</v>
      </c>
      <c r="D11965" t="s">
        <v>185</v>
      </c>
      <c r="E11965" t="s">
        <v>7</v>
      </c>
      <c r="F11965">
        <v>4.7300820350646973</v>
      </c>
    </row>
    <row r="11966" spans="2:6">
      <c r="B11966">
        <v>2006</v>
      </c>
      <c r="C11966" t="s">
        <v>131</v>
      </c>
      <c r="D11966" t="s">
        <v>185</v>
      </c>
      <c r="E11966" t="s">
        <v>8</v>
      </c>
      <c r="F11966">
        <v>9.0875797271728516</v>
      </c>
    </row>
    <row r="11967" spans="2:6">
      <c r="B11967">
        <v>2006</v>
      </c>
      <c r="C11967" t="s">
        <v>131</v>
      </c>
      <c r="D11967" t="s">
        <v>185</v>
      </c>
      <c r="E11967" t="s">
        <v>9</v>
      </c>
      <c r="F11967">
        <v>0.89542776346206665</v>
      </c>
    </row>
    <row r="11968" spans="2:6">
      <c r="B11968">
        <v>2006</v>
      </c>
      <c r="C11968" t="s">
        <v>131</v>
      </c>
      <c r="D11968" t="s">
        <v>185</v>
      </c>
      <c r="E11968" t="s">
        <v>10</v>
      </c>
      <c r="F11968">
        <v>63.619998931884766</v>
      </c>
    </row>
    <row r="11969" spans="2:6">
      <c r="B11969">
        <v>2006</v>
      </c>
      <c r="C11969" t="s">
        <v>131</v>
      </c>
      <c r="D11969" t="s">
        <v>185</v>
      </c>
      <c r="E11969" t="s">
        <v>11</v>
      </c>
      <c r="F11969">
        <v>0.69102168083190918</v>
      </c>
    </row>
    <row r="11970" spans="2:6">
      <c r="B11970">
        <v>2006</v>
      </c>
      <c r="C11970" t="s">
        <v>131</v>
      </c>
      <c r="D11970" t="s">
        <v>185</v>
      </c>
      <c r="E11970" t="s">
        <v>12</v>
      </c>
      <c r="F11970">
        <v>6.6074825823307037E-2</v>
      </c>
    </row>
    <row r="11971" spans="2:6">
      <c r="B11971">
        <v>2006</v>
      </c>
      <c r="C11971" t="s">
        <v>131</v>
      </c>
      <c r="D11971" t="s">
        <v>185</v>
      </c>
      <c r="E11971" t="s">
        <v>13</v>
      </c>
      <c r="F11971">
        <v>0.84098917245864868</v>
      </c>
    </row>
    <row r="11972" spans="2:6">
      <c r="B11972">
        <v>2006</v>
      </c>
      <c r="C11972" t="s">
        <v>131</v>
      </c>
      <c r="D11972" t="s">
        <v>185</v>
      </c>
      <c r="E11972" t="s">
        <v>14</v>
      </c>
      <c r="F11972">
        <v>0.81558382511138916</v>
      </c>
    </row>
    <row r="11973" spans="2:6">
      <c r="B11973">
        <v>2006</v>
      </c>
      <c r="C11973" t="s">
        <v>131</v>
      </c>
      <c r="D11973" t="s">
        <v>185</v>
      </c>
      <c r="E11973" t="s">
        <v>15</v>
      </c>
      <c r="F11973">
        <v>0.30274611711502075</v>
      </c>
    </row>
    <row r="11974" spans="2:6">
      <c r="B11974">
        <v>2007</v>
      </c>
      <c r="C11974" t="s">
        <v>131</v>
      </c>
      <c r="D11974" t="s">
        <v>185</v>
      </c>
      <c r="E11974" t="s">
        <v>7</v>
      </c>
      <c r="F11974">
        <v>5.2724614143371582</v>
      </c>
    </row>
    <row r="11975" spans="2:6">
      <c r="B11975">
        <v>2007</v>
      </c>
      <c r="C11975" t="s">
        <v>131</v>
      </c>
      <c r="D11975" t="s">
        <v>185</v>
      </c>
      <c r="E11975" t="s">
        <v>8</v>
      </c>
      <c r="F11975">
        <v>9.126068115234375</v>
      </c>
    </row>
    <row r="11976" spans="2:6">
      <c r="B11976">
        <v>2007</v>
      </c>
      <c r="C11976" t="s">
        <v>131</v>
      </c>
      <c r="D11976" t="s">
        <v>185</v>
      </c>
      <c r="E11976" t="s">
        <v>9</v>
      </c>
      <c r="F11976">
        <v>0.86265641450881958</v>
      </c>
    </row>
    <row r="11977" spans="2:6">
      <c r="B11977">
        <v>2007</v>
      </c>
      <c r="C11977" t="s">
        <v>131</v>
      </c>
      <c r="D11977" t="s">
        <v>185</v>
      </c>
      <c r="E11977" t="s">
        <v>10</v>
      </c>
      <c r="F11977">
        <v>63.840000152587891</v>
      </c>
    </row>
    <row r="11978" spans="2:6">
      <c r="B11978">
        <v>2007</v>
      </c>
      <c r="C11978" t="s">
        <v>131</v>
      </c>
      <c r="D11978" t="s">
        <v>185</v>
      </c>
      <c r="E11978" t="s">
        <v>11</v>
      </c>
      <c r="F11978">
        <v>0.69898784160614014</v>
      </c>
    </row>
    <row r="11979" spans="2:6">
      <c r="B11979">
        <v>2007</v>
      </c>
      <c r="C11979" t="s">
        <v>131</v>
      </c>
      <c r="D11979" t="s">
        <v>185</v>
      </c>
      <c r="E11979" t="s">
        <v>12</v>
      </c>
      <c r="F11979">
        <v>0.1320081353187561</v>
      </c>
    </row>
    <row r="11980" spans="2:6">
      <c r="B11980">
        <v>2007</v>
      </c>
      <c r="C11980" t="s">
        <v>131</v>
      </c>
      <c r="D11980" t="s">
        <v>185</v>
      </c>
      <c r="E11980" t="s">
        <v>13</v>
      </c>
      <c r="F11980">
        <v>0.92989069223403931</v>
      </c>
    </row>
    <row r="11981" spans="2:6">
      <c r="B11981">
        <v>2007</v>
      </c>
      <c r="C11981" t="s">
        <v>131</v>
      </c>
      <c r="D11981" t="s">
        <v>185</v>
      </c>
      <c r="E11981" t="s">
        <v>14</v>
      </c>
      <c r="F11981">
        <v>0.8666689395904541</v>
      </c>
    </row>
    <row r="11982" spans="2:6">
      <c r="B11982">
        <v>2007</v>
      </c>
      <c r="C11982" t="s">
        <v>131</v>
      </c>
      <c r="D11982" t="s">
        <v>185</v>
      </c>
      <c r="E11982" t="s">
        <v>15</v>
      </c>
      <c r="F11982">
        <v>0.2186989039182663</v>
      </c>
    </row>
    <row r="11983" spans="2:6">
      <c r="B11983">
        <v>2008</v>
      </c>
      <c r="C11983" t="s">
        <v>131</v>
      </c>
      <c r="D11983" t="s">
        <v>185</v>
      </c>
      <c r="E11983" t="s">
        <v>7</v>
      </c>
      <c r="F11983">
        <v>5.5700616836547852</v>
      </c>
    </row>
    <row r="11984" spans="2:6">
      <c r="B11984">
        <v>2008</v>
      </c>
      <c r="C11984" t="s">
        <v>131</v>
      </c>
      <c r="D11984" t="s">
        <v>185</v>
      </c>
      <c r="E11984" t="s">
        <v>8</v>
      </c>
      <c r="F11984">
        <v>9.1739988327026367</v>
      </c>
    </row>
    <row r="11985" spans="2:6">
      <c r="B11985">
        <v>2008</v>
      </c>
      <c r="C11985" t="s">
        <v>131</v>
      </c>
      <c r="D11985" t="s">
        <v>185</v>
      </c>
      <c r="E11985" t="s">
        <v>9</v>
      </c>
      <c r="F11985">
        <v>0.88928145170211792</v>
      </c>
    </row>
    <row r="11986" spans="2:6">
      <c r="B11986">
        <v>2008</v>
      </c>
      <c r="C11986" t="s">
        <v>131</v>
      </c>
      <c r="D11986" t="s">
        <v>185</v>
      </c>
      <c r="E11986" t="s">
        <v>10</v>
      </c>
      <c r="F11986">
        <v>64.05999755859375</v>
      </c>
    </row>
    <row r="11987" spans="2:6">
      <c r="B11987">
        <v>2008</v>
      </c>
      <c r="C11987" t="s">
        <v>131</v>
      </c>
      <c r="D11987" t="s">
        <v>185</v>
      </c>
      <c r="E11987" t="s">
        <v>11</v>
      </c>
      <c r="F11987">
        <v>0.64906877279281616</v>
      </c>
    </row>
    <row r="11988" spans="2:6">
      <c r="B11988">
        <v>2008</v>
      </c>
      <c r="C11988" t="s">
        <v>131</v>
      </c>
      <c r="D11988" t="s">
        <v>185</v>
      </c>
      <c r="E11988" t="s">
        <v>12</v>
      </c>
      <c r="F11988">
        <v>5.664471909403801E-2</v>
      </c>
    </row>
    <row r="11989" spans="2:6">
      <c r="B11989">
        <v>2008</v>
      </c>
      <c r="C11989" t="s">
        <v>131</v>
      </c>
      <c r="D11989" t="s">
        <v>185</v>
      </c>
      <c r="E11989" t="s">
        <v>13</v>
      </c>
      <c r="F11989">
        <v>0.89108514785766602</v>
      </c>
    </row>
    <row r="11990" spans="2:6">
      <c r="B11990">
        <v>2008</v>
      </c>
      <c r="C11990" t="s">
        <v>131</v>
      </c>
      <c r="D11990" t="s">
        <v>185</v>
      </c>
      <c r="E11990" t="s">
        <v>14</v>
      </c>
      <c r="F11990">
        <v>0.84884005784988403</v>
      </c>
    </row>
    <row r="11991" spans="2:6">
      <c r="B11991">
        <v>2008</v>
      </c>
      <c r="C11991" t="s">
        <v>131</v>
      </c>
      <c r="D11991" t="s">
        <v>185</v>
      </c>
      <c r="E11991" t="s">
        <v>15</v>
      </c>
      <c r="F11991">
        <v>0.25903782248497009</v>
      </c>
    </row>
    <row r="11992" spans="2:6">
      <c r="B11992">
        <v>2009</v>
      </c>
      <c r="C11992" t="s">
        <v>131</v>
      </c>
      <c r="D11992" t="s">
        <v>185</v>
      </c>
      <c r="E11992" t="s">
        <v>7</v>
      </c>
      <c r="F11992">
        <v>5.5761470794677734</v>
      </c>
    </row>
    <row r="11993" spans="2:6">
      <c r="B11993">
        <v>2009</v>
      </c>
      <c r="C11993" t="s">
        <v>131</v>
      </c>
      <c r="D11993" t="s">
        <v>185</v>
      </c>
      <c r="E11993" t="s">
        <v>8</v>
      </c>
      <c r="F11993">
        <v>9.1579122543334961</v>
      </c>
    </row>
    <row r="11994" spans="2:6">
      <c r="B11994">
        <v>2009</v>
      </c>
      <c r="C11994" t="s">
        <v>131</v>
      </c>
      <c r="D11994" t="s">
        <v>185</v>
      </c>
      <c r="E11994" t="s">
        <v>9</v>
      </c>
      <c r="F11994">
        <v>0.90035384893417358</v>
      </c>
    </row>
    <row r="11995" spans="2:6">
      <c r="B11995">
        <v>2009</v>
      </c>
      <c r="C11995" t="s">
        <v>131</v>
      </c>
      <c r="D11995" t="s">
        <v>185</v>
      </c>
      <c r="E11995" t="s">
        <v>10</v>
      </c>
      <c r="F11995">
        <v>64.279998779296875</v>
      </c>
    </row>
    <row r="11996" spans="2:6">
      <c r="B11996">
        <v>2009</v>
      </c>
      <c r="C11996" t="s">
        <v>131</v>
      </c>
      <c r="D11996" t="s">
        <v>185</v>
      </c>
      <c r="E11996" t="s">
        <v>11</v>
      </c>
      <c r="F11996">
        <v>0.71787017583847046</v>
      </c>
    </row>
    <row r="11997" spans="2:6">
      <c r="B11997">
        <v>2009</v>
      </c>
      <c r="C11997" t="s">
        <v>131</v>
      </c>
      <c r="D11997" t="s">
        <v>185</v>
      </c>
      <c r="E11997" t="s">
        <v>12</v>
      </c>
      <c r="F11997">
        <v>2.7379550039768219E-2</v>
      </c>
    </row>
    <row r="11998" spans="2:6">
      <c r="B11998">
        <v>2009</v>
      </c>
      <c r="C11998" t="s">
        <v>131</v>
      </c>
      <c r="D11998" t="s">
        <v>185</v>
      </c>
      <c r="E11998" t="s">
        <v>13</v>
      </c>
      <c r="F11998">
        <v>0.85734027624130249</v>
      </c>
    </row>
    <row r="11999" spans="2:6">
      <c r="B11999">
        <v>2009</v>
      </c>
      <c r="C11999" t="s">
        <v>131</v>
      </c>
      <c r="D11999" t="s">
        <v>185</v>
      </c>
      <c r="E11999" t="s">
        <v>14</v>
      </c>
      <c r="F11999">
        <v>0.83175688982009888</v>
      </c>
    </row>
    <row r="12000" spans="2:6">
      <c r="B12000">
        <v>2009</v>
      </c>
      <c r="C12000" t="s">
        <v>131</v>
      </c>
      <c r="D12000" t="s">
        <v>185</v>
      </c>
      <c r="E12000" t="s">
        <v>15</v>
      </c>
      <c r="F12000">
        <v>0.18612641096115112</v>
      </c>
    </row>
    <row r="12001" spans="2:6">
      <c r="B12001">
        <v>2010</v>
      </c>
      <c r="C12001" t="s">
        <v>131</v>
      </c>
      <c r="D12001" t="s">
        <v>185</v>
      </c>
      <c r="E12001" t="s">
        <v>7</v>
      </c>
      <c r="F12001">
        <v>5.8411741256713867</v>
      </c>
    </row>
    <row r="12002" spans="2:6">
      <c r="B12002">
        <v>2010</v>
      </c>
      <c r="C12002" t="s">
        <v>131</v>
      </c>
      <c r="D12002" t="s">
        <v>185</v>
      </c>
      <c r="E12002" t="s">
        <v>8</v>
      </c>
      <c r="F12002">
        <v>9.2500228881835938</v>
      </c>
    </row>
    <row r="12003" spans="2:6">
      <c r="B12003">
        <v>2010</v>
      </c>
      <c r="C12003" t="s">
        <v>131</v>
      </c>
      <c r="D12003" t="s">
        <v>185</v>
      </c>
      <c r="E12003" t="s">
        <v>9</v>
      </c>
      <c r="F12003">
        <v>0.88915276527404785</v>
      </c>
    </row>
    <row r="12004" spans="2:6">
      <c r="B12004">
        <v>2010</v>
      </c>
      <c r="C12004" t="s">
        <v>131</v>
      </c>
      <c r="D12004" t="s">
        <v>185</v>
      </c>
      <c r="E12004" t="s">
        <v>10</v>
      </c>
      <c r="F12004">
        <v>64.5</v>
      </c>
    </row>
    <row r="12005" spans="2:6">
      <c r="B12005">
        <v>2010</v>
      </c>
      <c r="C12005" t="s">
        <v>131</v>
      </c>
      <c r="D12005" t="s">
        <v>185</v>
      </c>
      <c r="E12005" t="s">
        <v>11</v>
      </c>
      <c r="F12005">
        <v>0.72626239061355591</v>
      </c>
    </row>
    <row r="12006" spans="2:6">
      <c r="B12006">
        <v>2010</v>
      </c>
      <c r="C12006" t="s">
        <v>131</v>
      </c>
      <c r="D12006" t="s">
        <v>185</v>
      </c>
      <c r="E12006" t="s">
        <v>12</v>
      </c>
      <c r="F12006">
        <v>7.6352044939994812E-2</v>
      </c>
    </row>
    <row r="12007" spans="2:6">
      <c r="B12007">
        <v>2010</v>
      </c>
      <c r="C12007" t="s">
        <v>131</v>
      </c>
      <c r="D12007" t="s">
        <v>185</v>
      </c>
      <c r="E12007" t="s">
        <v>13</v>
      </c>
      <c r="F12007">
        <v>0.77991461753845215</v>
      </c>
    </row>
    <row r="12008" spans="2:6">
      <c r="B12008">
        <v>2010</v>
      </c>
      <c r="C12008" t="s">
        <v>131</v>
      </c>
      <c r="D12008" t="s">
        <v>185</v>
      </c>
      <c r="E12008" t="s">
        <v>14</v>
      </c>
      <c r="F12008">
        <v>0.85523033142089844</v>
      </c>
    </row>
    <row r="12009" spans="2:6">
      <c r="B12009">
        <v>2010</v>
      </c>
      <c r="C12009" t="s">
        <v>131</v>
      </c>
      <c r="D12009" t="s">
        <v>185</v>
      </c>
      <c r="E12009" t="s">
        <v>15</v>
      </c>
      <c r="F12009">
        <v>0.17585946619510651</v>
      </c>
    </row>
    <row r="12010" spans="2:6">
      <c r="B12010">
        <v>2011</v>
      </c>
      <c r="C12010" t="s">
        <v>131</v>
      </c>
      <c r="D12010" t="s">
        <v>185</v>
      </c>
      <c r="E12010" t="s">
        <v>7</v>
      </c>
      <c r="F12010">
        <v>5.6770806312561035</v>
      </c>
    </row>
    <row r="12011" spans="2:6">
      <c r="B12011">
        <v>2011</v>
      </c>
      <c r="C12011" t="s">
        <v>131</v>
      </c>
      <c r="D12011" t="s">
        <v>185</v>
      </c>
      <c r="E12011" t="s">
        <v>8</v>
      </c>
      <c r="F12011">
        <v>9.2779731750488281</v>
      </c>
    </row>
    <row r="12012" spans="2:6">
      <c r="B12012">
        <v>2011</v>
      </c>
      <c r="C12012" t="s">
        <v>131</v>
      </c>
      <c r="D12012" t="s">
        <v>185</v>
      </c>
      <c r="E12012" t="s">
        <v>9</v>
      </c>
      <c r="F12012">
        <v>0.86914968490600586</v>
      </c>
    </row>
    <row r="12013" spans="2:6">
      <c r="B12013">
        <v>2011</v>
      </c>
      <c r="C12013" t="s">
        <v>131</v>
      </c>
      <c r="D12013" t="s">
        <v>185</v>
      </c>
      <c r="E12013" t="s">
        <v>10</v>
      </c>
      <c r="F12013">
        <v>64.620002746582031</v>
      </c>
    </row>
    <row r="12014" spans="2:6">
      <c r="B12014">
        <v>2011</v>
      </c>
      <c r="C12014" t="s">
        <v>131</v>
      </c>
      <c r="D12014" t="s">
        <v>185</v>
      </c>
      <c r="E12014" t="s">
        <v>11</v>
      </c>
      <c r="F12014">
        <v>0.66586428880691528</v>
      </c>
    </row>
    <row r="12015" spans="2:6">
      <c r="B12015">
        <v>2011</v>
      </c>
      <c r="C12015" t="s">
        <v>131</v>
      </c>
      <c r="D12015" t="s">
        <v>185</v>
      </c>
      <c r="E12015" t="s">
        <v>12</v>
      </c>
      <c r="F12015">
        <v>0.19067981839179993</v>
      </c>
    </row>
    <row r="12016" spans="2:6">
      <c r="B12016">
        <v>2011</v>
      </c>
      <c r="C12016" t="s">
        <v>131</v>
      </c>
      <c r="D12016" t="s">
        <v>185</v>
      </c>
      <c r="E12016" t="s">
        <v>13</v>
      </c>
      <c r="F12016">
        <v>0.75599700212478638</v>
      </c>
    </row>
    <row r="12017" spans="2:6">
      <c r="B12017">
        <v>2011</v>
      </c>
      <c r="C12017" t="s">
        <v>131</v>
      </c>
      <c r="D12017" t="s">
        <v>185</v>
      </c>
      <c r="E12017" t="s">
        <v>14</v>
      </c>
      <c r="F12017">
        <v>0.8098413348197937</v>
      </c>
    </row>
    <row r="12018" spans="2:6">
      <c r="B12018">
        <v>2011</v>
      </c>
      <c r="C12018" t="s">
        <v>131</v>
      </c>
      <c r="D12018" t="s">
        <v>185</v>
      </c>
      <c r="E12018" t="s">
        <v>15</v>
      </c>
      <c r="F12018">
        <v>0.19026282429695129</v>
      </c>
    </row>
    <row r="12019" spans="2:6">
      <c r="B12019">
        <v>2012</v>
      </c>
      <c r="C12019" t="s">
        <v>131</v>
      </c>
      <c r="D12019" t="s">
        <v>185</v>
      </c>
      <c r="E12019" t="s">
        <v>7</v>
      </c>
      <c r="F12019">
        <v>5.8200583457946777</v>
      </c>
    </row>
    <row r="12020" spans="2:6">
      <c r="B12020">
        <v>2012</v>
      </c>
      <c r="C12020" t="s">
        <v>131</v>
      </c>
      <c r="D12020" t="s">
        <v>185</v>
      </c>
      <c r="E12020" t="s">
        <v>8</v>
      </c>
      <c r="F12020">
        <v>9.2588472366333008</v>
      </c>
    </row>
    <row r="12021" spans="2:6">
      <c r="B12021">
        <v>2012</v>
      </c>
      <c r="C12021" t="s">
        <v>131</v>
      </c>
      <c r="D12021" t="s">
        <v>185</v>
      </c>
      <c r="E12021" t="s">
        <v>9</v>
      </c>
      <c r="F12021">
        <v>0.93100494146347046</v>
      </c>
    </row>
    <row r="12022" spans="2:6">
      <c r="B12022">
        <v>2012</v>
      </c>
      <c r="C12022" t="s">
        <v>131</v>
      </c>
      <c r="D12022" t="s">
        <v>185</v>
      </c>
      <c r="E12022" t="s">
        <v>10</v>
      </c>
      <c r="F12022">
        <v>64.739997863769531</v>
      </c>
    </row>
    <row r="12023" spans="2:6">
      <c r="B12023">
        <v>2012</v>
      </c>
      <c r="C12023" t="s">
        <v>131</v>
      </c>
      <c r="D12023" t="s">
        <v>185</v>
      </c>
      <c r="E12023" t="s">
        <v>11</v>
      </c>
      <c r="F12023">
        <v>0.74820661544799805</v>
      </c>
    </row>
    <row r="12024" spans="2:6">
      <c r="B12024">
        <v>2012</v>
      </c>
      <c r="C12024" t="s">
        <v>131</v>
      </c>
      <c r="D12024" t="s">
        <v>185</v>
      </c>
      <c r="E12024" t="s">
        <v>12</v>
      </c>
      <c r="F12024">
        <v>0.19964441657066345</v>
      </c>
    </row>
    <row r="12025" spans="2:6">
      <c r="B12025">
        <v>2012</v>
      </c>
      <c r="C12025" t="s">
        <v>131</v>
      </c>
      <c r="D12025" t="s">
        <v>185</v>
      </c>
      <c r="E12025" t="s">
        <v>13</v>
      </c>
      <c r="F12025">
        <v>0.7736591100692749</v>
      </c>
    </row>
    <row r="12026" spans="2:6">
      <c r="B12026">
        <v>2012</v>
      </c>
      <c r="C12026" t="s">
        <v>131</v>
      </c>
      <c r="D12026" t="s">
        <v>185</v>
      </c>
      <c r="E12026" t="s">
        <v>14</v>
      </c>
      <c r="F12026">
        <v>0.83717530965805054</v>
      </c>
    </row>
    <row r="12027" spans="2:6">
      <c r="B12027">
        <v>2012</v>
      </c>
      <c r="C12027" t="s">
        <v>131</v>
      </c>
      <c r="D12027" t="s">
        <v>185</v>
      </c>
      <c r="E12027" t="s">
        <v>15</v>
      </c>
      <c r="F12027">
        <v>0.21283863484859467</v>
      </c>
    </row>
    <row r="12028" spans="2:6">
      <c r="B12028">
        <v>2013</v>
      </c>
      <c r="C12028" t="s">
        <v>131</v>
      </c>
      <c r="D12028" t="s">
        <v>185</v>
      </c>
      <c r="E12028" t="s">
        <v>7</v>
      </c>
      <c r="F12028">
        <v>5.9362406730651855</v>
      </c>
    </row>
    <row r="12029" spans="2:6">
      <c r="B12029">
        <v>2013</v>
      </c>
      <c r="C12029" t="s">
        <v>131</v>
      </c>
      <c r="D12029" t="s">
        <v>185</v>
      </c>
      <c r="E12029" t="s">
        <v>8</v>
      </c>
      <c r="F12029">
        <v>9.3259382247924805</v>
      </c>
    </row>
    <row r="12030" spans="2:6">
      <c r="B12030">
        <v>2013</v>
      </c>
      <c r="C12030" t="s">
        <v>131</v>
      </c>
      <c r="D12030" t="s">
        <v>185</v>
      </c>
      <c r="E12030" t="s">
        <v>9</v>
      </c>
      <c r="F12030">
        <v>0.93864721059799194</v>
      </c>
    </row>
    <row r="12031" spans="2:6">
      <c r="B12031">
        <v>2013</v>
      </c>
      <c r="C12031" t="s">
        <v>131</v>
      </c>
      <c r="D12031" t="s">
        <v>185</v>
      </c>
      <c r="E12031" t="s">
        <v>10</v>
      </c>
      <c r="F12031">
        <v>64.860000610351563</v>
      </c>
    </row>
    <row r="12032" spans="2:6">
      <c r="B12032">
        <v>2013</v>
      </c>
      <c r="C12032" t="s">
        <v>131</v>
      </c>
      <c r="D12032" t="s">
        <v>185</v>
      </c>
      <c r="E12032" t="s">
        <v>11</v>
      </c>
      <c r="F12032">
        <v>0.90890586376190186</v>
      </c>
    </row>
    <row r="12033" spans="2:6">
      <c r="B12033">
        <v>2013</v>
      </c>
      <c r="C12033" t="s">
        <v>131</v>
      </c>
      <c r="D12033" t="s">
        <v>185</v>
      </c>
      <c r="E12033" t="s">
        <v>12</v>
      </c>
      <c r="F12033">
        <v>4.5610222965478897E-2</v>
      </c>
    </row>
    <row r="12034" spans="2:6">
      <c r="B12034">
        <v>2013</v>
      </c>
      <c r="C12034" t="s">
        <v>131</v>
      </c>
      <c r="D12034" t="s">
        <v>185</v>
      </c>
      <c r="E12034" t="s">
        <v>13</v>
      </c>
      <c r="F12034">
        <v>0.90255099534988403</v>
      </c>
    </row>
    <row r="12035" spans="2:6">
      <c r="B12035">
        <v>2013</v>
      </c>
      <c r="C12035" t="s">
        <v>131</v>
      </c>
      <c r="D12035" t="s">
        <v>185</v>
      </c>
      <c r="E12035" t="s">
        <v>14</v>
      </c>
      <c r="F12035">
        <v>0.918937087059021</v>
      </c>
    </row>
    <row r="12036" spans="2:6">
      <c r="B12036">
        <v>2013</v>
      </c>
      <c r="C12036" t="s">
        <v>131</v>
      </c>
      <c r="D12036" t="s">
        <v>185</v>
      </c>
      <c r="E12036" t="s">
        <v>15</v>
      </c>
      <c r="F12036">
        <v>0.22382445633411407</v>
      </c>
    </row>
    <row r="12037" spans="2:6">
      <c r="B12037">
        <v>2014</v>
      </c>
      <c r="C12037" t="s">
        <v>131</v>
      </c>
      <c r="D12037" t="s">
        <v>185</v>
      </c>
      <c r="E12037" t="s">
        <v>7</v>
      </c>
      <c r="F12037">
        <v>5.1186418533325195</v>
      </c>
    </row>
    <row r="12038" spans="2:6">
      <c r="B12038">
        <v>2014</v>
      </c>
      <c r="C12038" t="s">
        <v>131</v>
      </c>
      <c r="D12038" t="s">
        <v>185</v>
      </c>
      <c r="E12038" t="s">
        <v>8</v>
      </c>
      <c r="F12038">
        <v>9.3597869873046875</v>
      </c>
    </row>
    <row r="12039" spans="2:6">
      <c r="B12039">
        <v>2014</v>
      </c>
      <c r="C12039" t="s">
        <v>131</v>
      </c>
      <c r="D12039" t="s">
        <v>185</v>
      </c>
      <c r="E12039" t="s">
        <v>9</v>
      </c>
      <c r="F12039">
        <v>0.95924955606460571</v>
      </c>
    </row>
    <row r="12040" spans="2:6">
      <c r="B12040">
        <v>2014</v>
      </c>
      <c r="C12040" t="s">
        <v>131</v>
      </c>
      <c r="D12040" t="s">
        <v>185</v>
      </c>
      <c r="E12040" t="s">
        <v>10</v>
      </c>
      <c r="F12040">
        <v>64.980003356933594</v>
      </c>
    </row>
    <row r="12041" spans="2:6">
      <c r="B12041">
        <v>2014</v>
      </c>
      <c r="C12041" t="s">
        <v>131</v>
      </c>
      <c r="D12041" t="s">
        <v>185</v>
      </c>
      <c r="E12041" t="s">
        <v>11</v>
      </c>
      <c r="F12041">
        <v>0.75939643383026123</v>
      </c>
    </row>
    <row r="12042" spans="2:6">
      <c r="B12042">
        <v>2014</v>
      </c>
      <c r="C12042" t="s">
        <v>131</v>
      </c>
      <c r="D12042" t="s">
        <v>185</v>
      </c>
      <c r="E12042" t="s">
        <v>12</v>
      </c>
      <c r="F12042">
        <v>-1.5995994908735156E-3</v>
      </c>
    </row>
    <row r="12043" spans="2:6">
      <c r="B12043">
        <v>2014</v>
      </c>
      <c r="C12043" t="s">
        <v>131</v>
      </c>
      <c r="D12043" t="s">
        <v>185</v>
      </c>
      <c r="E12043" t="s">
        <v>13</v>
      </c>
      <c r="F12043">
        <v>0.76237577199935913</v>
      </c>
    </row>
    <row r="12044" spans="2:6">
      <c r="B12044">
        <v>2014</v>
      </c>
      <c r="C12044" t="s">
        <v>131</v>
      </c>
      <c r="D12044" t="s">
        <v>185</v>
      </c>
      <c r="E12044" t="s">
        <v>14</v>
      </c>
      <c r="F12044">
        <v>0.94362062215805054</v>
      </c>
    </row>
    <row r="12045" spans="2:6">
      <c r="B12045">
        <v>2014</v>
      </c>
      <c r="C12045" t="s">
        <v>131</v>
      </c>
      <c r="D12045" t="s">
        <v>185</v>
      </c>
      <c r="E12045" t="s">
        <v>15</v>
      </c>
      <c r="F12045">
        <v>0.21577814221382141</v>
      </c>
    </row>
    <row r="12046" spans="2:6">
      <c r="B12046">
        <v>2015</v>
      </c>
      <c r="C12046" t="s">
        <v>131</v>
      </c>
      <c r="D12046" t="s">
        <v>185</v>
      </c>
      <c r="E12046" t="s">
        <v>7</v>
      </c>
      <c r="F12046">
        <v>5.5597243309020996</v>
      </c>
    </row>
    <row r="12047" spans="2:6">
      <c r="B12047">
        <v>2015</v>
      </c>
      <c r="C12047" t="s">
        <v>131</v>
      </c>
      <c r="D12047" t="s">
        <v>185</v>
      </c>
      <c r="E12047" t="s">
        <v>8</v>
      </c>
      <c r="F12047">
        <v>9.3766975402832031</v>
      </c>
    </row>
    <row r="12048" spans="2:6">
      <c r="B12048">
        <v>2015</v>
      </c>
      <c r="C12048" t="s">
        <v>131</v>
      </c>
      <c r="D12048" t="s">
        <v>185</v>
      </c>
      <c r="E12048" t="s">
        <v>9</v>
      </c>
      <c r="F12048">
        <v>0.91419905424118042</v>
      </c>
    </row>
    <row r="12049" spans="2:6">
      <c r="B12049">
        <v>2015</v>
      </c>
      <c r="C12049" t="s">
        <v>131</v>
      </c>
      <c r="D12049" t="s">
        <v>185</v>
      </c>
      <c r="E12049" t="s">
        <v>10</v>
      </c>
      <c r="F12049">
        <v>65.099998474121094</v>
      </c>
    </row>
    <row r="12050" spans="2:6">
      <c r="B12050">
        <v>2015</v>
      </c>
      <c r="C12050" t="s">
        <v>131</v>
      </c>
      <c r="D12050" t="s">
        <v>185</v>
      </c>
      <c r="E12050" t="s">
        <v>11</v>
      </c>
      <c r="F12050">
        <v>0.80612474679946899</v>
      </c>
    </row>
    <row r="12051" spans="2:6">
      <c r="B12051">
        <v>2015</v>
      </c>
      <c r="C12051" t="s">
        <v>131</v>
      </c>
      <c r="D12051" t="s">
        <v>185</v>
      </c>
      <c r="E12051" t="s">
        <v>12</v>
      </c>
      <c r="F12051">
        <v>-7.5615318492054939E-3</v>
      </c>
    </row>
    <row r="12052" spans="2:6">
      <c r="B12052">
        <v>2015</v>
      </c>
      <c r="C12052" t="s">
        <v>131</v>
      </c>
      <c r="D12052" t="s">
        <v>185</v>
      </c>
      <c r="E12052" t="s">
        <v>13</v>
      </c>
      <c r="F12052">
        <v>0.86288827657699585</v>
      </c>
    </row>
    <row r="12053" spans="2:6">
      <c r="B12053">
        <v>2015</v>
      </c>
      <c r="C12053" t="s">
        <v>131</v>
      </c>
      <c r="D12053" t="s">
        <v>185</v>
      </c>
      <c r="E12053" t="s">
        <v>14</v>
      </c>
      <c r="F12053">
        <v>0.86621838808059692</v>
      </c>
    </row>
    <row r="12054" spans="2:6">
      <c r="B12054">
        <v>2015</v>
      </c>
      <c r="C12054" t="s">
        <v>131</v>
      </c>
      <c r="D12054" t="s">
        <v>185</v>
      </c>
      <c r="E12054" t="s">
        <v>15</v>
      </c>
      <c r="F12054">
        <v>0.21850846707820892</v>
      </c>
    </row>
    <row r="12055" spans="2:6">
      <c r="B12055">
        <v>2016</v>
      </c>
      <c r="C12055" t="s">
        <v>131</v>
      </c>
      <c r="D12055" t="s">
        <v>185</v>
      </c>
      <c r="E12055" t="s">
        <v>7</v>
      </c>
      <c r="F12055">
        <v>5.8013801574707031</v>
      </c>
    </row>
    <row r="12056" spans="2:6">
      <c r="B12056">
        <v>2016</v>
      </c>
      <c r="C12056" t="s">
        <v>131</v>
      </c>
      <c r="D12056" t="s">
        <v>185</v>
      </c>
      <c r="E12056" t="s">
        <v>8</v>
      </c>
      <c r="F12056">
        <v>9.4056854248046875</v>
      </c>
    </row>
    <row r="12057" spans="2:6">
      <c r="B12057">
        <v>2016</v>
      </c>
      <c r="C12057" t="s">
        <v>131</v>
      </c>
      <c r="D12057" t="s">
        <v>185</v>
      </c>
      <c r="E12057" t="s">
        <v>9</v>
      </c>
      <c r="F12057">
        <v>0.93986696004867554</v>
      </c>
    </row>
    <row r="12058" spans="2:6">
      <c r="B12058">
        <v>2016</v>
      </c>
      <c r="C12058" t="s">
        <v>131</v>
      </c>
      <c r="D12058" t="s">
        <v>185</v>
      </c>
      <c r="E12058" t="s">
        <v>10</v>
      </c>
      <c r="F12058">
        <v>65.300003051757813</v>
      </c>
    </row>
    <row r="12059" spans="2:6">
      <c r="B12059">
        <v>2016</v>
      </c>
      <c r="C12059" t="s">
        <v>131</v>
      </c>
      <c r="D12059" t="s">
        <v>185</v>
      </c>
      <c r="E12059" t="s">
        <v>11</v>
      </c>
      <c r="F12059">
        <v>0.8535342812538147</v>
      </c>
    </row>
    <row r="12060" spans="2:6">
      <c r="B12060">
        <v>2016</v>
      </c>
      <c r="C12060" t="s">
        <v>131</v>
      </c>
      <c r="D12060" t="s">
        <v>185</v>
      </c>
      <c r="E12060" t="s">
        <v>12</v>
      </c>
      <c r="F12060">
        <v>-7.0964626967906952E-2</v>
      </c>
    </row>
    <row r="12061" spans="2:6">
      <c r="B12061">
        <v>2016</v>
      </c>
      <c r="C12061" t="s">
        <v>131</v>
      </c>
      <c r="D12061" t="s">
        <v>185</v>
      </c>
      <c r="E12061" t="s">
        <v>13</v>
      </c>
      <c r="F12061">
        <v>0.75611627101898193</v>
      </c>
    </row>
    <row r="12062" spans="2:6">
      <c r="B12062">
        <v>2016</v>
      </c>
      <c r="C12062" t="s">
        <v>131</v>
      </c>
      <c r="D12062" t="s">
        <v>185</v>
      </c>
      <c r="E12062" t="s">
        <v>14</v>
      </c>
      <c r="F12062">
        <v>0.92456096410751343</v>
      </c>
    </row>
    <row r="12063" spans="2:6">
      <c r="B12063">
        <v>2016</v>
      </c>
      <c r="C12063" t="s">
        <v>131</v>
      </c>
      <c r="D12063" t="s">
        <v>185</v>
      </c>
      <c r="E12063" t="s">
        <v>15</v>
      </c>
      <c r="F12063">
        <v>0.19717618823051453</v>
      </c>
    </row>
    <row r="12064" spans="2:6">
      <c r="B12064">
        <v>2017</v>
      </c>
      <c r="C12064" t="s">
        <v>131</v>
      </c>
      <c r="D12064" t="s">
        <v>185</v>
      </c>
      <c r="E12064" t="s">
        <v>7</v>
      </c>
      <c r="F12064">
        <v>5.7132954597473145</v>
      </c>
    </row>
    <row r="12065" spans="2:6">
      <c r="B12065">
        <v>2017</v>
      </c>
      <c r="C12065" t="s">
        <v>131</v>
      </c>
      <c r="D12065" t="s">
        <v>185</v>
      </c>
      <c r="E12065" t="s">
        <v>8</v>
      </c>
      <c r="F12065">
        <v>9.4410028457641602</v>
      </c>
    </row>
    <row r="12066" spans="2:6">
      <c r="B12066">
        <v>2017</v>
      </c>
      <c r="C12066" t="s">
        <v>131</v>
      </c>
      <c r="D12066" t="s">
        <v>185</v>
      </c>
      <c r="E12066" t="s">
        <v>9</v>
      </c>
      <c r="F12066">
        <v>0.90204250812530518</v>
      </c>
    </row>
    <row r="12067" spans="2:6">
      <c r="B12067">
        <v>2017</v>
      </c>
      <c r="C12067" t="s">
        <v>131</v>
      </c>
      <c r="D12067" t="s">
        <v>185</v>
      </c>
      <c r="E12067" t="s">
        <v>10</v>
      </c>
      <c r="F12067">
        <v>65.5</v>
      </c>
    </row>
    <row r="12068" spans="2:6">
      <c r="B12068">
        <v>2017</v>
      </c>
      <c r="C12068" t="s">
        <v>131</v>
      </c>
      <c r="D12068" t="s">
        <v>185</v>
      </c>
      <c r="E12068" t="s">
        <v>11</v>
      </c>
      <c r="F12068">
        <v>0.89117145538330078</v>
      </c>
    </row>
    <row r="12069" spans="2:6">
      <c r="B12069">
        <v>2017</v>
      </c>
      <c r="C12069" t="s">
        <v>131</v>
      </c>
      <c r="D12069" t="s">
        <v>185</v>
      </c>
      <c r="E12069" t="s">
        <v>12</v>
      </c>
      <c r="F12069">
        <v>3.1103384681046009E-3</v>
      </c>
    </row>
    <row r="12070" spans="2:6">
      <c r="B12070">
        <v>2017</v>
      </c>
      <c r="C12070" t="s">
        <v>131</v>
      </c>
      <c r="D12070" t="s">
        <v>185</v>
      </c>
      <c r="E12070" t="s">
        <v>13</v>
      </c>
      <c r="F12070">
        <v>0.80990076065063477</v>
      </c>
    </row>
    <row r="12071" spans="2:6">
      <c r="B12071">
        <v>2017</v>
      </c>
      <c r="C12071" t="s">
        <v>131</v>
      </c>
      <c r="D12071" t="s">
        <v>185</v>
      </c>
      <c r="E12071" t="s">
        <v>14</v>
      </c>
      <c r="F12071">
        <v>0.90277212858200073</v>
      </c>
    </row>
    <row r="12072" spans="2:6">
      <c r="B12072">
        <v>2017</v>
      </c>
      <c r="C12072" t="s">
        <v>131</v>
      </c>
      <c r="D12072" t="s">
        <v>185</v>
      </c>
      <c r="E12072" t="s">
        <v>15</v>
      </c>
      <c r="F12072">
        <v>0.2317836731672287</v>
      </c>
    </row>
    <row r="12073" spans="2:6">
      <c r="B12073">
        <v>2019</v>
      </c>
      <c r="C12073" t="s">
        <v>131</v>
      </c>
      <c r="D12073" t="s">
        <v>185</v>
      </c>
      <c r="E12073" t="s">
        <v>7</v>
      </c>
      <c r="F12073">
        <v>5.652625560760498</v>
      </c>
    </row>
    <row r="12074" spans="2:6">
      <c r="B12074">
        <v>2019</v>
      </c>
      <c r="C12074" t="s">
        <v>131</v>
      </c>
      <c r="D12074" t="s">
        <v>185</v>
      </c>
      <c r="E12074" t="s">
        <v>8</v>
      </c>
      <c r="F12074">
        <v>9.4481439590454102</v>
      </c>
    </row>
    <row r="12075" spans="2:6">
      <c r="B12075">
        <v>2019</v>
      </c>
      <c r="C12075" t="s">
        <v>131</v>
      </c>
      <c r="D12075" t="s">
        <v>185</v>
      </c>
      <c r="E12075" t="s">
        <v>9</v>
      </c>
      <c r="F12075">
        <v>0.89248716831207275</v>
      </c>
    </row>
    <row r="12076" spans="2:6">
      <c r="B12076">
        <v>2019</v>
      </c>
      <c r="C12076" t="s">
        <v>131</v>
      </c>
      <c r="D12076" t="s">
        <v>185</v>
      </c>
      <c r="E12076" t="s">
        <v>10</v>
      </c>
      <c r="F12076">
        <v>65.900001525878906</v>
      </c>
    </row>
    <row r="12077" spans="2:6">
      <c r="B12077">
        <v>2019</v>
      </c>
      <c r="C12077" t="s">
        <v>131</v>
      </c>
      <c r="D12077" t="s">
        <v>185</v>
      </c>
      <c r="E12077" t="s">
        <v>11</v>
      </c>
      <c r="F12077">
        <v>0.8760526180267334</v>
      </c>
    </row>
    <row r="12078" spans="2:6">
      <c r="B12078">
        <v>2019</v>
      </c>
      <c r="C12078" t="s">
        <v>131</v>
      </c>
      <c r="D12078" t="s">
        <v>185</v>
      </c>
      <c r="E12078" t="s">
        <v>12</v>
      </c>
      <c r="F12078">
        <v>2.8112838044762611E-2</v>
      </c>
    </row>
    <row r="12079" spans="2:6">
      <c r="B12079">
        <v>2019</v>
      </c>
      <c r="C12079" t="s">
        <v>131</v>
      </c>
      <c r="D12079" t="s">
        <v>185</v>
      </c>
      <c r="E12079" t="s">
        <v>13</v>
      </c>
      <c r="F12079">
        <v>0.88178610801696777</v>
      </c>
    </row>
    <row r="12080" spans="2:6">
      <c r="B12080">
        <v>2019</v>
      </c>
      <c r="C12080" t="s">
        <v>131</v>
      </c>
      <c r="D12080" t="s">
        <v>185</v>
      </c>
      <c r="E12080" t="s">
        <v>14</v>
      </c>
      <c r="F12080">
        <v>0.85772413015365601</v>
      </c>
    </row>
    <row r="12081" spans="2:6">
      <c r="B12081">
        <v>2019</v>
      </c>
      <c r="C12081" t="s">
        <v>131</v>
      </c>
      <c r="D12081" t="s">
        <v>185</v>
      </c>
      <c r="E12081" t="s">
        <v>15</v>
      </c>
      <c r="F12081">
        <v>0.27518671751022339</v>
      </c>
    </row>
    <row r="12082" spans="2:6">
      <c r="B12082">
        <v>2006</v>
      </c>
      <c r="C12082" t="s">
        <v>132</v>
      </c>
      <c r="D12082" t="s">
        <v>185</v>
      </c>
      <c r="E12082" t="s">
        <v>7</v>
      </c>
      <c r="F12082">
        <v>4.8108453750610352</v>
      </c>
    </row>
    <row r="12083" spans="2:6">
      <c r="B12083">
        <v>2006</v>
      </c>
      <c r="C12083" t="s">
        <v>132</v>
      </c>
      <c r="D12083" t="s">
        <v>185</v>
      </c>
      <c r="E12083" t="s">
        <v>8</v>
      </c>
      <c r="F12083">
        <v>8.9893512725830078</v>
      </c>
    </row>
    <row r="12084" spans="2:6">
      <c r="B12084">
        <v>2006</v>
      </c>
      <c r="C12084" t="s">
        <v>132</v>
      </c>
      <c r="D12084" t="s">
        <v>185</v>
      </c>
      <c r="E12084" t="s">
        <v>9</v>
      </c>
      <c r="F12084">
        <v>0.87464958429336548</v>
      </c>
    </row>
    <row r="12085" spans="2:6">
      <c r="B12085">
        <v>2006</v>
      </c>
      <c r="C12085" t="s">
        <v>132</v>
      </c>
      <c r="D12085" t="s">
        <v>185</v>
      </c>
      <c r="E12085" t="s">
        <v>10</v>
      </c>
      <c r="F12085">
        <v>65.339996337890625</v>
      </c>
    </row>
    <row r="12086" spans="2:6">
      <c r="B12086">
        <v>2006</v>
      </c>
      <c r="C12086" t="s">
        <v>132</v>
      </c>
      <c r="D12086" t="s">
        <v>185</v>
      </c>
      <c r="E12086" t="s">
        <v>11</v>
      </c>
      <c r="F12086">
        <v>0.66757917404174805</v>
      </c>
    </row>
    <row r="12087" spans="2:6">
      <c r="B12087">
        <v>2006</v>
      </c>
      <c r="C12087" t="s">
        <v>132</v>
      </c>
      <c r="D12087" t="s">
        <v>185</v>
      </c>
      <c r="E12087" t="s">
        <v>12</v>
      </c>
      <c r="F12087">
        <v>-7.1211688220500946E-2</v>
      </c>
    </row>
    <row r="12088" spans="2:6">
      <c r="B12088">
        <v>2006</v>
      </c>
      <c r="C12088" t="s">
        <v>132</v>
      </c>
      <c r="D12088" t="s">
        <v>185</v>
      </c>
      <c r="E12088" t="s">
        <v>13</v>
      </c>
      <c r="F12088">
        <v>0.89534783363342285</v>
      </c>
    </row>
    <row r="12089" spans="2:6">
      <c r="B12089">
        <v>2006</v>
      </c>
      <c r="C12089" t="s">
        <v>132</v>
      </c>
      <c r="D12089" t="s">
        <v>185</v>
      </c>
      <c r="E12089" t="s">
        <v>14</v>
      </c>
      <c r="F12089">
        <v>0.69675946235656738</v>
      </c>
    </row>
    <row r="12090" spans="2:6">
      <c r="B12090">
        <v>2006</v>
      </c>
      <c r="C12090" t="s">
        <v>132</v>
      </c>
      <c r="D12090" t="s">
        <v>185</v>
      </c>
      <c r="E12090" t="s">
        <v>15</v>
      </c>
      <c r="F12090">
        <v>0.41959011554718018</v>
      </c>
    </row>
    <row r="12091" spans="2:6">
      <c r="B12091">
        <v>2007</v>
      </c>
      <c r="C12091" t="s">
        <v>132</v>
      </c>
      <c r="D12091" t="s">
        <v>185</v>
      </c>
      <c r="E12091" t="s">
        <v>7</v>
      </c>
      <c r="F12091">
        <v>5.2139620780944824</v>
      </c>
    </row>
    <row r="12092" spans="2:6">
      <c r="B12092">
        <v>2007</v>
      </c>
      <c r="C12092" t="s">
        <v>132</v>
      </c>
      <c r="D12092" t="s">
        <v>185</v>
      </c>
      <c r="E12092" t="s">
        <v>8</v>
      </c>
      <c r="F12092">
        <v>9.0629148483276367</v>
      </c>
    </row>
    <row r="12093" spans="2:6">
      <c r="B12093">
        <v>2007</v>
      </c>
      <c r="C12093" t="s">
        <v>132</v>
      </c>
      <c r="D12093" t="s">
        <v>185</v>
      </c>
      <c r="E12093" t="s">
        <v>9</v>
      </c>
      <c r="F12093">
        <v>0.75636953115463257</v>
      </c>
    </row>
    <row r="12094" spans="2:6">
      <c r="B12094">
        <v>2007</v>
      </c>
      <c r="C12094" t="s">
        <v>132</v>
      </c>
      <c r="D12094" t="s">
        <v>185</v>
      </c>
      <c r="E12094" t="s">
        <v>10</v>
      </c>
      <c r="F12094">
        <v>65.580001831054688</v>
      </c>
    </row>
    <row r="12095" spans="2:6">
      <c r="B12095">
        <v>2007</v>
      </c>
      <c r="C12095" t="s">
        <v>132</v>
      </c>
      <c r="D12095" t="s">
        <v>185</v>
      </c>
      <c r="E12095" t="s">
        <v>11</v>
      </c>
      <c r="F12095">
        <v>0.6384965181350708</v>
      </c>
    </row>
    <row r="12096" spans="2:6">
      <c r="B12096">
        <v>2007</v>
      </c>
      <c r="C12096" t="s">
        <v>132</v>
      </c>
      <c r="D12096" t="s">
        <v>185</v>
      </c>
      <c r="E12096" t="s">
        <v>12</v>
      </c>
      <c r="F12096">
        <v>-7.7586933970451355E-2</v>
      </c>
    </row>
    <row r="12097" spans="2:6">
      <c r="B12097">
        <v>2007</v>
      </c>
      <c r="C12097" t="s">
        <v>132</v>
      </c>
      <c r="D12097" t="s">
        <v>185</v>
      </c>
      <c r="E12097" t="s">
        <v>13</v>
      </c>
      <c r="F12097">
        <v>0.93064099550247192</v>
      </c>
    </row>
    <row r="12098" spans="2:6">
      <c r="B12098">
        <v>2007</v>
      </c>
      <c r="C12098" t="s">
        <v>132</v>
      </c>
      <c r="D12098" t="s">
        <v>185</v>
      </c>
      <c r="E12098" t="s">
        <v>14</v>
      </c>
      <c r="F12098">
        <v>0.75758880376815796</v>
      </c>
    </row>
    <row r="12099" spans="2:6">
      <c r="B12099">
        <v>2007</v>
      </c>
      <c r="C12099" t="s">
        <v>132</v>
      </c>
      <c r="D12099" t="s">
        <v>185</v>
      </c>
      <c r="E12099" t="s">
        <v>15</v>
      </c>
      <c r="F12099">
        <v>0.36129525303840637</v>
      </c>
    </row>
    <row r="12100" spans="2:6">
      <c r="B12100">
        <v>2008</v>
      </c>
      <c r="C12100" t="s">
        <v>132</v>
      </c>
      <c r="D12100" t="s">
        <v>185</v>
      </c>
      <c r="E12100" t="s">
        <v>7</v>
      </c>
      <c r="F12100">
        <v>5.1292309761047363</v>
      </c>
    </row>
    <row r="12101" spans="2:6">
      <c r="B12101">
        <v>2008</v>
      </c>
      <c r="C12101" t="s">
        <v>132</v>
      </c>
      <c r="D12101" t="s">
        <v>185</v>
      </c>
      <c r="E12101" t="s">
        <v>8</v>
      </c>
      <c r="F12101">
        <v>9.1421937942504883</v>
      </c>
    </row>
    <row r="12102" spans="2:6">
      <c r="B12102">
        <v>2008</v>
      </c>
      <c r="C12102" t="s">
        <v>132</v>
      </c>
      <c r="D12102" t="s">
        <v>185</v>
      </c>
      <c r="E12102" t="s">
        <v>9</v>
      </c>
      <c r="F12102">
        <v>0.77710682153701782</v>
      </c>
    </row>
    <row r="12103" spans="2:6">
      <c r="B12103">
        <v>2008</v>
      </c>
      <c r="C12103" t="s">
        <v>132</v>
      </c>
      <c r="D12103" t="s">
        <v>185</v>
      </c>
      <c r="E12103" t="s">
        <v>10</v>
      </c>
      <c r="F12103">
        <v>65.819999694824219</v>
      </c>
    </row>
    <row r="12104" spans="2:6">
      <c r="B12104">
        <v>2008</v>
      </c>
      <c r="C12104" t="s">
        <v>132</v>
      </c>
      <c r="D12104" t="s">
        <v>185</v>
      </c>
      <c r="E12104" t="s">
        <v>11</v>
      </c>
      <c r="F12104">
        <v>0.63767236471176147</v>
      </c>
    </row>
    <row r="12105" spans="2:6">
      <c r="B12105">
        <v>2008</v>
      </c>
      <c r="C12105" t="s">
        <v>132</v>
      </c>
      <c r="D12105" t="s">
        <v>185</v>
      </c>
      <c r="E12105" t="s">
        <v>12</v>
      </c>
      <c r="F12105">
        <v>-6.7071810364723206E-2</v>
      </c>
    </row>
    <row r="12106" spans="2:6">
      <c r="B12106">
        <v>2008</v>
      </c>
      <c r="C12106" t="s">
        <v>132</v>
      </c>
      <c r="D12106" t="s">
        <v>185</v>
      </c>
      <c r="E12106" t="s">
        <v>13</v>
      </c>
      <c r="F12106">
        <v>0.89643985033035278</v>
      </c>
    </row>
    <row r="12107" spans="2:6">
      <c r="B12107">
        <v>2008</v>
      </c>
      <c r="C12107" t="s">
        <v>132</v>
      </c>
      <c r="D12107" t="s">
        <v>185</v>
      </c>
      <c r="E12107" t="s">
        <v>14</v>
      </c>
      <c r="F12107">
        <v>0.76263129711151123</v>
      </c>
    </row>
    <row r="12108" spans="2:6">
      <c r="B12108">
        <v>2008</v>
      </c>
      <c r="C12108" t="s">
        <v>132</v>
      </c>
      <c r="D12108" t="s">
        <v>185</v>
      </c>
      <c r="E12108" t="s">
        <v>15</v>
      </c>
      <c r="F12108">
        <v>0.35394987463951111</v>
      </c>
    </row>
    <row r="12109" spans="2:6">
      <c r="B12109">
        <v>2009</v>
      </c>
      <c r="C12109" t="s">
        <v>132</v>
      </c>
      <c r="D12109" t="s">
        <v>185</v>
      </c>
      <c r="E12109" t="s">
        <v>7</v>
      </c>
      <c r="F12109">
        <v>5.5188469886779785</v>
      </c>
    </row>
    <row r="12110" spans="2:6">
      <c r="B12110">
        <v>2009</v>
      </c>
      <c r="C12110" t="s">
        <v>132</v>
      </c>
      <c r="D12110" t="s">
        <v>185</v>
      </c>
      <c r="E12110" t="s">
        <v>8</v>
      </c>
      <c r="F12110">
        <v>9.1450595855712891</v>
      </c>
    </row>
    <row r="12111" spans="2:6">
      <c r="B12111">
        <v>2009</v>
      </c>
      <c r="C12111" t="s">
        <v>132</v>
      </c>
      <c r="D12111" t="s">
        <v>185</v>
      </c>
      <c r="E12111" t="s">
        <v>9</v>
      </c>
      <c r="F12111">
        <v>0.79869627952575684</v>
      </c>
    </row>
    <row r="12112" spans="2:6">
      <c r="B12112">
        <v>2009</v>
      </c>
      <c r="C12112" t="s">
        <v>132</v>
      </c>
      <c r="D12112" t="s">
        <v>185</v>
      </c>
      <c r="E12112" t="s">
        <v>10</v>
      </c>
      <c r="F12112">
        <v>66.05999755859375</v>
      </c>
    </row>
    <row r="12113" spans="2:6">
      <c r="B12113">
        <v>2009</v>
      </c>
      <c r="C12113" t="s">
        <v>132</v>
      </c>
      <c r="D12113" t="s">
        <v>185</v>
      </c>
      <c r="E12113" t="s">
        <v>11</v>
      </c>
      <c r="F12113">
        <v>0.63837510347366333</v>
      </c>
    </row>
    <row r="12114" spans="2:6">
      <c r="B12114">
        <v>2009</v>
      </c>
      <c r="C12114" t="s">
        <v>132</v>
      </c>
      <c r="D12114" t="s">
        <v>185</v>
      </c>
      <c r="E12114" t="s">
        <v>12</v>
      </c>
      <c r="F12114">
        <v>-7.9135261476039886E-2</v>
      </c>
    </row>
    <row r="12115" spans="2:6">
      <c r="B12115">
        <v>2009</v>
      </c>
      <c r="C12115" t="s">
        <v>132</v>
      </c>
      <c r="D12115" t="s">
        <v>185</v>
      </c>
      <c r="E12115" t="s">
        <v>13</v>
      </c>
      <c r="F12115">
        <v>0.88033372163772583</v>
      </c>
    </row>
    <row r="12116" spans="2:6">
      <c r="B12116">
        <v>2009</v>
      </c>
      <c r="C12116" t="s">
        <v>132</v>
      </c>
      <c r="D12116" t="s">
        <v>185</v>
      </c>
      <c r="E12116" t="s">
        <v>14</v>
      </c>
      <c r="F12116">
        <v>0.81096535921096802</v>
      </c>
    </row>
    <row r="12117" spans="2:6">
      <c r="B12117">
        <v>2009</v>
      </c>
      <c r="C12117" t="s">
        <v>132</v>
      </c>
      <c r="D12117" t="s">
        <v>185</v>
      </c>
      <c r="E12117" t="s">
        <v>15</v>
      </c>
      <c r="F12117">
        <v>0.32029807567596436</v>
      </c>
    </row>
    <row r="12118" spans="2:6">
      <c r="B12118">
        <v>2010</v>
      </c>
      <c r="C12118" t="s">
        <v>132</v>
      </c>
      <c r="D12118" t="s">
        <v>185</v>
      </c>
      <c r="E12118" t="s">
        <v>7</v>
      </c>
      <c r="F12118">
        <v>5.6127853393554688</v>
      </c>
    </row>
    <row r="12119" spans="2:6">
      <c r="B12119">
        <v>2010</v>
      </c>
      <c r="C12119" t="s">
        <v>132</v>
      </c>
      <c r="D12119" t="s">
        <v>185</v>
      </c>
      <c r="E12119" t="s">
        <v>8</v>
      </c>
      <c r="F12119">
        <v>9.2169656753540039</v>
      </c>
    </row>
    <row r="12120" spans="2:6">
      <c r="B12120">
        <v>2010</v>
      </c>
      <c r="C12120" t="s">
        <v>132</v>
      </c>
      <c r="D12120" t="s">
        <v>185</v>
      </c>
      <c r="E12120" t="s">
        <v>9</v>
      </c>
      <c r="F12120">
        <v>0.81191438436508179</v>
      </c>
    </row>
    <row r="12121" spans="2:6">
      <c r="B12121">
        <v>2010</v>
      </c>
      <c r="C12121" t="s">
        <v>132</v>
      </c>
      <c r="D12121" t="s">
        <v>185</v>
      </c>
      <c r="E12121" t="s">
        <v>10</v>
      </c>
      <c r="F12121">
        <v>66.300003051757813</v>
      </c>
    </row>
    <row r="12122" spans="2:6">
      <c r="B12122">
        <v>2010</v>
      </c>
      <c r="C12122" t="s">
        <v>132</v>
      </c>
      <c r="D12122" t="s">
        <v>185</v>
      </c>
      <c r="E12122" t="s">
        <v>11</v>
      </c>
      <c r="F12122">
        <v>0.75670641660690308</v>
      </c>
    </row>
    <row r="12123" spans="2:6">
      <c r="B12123">
        <v>2010</v>
      </c>
      <c r="C12123" t="s">
        <v>132</v>
      </c>
      <c r="D12123" t="s">
        <v>185</v>
      </c>
      <c r="E12123" t="s">
        <v>12</v>
      </c>
      <c r="F12123">
        <v>-6.0437779873609543E-2</v>
      </c>
    </row>
    <row r="12124" spans="2:6">
      <c r="B12124">
        <v>2010</v>
      </c>
      <c r="C12124" t="s">
        <v>132</v>
      </c>
      <c r="D12124" t="s">
        <v>185</v>
      </c>
      <c r="E12124" t="s">
        <v>13</v>
      </c>
      <c r="F12124">
        <v>0.88059413433074951</v>
      </c>
    </row>
    <row r="12125" spans="2:6">
      <c r="B12125">
        <v>2010</v>
      </c>
      <c r="C12125" t="s">
        <v>132</v>
      </c>
      <c r="D12125" t="s">
        <v>185</v>
      </c>
      <c r="E12125" t="s">
        <v>14</v>
      </c>
      <c r="F12125">
        <v>0.79953449964523315</v>
      </c>
    </row>
    <row r="12126" spans="2:6">
      <c r="B12126">
        <v>2010</v>
      </c>
      <c r="C12126" t="s">
        <v>132</v>
      </c>
      <c r="D12126" t="s">
        <v>185</v>
      </c>
      <c r="E12126" t="s">
        <v>15</v>
      </c>
      <c r="F12126">
        <v>0.33024346828460693</v>
      </c>
    </row>
    <row r="12127" spans="2:6">
      <c r="B12127">
        <v>2011</v>
      </c>
      <c r="C12127" t="s">
        <v>132</v>
      </c>
      <c r="D12127" t="s">
        <v>185</v>
      </c>
      <c r="E12127" t="s">
        <v>7</v>
      </c>
      <c r="F12127">
        <v>5.8924574851989746</v>
      </c>
    </row>
    <row r="12128" spans="2:6">
      <c r="B12128">
        <v>2011</v>
      </c>
      <c r="C12128" t="s">
        <v>132</v>
      </c>
      <c r="D12128" t="s">
        <v>185</v>
      </c>
      <c r="E12128" t="s">
        <v>8</v>
      </c>
      <c r="F12128">
        <v>9.2701969146728516</v>
      </c>
    </row>
    <row r="12129" spans="2:6">
      <c r="B12129">
        <v>2011</v>
      </c>
      <c r="C12129" t="s">
        <v>132</v>
      </c>
      <c r="D12129" t="s">
        <v>185</v>
      </c>
      <c r="E12129" t="s">
        <v>9</v>
      </c>
      <c r="F12129">
        <v>0.75630456209182739</v>
      </c>
    </row>
    <row r="12130" spans="2:6">
      <c r="B12130">
        <v>2011</v>
      </c>
      <c r="C12130" t="s">
        <v>132</v>
      </c>
      <c r="D12130" t="s">
        <v>185</v>
      </c>
      <c r="E12130" t="s">
        <v>10</v>
      </c>
      <c r="F12130">
        <v>66.480003356933594</v>
      </c>
    </row>
    <row r="12131" spans="2:6">
      <c r="B12131">
        <v>2011</v>
      </c>
      <c r="C12131" t="s">
        <v>132</v>
      </c>
      <c r="D12131" t="s">
        <v>185</v>
      </c>
      <c r="E12131" t="s">
        <v>11</v>
      </c>
      <c r="F12131">
        <v>0.77275949716567993</v>
      </c>
    </row>
    <row r="12132" spans="2:6">
      <c r="B12132">
        <v>2011</v>
      </c>
      <c r="C12132" t="s">
        <v>132</v>
      </c>
      <c r="D12132" t="s">
        <v>185</v>
      </c>
      <c r="E12132" t="s">
        <v>12</v>
      </c>
      <c r="F12132">
        <v>-0.12334053218364716</v>
      </c>
    </row>
    <row r="12133" spans="2:6">
      <c r="B12133">
        <v>2011</v>
      </c>
      <c r="C12133" t="s">
        <v>132</v>
      </c>
      <c r="D12133" t="s">
        <v>185</v>
      </c>
      <c r="E12133" t="s">
        <v>13</v>
      </c>
      <c r="F12133">
        <v>0.82366496324539185</v>
      </c>
    </row>
    <row r="12134" spans="2:6">
      <c r="B12134">
        <v>2011</v>
      </c>
      <c r="C12134" t="s">
        <v>132</v>
      </c>
      <c r="D12134" t="s">
        <v>185</v>
      </c>
      <c r="E12134" t="s">
        <v>14</v>
      </c>
      <c r="F12134">
        <v>0.78016924858093262</v>
      </c>
    </row>
    <row r="12135" spans="2:6">
      <c r="B12135">
        <v>2011</v>
      </c>
      <c r="C12135" t="s">
        <v>132</v>
      </c>
      <c r="D12135" t="s">
        <v>185</v>
      </c>
      <c r="E12135" t="s">
        <v>15</v>
      </c>
      <c r="F12135">
        <v>0.33092126250267029</v>
      </c>
    </row>
    <row r="12136" spans="2:6">
      <c r="B12136">
        <v>2012</v>
      </c>
      <c r="C12136" t="s">
        <v>132</v>
      </c>
      <c r="D12136" t="s">
        <v>185</v>
      </c>
      <c r="E12136" t="s">
        <v>7</v>
      </c>
      <c r="F12136">
        <v>5.8245573043823242</v>
      </c>
    </row>
    <row r="12137" spans="2:6">
      <c r="B12137">
        <v>2012</v>
      </c>
      <c r="C12137" t="s">
        <v>132</v>
      </c>
      <c r="D12137" t="s">
        <v>185</v>
      </c>
      <c r="E12137" t="s">
        <v>8</v>
      </c>
      <c r="F12137">
        <v>9.3215312957763672</v>
      </c>
    </row>
    <row r="12138" spans="2:6">
      <c r="B12138">
        <v>2012</v>
      </c>
      <c r="C12138" t="s">
        <v>132</v>
      </c>
      <c r="D12138" t="s">
        <v>185</v>
      </c>
      <c r="E12138" t="s">
        <v>9</v>
      </c>
      <c r="F12138">
        <v>0.76407158374786377</v>
      </c>
    </row>
    <row r="12139" spans="2:6">
      <c r="B12139">
        <v>2012</v>
      </c>
      <c r="C12139" t="s">
        <v>132</v>
      </c>
      <c r="D12139" t="s">
        <v>185</v>
      </c>
      <c r="E12139" t="s">
        <v>10</v>
      </c>
      <c r="F12139">
        <v>66.660003662109375</v>
      </c>
    </row>
    <row r="12140" spans="2:6">
      <c r="B12140">
        <v>2012</v>
      </c>
      <c r="C12140" t="s">
        <v>132</v>
      </c>
      <c r="D12140" t="s">
        <v>185</v>
      </c>
      <c r="E12140" t="s">
        <v>11</v>
      </c>
      <c r="F12140">
        <v>0.70300054550170898</v>
      </c>
    </row>
    <row r="12141" spans="2:6">
      <c r="B12141">
        <v>2012</v>
      </c>
      <c r="C12141" t="s">
        <v>132</v>
      </c>
      <c r="D12141" t="s">
        <v>185</v>
      </c>
      <c r="E12141" t="s">
        <v>12</v>
      </c>
      <c r="F12141">
        <v>-7.9389654099941254E-2</v>
      </c>
    </row>
    <row r="12142" spans="2:6">
      <c r="B12142">
        <v>2012</v>
      </c>
      <c r="C12142" t="s">
        <v>132</v>
      </c>
      <c r="D12142" t="s">
        <v>185</v>
      </c>
      <c r="E12142" t="s">
        <v>13</v>
      </c>
      <c r="F12142">
        <v>0.86683791875839233</v>
      </c>
    </row>
    <row r="12143" spans="2:6">
      <c r="B12143">
        <v>2012</v>
      </c>
      <c r="C12143" t="s">
        <v>132</v>
      </c>
      <c r="D12143" t="s">
        <v>185</v>
      </c>
      <c r="E12143" t="s">
        <v>14</v>
      </c>
      <c r="F12143">
        <v>0.75717836618423462</v>
      </c>
    </row>
    <row r="12144" spans="2:6">
      <c r="B12144">
        <v>2012</v>
      </c>
      <c r="C12144" t="s">
        <v>132</v>
      </c>
      <c r="D12144" t="s">
        <v>185</v>
      </c>
      <c r="E12144" t="s">
        <v>15</v>
      </c>
      <c r="F12144">
        <v>0.39795851707458496</v>
      </c>
    </row>
    <row r="12145" spans="2:6">
      <c r="B12145">
        <v>2013</v>
      </c>
      <c r="C12145" t="s">
        <v>132</v>
      </c>
      <c r="D12145" t="s">
        <v>185</v>
      </c>
      <c r="E12145" t="s">
        <v>7</v>
      </c>
      <c r="F12145">
        <v>5.782557487487793</v>
      </c>
    </row>
    <row r="12146" spans="2:6">
      <c r="B12146">
        <v>2013</v>
      </c>
      <c r="C12146" t="s">
        <v>132</v>
      </c>
      <c r="D12146" t="s">
        <v>185</v>
      </c>
      <c r="E12146" t="s">
        <v>8</v>
      </c>
      <c r="F12146">
        <v>9.3693933486938477</v>
      </c>
    </row>
    <row r="12147" spans="2:6">
      <c r="B12147">
        <v>2013</v>
      </c>
      <c r="C12147" t="s">
        <v>132</v>
      </c>
      <c r="D12147" t="s">
        <v>185</v>
      </c>
      <c r="E12147" t="s">
        <v>9</v>
      </c>
      <c r="F12147">
        <v>0.79676848649978638</v>
      </c>
    </row>
    <row r="12148" spans="2:6">
      <c r="B12148">
        <v>2013</v>
      </c>
      <c r="C12148" t="s">
        <v>132</v>
      </c>
      <c r="D12148" t="s">
        <v>185</v>
      </c>
      <c r="E12148" t="s">
        <v>10</v>
      </c>
      <c r="F12148">
        <v>66.839996337890625</v>
      </c>
    </row>
    <row r="12149" spans="2:6">
      <c r="B12149">
        <v>2013</v>
      </c>
      <c r="C12149" t="s">
        <v>132</v>
      </c>
      <c r="D12149" t="s">
        <v>185</v>
      </c>
      <c r="E12149" t="s">
        <v>11</v>
      </c>
      <c r="F12149">
        <v>0.70304125547409058</v>
      </c>
    </row>
    <row r="12150" spans="2:6">
      <c r="B12150">
        <v>2013</v>
      </c>
      <c r="C12150" t="s">
        <v>132</v>
      </c>
      <c r="D12150" t="s">
        <v>185</v>
      </c>
      <c r="E12150" t="s">
        <v>12</v>
      </c>
      <c r="F12150">
        <v>-6.6111922264099121E-2</v>
      </c>
    </row>
    <row r="12151" spans="2:6">
      <c r="B12151">
        <v>2013</v>
      </c>
      <c r="C12151" t="s">
        <v>132</v>
      </c>
      <c r="D12151" t="s">
        <v>185</v>
      </c>
      <c r="E12151" t="s">
        <v>13</v>
      </c>
      <c r="F12151">
        <v>0.86989927291870117</v>
      </c>
    </row>
    <row r="12152" spans="2:6">
      <c r="B12152">
        <v>2013</v>
      </c>
      <c r="C12152" t="s">
        <v>132</v>
      </c>
      <c r="D12152" t="s">
        <v>185</v>
      </c>
      <c r="E12152" t="s">
        <v>14</v>
      </c>
      <c r="F12152">
        <v>0.778472900390625</v>
      </c>
    </row>
    <row r="12153" spans="2:6">
      <c r="B12153">
        <v>2013</v>
      </c>
      <c r="C12153" t="s">
        <v>132</v>
      </c>
      <c r="D12153" t="s">
        <v>185</v>
      </c>
      <c r="E12153" t="s">
        <v>15</v>
      </c>
      <c r="F12153">
        <v>0.39003822207450867</v>
      </c>
    </row>
    <row r="12154" spans="2:6">
      <c r="B12154">
        <v>2014</v>
      </c>
      <c r="C12154" t="s">
        <v>132</v>
      </c>
      <c r="D12154" t="s">
        <v>185</v>
      </c>
      <c r="E12154" t="s">
        <v>7</v>
      </c>
      <c r="F12154">
        <v>5.8658156394958496</v>
      </c>
    </row>
    <row r="12155" spans="2:6">
      <c r="B12155">
        <v>2014</v>
      </c>
      <c r="C12155" t="s">
        <v>132</v>
      </c>
      <c r="D12155" t="s">
        <v>185</v>
      </c>
      <c r="E12155" t="s">
        <v>8</v>
      </c>
      <c r="F12155">
        <v>9.3823661804199219</v>
      </c>
    </row>
    <row r="12156" spans="2:6">
      <c r="B12156">
        <v>2014</v>
      </c>
      <c r="C12156" t="s">
        <v>132</v>
      </c>
      <c r="D12156" t="s">
        <v>185</v>
      </c>
      <c r="E12156" t="s">
        <v>9</v>
      </c>
      <c r="F12156">
        <v>0.81898695230484009</v>
      </c>
    </row>
    <row r="12157" spans="2:6">
      <c r="B12157">
        <v>2014</v>
      </c>
      <c r="C12157" t="s">
        <v>132</v>
      </c>
      <c r="D12157" t="s">
        <v>185</v>
      </c>
      <c r="E12157" t="s">
        <v>10</v>
      </c>
      <c r="F12157">
        <v>67.019996643066406</v>
      </c>
    </row>
    <row r="12158" spans="2:6">
      <c r="B12158">
        <v>2014</v>
      </c>
      <c r="C12158" t="s">
        <v>132</v>
      </c>
      <c r="D12158" t="s">
        <v>185</v>
      </c>
      <c r="E12158" t="s">
        <v>11</v>
      </c>
      <c r="F12158">
        <v>0.72235238552093506</v>
      </c>
    </row>
    <row r="12159" spans="2:6">
      <c r="B12159">
        <v>2014</v>
      </c>
      <c r="C12159" t="s">
        <v>132</v>
      </c>
      <c r="D12159" t="s">
        <v>185</v>
      </c>
      <c r="E12159" t="s">
        <v>12</v>
      </c>
      <c r="F12159">
        <v>-0.13634860515594482</v>
      </c>
    </row>
    <row r="12160" spans="2:6">
      <c r="B12160">
        <v>2014</v>
      </c>
      <c r="C12160" t="s">
        <v>132</v>
      </c>
      <c r="D12160" t="s">
        <v>185</v>
      </c>
      <c r="E12160" t="s">
        <v>13</v>
      </c>
      <c r="F12160">
        <v>0.8778221607208252</v>
      </c>
    </row>
    <row r="12161" spans="2:6">
      <c r="B12161">
        <v>2014</v>
      </c>
      <c r="C12161" t="s">
        <v>132</v>
      </c>
      <c r="D12161" t="s">
        <v>185</v>
      </c>
      <c r="E12161" t="s">
        <v>14</v>
      </c>
      <c r="F12161">
        <v>0.75898772478103638</v>
      </c>
    </row>
    <row r="12162" spans="2:6">
      <c r="B12162">
        <v>2014</v>
      </c>
      <c r="C12162" t="s">
        <v>132</v>
      </c>
      <c r="D12162" t="s">
        <v>185</v>
      </c>
      <c r="E12162" t="s">
        <v>15</v>
      </c>
      <c r="F12162">
        <v>0.31933799386024475</v>
      </c>
    </row>
    <row r="12163" spans="2:6">
      <c r="B12163">
        <v>2015</v>
      </c>
      <c r="C12163" t="s">
        <v>132</v>
      </c>
      <c r="D12163" t="s">
        <v>185</v>
      </c>
      <c r="E12163" t="s">
        <v>7</v>
      </c>
      <c r="F12163">
        <v>5.577263355255127</v>
      </c>
    </row>
    <row r="12164" spans="2:6">
      <c r="B12164">
        <v>2015</v>
      </c>
      <c r="C12164" t="s">
        <v>132</v>
      </c>
      <c r="D12164" t="s">
        <v>185</v>
      </c>
      <c r="E12164" t="s">
        <v>8</v>
      </c>
      <c r="F12164">
        <v>9.4018087387084961</v>
      </c>
    </row>
    <row r="12165" spans="2:6">
      <c r="B12165">
        <v>2015</v>
      </c>
      <c r="C12165" t="s">
        <v>132</v>
      </c>
      <c r="D12165" t="s">
        <v>185</v>
      </c>
      <c r="E12165" t="s">
        <v>9</v>
      </c>
      <c r="F12165">
        <v>0.79841834306716919</v>
      </c>
    </row>
    <row r="12166" spans="2:6">
      <c r="B12166">
        <v>2015</v>
      </c>
      <c r="C12166" t="s">
        <v>132</v>
      </c>
      <c r="D12166" t="s">
        <v>185</v>
      </c>
      <c r="E12166" t="s">
        <v>10</v>
      </c>
      <c r="F12166">
        <v>67.199996948242188</v>
      </c>
    </row>
    <row r="12167" spans="2:6">
      <c r="B12167">
        <v>2015</v>
      </c>
      <c r="C12167" t="s">
        <v>132</v>
      </c>
      <c r="D12167" t="s">
        <v>185</v>
      </c>
      <c r="E12167" t="s">
        <v>11</v>
      </c>
      <c r="F12167">
        <v>0.80226904153823853</v>
      </c>
    </row>
    <row r="12168" spans="2:6">
      <c r="B12168">
        <v>2015</v>
      </c>
      <c r="C12168" t="s">
        <v>132</v>
      </c>
      <c r="D12168" t="s">
        <v>185</v>
      </c>
      <c r="E12168" t="s">
        <v>12</v>
      </c>
      <c r="F12168">
        <v>-8.9996576309204102E-2</v>
      </c>
    </row>
    <row r="12169" spans="2:6">
      <c r="B12169">
        <v>2015</v>
      </c>
      <c r="C12169" t="s">
        <v>132</v>
      </c>
      <c r="D12169" t="s">
        <v>185</v>
      </c>
      <c r="E12169" t="s">
        <v>13</v>
      </c>
      <c r="F12169">
        <v>0.88373041152954102</v>
      </c>
    </row>
    <row r="12170" spans="2:6">
      <c r="B12170">
        <v>2015</v>
      </c>
      <c r="C12170" t="s">
        <v>132</v>
      </c>
      <c r="D12170" t="s">
        <v>185</v>
      </c>
      <c r="E12170" t="s">
        <v>14</v>
      </c>
      <c r="F12170">
        <v>0.7535555362701416</v>
      </c>
    </row>
    <row r="12171" spans="2:6">
      <c r="B12171">
        <v>2015</v>
      </c>
      <c r="C12171" t="s">
        <v>132</v>
      </c>
      <c r="D12171" t="s">
        <v>185</v>
      </c>
      <c r="E12171" t="s">
        <v>15</v>
      </c>
      <c r="F12171">
        <v>0.37830466032028198</v>
      </c>
    </row>
    <row r="12172" spans="2:6">
      <c r="B12172">
        <v>2016</v>
      </c>
      <c r="C12172" t="s">
        <v>132</v>
      </c>
      <c r="D12172" t="s">
        <v>185</v>
      </c>
      <c r="E12172" t="s">
        <v>7</v>
      </c>
      <c r="F12172">
        <v>5.7006287574768066</v>
      </c>
    </row>
    <row r="12173" spans="2:6">
      <c r="B12173">
        <v>2016</v>
      </c>
      <c r="C12173" t="s">
        <v>132</v>
      </c>
      <c r="D12173" t="s">
        <v>185</v>
      </c>
      <c r="E12173" t="s">
        <v>8</v>
      </c>
      <c r="F12173">
        <v>9.4257488250732422</v>
      </c>
    </row>
    <row r="12174" spans="2:6">
      <c r="B12174">
        <v>2016</v>
      </c>
      <c r="C12174" t="s">
        <v>132</v>
      </c>
      <c r="D12174" t="s">
        <v>185</v>
      </c>
      <c r="E12174" t="s">
        <v>9</v>
      </c>
      <c r="F12174">
        <v>0.8028564453125</v>
      </c>
    </row>
    <row r="12175" spans="2:6">
      <c r="B12175">
        <v>2016</v>
      </c>
      <c r="C12175" t="s">
        <v>132</v>
      </c>
      <c r="D12175" t="s">
        <v>185</v>
      </c>
      <c r="E12175" t="s">
        <v>10</v>
      </c>
      <c r="F12175">
        <v>67.5</v>
      </c>
    </row>
    <row r="12176" spans="2:6">
      <c r="B12176">
        <v>2016</v>
      </c>
      <c r="C12176" t="s">
        <v>132</v>
      </c>
      <c r="D12176" t="s">
        <v>185</v>
      </c>
      <c r="E12176" t="s">
        <v>11</v>
      </c>
      <c r="F12176">
        <v>0.82984387874603271</v>
      </c>
    </row>
    <row r="12177" spans="2:6">
      <c r="B12177">
        <v>2016</v>
      </c>
      <c r="C12177" t="s">
        <v>132</v>
      </c>
      <c r="D12177" t="s">
        <v>185</v>
      </c>
      <c r="E12177" t="s">
        <v>12</v>
      </c>
      <c r="F12177">
        <v>-0.13405627012252808</v>
      </c>
    </row>
    <row r="12178" spans="2:6">
      <c r="B12178">
        <v>2016</v>
      </c>
      <c r="C12178" t="s">
        <v>132</v>
      </c>
      <c r="D12178" t="s">
        <v>185</v>
      </c>
      <c r="E12178" t="s">
        <v>13</v>
      </c>
      <c r="F12178">
        <v>0.86591958999633789</v>
      </c>
    </row>
    <row r="12179" spans="2:6">
      <c r="B12179">
        <v>2016</v>
      </c>
      <c r="C12179" t="s">
        <v>132</v>
      </c>
      <c r="D12179" t="s">
        <v>185</v>
      </c>
      <c r="E12179" t="s">
        <v>14</v>
      </c>
      <c r="F12179">
        <v>0.82167476415634155</v>
      </c>
    </row>
    <row r="12180" spans="2:6">
      <c r="B12180">
        <v>2016</v>
      </c>
      <c r="C12180" t="s">
        <v>132</v>
      </c>
      <c r="D12180" t="s">
        <v>185</v>
      </c>
      <c r="E12180" t="s">
        <v>15</v>
      </c>
      <c r="F12180">
        <v>0.33800685405731201</v>
      </c>
    </row>
    <row r="12181" spans="2:6">
      <c r="B12181">
        <v>2017</v>
      </c>
      <c r="C12181" t="s">
        <v>132</v>
      </c>
      <c r="D12181" t="s">
        <v>185</v>
      </c>
      <c r="E12181" t="s">
        <v>7</v>
      </c>
      <c r="F12181">
        <v>5.7109365463256836</v>
      </c>
    </row>
    <row r="12182" spans="2:6">
      <c r="B12182">
        <v>2017</v>
      </c>
      <c r="C12182" t="s">
        <v>132</v>
      </c>
      <c r="D12182" t="s">
        <v>185</v>
      </c>
      <c r="E12182" t="s">
        <v>8</v>
      </c>
      <c r="F12182">
        <v>9.4340057373046875</v>
      </c>
    </row>
    <row r="12183" spans="2:6">
      <c r="B12183">
        <v>2017</v>
      </c>
      <c r="C12183" t="s">
        <v>132</v>
      </c>
      <c r="D12183" t="s">
        <v>185</v>
      </c>
      <c r="E12183" t="s">
        <v>9</v>
      </c>
      <c r="F12183">
        <v>0.83012336492538452</v>
      </c>
    </row>
    <row r="12184" spans="2:6">
      <c r="B12184">
        <v>2017</v>
      </c>
      <c r="C12184" t="s">
        <v>132</v>
      </c>
      <c r="D12184" t="s">
        <v>185</v>
      </c>
      <c r="E12184" t="s">
        <v>10</v>
      </c>
      <c r="F12184">
        <v>67.800003051757813</v>
      </c>
    </row>
    <row r="12185" spans="2:6">
      <c r="B12185">
        <v>2017</v>
      </c>
      <c r="C12185" t="s">
        <v>132</v>
      </c>
      <c r="D12185" t="s">
        <v>185</v>
      </c>
      <c r="E12185" t="s">
        <v>11</v>
      </c>
      <c r="F12185">
        <v>0.82655215263366699</v>
      </c>
    </row>
    <row r="12186" spans="2:6">
      <c r="B12186">
        <v>2017</v>
      </c>
      <c r="C12186" t="s">
        <v>132</v>
      </c>
      <c r="D12186" t="s">
        <v>185</v>
      </c>
      <c r="E12186" t="s">
        <v>12</v>
      </c>
      <c r="F12186">
        <v>-0.15436364710330963</v>
      </c>
    </row>
    <row r="12187" spans="2:6">
      <c r="B12187">
        <v>2017</v>
      </c>
      <c r="C12187" t="s">
        <v>132</v>
      </c>
      <c r="D12187" t="s">
        <v>185</v>
      </c>
      <c r="E12187" t="s">
        <v>13</v>
      </c>
      <c r="F12187">
        <v>0.89538413286209106</v>
      </c>
    </row>
    <row r="12188" spans="2:6">
      <c r="B12188">
        <v>2017</v>
      </c>
      <c r="C12188" t="s">
        <v>132</v>
      </c>
      <c r="D12188" t="s">
        <v>185</v>
      </c>
      <c r="E12188" t="s">
        <v>14</v>
      </c>
      <c r="F12188">
        <v>0.78939086198806763</v>
      </c>
    </row>
    <row r="12189" spans="2:6">
      <c r="B12189">
        <v>2017</v>
      </c>
      <c r="C12189" t="s">
        <v>132</v>
      </c>
      <c r="D12189" t="s">
        <v>185</v>
      </c>
      <c r="E12189" t="s">
        <v>15</v>
      </c>
      <c r="F12189">
        <v>0.39387372136116028</v>
      </c>
    </row>
    <row r="12190" spans="2:6">
      <c r="B12190">
        <v>2018</v>
      </c>
      <c r="C12190" t="s">
        <v>132</v>
      </c>
      <c r="D12190" t="s">
        <v>185</v>
      </c>
      <c r="E12190" t="s">
        <v>7</v>
      </c>
      <c r="F12190">
        <v>5.6796612739562988</v>
      </c>
    </row>
    <row r="12191" spans="2:6">
      <c r="B12191">
        <v>2018</v>
      </c>
      <c r="C12191" t="s">
        <v>132</v>
      </c>
      <c r="D12191" t="s">
        <v>185</v>
      </c>
      <c r="E12191" t="s">
        <v>8</v>
      </c>
      <c r="F12191">
        <v>9.4558229446411133</v>
      </c>
    </row>
    <row r="12192" spans="2:6">
      <c r="B12192">
        <v>2018</v>
      </c>
      <c r="C12192" t="s">
        <v>132</v>
      </c>
      <c r="D12192" t="s">
        <v>185</v>
      </c>
      <c r="E12192" t="s">
        <v>9</v>
      </c>
      <c r="F12192">
        <v>0.84530138969421387</v>
      </c>
    </row>
    <row r="12193" spans="2:6">
      <c r="B12193">
        <v>2018</v>
      </c>
      <c r="C12193" t="s">
        <v>132</v>
      </c>
      <c r="D12193" t="s">
        <v>185</v>
      </c>
      <c r="E12193" t="s">
        <v>10</v>
      </c>
      <c r="F12193">
        <v>68.099998474121094</v>
      </c>
    </row>
    <row r="12194" spans="2:6">
      <c r="B12194">
        <v>2018</v>
      </c>
      <c r="C12194" t="s">
        <v>132</v>
      </c>
      <c r="D12194" t="s">
        <v>185</v>
      </c>
      <c r="E12194" t="s">
        <v>11</v>
      </c>
      <c r="F12194">
        <v>0.82964199781417847</v>
      </c>
    </row>
    <row r="12195" spans="2:6">
      <c r="B12195">
        <v>2018</v>
      </c>
      <c r="C12195" t="s">
        <v>132</v>
      </c>
      <c r="D12195" t="s">
        <v>185</v>
      </c>
      <c r="E12195" t="s">
        <v>12</v>
      </c>
      <c r="F12195">
        <v>-0.17848637700080872</v>
      </c>
    </row>
    <row r="12196" spans="2:6">
      <c r="B12196">
        <v>2018</v>
      </c>
      <c r="C12196" t="s">
        <v>132</v>
      </c>
      <c r="D12196" t="s">
        <v>185</v>
      </c>
      <c r="E12196" t="s">
        <v>13</v>
      </c>
      <c r="F12196">
        <v>0.90624463558197021</v>
      </c>
    </row>
    <row r="12197" spans="2:6">
      <c r="B12197">
        <v>2018</v>
      </c>
      <c r="C12197" t="s">
        <v>132</v>
      </c>
      <c r="D12197" t="s">
        <v>185</v>
      </c>
      <c r="E12197" t="s">
        <v>14</v>
      </c>
      <c r="F12197">
        <v>0.80862146615982056</v>
      </c>
    </row>
    <row r="12198" spans="2:6">
      <c r="B12198">
        <v>2018</v>
      </c>
      <c r="C12198" t="s">
        <v>132</v>
      </c>
      <c r="D12198" t="s">
        <v>185</v>
      </c>
      <c r="E12198" t="s">
        <v>15</v>
      </c>
      <c r="F12198">
        <v>0.38003286719322205</v>
      </c>
    </row>
    <row r="12199" spans="2:6">
      <c r="B12199">
        <v>2019</v>
      </c>
      <c r="C12199" t="s">
        <v>132</v>
      </c>
      <c r="D12199" t="s">
        <v>185</v>
      </c>
      <c r="E12199" t="s">
        <v>7</v>
      </c>
      <c r="F12199">
        <v>5.9993815422058105</v>
      </c>
    </row>
    <row r="12200" spans="2:6">
      <c r="B12200">
        <v>2019</v>
      </c>
      <c r="C12200" t="s">
        <v>132</v>
      </c>
      <c r="D12200" t="s">
        <v>185</v>
      </c>
      <c r="E12200" t="s">
        <v>8</v>
      </c>
      <c r="F12200">
        <v>9.4609346389770508</v>
      </c>
    </row>
    <row r="12201" spans="2:6">
      <c r="B12201">
        <v>2019</v>
      </c>
      <c r="C12201" t="s">
        <v>132</v>
      </c>
      <c r="D12201" t="s">
        <v>185</v>
      </c>
      <c r="E12201" t="s">
        <v>9</v>
      </c>
      <c r="F12201">
        <v>0.80907595157623291</v>
      </c>
    </row>
    <row r="12202" spans="2:6">
      <c r="B12202">
        <v>2019</v>
      </c>
      <c r="C12202" t="s">
        <v>132</v>
      </c>
      <c r="D12202" t="s">
        <v>185</v>
      </c>
      <c r="E12202" t="s">
        <v>10</v>
      </c>
      <c r="F12202">
        <v>68.400001525878906</v>
      </c>
    </row>
    <row r="12203" spans="2:6">
      <c r="B12203">
        <v>2019</v>
      </c>
      <c r="C12203" t="s">
        <v>132</v>
      </c>
      <c r="D12203" t="s">
        <v>185</v>
      </c>
      <c r="E12203" t="s">
        <v>11</v>
      </c>
      <c r="F12203">
        <v>0.81480592489242554</v>
      </c>
    </row>
    <row r="12204" spans="2:6">
      <c r="B12204">
        <v>2019</v>
      </c>
      <c r="C12204" t="s">
        <v>132</v>
      </c>
      <c r="D12204" t="s">
        <v>185</v>
      </c>
      <c r="E12204" t="s">
        <v>12</v>
      </c>
      <c r="F12204">
        <v>-0.12973578274250031</v>
      </c>
    </row>
    <row r="12205" spans="2:6">
      <c r="B12205">
        <v>2019</v>
      </c>
      <c r="C12205" t="s">
        <v>132</v>
      </c>
      <c r="D12205" t="s">
        <v>185</v>
      </c>
      <c r="E12205" t="s">
        <v>13</v>
      </c>
      <c r="F12205">
        <v>0.87360191345214844</v>
      </c>
    </row>
    <row r="12206" spans="2:6">
      <c r="B12206">
        <v>2019</v>
      </c>
      <c r="C12206" t="s">
        <v>132</v>
      </c>
      <c r="D12206" t="s">
        <v>185</v>
      </c>
      <c r="E12206" t="s">
        <v>14</v>
      </c>
      <c r="F12206">
        <v>0.82044810056686401</v>
      </c>
    </row>
    <row r="12207" spans="2:6">
      <c r="B12207">
        <v>2019</v>
      </c>
      <c r="C12207" t="s">
        <v>132</v>
      </c>
      <c r="D12207" t="s">
        <v>185</v>
      </c>
      <c r="E12207" t="s">
        <v>15</v>
      </c>
      <c r="F12207">
        <v>0.37498548626899719</v>
      </c>
    </row>
    <row r="12208" spans="2:6">
      <c r="B12208">
        <v>2006</v>
      </c>
      <c r="C12208" t="s">
        <v>133</v>
      </c>
      <c r="D12208" t="s">
        <v>182</v>
      </c>
      <c r="E12208" t="s">
        <v>7</v>
      </c>
      <c r="F12208">
        <v>4.6699457168579102</v>
      </c>
    </row>
    <row r="12209" spans="2:6">
      <c r="B12209">
        <v>2006</v>
      </c>
      <c r="C12209" t="s">
        <v>133</v>
      </c>
      <c r="D12209" t="s">
        <v>182</v>
      </c>
      <c r="E12209" t="s">
        <v>8</v>
      </c>
      <c r="F12209">
        <v>8.5618448257446289</v>
      </c>
    </row>
    <row r="12210" spans="2:6">
      <c r="B12210">
        <v>2006</v>
      </c>
      <c r="C12210" t="s">
        <v>133</v>
      </c>
      <c r="D12210" t="s">
        <v>182</v>
      </c>
      <c r="E12210" t="s">
        <v>9</v>
      </c>
      <c r="F12210">
        <v>0.79531329870223999</v>
      </c>
    </row>
    <row r="12211" spans="2:6">
      <c r="B12211">
        <v>2006</v>
      </c>
      <c r="C12211" t="s">
        <v>133</v>
      </c>
      <c r="D12211" t="s">
        <v>182</v>
      </c>
      <c r="E12211" t="s">
        <v>10</v>
      </c>
      <c r="F12211">
        <v>59.799999237060547</v>
      </c>
    </row>
    <row r="12212" spans="2:6">
      <c r="B12212">
        <v>2006</v>
      </c>
      <c r="C12212" t="s">
        <v>133</v>
      </c>
      <c r="D12212" t="s">
        <v>182</v>
      </c>
      <c r="E12212" t="s">
        <v>11</v>
      </c>
      <c r="F12212">
        <v>0.82827311754226685</v>
      </c>
    </row>
    <row r="12213" spans="2:6">
      <c r="B12213">
        <v>2006</v>
      </c>
      <c r="C12213" t="s">
        <v>133</v>
      </c>
      <c r="D12213" t="s">
        <v>182</v>
      </c>
      <c r="E12213" t="s">
        <v>12</v>
      </c>
      <c r="F12213">
        <v>6.3402280211448669E-2</v>
      </c>
    </row>
    <row r="12214" spans="2:6">
      <c r="B12214">
        <v>2006</v>
      </c>
      <c r="C12214" t="s">
        <v>133</v>
      </c>
      <c r="D12214" t="s">
        <v>182</v>
      </c>
      <c r="E12214" t="s">
        <v>13</v>
      </c>
      <c r="F12214">
        <v>0.84129881858825684</v>
      </c>
    </row>
    <row r="12215" spans="2:6">
      <c r="B12215">
        <v>2006</v>
      </c>
      <c r="C12215" t="s">
        <v>133</v>
      </c>
      <c r="D12215" t="s">
        <v>182</v>
      </c>
      <c r="E12215" t="s">
        <v>14</v>
      </c>
      <c r="F12215">
        <v>0.83199876546859741</v>
      </c>
    </row>
    <row r="12216" spans="2:6">
      <c r="B12216">
        <v>2007</v>
      </c>
      <c r="C12216" t="s">
        <v>133</v>
      </c>
      <c r="D12216" t="s">
        <v>182</v>
      </c>
      <c r="E12216" t="s">
        <v>7</v>
      </c>
      <c r="F12216">
        <v>5.0735621452331543</v>
      </c>
    </row>
    <row r="12217" spans="2:6">
      <c r="B12217">
        <v>2007</v>
      </c>
      <c r="C12217" t="s">
        <v>133</v>
      </c>
      <c r="D12217" t="s">
        <v>182</v>
      </c>
      <c r="E12217" t="s">
        <v>8</v>
      </c>
      <c r="F12217">
        <v>8.6078891754150391</v>
      </c>
    </row>
    <row r="12218" spans="2:6">
      <c r="B12218">
        <v>2007</v>
      </c>
      <c r="C12218" t="s">
        <v>133</v>
      </c>
      <c r="D12218" t="s">
        <v>182</v>
      </c>
      <c r="E12218" t="s">
        <v>9</v>
      </c>
      <c r="F12218">
        <v>0.80071139335632324</v>
      </c>
    </row>
    <row r="12219" spans="2:6">
      <c r="B12219">
        <v>2007</v>
      </c>
      <c r="C12219" t="s">
        <v>133</v>
      </c>
      <c r="D12219" t="s">
        <v>182</v>
      </c>
      <c r="E12219" t="s">
        <v>10</v>
      </c>
      <c r="F12219">
        <v>60</v>
      </c>
    </row>
    <row r="12220" spans="2:6">
      <c r="B12220">
        <v>2007</v>
      </c>
      <c r="C12220" t="s">
        <v>133</v>
      </c>
      <c r="D12220" t="s">
        <v>182</v>
      </c>
      <c r="E12220" t="s">
        <v>11</v>
      </c>
      <c r="F12220">
        <v>0.85156643390655518</v>
      </c>
    </row>
    <row r="12221" spans="2:6">
      <c r="B12221">
        <v>2007</v>
      </c>
      <c r="C12221" t="s">
        <v>133</v>
      </c>
      <c r="D12221" t="s">
        <v>182</v>
      </c>
      <c r="E12221" t="s">
        <v>12</v>
      </c>
      <c r="F12221">
        <v>-2.1588167175650597E-2</v>
      </c>
    </row>
    <row r="12222" spans="2:6">
      <c r="B12222">
        <v>2007</v>
      </c>
      <c r="C12222" t="s">
        <v>133</v>
      </c>
      <c r="D12222" t="s">
        <v>182</v>
      </c>
      <c r="E12222" t="s">
        <v>13</v>
      </c>
      <c r="F12222">
        <v>0.88024556636810303</v>
      </c>
    </row>
    <row r="12223" spans="2:6">
      <c r="B12223">
        <v>2007</v>
      </c>
      <c r="C12223" t="s">
        <v>133</v>
      </c>
      <c r="D12223" t="s">
        <v>182</v>
      </c>
      <c r="E12223" t="s">
        <v>14</v>
      </c>
      <c r="F12223">
        <v>0.7841184139251709</v>
      </c>
    </row>
    <row r="12224" spans="2:6">
      <c r="B12224">
        <v>2007</v>
      </c>
      <c r="C12224" t="s">
        <v>133</v>
      </c>
      <c r="D12224" t="s">
        <v>182</v>
      </c>
      <c r="E12224" t="s">
        <v>15</v>
      </c>
      <c r="F12224">
        <v>0.37818777561187744</v>
      </c>
    </row>
    <row r="12225" spans="2:6">
      <c r="B12225">
        <v>2008</v>
      </c>
      <c r="C12225" t="s">
        <v>133</v>
      </c>
      <c r="D12225" t="s">
        <v>182</v>
      </c>
      <c r="E12225" t="s">
        <v>7</v>
      </c>
      <c r="F12225">
        <v>4.5890650749206543</v>
      </c>
    </row>
    <row r="12226" spans="2:6">
      <c r="B12226">
        <v>2008</v>
      </c>
      <c r="C12226" t="s">
        <v>133</v>
      </c>
      <c r="D12226" t="s">
        <v>182</v>
      </c>
      <c r="E12226" t="s">
        <v>8</v>
      </c>
      <c r="F12226">
        <v>8.6338176727294922</v>
      </c>
    </row>
    <row r="12227" spans="2:6">
      <c r="B12227">
        <v>2008</v>
      </c>
      <c r="C12227" t="s">
        <v>133</v>
      </c>
      <c r="D12227" t="s">
        <v>182</v>
      </c>
      <c r="E12227" t="s">
        <v>9</v>
      </c>
      <c r="F12227">
        <v>0.79844224452972412</v>
      </c>
    </row>
    <row r="12228" spans="2:6">
      <c r="B12228">
        <v>2008</v>
      </c>
      <c r="C12228" t="s">
        <v>133</v>
      </c>
      <c r="D12228" t="s">
        <v>182</v>
      </c>
      <c r="E12228" t="s">
        <v>10</v>
      </c>
      <c r="F12228">
        <v>60.200000762939453</v>
      </c>
    </row>
    <row r="12229" spans="2:6">
      <c r="B12229">
        <v>2008</v>
      </c>
      <c r="C12229" t="s">
        <v>133</v>
      </c>
      <c r="D12229" t="s">
        <v>182</v>
      </c>
      <c r="E12229" t="s">
        <v>11</v>
      </c>
      <c r="F12229">
        <v>0.86084258556365967</v>
      </c>
    </row>
    <row r="12230" spans="2:6">
      <c r="B12230">
        <v>2008</v>
      </c>
      <c r="C12230" t="s">
        <v>133</v>
      </c>
      <c r="D12230" t="s">
        <v>182</v>
      </c>
      <c r="E12230" t="s">
        <v>12</v>
      </c>
      <c r="F12230">
        <v>8.2775168120861053E-2</v>
      </c>
    </row>
    <row r="12231" spans="2:6">
      <c r="B12231">
        <v>2008</v>
      </c>
      <c r="C12231" t="s">
        <v>133</v>
      </c>
      <c r="D12231" t="s">
        <v>182</v>
      </c>
      <c r="E12231" t="s">
        <v>13</v>
      </c>
      <c r="F12231">
        <v>0.81658458709716797</v>
      </c>
    </row>
    <row r="12232" spans="2:6">
      <c r="B12232">
        <v>2008</v>
      </c>
      <c r="C12232" t="s">
        <v>133</v>
      </c>
      <c r="D12232" t="s">
        <v>182</v>
      </c>
      <c r="E12232" t="s">
        <v>14</v>
      </c>
      <c r="F12232">
        <v>0.80539435148239136</v>
      </c>
    </row>
    <row r="12233" spans="2:6">
      <c r="B12233">
        <v>2008</v>
      </c>
      <c r="C12233" t="s">
        <v>133</v>
      </c>
      <c r="D12233" t="s">
        <v>182</v>
      </c>
      <c r="E12233" t="s">
        <v>15</v>
      </c>
      <c r="F12233">
        <v>0.38401469588279724</v>
      </c>
    </row>
    <row r="12234" spans="2:6">
      <c r="B12234">
        <v>2009</v>
      </c>
      <c r="C12234" t="s">
        <v>133</v>
      </c>
      <c r="D12234" t="s">
        <v>182</v>
      </c>
      <c r="E12234" t="s">
        <v>7</v>
      </c>
      <c r="F12234">
        <v>4.879910945892334</v>
      </c>
    </row>
    <row r="12235" spans="2:6">
      <c r="B12235">
        <v>2009</v>
      </c>
      <c r="C12235" t="s">
        <v>133</v>
      </c>
      <c r="D12235" t="s">
        <v>182</v>
      </c>
      <c r="E12235" t="s">
        <v>8</v>
      </c>
      <c r="F12235">
        <v>8.6316976547241211</v>
      </c>
    </row>
    <row r="12236" spans="2:6">
      <c r="B12236">
        <v>2009</v>
      </c>
      <c r="C12236" t="s">
        <v>133</v>
      </c>
      <c r="D12236" t="s">
        <v>182</v>
      </c>
      <c r="E12236" t="s">
        <v>9</v>
      </c>
      <c r="F12236">
        <v>0.77517092227935791</v>
      </c>
    </row>
    <row r="12237" spans="2:6">
      <c r="B12237">
        <v>2009</v>
      </c>
      <c r="C12237" t="s">
        <v>133</v>
      </c>
      <c r="D12237" t="s">
        <v>182</v>
      </c>
      <c r="E12237" t="s">
        <v>10</v>
      </c>
      <c r="F12237">
        <v>60.400001525878906</v>
      </c>
    </row>
    <row r="12238" spans="2:6">
      <c r="B12238">
        <v>2009</v>
      </c>
      <c r="C12238" t="s">
        <v>133</v>
      </c>
      <c r="D12238" t="s">
        <v>182</v>
      </c>
      <c r="E12238" t="s">
        <v>11</v>
      </c>
      <c r="F12238">
        <v>0.87360548973083496</v>
      </c>
    </row>
    <row r="12239" spans="2:6">
      <c r="B12239">
        <v>2009</v>
      </c>
      <c r="C12239" t="s">
        <v>133</v>
      </c>
      <c r="D12239" t="s">
        <v>182</v>
      </c>
      <c r="E12239" t="s">
        <v>12</v>
      </c>
      <c r="F12239">
        <v>3.7180667277425528E-3</v>
      </c>
    </row>
    <row r="12240" spans="2:6">
      <c r="B12240">
        <v>2009</v>
      </c>
      <c r="C12240" t="s">
        <v>133</v>
      </c>
      <c r="D12240" t="s">
        <v>182</v>
      </c>
      <c r="E12240" t="s">
        <v>13</v>
      </c>
      <c r="F12240">
        <v>0.80457812547683716</v>
      </c>
    </row>
    <row r="12241" spans="2:6">
      <c r="B12241">
        <v>2009</v>
      </c>
      <c r="C12241" t="s">
        <v>133</v>
      </c>
      <c r="D12241" t="s">
        <v>182</v>
      </c>
      <c r="E12241" t="s">
        <v>14</v>
      </c>
      <c r="F12241">
        <v>0.84606820344924927</v>
      </c>
    </row>
    <row r="12242" spans="2:6">
      <c r="B12242">
        <v>2009</v>
      </c>
      <c r="C12242" t="s">
        <v>133</v>
      </c>
      <c r="D12242" t="s">
        <v>182</v>
      </c>
      <c r="E12242" t="s">
        <v>15</v>
      </c>
      <c r="F12242">
        <v>0.31133019924163818</v>
      </c>
    </row>
    <row r="12243" spans="2:6">
      <c r="B12243">
        <v>2010</v>
      </c>
      <c r="C12243" t="s">
        <v>133</v>
      </c>
      <c r="D12243" t="s">
        <v>182</v>
      </c>
      <c r="E12243" t="s">
        <v>7</v>
      </c>
      <c r="F12243">
        <v>4.9415140151977539</v>
      </c>
    </row>
    <row r="12244" spans="2:6">
      <c r="B12244">
        <v>2010</v>
      </c>
      <c r="C12244" t="s">
        <v>133</v>
      </c>
      <c r="D12244" t="s">
        <v>182</v>
      </c>
      <c r="E12244" t="s">
        <v>8</v>
      </c>
      <c r="F12244">
        <v>8.685816764831543</v>
      </c>
    </row>
    <row r="12245" spans="2:6">
      <c r="B12245">
        <v>2010</v>
      </c>
      <c r="C12245" t="s">
        <v>133</v>
      </c>
      <c r="D12245" t="s">
        <v>182</v>
      </c>
      <c r="E12245" t="s">
        <v>9</v>
      </c>
      <c r="F12245">
        <v>0.80486112833023071</v>
      </c>
    </row>
    <row r="12246" spans="2:6">
      <c r="B12246">
        <v>2010</v>
      </c>
      <c r="C12246" t="s">
        <v>133</v>
      </c>
      <c r="D12246" t="s">
        <v>182</v>
      </c>
      <c r="E12246" t="s">
        <v>10</v>
      </c>
      <c r="F12246">
        <v>60.599998474121094</v>
      </c>
    </row>
    <row r="12247" spans="2:6">
      <c r="B12247">
        <v>2010</v>
      </c>
      <c r="C12247" t="s">
        <v>133</v>
      </c>
      <c r="D12247" t="s">
        <v>182</v>
      </c>
      <c r="E12247" t="s">
        <v>11</v>
      </c>
      <c r="F12247">
        <v>0.89335054159164429</v>
      </c>
    </row>
    <row r="12248" spans="2:6">
      <c r="B12248">
        <v>2010</v>
      </c>
      <c r="C12248" t="s">
        <v>133</v>
      </c>
      <c r="D12248" t="s">
        <v>182</v>
      </c>
      <c r="E12248" t="s">
        <v>12</v>
      </c>
      <c r="F12248">
        <v>3.3067546784877777E-2</v>
      </c>
    </row>
    <row r="12249" spans="2:6">
      <c r="B12249">
        <v>2010</v>
      </c>
      <c r="C12249" t="s">
        <v>133</v>
      </c>
      <c r="D12249" t="s">
        <v>182</v>
      </c>
      <c r="E12249" t="s">
        <v>13</v>
      </c>
      <c r="F12249">
        <v>0.81244838237762451</v>
      </c>
    </row>
    <row r="12250" spans="2:6">
      <c r="B12250">
        <v>2010</v>
      </c>
      <c r="C12250" t="s">
        <v>133</v>
      </c>
      <c r="D12250" t="s">
        <v>182</v>
      </c>
      <c r="E12250" t="s">
        <v>14</v>
      </c>
      <c r="F12250">
        <v>0.87552887201309204</v>
      </c>
    </row>
    <row r="12251" spans="2:6">
      <c r="B12251">
        <v>2010</v>
      </c>
      <c r="C12251" t="s">
        <v>133</v>
      </c>
      <c r="D12251" t="s">
        <v>182</v>
      </c>
      <c r="E12251" t="s">
        <v>15</v>
      </c>
      <c r="F12251">
        <v>0.29391831159591675</v>
      </c>
    </row>
    <row r="12252" spans="2:6">
      <c r="B12252">
        <v>2011</v>
      </c>
      <c r="C12252" t="s">
        <v>133</v>
      </c>
      <c r="D12252" t="s">
        <v>182</v>
      </c>
      <c r="E12252" t="s">
        <v>7</v>
      </c>
      <c r="F12252">
        <v>4.9939565658569336</v>
      </c>
    </row>
    <row r="12253" spans="2:6">
      <c r="B12253">
        <v>2011</v>
      </c>
      <c r="C12253" t="s">
        <v>133</v>
      </c>
      <c r="D12253" t="s">
        <v>182</v>
      </c>
      <c r="E12253" t="s">
        <v>8</v>
      </c>
      <c r="F12253">
        <v>8.7067556381225586</v>
      </c>
    </row>
    <row r="12254" spans="2:6">
      <c r="B12254">
        <v>2011</v>
      </c>
      <c r="C12254" t="s">
        <v>133</v>
      </c>
      <c r="D12254" t="s">
        <v>182</v>
      </c>
      <c r="E12254" t="s">
        <v>9</v>
      </c>
      <c r="F12254">
        <v>0.78876328468322754</v>
      </c>
    </row>
    <row r="12255" spans="2:6">
      <c r="B12255">
        <v>2011</v>
      </c>
      <c r="C12255" t="s">
        <v>133</v>
      </c>
      <c r="D12255" t="s">
        <v>182</v>
      </c>
      <c r="E12255" t="s">
        <v>10</v>
      </c>
      <c r="F12255">
        <v>60.799999237060547</v>
      </c>
    </row>
    <row r="12256" spans="2:6">
      <c r="B12256">
        <v>2011</v>
      </c>
      <c r="C12256" t="s">
        <v>133</v>
      </c>
      <c r="D12256" t="s">
        <v>182</v>
      </c>
      <c r="E12256" t="s">
        <v>11</v>
      </c>
      <c r="F12256">
        <v>0.88283747434616089</v>
      </c>
    </row>
    <row r="12257" spans="2:6">
      <c r="B12257">
        <v>2011</v>
      </c>
      <c r="C12257" t="s">
        <v>133</v>
      </c>
      <c r="D12257" t="s">
        <v>182</v>
      </c>
      <c r="E12257" t="s">
        <v>12</v>
      </c>
      <c r="F12257">
        <v>7.2543621063232422E-2</v>
      </c>
    </row>
    <row r="12258" spans="2:6">
      <c r="B12258">
        <v>2011</v>
      </c>
      <c r="C12258" t="s">
        <v>133</v>
      </c>
      <c r="D12258" t="s">
        <v>182</v>
      </c>
      <c r="E12258" t="s">
        <v>13</v>
      </c>
      <c r="F12258">
        <v>0.78294646739959717</v>
      </c>
    </row>
    <row r="12259" spans="2:6">
      <c r="B12259">
        <v>2011</v>
      </c>
      <c r="C12259" t="s">
        <v>133</v>
      </c>
      <c r="D12259" t="s">
        <v>182</v>
      </c>
      <c r="E12259" t="s">
        <v>14</v>
      </c>
      <c r="F12259">
        <v>0.85147184133529663</v>
      </c>
    </row>
    <row r="12260" spans="2:6">
      <c r="B12260">
        <v>2011</v>
      </c>
      <c r="C12260" t="s">
        <v>133</v>
      </c>
      <c r="D12260" t="s">
        <v>182</v>
      </c>
      <c r="E12260" t="s">
        <v>15</v>
      </c>
      <c r="F12260">
        <v>0.35832637548446655</v>
      </c>
    </row>
    <row r="12261" spans="2:6">
      <c r="B12261">
        <v>2012</v>
      </c>
      <c r="C12261" t="s">
        <v>133</v>
      </c>
      <c r="D12261" t="s">
        <v>182</v>
      </c>
      <c r="E12261" t="s">
        <v>7</v>
      </c>
      <c r="F12261">
        <v>5.0019650459289551</v>
      </c>
    </row>
    <row r="12262" spans="2:6">
      <c r="B12262">
        <v>2012</v>
      </c>
      <c r="C12262" t="s">
        <v>133</v>
      </c>
      <c r="D12262" t="s">
        <v>182</v>
      </c>
      <c r="E12262" t="s">
        <v>8</v>
      </c>
      <c r="F12262">
        <v>8.7564096450805664</v>
      </c>
    </row>
    <row r="12263" spans="2:6">
      <c r="B12263">
        <v>2012</v>
      </c>
      <c r="C12263" t="s">
        <v>133</v>
      </c>
      <c r="D12263" t="s">
        <v>182</v>
      </c>
      <c r="E12263" t="s">
        <v>9</v>
      </c>
      <c r="F12263">
        <v>0.81292170286178589</v>
      </c>
    </row>
    <row r="12264" spans="2:6">
      <c r="B12264">
        <v>2012</v>
      </c>
      <c r="C12264" t="s">
        <v>133</v>
      </c>
      <c r="D12264" t="s">
        <v>182</v>
      </c>
      <c r="E12264" t="s">
        <v>10</v>
      </c>
      <c r="F12264">
        <v>61</v>
      </c>
    </row>
    <row r="12265" spans="2:6">
      <c r="B12265">
        <v>2012</v>
      </c>
      <c r="C12265" t="s">
        <v>133</v>
      </c>
      <c r="D12265" t="s">
        <v>182</v>
      </c>
      <c r="E12265" t="s">
        <v>11</v>
      </c>
      <c r="F12265">
        <v>0.91449958086013794</v>
      </c>
    </row>
    <row r="12266" spans="2:6">
      <c r="B12266">
        <v>2012</v>
      </c>
      <c r="C12266" t="s">
        <v>133</v>
      </c>
      <c r="D12266" t="s">
        <v>182</v>
      </c>
      <c r="E12266" t="s">
        <v>12</v>
      </c>
      <c r="F12266">
        <v>5.2632573992013931E-2</v>
      </c>
    </row>
    <row r="12267" spans="2:6">
      <c r="B12267">
        <v>2012</v>
      </c>
      <c r="C12267" t="s">
        <v>133</v>
      </c>
      <c r="D12267" t="s">
        <v>182</v>
      </c>
      <c r="E12267" t="s">
        <v>13</v>
      </c>
      <c r="F12267">
        <v>0.77116763591766357</v>
      </c>
    </row>
    <row r="12268" spans="2:6">
      <c r="B12268">
        <v>2012</v>
      </c>
      <c r="C12268" t="s">
        <v>133</v>
      </c>
      <c r="D12268" t="s">
        <v>182</v>
      </c>
      <c r="E12268" t="s">
        <v>14</v>
      </c>
      <c r="F12268">
        <v>0.86513113975524902</v>
      </c>
    </row>
    <row r="12269" spans="2:6">
      <c r="B12269">
        <v>2012</v>
      </c>
      <c r="C12269" t="s">
        <v>133</v>
      </c>
      <c r="D12269" t="s">
        <v>182</v>
      </c>
      <c r="E12269" t="s">
        <v>15</v>
      </c>
      <c r="F12269">
        <v>0.35112527012825012</v>
      </c>
    </row>
    <row r="12270" spans="2:6">
      <c r="B12270">
        <v>2013</v>
      </c>
      <c r="C12270" t="s">
        <v>133</v>
      </c>
      <c r="D12270" t="s">
        <v>182</v>
      </c>
      <c r="E12270" t="s">
        <v>7</v>
      </c>
      <c r="F12270">
        <v>4.9769253730773926</v>
      </c>
    </row>
    <row r="12271" spans="2:6">
      <c r="B12271">
        <v>2013</v>
      </c>
      <c r="C12271" t="s">
        <v>133</v>
      </c>
      <c r="D12271" t="s">
        <v>182</v>
      </c>
      <c r="E12271" t="s">
        <v>8</v>
      </c>
      <c r="F12271">
        <v>8.8048133850097656</v>
      </c>
    </row>
    <row r="12272" spans="2:6">
      <c r="B12272">
        <v>2013</v>
      </c>
      <c r="C12272" t="s">
        <v>133</v>
      </c>
      <c r="D12272" t="s">
        <v>182</v>
      </c>
      <c r="E12272" t="s">
        <v>9</v>
      </c>
      <c r="F12272">
        <v>0.84641313552856445</v>
      </c>
    </row>
    <row r="12273" spans="2:6">
      <c r="B12273">
        <v>2013</v>
      </c>
      <c r="C12273" t="s">
        <v>133</v>
      </c>
      <c r="D12273" t="s">
        <v>182</v>
      </c>
      <c r="E12273" t="s">
        <v>10</v>
      </c>
      <c r="F12273">
        <v>61.200000762939453</v>
      </c>
    </row>
    <row r="12274" spans="2:6">
      <c r="B12274">
        <v>2013</v>
      </c>
      <c r="C12274" t="s">
        <v>133</v>
      </c>
      <c r="D12274" t="s">
        <v>182</v>
      </c>
      <c r="E12274" t="s">
        <v>11</v>
      </c>
      <c r="F12274">
        <v>0.90745842456817627</v>
      </c>
    </row>
    <row r="12275" spans="2:6">
      <c r="B12275">
        <v>2013</v>
      </c>
      <c r="C12275" t="s">
        <v>133</v>
      </c>
      <c r="D12275" t="s">
        <v>182</v>
      </c>
      <c r="E12275" t="s">
        <v>12</v>
      </c>
      <c r="F12275">
        <v>2.1115196868777275E-2</v>
      </c>
    </row>
    <row r="12276" spans="2:6">
      <c r="B12276">
        <v>2013</v>
      </c>
      <c r="C12276" t="s">
        <v>133</v>
      </c>
      <c r="D12276" t="s">
        <v>182</v>
      </c>
      <c r="E12276" t="s">
        <v>13</v>
      </c>
      <c r="F12276">
        <v>0.75638854503631592</v>
      </c>
    </row>
    <row r="12277" spans="2:6">
      <c r="B12277">
        <v>2013</v>
      </c>
      <c r="C12277" t="s">
        <v>133</v>
      </c>
      <c r="D12277" t="s">
        <v>182</v>
      </c>
      <c r="E12277" t="s">
        <v>14</v>
      </c>
      <c r="F12277">
        <v>0.79907858371734619</v>
      </c>
    </row>
    <row r="12278" spans="2:6">
      <c r="B12278">
        <v>2013</v>
      </c>
      <c r="C12278" t="s">
        <v>133</v>
      </c>
      <c r="D12278" t="s">
        <v>182</v>
      </c>
      <c r="E12278" t="s">
        <v>15</v>
      </c>
      <c r="F12278">
        <v>0.33195796608924866</v>
      </c>
    </row>
    <row r="12279" spans="2:6">
      <c r="B12279">
        <v>2014</v>
      </c>
      <c r="C12279" t="s">
        <v>133</v>
      </c>
      <c r="D12279" t="s">
        <v>182</v>
      </c>
      <c r="E12279" t="s">
        <v>7</v>
      </c>
      <c r="F12279">
        <v>5.3125500679016113</v>
      </c>
    </row>
    <row r="12280" spans="2:6">
      <c r="B12280">
        <v>2014</v>
      </c>
      <c r="C12280" t="s">
        <v>133</v>
      </c>
      <c r="D12280" t="s">
        <v>182</v>
      </c>
      <c r="E12280" t="s">
        <v>8</v>
      </c>
      <c r="F12280">
        <v>8.8498926162719727</v>
      </c>
    </row>
    <row r="12281" spans="2:6">
      <c r="B12281">
        <v>2014</v>
      </c>
      <c r="C12281" t="s">
        <v>133</v>
      </c>
      <c r="D12281" t="s">
        <v>182</v>
      </c>
      <c r="E12281" t="s">
        <v>9</v>
      </c>
      <c r="F12281">
        <v>0.81330019235610962</v>
      </c>
    </row>
    <row r="12282" spans="2:6">
      <c r="B12282">
        <v>2014</v>
      </c>
      <c r="C12282" t="s">
        <v>133</v>
      </c>
      <c r="D12282" t="s">
        <v>182</v>
      </c>
      <c r="E12282" t="s">
        <v>10</v>
      </c>
      <c r="F12282">
        <v>61.400001525878906</v>
      </c>
    </row>
    <row r="12283" spans="2:6">
      <c r="B12283">
        <v>2014</v>
      </c>
      <c r="C12283" t="s">
        <v>133</v>
      </c>
      <c r="D12283" t="s">
        <v>182</v>
      </c>
      <c r="E12283" t="s">
        <v>11</v>
      </c>
      <c r="F12283">
        <v>0.90218573808670044</v>
      </c>
    </row>
    <row r="12284" spans="2:6">
      <c r="B12284">
        <v>2014</v>
      </c>
      <c r="C12284" t="s">
        <v>133</v>
      </c>
      <c r="D12284" t="s">
        <v>182</v>
      </c>
      <c r="E12284" t="s">
        <v>12</v>
      </c>
      <c r="F12284">
        <v>-1.5335866250097752E-2</v>
      </c>
    </row>
    <row r="12285" spans="2:6">
      <c r="B12285">
        <v>2014</v>
      </c>
      <c r="C12285" t="s">
        <v>133</v>
      </c>
      <c r="D12285" t="s">
        <v>182</v>
      </c>
      <c r="E12285" t="s">
        <v>13</v>
      </c>
      <c r="F12285">
        <v>0.78721946477890015</v>
      </c>
    </row>
    <row r="12286" spans="2:6">
      <c r="B12286">
        <v>2014</v>
      </c>
      <c r="C12286" t="s">
        <v>133</v>
      </c>
      <c r="D12286" t="s">
        <v>182</v>
      </c>
      <c r="E12286" t="s">
        <v>14</v>
      </c>
      <c r="F12286">
        <v>0.81334191560745239</v>
      </c>
    </row>
    <row r="12287" spans="2:6">
      <c r="B12287">
        <v>2014</v>
      </c>
      <c r="C12287" t="s">
        <v>133</v>
      </c>
      <c r="D12287" t="s">
        <v>182</v>
      </c>
      <c r="E12287" t="s">
        <v>15</v>
      </c>
      <c r="F12287">
        <v>0.33403652906417847</v>
      </c>
    </row>
    <row r="12288" spans="2:6">
      <c r="B12288">
        <v>2015</v>
      </c>
      <c r="C12288" t="s">
        <v>133</v>
      </c>
      <c r="D12288" t="s">
        <v>182</v>
      </c>
      <c r="E12288" t="s">
        <v>7</v>
      </c>
      <c r="F12288">
        <v>5.5474891662597656</v>
      </c>
    </row>
    <row r="12289" spans="2:6">
      <c r="B12289">
        <v>2015</v>
      </c>
      <c r="C12289" t="s">
        <v>133</v>
      </c>
      <c r="D12289" t="s">
        <v>182</v>
      </c>
      <c r="E12289" t="s">
        <v>8</v>
      </c>
      <c r="F12289">
        <v>8.8956480026245117</v>
      </c>
    </row>
    <row r="12290" spans="2:6">
      <c r="B12290">
        <v>2015</v>
      </c>
      <c r="C12290" t="s">
        <v>133</v>
      </c>
      <c r="D12290" t="s">
        <v>182</v>
      </c>
      <c r="E12290" t="s">
        <v>9</v>
      </c>
      <c r="F12290">
        <v>0.85358858108520508</v>
      </c>
    </row>
    <row r="12291" spans="2:6">
      <c r="B12291">
        <v>2015</v>
      </c>
      <c r="C12291" t="s">
        <v>133</v>
      </c>
      <c r="D12291" t="s">
        <v>182</v>
      </c>
      <c r="E12291" t="s">
        <v>10</v>
      </c>
      <c r="F12291">
        <v>61.599998474121094</v>
      </c>
    </row>
    <row r="12292" spans="2:6">
      <c r="B12292">
        <v>2015</v>
      </c>
      <c r="C12292" t="s">
        <v>133</v>
      </c>
      <c r="D12292" t="s">
        <v>182</v>
      </c>
      <c r="E12292" t="s">
        <v>11</v>
      </c>
      <c r="F12292">
        <v>0.91153359413146973</v>
      </c>
    </row>
    <row r="12293" spans="2:6">
      <c r="B12293">
        <v>2015</v>
      </c>
      <c r="C12293" t="s">
        <v>133</v>
      </c>
      <c r="D12293" t="s">
        <v>182</v>
      </c>
      <c r="E12293" t="s">
        <v>12</v>
      </c>
      <c r="F12293">
        <v>-5.1160048693418503E-2</v>
      </c>
    </row>
    <row r="12294" spans="2:6">
      <c r="B12294">
        <v>2015</v>
      </c>
      <c r="C12294" t="s">
        <v>133</v>
      </c>
      <c r="D12294" t="s">
        <v>182</v>
      </c>
      <c r="E12294" t="s">
        <v>13</v>
      </c>
      <c r="F12294">
        <v>0.75519156455993652</v>
      </c>
    </row>
    <row r="12295" spans="2:6">
      <c r="B12295">
        <v>2015</v>
      </c>
      <c r="C12295" t="s">
        <v>133</v>
      </c>
      <c r="D12295" t="s">
        <v>182</v>
      </c>
      <c r="E12295" t="s">
        <v>14</v>
      </c>
      <c r="F12295">
        <v>0.80523848533630371</v>
      </c>
    </row>
    <row r="12296" spans="2:6">
      <c r="B12296">
        <v>2015</v>
      </c>
      <c r="C12296" t="s">
        <v>133</v>
      </c>
      <c r="D12296" t="s">
        <v>182</v>
      </c>
      <c r="E12296" t="s">
        <v>15</v>
      </c>
      <c r="F12296">
        <v>0.35058766603469849</v>
      </c>
    </row>
    <row r="12297" spans="2:6">
      <c r="B12297">
        <v>2016</v>
      </c>
      <c r="C12297" t="s">
        <v>133</v>
      </c>
      <c r="D12297" t="s">
        <v>182</v>
      </c>
      <c r="E12297" t="s">
        <v>7</v>
      </c>
      <c r="F12297">
        <v>5.4308328628540039</v>
      </c>
    </row>
    <row r="12298" spans="2:6">
      <c r="B12298">
        <v>2016</v>
      </c>
      <c r="C12298" t="s">
        <v>133</v>
      </c>
      <c r="D12298" t="s">
        <v>182</v>
      </c>
      <c r="E12298" t="s">
        <v>8</v>
      </c>
      <c r="F12298">
        <v>8.9496307373046875</v>
      </c>
    </row>
    <row r="12299" spans="2:6">
      <c r="B12299">
        <v>2016</v>
      </c>
      <c r="C12299" t="s">
        <v>133</v>
      </c>
      <c r="D12299" t="s">
        <v>182</v>
      </c>
      <c r="E12299" t="s">
        <v>9</v>
      </c>
      <c r="F12299">
        <v>0.82129871845245361</v>
      </c>
    </row>
    <row r="12300" spans="2:6">
      <c r="B12300">
        <v>2016</v>
      </c>
      <c r="C12300" t="s">
        <v>133</v>
      </c>
      <c r="D12300" t="s">
        <v>182</v>
      </c>
      <c r="E12300" t="s">
        <v>10</v>
      </c>
      <c r="F12300">
        <v>61.700000762939453</v>
      </c>
    </row>
    <row r="12301" spans="2:6">
      <c r="B12301">
        <v>2016</v>
      </c>
      <c r="C12301" t="s">
        <v>133</v>
      </c>
      <c r="D12301" t="s">
        <v>182</v>
      </c>
      <c r="E12301" t="s">
        <v>11</v>
      </c>
      <c r="F12301">
        <v>0.90759575366973877</v>
      </c>
    </row>
    <row r="12302" spans="2:6">
      <c r="B12302">
        <v>2016</v>
      </c>
      <c r="C12302" t="s">
        <v>133</v>
      </c>
      <c r="D12302" t="s">
        <v>182</v>
      </c>
      <c r="E12302" t="s">
        <v>12</v>
      </c>
      <c r="F12302">
        <v>-7.1242637932300568E-2</v>
      </c>
    </row>
    <row r="12303" spans="2:6">
      <c r="B12303">
        <v>2016</v>
      </c>
      <c r="C12303" t="s">
        <v>133</v>
      </c>
      <c r="D12303" t="s">
        <v>182</v>
      </c>
      <c r="E12303" t="s">
        <v>13</v>
      </c>
      <c r="F12303">
        <v>0.79196220636367798</v>
      </c>
    </row>
    <row r="12304" spans="2:6">
      <c r="B12304">
        <v>2016</v>
      </c>
      <c r="C12304" t="s">
        <v>133</v>
      </c>
      <c r="D12304" t="s">
        <v>182</v>
      </c>
      <c r="E12304" t="s">
        <v>14</v>
      </c>
      <c r="F12304">
        <v>0.82096946239471436</v>
      </c>
    </row>
    <row r="12305" spans="2:6">
      <c r="B12305">
        <v>2016</v>
      </c>
      <c r="C12305" t="s">
        <v>133</v>
      </c>
      <c r="D12305" t="s">
        <v>182</v>
      </c>
      <c r="E12305" t="s">
        <v>15</v>
      </c>
      <c r="F12305">
        <v>0.29023271799087524</v>
      </c>
    </row>
    <row r="12306" spans="2:6">
      <c r="B12306">
        <v>2017</v>
      </c>
      <c r="C12306" t="s">
        <v>133</v>
      </c>
      <c r="D12306" t="s">
        <v>182</v>
      </c>
      <c r="E12306" t="s">
        <v>7</v>
      </c>
      <c r="F12306">
        <v>5.5942702293395996</v>
      </c>
    </row>
    <row r="12307" spans="2:6">
      <c r="B12307">
        <v>2017</v>
      </c>
      <c r="C12307" t="s">
        <v>133</v>
      </c>
      <c r="D12307" t="s">
        <v>182</v>
      </c>
      <c r="E12307" t="s">
        <v>8</v>
      </c>
      <c r="F12307">
        <v>9.0021886825561523</v>
      </c>
    </row>
    <row r="12308" spans="2:6">
      <c r="B12308">
        <v>2017</v>
      </c>
      <c r="C12308" t="s">
        <v>133</v>
      </c>
      <c r="D12308" t="s">
        <v>182</v>
      </c>
      <c r="E12308" t="s">
        <v>9</v>
      </c>
      <c r="F12308">
        <v>0.85102856159210205</v>
      </c>
    </row>
    <row r="12309" spans="2:6">
      <c r="B12309">
        <v>2017</v>
      </c>
      <c r="C12309" t="s">
        <v>133</v>
      </c>
      <c r="D12309" t="s">
        <v>182</v>
      </c>
      <c r="E12309" t="s">
        <v>10</v>
      </c>
      <c r="F12309">
        <v>61.799999237060547</v>
      </c>
    </row>
    <row r="12310" spans="2:6">
      <c r="B12310">
        <v>2017</v>
      </c>
      <c r="C12310" t="s">
        <v>133</v>
      </c>
      <c r="D12310" t="s">
        <v>182</v>
      </c>
      <c r="E12310" t="s">
        <v>11</v>
      </c>
      <c r="F12310">
        <v>0.92570310831069946</v>
      </c>
    </row>
    <row r="12311" spans="2:6">
      <c r="B12311">
        <v>2017</v>
      </c>
      <c r="C12311" t="s">
        <v>133</v>
      </c>
      <c r="D12311" t="s">
        <v>182</v>
      </c>
      <c r="E12311" t="s">
        <v>12</v>
      </c>
      <c r="F12311">
        <v>-0.14139319956302643</v>
      </c>
    </row>
    <row r="12312" spans="2:6">
      <c r="B12312">
        <v>2017</v>
      </c>
      <c r="C12312" t="s">
        <v>133</v>
      </c>
      <c r="D12312" t="s">
        <v>182</v>
      </c>
      <c r="E12312" t="s">
        <v>13</v>
      </c>
      <c r="F12312">
        <v>0.71116554737091064</v>
      </c>
    </row>
    <row r="12313" spans="2:6">
      <c r="B12313">
        <v>2017</v>
      </c>
      <c r="C12313" t="s">
        <v>133</v>
      </c>
      <c r="D12313" t="s">
        <v>182</v>
      </c>
      <c r="E12313" t="s">
        <v>14</v>
      </c>
      <c r="F12313">
        <v>0.7689814567565918</v>
      </c>
    </row>
    <row r="12314" spans="2:6">
      <c r="B12314">
        <v>2017</v>
      </c>
      <c r="C12314" t="s">
        <v>133</v>
      </c>
      <c r="D12314" t="s">
        <v>182</v>
      </c>
      <c r="E12314" t="s">
        <v>15</v>
      </c>
      <c r="F12314">
        <v>0.34062150120735168</v>
      </c>
    </row>
    <row r="12315" spans="2:6">
      <c r="B12315">
        <v>2018</v>
      </c>
      <c r="C12315" t="s">
        <v>133</v>
      </c>
      <c r="D12315" t="s">
        <v>182</v>
      </c>
      <c r="E12315" t="s">
        <v>7</v>
      </c>
      <c r="F12315">
        <v>5.8691725730895996</v>
      </c>
    </row>
    <row r="12316" spans="2:6">
      <c r="B12316">
        <v>2018</v>
      </c>
      <c r="C12316" t="s">
        <v>133</v>
      </c>
      <c r="D12316" t="s">
        <v>182</v>
      </c>
      <c r="E12316" t="s">
        <v>8</v>
      </c>
      <c r="F12316">
        <v>9.049713134765625</v>
      </c>
    </row>
    <row r="12317" spans="2:6">
      <c r="B12317">
        <v>2018</v>
      </c>
      <c r="C12317" t="s">
        <v>133</v>
      </c>
      <c r="D12317" t="s">
        <v>182</v>
      </c>
      <c r="E12317" t="s">
        <v>9</v>
      </c>
      <c r="F12317">
        <v>0.84580326080322266</v>
      </c>
    </row>
    <row r="12318" spans="2:6">
      <c r="B12318">
        <v>2018</v>
      </c>
      <c r="C12318" t="s">
        <v>133</v>
      </c>
      <c r="D12318" t="s">
        <v>182</v>
      </c>
      <c r="E12318" t="s">
        <v>10</v>
      </c>
      <c r="F12318">
        <v>61.900001525878906</v>
      </c>
    </row>
    <row r="12319" spans="2:6">
      <c r="B12319">
        <v>2018</v>
      </c>
      <c r="C12319" t="s">
        <v>133</v>
      </c>
      <c r="D12319" t="s">
        <v>182</v>
      </c>
      <c r="E12319" t="s">
        <v>11</v>
      </c>
      <c r="F12319">
        <v>0.9178081750869751</v>
      </c>
    </row>
    <row r="12320" spans="2:6">
      <c r="B12320">
        <v>2018</v>
      </c>
      <c r="C12320" t="s">
        <v>133</v>
      </c>
      <c r="D12320" t="s">
        <v>182</v>
      </c>
      <c r="E12320" t="s">
        <v>12</v>
      </c>
      <c r="F12320">
        <v>-0.10795789957046509</v>
      </c>
    </row>
    <row r="12321" spans="2:6">
      <c r="B12321">
        <v>2018</v>
      </c>
      <c r="C12321" t="s">
        <v>133</v>
      </c>
      <c r="D12321" t="s">
        <v>182</v>
      </c>
      <c r="E12321" t="s">
        <v>13</v>
      </c>
      <c r="F12321">
        <v>0.72648334503173828</v>
      </c>
    </row>
    <row r="12322" spans="2:6">
      <c r="B12322">
        <v>2018</v>
      </c>
      <c r="C12322" t="s">
        <v>133</v>
      </c>
      <c r="D12322" t="s">
        <v>182</v>
      </c>
      <c r="E12322" t="s">
        <v>14</v>
      </c>
      <c r="F12322">
        <v>0.77284610271453857</v>
      </c>
    </row>
    <row r="12323" spans="2:6">
      <c r="B12323">
        <v>2018</v>
      </c>
      <c r="C12323" t="s">
        <v>133</v>
      </c>
      <c r="D12323" t="s">
        <v>182</v>
      </c>
      <c r="E12323" t="s">
        <v>15</v>
      </c>
      <c r="F12323">
        <v>0.39348107576370239</v>
      </c>
    </row>
    <row r="12324" spans="2:6">
      <c r="B12324">
        <v>2019</v>
      </c>
      <c r="C12324" t="s">
        <v>133</v>
      </c>
      <c r="D12324" t="s">
        <v>182</v>
      </c>
      <c r="E12324" t="s">
        <v>7</v>
      </c>
      <c r="F12324">
        <v>6.2677450180053711</v>
      </c>
    </row>
    <row r="12325" spans="2:6">
      <c r="B12325">
        <v>2019</v>
      </c>
      <c r="C12325" t="s">
        <v>133</v>
      </c>
      <c r="D12325" t="s">
        <v>182</v>
      </c>
      <c r="E12325" t="s">
        <v>8</v>
      </c>
      <c r="F12325">
        <v>9.0947246551513672</v>
      </c>
    </row>
    <row r="12326" spans="2:6">
      <c r="B12326">
        <v>2019</v>
      </c>
      <c r="C12326" t="s">
        <v>133</v>
      </c>
      <c r="D12326" t="s">
        <v>182</v>
      </c>
      <c r="E12326" t="s">
        <v>9</v>
      </c>
      <c r="F12326">
        <v>0.84509474039077759</v>
      </c>
    </row>
    <row r="12327" spans="2:6">
      <c r="B12327">
        <v>2019</v>
      </c>
      <c r="C12327" t="s">
        <v>133</v>
      </c>
      <c r="D12327" t="s">
        <v>182</v>
      </c>
      <c r="E12327" t="s">
        <v>10</v>
      </c>
      <c r="F12327">
        <v>62</v>
      </c>
    </row>
    <row r="12328" spans="2:6">
      <c r="B12328">
        <v>2019</v>
      </c>
      <c r="C12328" t="s">
        <v>133</v>
      </c>
      <c r="D12328" t="s">
        <v>182</v>
      </c>
      <c r="E12328" t="s">
        <v>11</v>
      </c>
      <c r="F12328">
        <v>0.90959858894348145</v>
      </c>
    </row>
    <row r="12329" spans="2:6">
      <c r="B12329">
        <v>2019</v>
      </c>
      <c r="C12329" t="s">
        <v>133</v>
      </c>
      <c r="D12329" t="s">
        <v>182</v>
      </c>
      <c r="E12329" t="s">
        <v>12</v>
      </c>
      <c r="F12329">
        <v>-8.2580536603927612E-2</v>
      </c>
    </row>
    <row r="12330" spans="2:6">
      <c r="B12330">
        <v>2019</v>
      </c>
      <c r="C12330" t="s">
        <v>133</v>
      </c>
      <c r="D12330" t="s">
        <v>182</v>
      </c>
      <c r="E12330" t="s">
        <v>13</v>
      </c>
      <c r="F12330">
        <v>0.74844211339950562</v>
      </c>
    </row>
    <row r="12331" spans="2:6">
      <c r="B12331">
        <v>2019</v>
      </c>
      <c r="C12331" t="s">
        <v>133</v>
      </c>
      <c r="D12331" t="s">
        <v>182</v>
      </c>
      <c r="E12331" t="s">
        <v>14</v>
      </c>
      <c r="F12331">
        <v>0.78089678287506104</v>
      </c>
    </row>
    <row r="12332" spans="2:6">
      <c r="B12332">
        <v>2019</v>
      </c>
      <c r="C12332" t="s">
        <v>133</v>
      </c>
      <c r="D12332" t="s">
        <v>182</v>
      </c>
      <c r="E12332" t="s">
        <v>15</v>
      </c>
      <c r="F12332">
        <v>0.34056949615478516</v>
      </c>
    </row>
    <row r="12333" spans="2:6">
      <c r="B12333">
        <v>2020</v>
      </c>
      <c r="C12333" t="s">
        <v>133</v>
      </c>
      <c r="D12333" t="s">
        <v>182</v>
      </c>
      <c r="E12333" t="s">
        <v>7</v>
      </c>
      <c r="F12333">
        <v>5.079585075378418</v>
      </c>
    </row>
    <row r="12334" spans="2:6">
      <c r="B12334">
        <v>2020</v>
      </c>
      <c r="C12334" t="s">
        <v>133</v>
      </c>
      <c r="D12334" t="s">
        <v>182</v>
      </c>
      <c r="E12334" t="s">
        <v>8</v>
      </c>
      <c r="F12334">
        <v>9.0614433288574219</v>
      </c>
    </row>
    <row r="12335" spans="2:6">
      <c r="B12335">
        <v>2020</v>
      </c>
      <c r="C12335" t="s">
        <v>133</v>
      </c>
      <c r="D12335" t="s">
        <v>182</v>
      </c>
      <c r="E12335" t="s">
        <v>9</v>
      </c>
      <c r="F12335">
        <v>0.78114038705825806</v>
      </c>
    </row>
    <row r="12336" spans="2:6">
      <c r="B12336">
        <v>2020</v>
      </c>
      <c r="C12336" t="s">
        <v>133</v>
      </c>
      <c r="D12336" t="s">
        <v>182</v>
      </c>
      <c r="E12336" t="s">
        <v>10</v>
      </c>
      <c r="F12336">
        <v>62.099998474121094</v>
      </c>
    </row>
    <row r="12337" spans="2:6">
      <c r="B12337">
        <v>2020</v>
      </c>
      <c r="C12337" t="s">
        <v>133</v>
      </c>
      <c r="D12337" t="s">
        <v>182</v>
      </c>
      <c r="E12337" t="s">
        <v>11</v>
      </c>
      <c r="F12337">
        <v>0.9320417046546936</v>
      </c>
    </row>
    <row r="12338" spans="2:6">
      <c r="B12338">
        <v>2020</v>
      </c>
      <c r="C12338" t="s">
        <v>133</v>
      </c>
      <c r="D12338" t="s">
        <v>182</v>
      </c>
      <c r="E12338" t="s">
        <v>12</v>
      </c>
      <c r="F12338">
        <v>-0.11554288119077682</v>
      </c>
    </row>
    <row r="12339" spans="2:6">
      <c r="B12339">
        <v>2020</v>
      </c>
      <c r="C12339" t="s">
        <v>133</v>
      </c>
      <c r="D12339" t="s">
        <v>182</v>
      </c>
      <c r="E12339" t="s">
        <v>13</v>
      </c>
      <c r="F12339">
        <v>0.74428367614746094</v>
      </c>
    </row>
    <row r="12340" spans="2:6">
      <c r="B12340">
        <v>2020</v>
      </c>
      <c r="C12340" t="s">
        <v>133</v>
      </c>
      <c r="D12340" t="s">
        <v>182</v>
      </c>
      <c r="E12340" t="s">
        <v>14</v>
      </c>
      <c r="F12340">
        <v>0.80356210470199585</v>
      </c>
    </row>
    <row r="12341" spans="2:6">
      <c r="B12341">
        <v>2020</v>
      </c>
      <c r="C12341" t="s">
        <v>133</v>
      </c>
      <c r="D12341" t="s">
        <v>182</v>
      </c>
      <c r="E12341" t="s">
        <v>15</v>
      </c>
      <c r="F12341">
        <v>0.32688900828361511</v>
      </c>
    </row>
    <row r="12342" spans="2:6">
      <c r="B12342">
        <v>2005</v>
      </c>
      <c r="C12342" t="s">
        <v>134</v>
      </c>
      <c r="D12342" t="s">
        <v>183</v>
      </c>
      <c r="E12342" t="s">
        <v>7</v>
      </c>
      <c r="F12342">
        <v>5.5872092247009277</v>
      </c>
    </row>
    <row r="12343" spans="2:6">
      <c r="B12343">
        <v>2005</v>
      </c>
      <c r="C12343" t="s">
        <v>134</v>
      </c>
      <c r="D12343" t="s">
        <v>183</v>
      </c>
      <c r="E12343" t="s">
        <v>8</v>
      </c>
      <c r="F12343">
        <v>9.848785400390625</v>
      </c>
    </row>
    <row r="12344" spans="2:6">
      <c r="B12344">
        <v>2005</v>
      </c>
      <c r="C12344" t="s">
        <v>134</v>
      </c>
      <c r="D12344" t="s">
        <v>183</v>
      </c>
      <c r="E12344" t="s">
        <v>9</v>
      </c>
      <c r="F12344">
        <v>0.92152762413024902</v>
      </c>
    </row>
    <row r="12345" spans="2:6">
      <c r="B12345">
        <v>2005</v>
      </c>
      <c r="C12345" t="s">
        <v>134</v>
      </c>
      <c r="D12345" t="s">
        <v>183</v>
      </c>
      <c r="E12345" t="s">
        <v>10</v>
      </c>
      <c r="F12345">
        <v>66.300003051757813</v>
      </c>
    </row>
    <row r="12346" spans="2:6">
      <c r="B12346">
        <v>2005</v>
      </c>
      <c r="C12346" t="s">
        <v>134</v>
      </c>
      <c r="D12346" t="s">
        <v>183</v>
      </c>
      <c r="E12346" t="s">
        <v>11</v>
      </c>
      <c r="F12346">
        <v>0.78247314691543579</v>
      </c>
    </row>
    <row r="12347" spans="2:6">
      <c r="B12347">
        <v>2005</v>
      </c>
      <c r="C12347" t="s">
        <v>134</v>
      </c>
      <c r="D12347" t="s">
        <v>183</v>
      </c>
      <c r="E12347" t="s">
        <v>13</v>
      </c>
      <c r="F12347">
        <v>0.98293089866638184</v>
      </c>
    </row>
    <row r="12348" spans="2:6">
      <c r="B12348">
        <v>2005</v>
      </c>
      <c r="C12348" t="s">
        <v>134</v>
      </c>
      <c r="D12348" t="s">
        <v>183</v>
      </c>
      <c r="E12348" t="s">
        <v>14</v>
      </c>
      <c r="F12348">
        <v>0.71511095762252808</v>
      </c>
    </row>
    <row r="12349" spans="2:6">
      <c r="B12349">
        <v>2005</v>
      </c>
      <c r="C12349" t="s">
        <v>134</v>
      </c>
      <c r="D12349" t="s">
        <v>183</v>
      </c>
      <c r="E12349" t="s">
        <v>15</v>
      </c>
      <c r="F12349">
        <v>0.28243923187255859</v>
      </c>
    </row>
    <row r="12350" spans="2:6">
      <c r="B12350">
        <v>2007</v>
      </c>
      <c r="C12350" t="s">
        <v>134</v>
      </c>
      <c r="D12350" t="s">
        <v>183</v>
      </c>
      <c r="E12350" t="s">
        <v>7</v>
      </c>
      <c r="F12350">
        <v>5.8861374855041504</v>
      </c>
    </row>
    <row r="12351" spans="2:6">
      <c r="B12351">
        <v>2007</v>
      </c>
      <c r="C12351" t="s">
        <v>134</v>
      </c>
      <c r="D12351" t="s">
        <v>183</v>
      </c>
      <c r="E12351" t="s">
        <v>8</v>
      </c>
      <c r="F12351">
        <v>9.9779090881347656</v>
      </c>
    </row>
    <row r="12352" spans="2:6">
      <c r="B12352">
        <v>2007</v>
      </c>
      <c r="C12352" t="s">
        <v>134</v>
      </c>
      <c r="D12352" t="s">
        <v>183</v>
      </c>
      <c r="E12352" t="s">
        <v>9</v>
      </c>
      <c r="F12352">
        <v>0.91263967752456665</v>
      </c>
    </row>
    <row r="12353" spans="2:6">
      <c r="B12353">
        <v>2007</v>
      </c>
      <c r="C12353" t="s">
        <v>134</v>
      </c>
      <c r="D12353" t="s">
        <v>183</v>
      </c>
      <c r="E12353" t="s">
        <v>10</v>
      </c>
      <c r="F12353">
        <v>66.699996948242188</v>
      </c>
    </row>
    <row r="12354" spans="2:6">
      <c r="B12354">
        <v>2007</v>
      </c>
      <c r="C12354" t="s">
        <v>134</v>
      </c>
      <c r="D12354" t="s">
        <v>183</v>
      </c>
      <c r="E12354" t="s">
        <v>11</v>
      </c>
      <c r="F12354">
        <v>0.77222335338592529</v>
      </c>
    </row>
    <row r="12355" spans="2:6">
      <c r="B12355">
        <v>2007</v>
      </c>
      <c r="C12355" t="s">
        <v>134</v>
      </c>
      <c r="D12355" t="s">
        <v>183</v>
      </c>
      <c r="E12355" t="s">
        <v>12</v>
      </c>
      <c r="F12355">
        <v>-4.7306708991527557E-2</v>
      </c>
    </row>
    <row r="12356" spans="2:6">
      <c r="B12356">
        <v>2007</v>
      </c>
      <c r="C12356" t="s">
        <v>134</v>
      </c>
      <c r="D12356" t="s">
        <v>183</v>
      </c>
      <c r="E12356" t="s">
        <v>13</v>
      </c>
      <c r="F12356">
        <v>0.92528551816940308</v>
      </c>
    </row>
    <row r="12357" spans="2:6">
      <c r="B12357">
        <v>2007</v>
      </c>
      <c r="C12357" t="s">
        <v>134</v>
      </c>
      <c r="D12357" t="s">
        <v>183</v>
      </c>
      <c r="E12357" t="s">
        <v>14</v>
      </c>
      <c r="F12357">
        <v>0.76002556085586548</v>
      </c>
    </row>
    <row r="12358" spans="2:6">
      <c r="B12358">
        <v>2007</v>
      </c>
      <c r="C12358" t="s">
        <v>134</v>
      </c>
      <c r="D12358" t="s">
        <v>183</v>
      </c>
      <c r="E12358" t="s">
        <v>15</v>
      </c>
      <c r="F12358">
        <v>0.23759876191616058</v>
      </c>
    </row>
    <row r="12359" spans="2:6">
      <c r="B12359">
        <v>2009</v>
      </c>
      <c r="C12359" t="s">
        <v>134</v>
      </c>
      <c r="D12359" t="s">
        <v>183</v>
      </c>
      <c r="E12359" t="s">
        <v>7</v>
      </c>
      <c r="F12359">
        <v>5.7720274925231934</v>
      </c>
    </row>
    <row r="12360" spans="2:6">
      <c r="B12360">
        <v>2009</v>
      </c>
      <c r="C12360" t="s">
        <v>134</v>
      </c>
      <c r="D12360" t="s">
        <v>183</v>
      </c>
      <c r="E12360" t="s">
        <v>8</v>
      </c>
      <c r="F12360">
        <v>10.046525001525879</v>
      </c>
    </row>
    <row r="12361" spans="2:6">
      <c r="B12361">
        <v>2009</v>
      </c>
      <c r="C12361" t="s">
        <v>134</v>
      </c>
      <c r="D12361" t="s">
        <v>183</v>
      </c>
      <c r="E12361" t="s">
        <v>9</v>
      </c>
      <c r="F12361">
        <v>0.9167981743812561</v>
      </c>
    </row>
    <row r="12362" spans="2:6">
      <c r="B12362">
        <v>2009</v>
      </c>
      <c r="C12362" t="s">
        <v>134</v>
      </c>
      <c r="D12362" t="s">
        <v>183</v>
      </c>
      <c r="E12362" t="s">
        <v>10</v>
      </c>
      <c r="F12362">
        <v>67.099998474121094</v>
      </c>
    </row>
    <row r="12363" spans="2:6">
      <c r="B12363">
        <v>2009</v>
      </c>
      <c r="C12363" t="s">
        <v>134</v>
      </c>
      <c r="D12363" t="s">
        <v>183</v>
      </c>
      <c r="E12363" t="s">
        <v>11</v>
      </c>
      <c r="F12363">
        <v>0.82064908742904663</v>
      </c>
    </row>
    <row r="12364" spans="2:6">
      <c r="B12364">
        <v>2009</v>
      </c>
      <c r="C12364" t="s">
        <v>134</v>
      </c>
      <c r="D12364" t="s">
        <v>183</v>
      </c>
      <c r="E12364" t="s">
        <v>12</v>
      </c>
      <c r="F12364">
        <v>7.3213137686252594E-2</v>
      </c>
    </row>
    <row r="12365" spans="2:6">
      <c r="B12365">
        <v>2009</v>
      </c>
      <c r="C12365" t="s">
        <v>134</v>
      </c>
      <c r="D12365" t="s">
        <v>183</v>
      </c>
      <c r="E12365" t="s">
        <v>13</v>
      </c>
      <c r="F12365">
        <v>0.8977620005607605</v>
      </c>
    </row>
    <row r="12366" spans="2:6">
      <c r="B12366">
        <v>2009</v>
      </c>
      <c r="C12366" t="s">
        <v>134</v>
      </c>
      <c r="D12366" t="s">
        <v>183</v>
      </c>
      <c r="E12366" t="s">
        <v>14</v>
      </c>
      <c r="F12366">
        <v>0.69035053253173828</v>
      </c>
    </row>
    <row r="12367" spans="2:6">
      <c r="B12367">
        <v>2009</v>
      </c>
      <c r="C12367" t="s">
        <v>134</v>
      </c>
      <c r="D12367" t="s">
        <v>183</v>
      </c>
      <c r="E12367" t="s">
        <v>15</v>
      </c>
      <c r="F12367">
        <v>0.24596525728702545</v>
      </c>
    </row>
    <row r="12368" spans="2:6">
      <c r="B12368">
        <v>2010</v>
      </c>
      <c r="C12368" t="s">
        <v>134</v>
      </c>
      <c r="D12368" t="s">
        <v>183</v>
      </c>
      <c r="E12368" t="s">
        <v>7</v>
      </c>
      <c r="F12368">
        <v>5.8870296478271484</v>
      </c>
    </row>
    <row r="12369" spans="2:6">
      <c r="B12369">
        <v>2010</v>
      </c>
      <c r="C12369" t="s">
        <v>134</v>
      </c>
      <c r="D12369" t="s">
        <v>183</v>
      </c>
      <c r="E12369" t="s">
        <v>8</v>
      </c>
      <c r="F12369">
        <v>10.084821701049805</v>
      </c>
    </row>
    <row r="12370" spans="2:6">
      <c r="B12370">
        <v>2010</v>
      </c>
      <c r="C12370" t="s">
        <v>134</v>
      </c>
      <c r="D12370" t="s">
        <v>183</v>
      </c>
      <c r="E12370" t="s">
        <v>9</v>
      </c>
      <c r="F12370">
        <v>0.95506531000137329</v>
      </c>
    </row>
    <row r="12371" spans="2:6">
      <c r="B12371">
        <v>2010</v>
      </c>
      <c r="C12371" t="s">
        <v>134</v>
      </c>
      <c r="D12371" t="s">
        <v>183</v>
      </c>
      <c r="E12371" t="s">
        <v>10</v>
      </c>
      <c r="F12371">
        <v>67.300003051757813</v>
      </c>
    </row>
    <row r="12372" spans="2:6">
      <c r="B12372">
        <v>2010</v>
      </c>
      <c r="C12372" t="s">
        <v>134</v>
      </c>
      <c r="D12372" t="s">
        <v>183</v>
      </c>
      <c r="E12372" t="s">
        <v>11</v>
      </c>
      <c r="F12372">
        <v>0.79490047693252563</v>
      </c>
    </row>
    <row r="12373" spans="2:6">
      <c r="B12373">
        <v>2010</v>
      </c>
      <c r="C12373" t="s">
        <v>134</v>
      </c>
      <c r="D12373" t="s">
        <v>183</v>
      </c>
      <c r="E12373" t="s">
        <v>12</v>
      </c>
      <c r="F12373">
        <v>1.6567446291446686E-3</v>
      </c>
    </row>
    <row r="12374" spans="2:6">
      <c r="B12374">
        <v>2010</v>
      </c>
      <c r="C12374" t="s">
        <v>134</v>
      </c>
      <c r="D12374" t="s">
        <v>183</v>
      </c>
      <c r="E12374" t="s">
        <v>13</v>
      </c>
      <c r="F12374">
        <v>0.90469729900360107</v>
      </c>
    </row>
    <row r="12375" spans="2:6">
      <c r="B12375">
        <v>2010</v>
      </c>
      <c r="C12375" t="s">
        <v>134</v>
      </c>
      <c r="D12375" t="s">
        <v>183</v>
      </c>
      <c r="E12375" t="s">
        <v>14</v>
      </c>
      <c r="F12375">
        <v>0.73689764738082886</v>
      </c>
    </row>
    <row r="12376" spans="2:6">
      <c r="B12376">
        <v>2010</v>
      </c>
      <c r="C12376" t="s">
        <v>134</v>
      </c>
      <c r="D12376" t="s">
        <v>183</v>
      </c>
      <c r="E12376" t="s">
        <v>15</v>
      </c>
      <c r="F12376">
        <v>0.23423701524734497</v>
      </c>
    </row>
    <row r="12377" spans="2:6">
      <c r="B12377">
        <v>2011</v>
      </c>
      <c r="C12377" t="s">
        <v>134</v>
      </c>
      <c r="D12377" t="s">
        <v>183</v>
      </c>
      <c r="E12377" t="s">
        <v>7</v>
      </c>
      <c r="F12377">
        <v>5.646204948425293</v>
      </c>
    </row>
    <row r="12378" spans="2:6">
      <c r="B12378">
        <v>2011</v>
      </c>
      <c r="C12378" t="s">
        <v>134</v>
      </c>
      <c r="D12378" t="s">
        <v>183</v>
      </c>
      <c r="E12378" t="s">
        <v>8</v>
      </c>
      <c r="F12378">
        <v>10.133237838745117</v>
      </c>
    </row>
    <row r="12379" spans="2:6">
      <c r="B12379">
        <v>2011</v>
      </c>
      <c r="C12379" t="s">
        <v>134</v>
      </c>
      <c r="D12379" t="s">
        <v>183</v>
      </c>
      <c r="E12379" t="s">
        <v>9</v>
      </c>
      <c r="F12379">
        <v>0.90457862615585327</v>
      </c>
    </row>
    <row r="12380" spans="2:6">
      <c r="B12380">
        <v>2011</v>
      </c>
      <c r="C12380" t="s">
        <v>134</v>
      </c>
      <c r="D12380" t="s">
        <v>183</v>
      </c>
      <c r="E12380" t="s">
        <v>10</v>
      </c>
      <c r="F12380">
        <v>67.459999084472656</v>
      </c>
    </row>
    <row r="12381" spans="2:6">
      <c r="B12381">
        <v>2011</v>
      </c>
      <c r="C12381" t="s">
        <v>134</v>
      </c>
      <c r="D12381" t="s">
        <v>183</v>
      </c>
      <c r="E12381" t="s">
        <v>11</v>
      </c>
      <c r="F12381">
        <v>0.86814892292022705</v>
      </c>
    </row>
    <row r="12382" spans="2:6">
      <c r="B12382">
        <v>2011</v>
      </c>
      <c r="C12382" t="s">
        <v>134</v>
      </c>
      <c r="D12382" t="s">
        <v>183</v>
      </c>
      <c r="E12382" t="s">
        <v>12</v>
      </c>
      <c r="F12382">
        <v>-6.6878266632556915E-2</v>
      </c>
    </row>
    <row r="12383" spans="2:6">
      <c r="B12383">
        <v>2011</v>
      </c>
      <c r="C12383" t="s">
        <v>134</v>
      </c>
      <c r="D12383" t="s">
        <v>183</v>
      </c>
      <c r="E12383" t="s">
        <v>13</v>
      </c>
      <c r="F12383">
        <v>0.90795314311981201</v>
      </c>
    </row>
    <row r="12384" spans="2:6">
      <c r="B12384">
        <v>2011</v>
      </c>
      <c r="C12384" t="s">
        <v>134</v>
      </c>
      <c r="D12384" t="s">
        <v>183</v>
      </c>
      <c r="E12384" t="s">
        <v>14</v>
      </c>
      <c r="F12384">
        <v>0.72535991668701172</v>
      </c>
    </row>
    <row r="12385" spans="2:6">
      <c r="B12385">
        <v>2011</v>
      </c>
      <c r="C12385" t="s">
        <v>134</v>
      </c>
      <c r="D12385" t="s">
        <v>183</v>
      </c>
      <c r="E12385" t="s">
        <v>15</v>
      </c>
      <c r="F12385">
        <v>0.22381022572517395</v>
      </c>
    </row>
    <row r="12386" spans="2:6">
      <c r="B12386">
        <v>2012</v>
      </c>
      <c r="C12386" t="s">
        <v>134</v>
      </c>
      <c r="D12386" t="s">
        <v>183</v>
      </c>
      <c r="E12386" t="s">
        <v>7</v>
      </c>
      <c r="F12386">
        <v>5.8759317398071289</v>
      </c>
    </row>
    <row r="12387" spans="2:6">
      <c r="B12387">
        <v>2012</v>
      </c>
      <c r="C12387" t="s">
        <v>134</v>
      </c>
      <c r="D12387" t="s">
        <v>183</v>
      </c>
      <c r="E12387" t="s">
        <v>8</v>
      </c>
      <c r="F12387">
        <v>10.149191856384277</v>
      </c>
    </row>
    <row r="12388" spans="2:6">
      <c r="B12388">
        <v>2012</v>
      </c>
      <c r="C12388" t="s">
        <v>134</v>
      </c>
      <c r="D12388" t="s">
        <v>183</v>
      </c>
      <c r="E12388" t="s">
        <v>9</v>
      </c>
      <c r="F12388">
        <v>0.93592387437820435</v>
      </c>
    </row>
    <row r="12389" spans="2:6">
      <c r="B12389">
        <v>2012</v>
      </c>
      <c r="C12389" t="s">
        <v>134</v>
      </c>
      <c r="D12389" t="s">
        <v>183</v>
      </c>
      <c r="E12389" t="s">
        <v>10</v>
      </c>
      <c r="F12389">
        <v>67.620002746582031</v>
      </c>
    </row>
    <row r="12390" spans="2:6">
      <c r="B12390">
        <v>2012</v>
      </c>
      <c r="C12390" t="s">
        <v>134</v>
      </c>
      <c r="D12390" t="s">
        <v>183</v>
      </c>
      <c r="E12390" t="s">
        <v>11</v>
      </c>
      <c r="F12390">
        <v>0.81130170822143555</v>
      </c>
    </row>
    <row r="12391" spans="2:6">
      <c r="B12391">
        <v>2012</v>
      </c>
      <c r="C12391" t="s">
        <v>134</v>
      </c>
      <c r="D12391" t="s">
        <v>183</v>
      </c>
      <c r="E12391" t="s">
        <v>12</v>
      </c>
      <c r="F12391">
        <v>-2.6549983769655228E-2</v>
      </c>
    </row>
    <row r="12392" spans="2:6">
      <c r="B12392">
        <v>2012</v>
      </c>
      <c r="C12392" t="s">
        <v>134</v>
      </c>
      <c r="D12392" t="s">
        <v>183</v>
      </c>
      <c r="E12392" t="s">
        <v>13</v>
      </c>
      <c r="F12392">
        <v>0.88789582252502441</v>
      </c>
    </row>
    <row r="12393" spans="2:6">
      <c r="B12393">
        <v>2012</v>
      </c>
      <c r="C12393" t="s">
        <v>134</v>
      </c>
      <c r="D12393" t="s">
        <v>183</v>
      </c>
      <c r="E12393" t="s">
        <v>14</v>
      </c>
      <c r="F12393">
        <v>0.78748917579650879</v>
      </c>
    </row>
    <row r="12394" spans="2:6">
      <c r="B12394">
        <v>2012</v>
      </c>
      <c r="C12394" t="s">
        <v>134</v>
      </c>
      <c r="D12394" t="s">
        <v>183</v>
      </c>
      <c r="E12394" t="s">
        <v>15</v>
      </c>
      <c r="F12394">
        <v>0.26674678921699524</v>
      </c>
    </row>
    <row r="12395" spans="2:6">
      <c r="B12395">
        <v>2013</v>
      </c>
      <c r="C12395" t="s">
        <v>134</v>
      </c>
      <c r="D12395" t="s">
        <v>183</v>
      </c>
      <c r="E12395" t="s">
        <v>7</v>
      </c>
      <c r="F12395">
        <v>5.7461318969726563</v>
      </c>
    </row>
    <row r="12396" spans="2:6">
      <c r="B12396">
        <v>2013</v>
      </c>
      <c r="C12396" t="s">
        <v>134</v>
      </c>
      <c r="D12396" t="s">
        <v>183</v>
      </c>
      <c r="E12396" t="s">
        <v>8</v>
      </c>
      <c r="F12396">
        <v>10.163618087768555</v>
      </c>
    </row>
    <row r="12397" spans="2:6">
      <c r="B12397">
        <v>2013</v>
      </c>
      <c r="C12397" t="s">
        <v>134</v>
      </c>
      <c r="D12397" t="s">
        <v>183</v>
      </c>
      <c r="E12397" t="s">
        <v>9</v>
      </c>
      <c r="F12397">
        <v>0.91193491220474243</v>
      </c>
    </row>
    <row r="12398" spans="2:6">
      <c r="B12398">
        <v>2013</v>
      </c>
      <c r="C12398" t="s">
        <v>134</v>
      </c>
      <c r="D12398" t="s">
        <v>183</v>
      </c>
      <c r="E12398" t="s">
        <v>10</v>
      </c>
      <c r="F12398">
        <v>67.779998779296875</v>
      </c>
    </row>
    <row r="12399" spans="2:6">
      <c r="B12399">
        <v>2013</v>
      </c>
      <c r="C12399" t="s">
        <v>134</v>
      </c>
      <c r="D12399" t="s">
        <v>183</v>
      </c>
      <c r="E12399" t="s">
        <v>11</v>
      </c>
      <c r="F12399">
        <v>0.77593135833740234</v>
      </c>
    </row>
    <row r="12400" spans="2:6">
      <c r="B12400">
        <v>2013</v>
      </c>
      <c r="C12400" t="s">
        <v>134</v>
      </c>
      <c r="D12400" t="s">
        <v>183</v>
      </c>
      <c r="E12400" t="s">
        <v>12</v>
      </c>
      <c r="F12400">
        <v>-0.13717497885227203</v>
      </c>
    </row>
    <row r="12401" spans="2:6">
      <c r="B12401">
        <v>2013</v>
      </c>
      <c r="C12401" t="s">
        <v>134</v>
      </c>
      <c r="D12401" t="s">
        <v>183</v>
      </c>
      <c r="E12401" t="s">
        <v>13</v>
      </c>
      <c r="F12401">
        <v>0.91567742824554443</v>
      </c>
    </row>
    <row r="12402" spans="2:6">
      <c r="B12402">
        <v>2013</v>
      </c>
      <c r="C12402" t="s">
        <v>134</v>
      </c>
      <c r="D12402" t="s">
        <v>183</v>
      </c>
      <c r="E12402" t="s">
        <v>14</v>
      </c>
      <c r="F12402">
        <v>0.78412431478500366</v>
      </c>
    </row>
    <row r="12403" spans="2:6">
      <c r="B12403">
        <v>2013</v>
      </c>
      <c r="C12403" t="s">
        <v>134</v>
      </c>
      <c r="D12403" t="s">
        <v>183</v>
      </c>
      <c r="E12403" t="s">
        <v>15</v>
      </c>
      <c r="F12403">
        <v>0.24198095500469208</v>
      </c>
    </row>
    <row r="12404" spans="2:6">
      <c r="B12404">
        <v>2014</v>
      </c>
      <c r="C12404" t="s">
        <v>134</v>
      </c>
      <c r="D12404" t="s">
        <v>183</v>
      </c>
      <c r="E12404" t="s">
        <v>7</v>
      </c>
      <c r="F12404">
        <v>5.7502822875976563</v>
      </c>
    </row>
    <row r="12405" spans="2:6">
      <c r="B12405">
        <v>2014</v>
      </c>
      <c r="C12405" t="s">
        <v>134</v>
      </c>
      <c r="D12405" t="s">
        <v>183</v>
      </c>
      <c r="E12405" t="s">
        <v>8</v>
      </c>
      <c r="F12405">
        <v>10.197011947631836</v>
      </c>
    </row>
    <row r="12406" spans="2:6">
      <c r="B12406">
        <v>2014</v>
      </c>
      <c r="C12406" t="s">
        <v>134</v>
      </c>
      <c r="D12406" t="s">
        <v>183</v>
      </c>
      <c r="E12406" t="s">
        <v>9</v>
      </c>
      <c r="F12406">
        <v>0.92364227771759033</v>
      </c>
    </row>
    <row r="12407" spans="2:6">
      <c r="B12407">
        <v>2014</v>
      </c>
      <c r="C12407" t="s">
        <v>134</v>
      </c>
      <c r="D12407" t="s">
        <v>183</v>
      </c>
      <c r="E12407" t="s">
        <v>10</v>
      </c>
      <c r="F12407">
        <v>67.94000244140625</v>
      </c>
    </row>
    <row r="12408" spans="2:6">
      <c r="B12408">
        <v>2014</v>
      </c>
      <c r="C12408" t="s">
        <v>134</v>
      </c>
      <c r="D12408" t="s">
        <v>183</v>
      </c>
      <c r="E12408" t="s">
        <v>11</v>
      </c>
      <c r="F12408">
        <v>0.87535709142684937</v>
      </c>
    </row>
    <row r="12409" spans="2:6">
      <c r="B12409">
        <v>2014</v>
      </c>
      <c r="C12409" t="s">
        <v>134</v>
      </c>
      <c r="D12409" t="s">
        <v>183</v>
      </c>
      <c r="E12409" t="s">
        <v>12</v>
      </c>
      <c r="F12409">
        <v>-6.4226165413856506E-2</v>
      </c>
    </row>
    <row r="12410" spans="2:6">
      <c r="B12410">
        <v>2014</v>
      </c>
      <c r="C12410" t="s">
        <v>134</v>
      </c>
      <c r="D12410" t="s">
        <v>183</v>
      </c>
      <c r="E12410" t="s">
        <v>13</v>
      </c>
      <c r="F12410">
        <v>0.89774173498153687</v>
      </c>
    </row>
    <row r="12411" spans="2:6">
      <c r="B12411">
        <v>2014</v>
      </c>
      <c r="C12411" t="s">
        <v>134</v>
      </c>
      <c r="D12411" t="s">
        <v>183</v>
      </c>
      <c r="E12411" t="s">
        <v>14</v>
      </c>
      <c r="F12411">
        <v>0.7769966721534729</v>
      </c>
    </row>
    <row r="12412" spans="2:6">
      <c r="B12412">
        <v>2014</v>
      </c>
      <c r="C12412" t="s">
        <v>134</v>
      </c>
      <c r="D12412" t="s">
        <v>183</v>
      </c>
      <c r="E12412" t="s">
        <v>15</v>
      </c>
      <c r="F12412">
        <v>0.22264374792575836</v>
      </c>
    </row>
    <row r="12413" spans="2:6">
      <c r="B12413">
        <v>2015</v>
      </c>
      <c r="C12413" t="s">
        <v>134</v>
      </c>
      <c r="D12413" t="s">
        <v>183</v>
      </c>
      <c r="E12413" t="s">
        <v>7</v>
      </c>
      <c r="F12413">
        <v>6.0070219039916992</v>
      </c>
    </row>
    <row r="12414" spans="2:6">
      <c r="B12414">
        <v>2015</v>
      </c>
      <c r="C12414" t="s">
        <v>134</v>
      </c>
      <c r="D12414" t="s">
        <v>183</v>
      </c>
      <c r="E12414" t="s">
        <v>8</v>
      </c>
      <c r="F12414">
        <v>10.235350608825684</v>
      </c>
    </row>
    <row r="12415" spans="2:6">
      <c r="B12415">
        <v>2015</v>
      </c>
      <c r="C12415" t="s">
        <v>134</v>
      </c>
      <c r="D12415" t="s">
        <v>183</v>
      </c>
      <c r="E12415" t="s">
        <v>9</v>
      </c>
      <c r="F12415">
        <v>0.89309042692184448</v>
      </c>
    </row>
    <row r="12416" spans="2:6">
      <c r="B12416">
        <v>2015</v>
      </c>
      <c r="C12416" t="s">
        <v>134</v>
      </c>
      <c r="D12416" t="s">
        <v>183</v>
      </c>
      <c r="E12416" t="s">
        <v>10</v>
      </c>
      <c r="F12416">
        <v>68.099998474121094</v>
      </c>
    </row>
    <row r="12417" spans="2:6">
      <c r="B12417">
        <v>2015</v>
      </c>
      <c r="C12417" t="s">
        <v>134</v>
      </c>
      <c r="D12417" t="s">
        <v>183</v>
      </c>
      <c r="E12417" t="s">
        <v>11</v>
      </c>
      <c r="F12417">
        <v>0.79346215724945068</v>
      </c>
    </row>
    <row r="12418" spans="2:6">
      <c r="B12418">
        <v>2015</v>
      </c>
      <c r="C12418" t="s">
        <v>134</v>
      </c>
      <c r="D12418" t="s">
        <v>183</v>
      </c>
      <c r="E12418" t="s">
        <v>12</v>
      </c>
      <c r="F12418">
        <v>-9.3016929924488068E-2</v>
      </c>
    </row>
    <row r="12419" spans="2:6">
      <c r="B12419">
        <v>2015</v>
      </c>
      <c r="C12419" t="s">
        <v>134</v>
      </c>
      <c r="D12419" t="s">
        <v>183</v>
      </c>
      <c r="E12419" t="s">
        <v>13</v>
      </c>
      <c r="F12419">
        <v>0.81009632349014282</v>
      </c>
    </row>
    <row r="12420" spans="2:6">
      <c r="B12420">
        <v>2015</v>
      </c>
      <c r="C12420" t="s">
        <v>134</v>
      </c>
      <c r="D12420" t="s">
        <v>183</v>
      </c>
      <c r="E12420" t="s">
        <v>14</v>
      </c>
      <c r="F12420">
        <v>0.73438256978988647</v>
      </c>
    </row>
    <row r="12421" spans="2:6">
      <c r="B12421">
        <v>2015</v>
      </c>
      <c r="C12421" t="s">
        <v>134</v>
      </c>
      <c r="D12421" t="s">
        <v>183</v>
      </c>
      <c r="E12421" t="s">
        <v>15</v>
      </c>
      <c r="F12421">
        <v>0.24043203890323639</v>
      </c>
    </row>
    <row r="12422" spans="2:6">
      <c r="B12422">
        <v>2016</v>
      </c>
      <c r="C12422" t="s">
        <v>134</v>
      </c>
      <c r="D12422" t="s">
        <v>183</v>
      </c>
      <c r="E12422" t="s">
        <v>7</v>
      </c>
      <c r="F12422">
        <v>6.162076473236084</v>
      </c>
    </row>
    <row r="12423" spans="2:6">
      <c r="B12423">
        <v>2016</v>
      </c>
      <c r="C12423" t="s">
        <v>134</v>
      </c>
      <c r="D12423" t="s">
        <v>183</v>
      </c>
      <c r="E12423" t="s">
        <v>8</v>
      </c>
      <c r="F12423">
        <v>10.265959739685059</v>
      </c>
    </row>
    <row r="12424" spans="2:6">
      <c r="B12424">
        <v>2016</v>
      </c>
      <c r="C12424" t="s">
        <v>134</v>
      </c>
      <c r="D12424" t="s">
        <v>183</v>
      </c>
      <c r="E12424" t="s">
        <v>9</v>
      </c>
      <c r="F12424">
        <v>0.91739881038665771</v>
      </c>
    </row>
    <row r="12425" spans="2:6">
      <c r="B12425">
        <v>2016</v>
      </c>
      <c r="C12425" t="s">
        <v>134</v>
      </c>
      <c r="D12425" t="s">
        <v>183</v>
      </c>
      <c r="E12425" t="s">
        <v>10</v>
      </c>
      <c r="F12425">
        <v>68.5</v>
      </c>
    </row>
    <row r="12426" spans="2:6">
      <c r="B12426">
        <v>2016</v>
      </c>
      <c r="C12426" t="s">
        <v>134</v>
      </c>
      <c r="D12426" t="s">
        <v>183</v>
      </c>
      <c r="E12426" t="s">
        <v>11</v>
      </c>
      <c r="F12426">
        <v>0.87070751190185547</v>
      </c>
    </row>
    <row r="12427" spans="2:6">
      <c r="B12427">
        <v>2016</v>
      </c>
      <c r="C12427" t="s">
        <v>134</v>
      </c>
      <c r="D12427" t="s">
        <v>183</v>
      </c>
      <c r="E12427" t="s">
        <v>12</v>
      </c>
      <c r="F12427">
        <v>-9.0937621891498566E-2</v>
      </c>
    </row>
    <row r="12428" spans="2:6">
      <c r="B12428">
        <v>2016</v>
      </c>
      <c r="C12428" t="s">
        <v>134</v>
      </c>
      <c r="D12428" t="s">
        <v>183</v>
      </c>
      <c r="E12428" t="s">
        <v>13</v>
      </c>
      <c r="F12428">
        <v>0.84775394201278687</v>
      </c>
    </row>
    <row r="12429" spans="2:6">
      <c r="B12429">
        <v>2016</v>
      </c>
      <c r="C12429" t="s">
        <v>134</v>
      </c>
      <c r="D12429" t="s">
        <v>183</v>
      </c>
      <c r="E12429" t="s">
        <v>14</v>
      </c>
      <c r="F12429">
        <v>0.77662461996078491</v>
      </c>
    </row>
    <row r="12430" spans="2:6">
      <c r="B12430">
        <v>2016</v>
      </c>
      <c r="C12430" t="s">
        <v>134</v>
      </c>
      <c r="D12430" t="s">
        <v>183</v>
      </c>
      <c r="E12430" t="s">
        <v>15</v>
      </c>
      <c r="F12430">
        <v>0.22353604435920715</v>
      </c>
    </row>
    <row r="12431" spans="2:6">
      <c r="B12431">
        <v>2017</v>
      </c>
      <c r="C12431" t="s">
        <v>134</v>
      </c>
      <c r="D12431" t="s">
        <v>183</v>
      </c>
      <c r="E12431" t="s">
        <v>7</v>
      </c>
      <c r="F12431">
        <v>6.201268196105957</v>
      </c>
    </row>
    <row r="12432" spans="2:6">
      <c r="B12432">
        <v>2017</v>
      </c>
      <c r="C12432" t="s">
        <v>134</v>
      </c>
      <c r="D12432" t="s">
        <v>183</v>
      </c>
      <c r="E12432" t="s">
        <v>8</v>
      </c>
      <c r="F12432">
        <v>10.314031600952148</v>
      </c>
    </row>
    <row r="12433" spans="2:6">
      <c r="B12433">
        <v>2017</v>
      </c>
      <c r="C12433" t="s">
        <v>134</v>
      </c>
      <c r="D12433" t="s">
        <v>183</v>
      </c>
      <c r="E12433" t="s">
        <v>9</v>
      </c>
      <c r="F12433">
        <v>0.88185411691665649</v>
      </c>
    </row>
    <row r="12434" spans="2:6">
      <c r="B12434">
        <v>2017</v>
      </c>
      <c r="C12434" t="s">
        <v>134</v>
      </c>
      <c r="D12434" t="s">
        <v>183</v>
      </c>
      <c r="E12434" t="s">
        <v>10</v>
      </c>
      <c r="F12434">
        <v>68.900001525878906</v>
      </c>
    </row>
    <row r="12435" spans="2:6">
      <c r="B12435">
        <v>2017</v>
      </c>
      <c r="C12435" t="s">
        <v>134</v>
      </c>
      <c r="D12435" t="s">
        <v>183</v>
      </c>
      <c r="E12435" t="s">
        <v>11</v>
      </c>
      <c r="F12435">
        <v>0.83084261417388916</v>
      </c>
    </row>
    <row r="12436" spans="2:6">
      <c r="B12436">
        <v>2017</v>
      </c>
      <c r="C12436" t="s">
        <v>134</v>
      </c>
      <c r="D12436" t="s">
        <v>183</v>
      </c>
      <c r="E12436" t="s">
        <v>12</v>
      </c>
      <c r="F12436">
        <v>-0.12176388502120972</v>
      </c>
    </row>
    <row r="12437" spans="2:6">
      <c r="B12437">
        <v>2017</v>
      </c>
      <c r="C12437" t="s">
        <v>134</v>
      </c>
      <c r="D12437" t="s">
        <v>183</v>
      </c>
      <c r="E12437" t="s">
        <v>13</v>
      </c>
      <c r="F12437">
        <v>0.63947993516921997</v>
      </c>
    </row>
    <row r="12438" spans="2:6">
      <c r="B12438">
        <v>2017</v>
      </c>
      <c r="C12438" t="s">
        <v>134</v>
      </c>
      <c r="D12438" t="s">
        <v>183</v>
      </c>
      <c r="E12438" t="s">
        <v>14</v>
      </c>
      <c r="F12438">
        <v>0.67743551731109619</v>
      </c>
    </row>
    <row r="12439" spans="2:6">
      <c r="B12439">
        <v>2017</v>
      </c>
      <c r="C12439" t="s">
        <v>134</v>
      </c>
      <c r="D12439" t="s">
        <v>183</v>
      </c>
      <c r="E12439" t="s">
        <v>15</v>
      </c>
      <c r="F12439">
        <v>0.2033877968788147</v>
      </c>
    </row>
    <row r="12440" spans="2:6">
      <c r="B12440">
        <v>2018</v>
      </c>
      <c r="C12440" t="s">
        <v>134</v>
      </c>
      <c r="D12440" t="s">
        <v>183</v>
      </c>
      <c r="E12440" t="s">
        <v>7</v>
      </c>
      <c r="F12440">
        <v>6.1114850044250488</v>
      </c>
    </row>
    <row r="12441" spans="2:6">
      <c r="B12441">
        <v>2018</v>
      </c>
      <c r="C12441" t="s">
        <v>134</v>
      </c>
      <c r="D12441" t="s">
        <v>183</v>
      </c>
      <c r="E12441" t="s">
        <v>8</v>
      </c>
      <c r="F12441">
        <v>10.366142272949219</v>
      </c>
    </row>
    <row r="12442" spans="2:6">
      <c r="B12442">
        <v>2018</v>
      </c>
      <c r="C12442" t="s">
        <v>134</v>
      </c>
      <c r="D12442" t="s">
        <v>183</v>
      </c>
      <c r="E12442" t="s">
        <v>9</v>
      </c>
      <c r="F12442">
        <v>0.86344420909881592</v>
      </c>
    </row>
    <row r="12443" spans="2:6">
      <c r="B12443">
        <v>2018</v>
      </c>
      <c r="C12443" t="s">
        <v>134</v>
      </c>
      <c r="D12443" t="s">
        <v>183</v>
      </c>
      <c r="E12443" t="s">
        <v>10</v>
      </c>
      <c r="F12443">
        <v>69.300003051757813</v>
      </c>
    </row>
    <row r="12444" spans="2:6">
      <c r="B12444">
        <v>2018</v>
      </c>
      <c r="C12444" t="s">
        <v>134</v>
      </c>
      <c r="D12444" t="s">
        <v>183</v>
      </c>
      <c r="E12444" t="s">
        <v>11</v>
      </c>
      <c r="F12444">
        <v>0.87021511793136597</v>
      </c>
    </row>
    <row r="12445" spans="2:6">
      <c r="B12445">
        <v>2018</v>
      </c>
      <c r="C12445" t="s">
        <v>134</v>
      </c>
      <c r="D12445" t="s">
        <v>183</v>
      </c>
      <c r="E12445" t="s">
        <v>12</v>
      </c>
      <c r="F12445">
        <v>-0.2544407844543457</v>
      </c>
    </row>
    <row r="12446" spans="2:6">
      <c r="B12446">
        <v>2018</v>
      </c>
      <c r="C12446" t="s">
        <v>134</v>
      </c>
      <c r="D12446" t="s">
        <v>183</v>
      </c>
      <c r="E12446" t="s">
        <v>13</v>
      </c>
      <c r="F12446">
        <v>0.72045135498046875</v>
      </c>
    </row>
    <row r="12447" spans="2:6">
      <c r="B12447">
        <v>2018</v>
      </c>
      <c r="C12447" t="s">
        <v>134</v>
      </c>
      <c r="D12447" t="s">
        <v>183</v>
      </c>
      <c r="E12447" t="s">
        <v>14</v>
      </c>
      <c r="F12447">
        <v>0.74241459369659424</v>
      </c>
    </row>
    <row r="12448" spans="2:6">
      <c r="B12448">
        <v>2018</v>
      </c>
      <c r="C12448" t="s">
        <v>134</v>
      </c>
      <c r="D12448" t="s">
        <v>183</v>
      </c>
      <c r="E12448" t="s">
        <v>15</v>
      </c>
      <c r="F12448">
        <v>0.1760106235742569</v>
      </c>
    </row>
    <row r="12449" spans="2:6">
      <c r="B12449">
        <v>2019</v>
      </c>
      <c r="C12449" t="s">
        <v>134</v>
      </c>
      <c r="D12449" t="s">
        <v>183</v>
      </c>
      <c r="E12449" t="s">
        <v>7</v>
      </c>
      <c r="F12449">
        <v>6.2420940399169922</v>
      </c>
    </row>
    <row r="12450" spans="2:6">
      <c r="B12450">
        <v>2019</v>
      </c>
      <c r="C12450" t="s">
        <v>134</v>
      </c>
      <c r="D12450" t="s">
        <v>183</v>
      </c>
      <c r="E12450" t="s">
        <v>8</v>
      </c>
      <c r="F12450">
        <v>10.406877517700195</v>
      </c>
    </row>
    <row r="12451" spans="2:6">
      <c r="B12451">
        <v>2019</v>
      </c>
      <c r="C12451" t="s">
        <v>134</v>
      </c>
      <c r="D12451" t="s">
        <v>183</v>
      </c>
      <c r="E12451" t="s">
        <v>9</v>
      </c>
      <c r="F12451">
        <v>0.87826824188232422</v>
      </c>
    </row>
    <row r="12452" spans="2:6">
      <c r="B12452">
        <v>2019</v>
      </c>
      <c r="C12452" t="s">
        <v>134</v>
      </c>
      <c r="D12452" t="s">
        <v>183</v>
      </c>
      <c r="E12452" t="s">
        <v>10</v>
      </c>
      <c r="F12452">
        <v>69.699996948242188</v>
      </c>
    </row>
    <row r="12453" spans="2:6">
      <c r="B12453">
        <v>2019</v>
      </c>
      <c r="C12453" t="s">
        <v>134</v>
      </c>
      <c r="D12453" t="s">
        <v>183</v>
      </c>
      <c r="E12453" t="s">
        <v>11</v>
      </c>
      <c r="F12453">
        <v>0.88288575410842896</v>
      </c>
    </row>
    <row r="12454" spans="2:6">
      <c r="B12454">
        <v>2019</v>
      </c>
      <c r="C12454" t="s">
        <v>134</v>
      </c>
      <c r="D12454" t="s">
        <v>183</v>
      </c>
      <c r="E12454" t="s">
        <v>12</v>
      </c>
      <c r="F12454">
        <v>-0.23071840405464172</v>
      </c>
    </row>
    <row r="12455" spans="2:6">
      <c r="B12455">
        <v>2019</v>
      </c>
      <c r="C12455" t="s">
        <v>134</v>
      </c>
      <c r="D12455" t="s">
        <v>183</v>
      </c>
      <c r="E12455" t="s">
        <v>13</v>
      </c>
      <c r="F12455">
        <v>0.69605737924575806</v>
      </c>
    </row>
    <row r="12456" spans="2:6">
      <c r="B12456">
        <v>2019</v>
      </c>
      <c r="C12456" t="s">
        <v>134</v>
      </c>
      <c r="D12456" t="s">
        <v>183</v>
      </c>
      <c r="E12456" t="s">
        <v>14</v>
      </c>
      <c r="F12456">
        <v>0.72516006231307983</v>
      </c>
    </row>
    <row r="12457" spans="2:6">
      <c r="B12457">
        <v>2019</v>
      </c>
      <c r="C12457" t="s">
        <v>134</v>
      </c>
      <c r="D12457" t="s">
        <v>183</v>
      </c>
      <c r="E12457" t="s">
        <v>15</v>
      </c>
      <c r="F12457">
        <v>0.16808968782424927</v>
      </c>
    </row>
    <row r="12458" spans="2:6">
      <c r="B12458">
        <v>2020</v>
      </c>
      <c r="C12458" t="s">
        <v>134</v>
      </c>
      <c r="D12458" t="s">
        <v>183</v>
      </c>
      <c r="E12458" t="s">
        <v>7</v>
      </c>
      <c r="F12458">
        <v>6.1394553184509277</v>
      </c>
    </row>
    <row r="12459" spans="2:6">
      <c r="B12459">
        <v>2020</v>
      </c>
      <c r="C12459" t="s">
        <v>134</v>
      </c>
      <c r="D12459" t="s">
        <v>183</v>
      </c>
      <c r="E12459" t="s">
        <v>8</v>
      </c>
      <c r="F12459">
        <v>10.371203422546387</v>
      </c>
    </row>
    <row r="12460" spans="2:6">
      <c r="B12460">
        <v>2020</v>
      </c>
      <c r="C12460" t="s">
        <v>134</v>
      </c>
      <c r="D12460" t="s">
        <v>183</v>
      </c>
      <c r="E12460" t="s">
        <v>9</v>
      </c>
      <c r="F12460">
        <v>0.95317173004150391</v>
      </c>
    </row>
    <row r="12461" spans="2:6">
      <c r="B12461">
        <v>2020</v>
      </c>
      <c r="C12461" t="s">
        <v>134</v>
      </c>
      <c r="D12461" t="s">
        <v>183</v>
      </c>
      <c r="E12461" t="s">
        <v>10</v>
      </c>
      <c r="F12461">
        <v>70.099998474121094</v>
      </c>
    </row>
    <row r="12462" spans="2:6">
      <c r="B12462">
        <v>2020</v>
      </c>
      <c r="C12462" t="s">
        <v>134</v>
      </c>
      <c r="D12462" t="s">
        <v>183</v>
      </c>
      <c r="E12462" t="s">
        <v>11</v>
      </c>
      <c r="F12462">
        <v>0.7674286961555481</v>
      </c>
    </row>
    <row r="12463" spans="2:6">
      <c r="B12463">
        <v>2020</v>
      </c>
      <c r="C12463" t="s">
        <v>134</v>
      </c>
      <c r="D12463" t="s">
        <v>183</v>
      </c>
      <c r="E12463" t="s">
        <v>12</v>
      </c>
      <c r="F12463">
        <v>-6.5593556500971317E-3</v>
      </c>
    </row>
    <row r="12464" spans="2:6">
      <c r="B12464">
        <v>2020</v>
      </c>
      <c r="C12464" t="s">
        <v>134</v>
      </c>
      <c r="D12464" t="s">
        <v>183</v>
      </c>
      <c r="E12464" t="s">
        <v>13</v>
      </c>
      <c r="F12464">
        <v>0.78687363862991333</v>
      </c>
    </row>
    <row r="12465" spans="2:6">
      <c r="B12465">
        <v>2020</v>
      </c>
      <c r="C12465" t="s">
        <v>134</v>
      </c>
      <c r="D12465" t="s">
        <v>183</v>
      </c>
      <c r="E12465" t="s">
        <v>14</v>
      </c>
      <c r="F12465">
        <v>0.75984257459640503</v>
      </c>
    </row>
    <row r="12466" spans="2:6">
      <c r="B12466">
        <v>2020</v>
      </c>
      <c r="C12466" t="s">
        <v>134</v>
      </c>
      <c r="D12466" t="s">
        <v>183</v>
      </c>
      <c r="E12466" t="s">
        <v>15</v>
      </c>
      <c r="F12466">
        <v>0.32893791794776917</v>
      </c>
    </row>
    <row r="12467" spans="2:6">
      <c r="B12467">
        <v>2006</v>
      </c>
      <c r="C12467" t="s">
        <v>135</v>
      </c>
      <c r="D12467" t="s">
        <v>183</v>
      </c>
      <c r="E12467" t="s">
        <v>7</v>
      </c>
      <c r="F12467">
        <v>5.4052462577819824</v>
      </c>
    </row>
    <row r="12468" spans="2:6">
      <c r="B12468">
        <v>2006</v>
      </c>
      <c r="C12468" t="s">
        <v>135</v>
      </c>
      <c r="D12468" t="s">
        <v>183</v>
      </c>
      <c r="E12468" t="s">
        <v>8</v>
      </c>
      <c r="F12468">
        <v>10.359779357910156</v>
      </c>
    </row>
    <row r="12469" spans="2:6">
      <c r="B12469">
        <v>2006</v>
      </c>
      <c r="C12469" t="s">
        <v>135</v>
      </c>
      <c r="D12469" t="s">
        <v>183</v>
      </c>
      <c r="E12469" t="s">
        <v>9</v>
      </c>
      <c r="F12469">
        <v>0.90528988838195801</v>
      </c>
    </row>
    <row r="12470" spans="2:6">
      <c r="B12470">
        <v>2006</v>
      </c>
      <c r="C12470" t="s">
        <v>135</v>
      </c>
      <c r="D12470" t="s">
        <v>183</v>
      </c>
      <c r="E12470" t="s">
        <v>10</v>
      </c>
      <c r="F12470">
        <v>69.839996337890625</v>
      </c>
    </row>
    <row r="12471" spans="2:6">
      <c r="B12471">
        <v>2006</v>
      </c>
      <c r="C12471" t="s">
        <v>135</v>
      </c>
      <c r="D12471" t="s">
        <v>183</v>
      </c>
      <c r="E12471" t="s">
        <v>11</v>
      </c>
      <c r="F12471">
        <v>0.88206809759140015</v>
      </c>
    </row>
    <row r="12472" spans="2:6">
      <c r="B12472">
        <v>2006</v>
      </c>
      <c r="C12472" t="s">
        <v>135</v>
      </c>
      <c r="D12472" t="s">
        <v>183</v>
      </c>
      <c r="E12472" t="s">
        <v>12</v>
      </c>
      <c r="F12472">
        <v>-0.17858932912349701</v>
      </c>
    </row>
    <row r="12473" spans="2:6">
      <c r="B12473">
        <v>2006</v>
      </c>
      <c r="C12473" t="s">
        <v>135</v>
      </c>
      <c r="D12473" t="s">
        <v>183</v>
      </c>
      <c r="E12473" t="s">
        <v>13</v>
      </c>
      <c r="F12473">
        <v>0.88005900382995605</v>
      </c>
    </row>
    <row r="12474" spans="2:6">
      <c r="B12474">
        <v>2006</v>
      </c>
      <c r="C12474" t="s">
        <v>135</v>
      </c>
      <c r="D12474" t="s">
        <v>183</v>
      </c>
      <c r="E12474" t="s">
        <v>14</v>
      </c>
      <c r="F12474">
        <v>0.708912193775177</v>
      </c>
    </row>
    <row r="12475" spans="2:6">
      <c r="B12475">
        <v>2006</v>
      </c>
      <c r="C12475" t="s">
        <v>135</v>
      </c>
      <c r="D12475" t="s">
        <v>183</v>
      </c>
      <c r="E12475" t="s">
        <v>15</v>
      </c>
      <c r="F12475">
        <v>0.33349761366844177</v>
      </c>
    </row>
    <row r="12476" spans="2:6">
      <c r="B12476">
        <v>2008</v>
      </c>
      <c r="C12476" t="s">
        <v>135</v>
      </c>
      <c r="D12476" t="s">
        <v>183</v>
      </c>
      <c r="E12476" t="s">
        <v>7</v>
      </c>
      <c r="F12476">
        <v>5.7169666290283203</v>
      </c>
    </row>
    <row r="12477" spans="2:6">
      <c r="B12477">
        <v>2008</v>
      </c>
      <c r="C12477" t="s">
        <v>135</v>
      </c>
      <c r="D12477" t="s">
        <v>183</v>
      </c>
      <c r="E12477" t="s">
        <v>8</v>
      </c>
      <c r="F12477">
        <v>10.384319305419922</v>
      </c>
    </row>
    <row r="12478" spans="2:6">
      <c r="B12478">
        <v>2008</v>
      </c>
      <c r="C12478" t="s">
        <v>135</v>
      </c>
      <c r="D12478" t="s">
        <v>183</v>
      </c>
      <c r="E12478" t="s">
        <v>9</v>
      </c>
      <c r="F12478">
        <v>0.88592541217803955</v>
      </c>
    </row>
    <row r="12479" spans="2:6">
      <c r="B12479">
        <v>2008</v>
      </c>
      <c r="C12479" t="s">
        <v>135</v>
      </c>
      <c r="D12479" t="s">
        <v>183</v>
      </c>
      <c r="E12479" t="s">
        <v>10</v>
      </c>
      <c r="F12479">
        <v>70.319999694824219</v>
      </c>
    </row>
    <row r="12480" spans="2:6">
      <c r="B12480">
        <v>2008</v>
      </c>
      <c r="C12480" t="s">
        <v>135</v>
      </c>
      <c r="D12480" t="s">
        <v>183</v>
      </c>
      <c r="E12480" t="s">
        <v>11</v>
      </c>
      <c r="F12480">
        <v>0.64646410942077637</v>
      </c>
    </row>
    <row r="12481" spans="2:6">
      <c r="B12481">
        <v>2008</v>
      </c>
      <c r="C12481" t="s">
        <v>135</v>
      </c>
      <c r="D12481" t="s">
        <v>183</v>
      </c>
      <c r="E12481" t="s">
        <v>12</v>
      </c>
      <c r="F12481">
        <v>-0.21748311817646027</v>
      </c>
    </row>
    <row r="12482" spans="2:6">
      <c r="B12482">
        <v>2008</v>
      </c>
      <c r="C12482" t="s">
        <v>135</v>
      </c>
      <c r="D12482" t="s">
        <v>183</v>
      </c>
      <c r="E12482" t="s">
        <v>13</v>
      </c>
      <c r="F12482">
        <v>0.93268585205078125</v>
      </c>
    </row>
    <row r="12483" spans="2:6">
      <c r="B12483">
        <v>2008</v>
      </c>
      <c r="C12483" t="s">
        <v>135</v>
      </c>
      <c r="D12483" t="s">
        <v>183</v>
      </c>
      <c r="E12483" t="s">
        <v>14</v>
      </c>
      <c r="F12483">
        <v>0.70293056964874268</v>
      </c>
    </row>
    <row r="12484" spans="2:6">
      <c r="B12484">
        <v>2008</v>
      </c>
      <c r="C12484" t="s">
        <v>135</v>
      </c>
      <c r="D12484" t="s">
        <v>183</v>
      </c>
      <c r="E12484" t="s">
        <v>15</v>
      </c>
      <c r="F12484">
        <v>0.30928072333335876</v>
      </c>
    </row>
    <row r="12485" spans="2:6">
      <c r="B12485">
        <v>2010</v>
      </c>
      <c r="C12485" t="s">
        <v>135</v>
      </c>
      <c r="D12485" t="s">
        <v>183</v>
      </c>
      <c r="E12485" t="s">
        <v>7</v>
      </c>
      <c r="F12485">
        <v>5.0945258140563965</v>
      </c>
    </row>
    <row r="12486" spans="2:6">
      <c r="B12486">
        <v>2010</v>
      </c>
      <c r="C12486" t="s">
        <v>135</v>
      </c>
      <c r="D12486" t="s">
        <v>183</v>
      </c>
      <c r="E12486" t="s">
        <v>8</v>
      </c>
      <c r="F12486">
        <v>10.368414878845215</v>
      </c>
    </row>
    <row r="12487" spans="2:6">
      <c r="B12487">
        <v>2010</v>
      </c>
      <c r="C12487" t="s">
        <v>135</v>
      </c>
      <c r="D12487" t="s">
        <v>183</v>
      </c>
      <c r="E12487" t="s">
        <v>9</v>
      </c>
      <c r="F12487">
        <v>0.86390674114227295</v>
      </c>
    </row>
    <row r="12488" spans="2:6">
      <c r="B12488">
        <v>2010</v>
      </c>
      <c r="C12488" t="s">
        <v>135</v>
      </c>
      <c r="D12488" t="s">
        <v>183</v>
      </c>
      <c r="E12488" t="s">
        <v>10</v>
      </c>
      <c r="F12488">
        <v>70.800003051757813</v>
      </c>
    </row>
    <row r="12489" spans="2:6">
      <c r="B12489">
        <v>2010</v>
      </c>
      <c r="C12489" t="s">
        <v>135</v>
      </c>
      <c r="D12489" t="s">
        <v>183</v>
      </c>
      <c r="E12489" t="s">
        <v>11</v>
      </c>
      <c r="F12489">
        <v>0.72103637456893921</v>
      </c>
    </row>
    <row r="12490" spans="2:6">
      <c r="B12490">
        <v>2010</v>
      </c>
      <c r="C12490" t="s">
        <v>135</v>
      </c>
      <c r="D12490" t="s">
        <v>183</v>
      </c>
      <c r="E12490" t="s">
        <v>12</v>
      </c>
      <c r="F12490">
        <v>-0.10599029809236526</v>
      </c>
    </row>
    <row r="12491" spans="2:6">
      <c r="B12491">
        <v>2010</v>
      </c>
      <c r="C12491" t="s">
        <v>135</v>
      </c>
      <c r="D12491" t="s">
        <v>183</v>
      </c>
      <c r="E12491" t="s">
        <v>13</v>
      </c>
      <c r="F12491">
        <v>0.94787943363189697</v>
      </c>
    </row>
    <row r="12492" spans="2:6">
      <c r="B12492">
        <v>2010</v>
      </c>
      <c r="C12492" t="s">
        <v>135</v>
      </c>
      <c r="D12492" t="s">
        <v>183</v>
      </c>
      <c r="E12492" t="s">
        <v>14</v>
      </c>
      <c r="F12492">
        <v>0.74161213636398315</v>
      </c>
    </row>
    <row r="12493" spans="2:6">
      <c r="B12493">
        <v>2010</v>
      </c>
      <c r="C12493" t="s">
        <v>135</v>
      </c>
      <c r="D12493" t="s">
        <v>183</v>
      </c>
      <c r="E12493" t="s">
        <v>15</v>
      </c>
      <c r="F12493">
        <v>0.26510736346244812</v>
      </c>
    </row>
    <row r="12494" spans="2:6">
      <c r="B12494">
        <v>2011</v>
      </c>
      <c r="C12494" t="s">
        <v>135</v>
      </c>
      <c r="D12494" t="s">
        <v>183</v>
      </c>
      <c r="E12494" t="s">
        <v>7</v>
      </c>
      <c r="F12494">
        <v>5.2199978828430176</v>
      </c>
    </row>
    <row r="12495" spans="2:6">
      <c r="B12495">
        <v>2011</v>
      </c>
      <c r="C12495" t="s">
        <v>135</v>
      </c>
      <c r="D12495" t="s">
        <v>183</v>
      </c>
      <c r="E12495" t="s">
        <v>8</v>
      </c>
      <c r="F12495">
        <v>10.352778434753418</v>
      </c>
    </row>
    <row r="12496" spans="2:6">
      <c r="B12496">
        <v>2011</v>
      </c>
      <c r="C12496" t="s">
        <v>135</v>
      </c>
      <c r="D12496" t="s">
        <v>183</v>
      </c>
      <c r="E12496" t="s">
        <v>9</v>
      </c>
      <c r="F12496">
        <v>0.8559606671333313</v>
      </c>
    </row>
    <row r="12497" spans="2:6">
      <c r="B12497">
        <v>2011</v>
      </c>
      <c r="C12497" t="s">
        <v>135</v>
      </c>
      <c r="D12497" t="s">
        <v>183</v>
      </c>
      <c r="E12497" t="s">
        <v>10</v>
      </c>
      <c r="F12497">
        <v>71</v>
      </c>
    </row>
    <row r="12498" spans="2:6">
      <c r="B12498">
        <v>2011</v>
      </c>
      <c r="C12498" t="s">
        <v>135</v>
      </c>
      <c r="D12498" t="s">
        <v>183</v>
      </c>
      <c r="E12498" t="s">
        <v>11</v>
      </c>
      <c r="F12498">
        <v>0.87509256601333618</v>
      </c>
    </row>
    <row r="12499" spans="2:6">
      <c r="B12499">
        <v>2011</v>
      </c>
      <c r="C12499" t="s">
        <v>135</v>
      </c>
      <c r="D12499" t="s">
        <v>183</v>
      </c>
      <c r="E12499" t="s">
        <v>12</v>
      </c>
      <c r="F12499">
        <v>-0.17306198179721832</v>
      </c>
    </row>
    <row r="12500" spans="2:6">
      <c r="B12500">
        <v>2011</v>
      </c>
      <c r="C12500" t="s">
        <v>135</v>
      </c>
      <c r="D12500" t="s">
        <v>183</v>
      </c>
      <c r="E12500" t="s">
        <v>13</v>
      </c>
      <c r="F12500">
        <v>0.96197712421417236</v>
      </c>
    </row>
    <row r="12501" spans="2:6">
      <c r="B12501">
        <v>2011</v>
      </c>
      <c r="C12501" t="s">
        <v>135</v>
      </c>
      <c r="D12501" t="s">
        <v>183</v>
      </c>
      <c r="E12501" t="s">
        <v>14</v>
      </c>
      <c r="F12501">
        <v>0.7251090407371521</v>
      </c>
    </row>
    <row r="12502" spans="2:6">
      <c r="B12502">
        <v>2011</v>
      </c>
      <c r="C12502" t="s">
        <v>135</v>
      </c>
      <c r="D12502" t="s">
        <v>183</v>
      </c>
      <c r="E12502" t="s">
        <v>15</v>
      </c>
      <c r="F12502">
        <v>0.27920088171958923</v>
      </c>
    </row>
    <row r="12503" spans="2:6">
      <c r="B12503">
        <v>2012</v>
      </c>
      <c r="C12503" t="s">
        <v>135</v>
      </c>
      <c r="D12503" t="s">
        <v>183</v>
      </c>
      <c r="E12503" t="s">
        <v>7</v>
      </c>
      <c r="F12503">
        <v>4.993962287902832</v>
      </c>
    </row>
    <row r="12504" spans="2:6">
      <c r="B12504">
        <v>2012</v>
      </c>
      <c r="C12504" t="s">
        <v>135</v>
      </c>
      <c r="D12504" t="s">
        <v>183</v>
      </c>
      <c r="E12504" t="s">
        <v>8</v>
      </c>
      <c r="F12504">
        <v>10.315413475036621</v>
      </c>
    </row>
    <row r="12505" spans="2:6">
      <c r="B12505">
        <v>2012</v>
      </c>
      <c r="C12505" t="s">
        <v>135</v>
      </c>
      <c r="D12505" t="s">
        <v>183</v>
      </c>
      <c r="E12505" t="s">
        <v>9</v>
      </c>
      <c r="F12505">
        <v>0.86603862047195435</v>
      </c>
    </row>
    <row r="12506" spans="2:6">
      <c r="B12506">
        <v>2012</v>
      </c>
      <c r="C12506" t="s">
        <v>135</v>
      </c>
      <c r="D12506" t="s">
        <v>183</v>
      </c>
      <c r="E12506" t="s">
        <v>10</v>
      </c>
      <c r="F12506">
        <v>71.199996948242188</v>
      </c>
    </row>
    <row r="12507" spans="2:6">
      <c r="B12507">
        <v>2012</v>
      </c>
      <c r="C12507" t="s">
        <v>135</v>
      </c>
      <c r="D12507" t="s">
        <v>183</v>
      </c>
      <c r="E12507" t="s">
        <v>11</v>
      </c>
      <c r="F12507">
        <v>0.77382141351699829</v>
      </c>
    </row>
    <row r="12508" spans="2:6">
      <c r="B12508">
        <v>2012</v>
      </c>
      <c r="C12508" t="s">
        <v>135</v>
      </c>
      <c r="D12508" t="s">
        <v>183</v>
      </c>
      <c r="E12508" t="s">
        <v>12</v>
      </c>
      <c r="F12508">
        <v>-9.7088232636451721E-2</v>
      </c>
    </row>
    <row r="12509" spans="2:6">
      <c r="B12509">
        <v>2012</v>
      </c>
      <c r="C12509" t="s">
        <v>135</v>
      </c>
      <c r="D12509" t="s">
        <v>183</v>
      </c>
      <c r="E12509" t="s">
        <v>13</v>
      </c>
      <c r="F12509">
        <v>0.95928841829299927</v>
      </c>
    </row>
    <row r="12510" spans="2:6">
      <c r="B12510">
        <v>2012</v>
      </c>
      <c r="C12510" t="s">
        <v>135</v>
      </c>
      <c r="D12510" t="s">
        <v>183</v>
      </c>
      <c r="E12510" t="s">
        <v>14</v>
      </c>
      <c r="F12510">
        <v>0.72893446683883667</v>
      </c>
    </row>
    <row r="12511" spans="2:6">
      <c r="B12511">
        <v>2012</v>
      </c>
      <c r="C12511" t="s">
        <v>135</v>
      </c>
      <c r="D12511" t="s">
        <v>183</v>
      </c>
      <c r="E12511" t="s">
        <v>15</v>
      </c>
      <c r="F12511">
        <v>0.37016996741294861</v>
      </c>
    </row>
    <row r="12512" spans="2:6">
      <c r="B12512">
        <v>2013</v>
      </c>
      <c r="C12512" t="s">
        <v>135</v>
      </c>
      <c r="D12512" t="s">
        <v>183</v>
      </c>
      <c r="E12512" t="s">
        <v>7</v>
      </c>
      <c r="F12512">
        <v>5.1576881408691406</v>
      </c>
    </row>
    <row r="12513" spans="2:6">
      <c r="B12513">
        <v>2013</v>
      </c>
      <c r="C12513" t="s">
        <v>135</v>
      </c>
      <c r="D12513" t="s">
        <v>183</v>
      </c>
      <c r="E12513" t="s">
        <v>8</v>
      </c>
      <c r="F12513">
        <v>10.311633110046387</v>
      </c>
    </row>
    <row r="12514" spans="2:6">
      <c r="B12514">
        <v>2013</v>
      </c>
      <c r="C12514" t="s">
        <v>135</v>
      </c>
      <c r="D12514" t="s">
        <v>183</v>
      </c>
      <c r="E12514" t="s">
        <v>9</v>
      </c>
      <c r="F12514">
        <v>0.86718082427978516</v>
      </c>
    </row>
    <row r="12515" spans="2:6">
      <c r="B12515">
        <v>2013</v>
      </c>
      <c r="C12515" t="s">
        <v>135</v>
      </c>
      <c r="D12515" t="s">
        <v>183</v>
      </c>
      <c r="E12515" t="s">
        <v>10</v>
      </c>
      <c r="F12515">
        <v>71.400001525878906</v>
      </c>
    </row>
    <row r="12516" spans="2:6">
      <c r="B12516">
        <v>2013</v>
      </c>
      <c r="C12516" t="s">
        <v>135</v>
      </c>
      <c r="D12516" t="s">
        <v>183</v>
      </c>
      <c r="E12516" t="s">
        <v>11</v>
      </c>
      <c r="F12516">
        <v>0.78803277015686035</v>
      </c>
    </row>
    <row r="12517" spans="2:6">
      <c r="B12517">
        <v>2013</v>
      </c>
      <c r="C12517" t="s">
        <v>135</v>
      </c>
      <c r="D12517" t="s">
        <v>183</v>
      </c>
      <c r="E12517" t="s">
        <v>12</v>
      </c>
      <c r="F12517">
        <v>-0.11844685673713684</v>
      </c>
    </row>
    <row r="12518" spans="2:6">
      <c r="B12518">
        <v>2013</v>
      </c>
      <c r="C12518" t="s">
        <v>135</v>
      </c>
      <c r="D12518" t="s">
        <v>183</v>
      </c>
      <c r="E12518" t="s">
        <v>13</v>
      </c>
      <c r="F12518">
        <v>0.94625735282897949</v>
      </c>
    </row>
    <row r="12519" spans="2:6">
      <c r="B12519">
        <v>2013</v>
      </c>
      <c r="C12519" t="s">
        <v>135</v>
      </c>
      <c r="D12519" t="s">
        <v>183</v>
      </c>
      <c r="E12519" t="s">
        <v>14</v>
      </c>
      <c r="F12519">
        <v>0.69966721534729004</v>
      </c>
    </row>
    <row r="12520" spans="2:6">
      <c r="B12520">
        <v>2013</v>
      </c>
      <c r="C12520" t="s">
        <v>135</v>
      </c>
      <c r="D12520" t="s">
        <v>183</v>
      </c>
      <c r="E12520" t="s">
        <v>15</v>
      </c>
      <c r="F12520">
        <v>0.34789815545082092</v>
      </c>
    </row>
    <row r="12521" spans="2:6">
      <c r="B12521">
        <v>2014</v>
      </c>
      <c r="C12521" t="s">
        <v>135</v>
      </c>
      <c r="D12521" t="s">
        <v>183</v>
      </c>
      <c r="E12521" t="s">
        <v>7</v>
      </c>
      <c r="F12521">
        <v>5.1269116401672363</v>
      </c>
    </row>
    <row r="12522" spans="2:6">
      <c r="B12522">
        <v>2014</v>
      </c>
      <c r="C12522" t="s">
        <v>135</v>
      </c>
      <c r="D12522" t="s">
        <v>183</v>
      </c>
      <c r="E12522" t="s">
        <v>8</v>
      </c>
      <c r="F12522">
        <v>10.324914932250977</v>
      </c>
    </row>
    <row r="12523" spans="2:6">
      <c r="B12523">
        <v>2014</v>
      </c>
      <c r="C12523" t="s">
        <v>135</v>
      </c>
      <c r="D12523" t="s">
        <v>183</v>
      </c>
      <c r="E12523" t="s">
        <v>9</v>
      </c>
      <c r="F12523">
        <v>0.86182945966720581</v>
      </c>
    </row>
    <row r="12524" spans="2:6">
      <c r="B12524">
        <v>2014</v>
      </c>
      <c r="C12524" t="s">
        <v>135</v>
      </c>
      <c r="D12524" t="s">
        <v>183</v>
      </c>
      <c r="E12524" t="s">
        <v>10</v>
      </c>
      <c r="F12524">
        <v>71.599998474121094</v>
      </c>
    </row>
    <row r="12525" spans="2:6">
      <c r="B12525">
        <v>2014</v>
      </c>
      <c r="C12525" t="s">
        <v>135</v>
      </c>
      <c r="D12525" t="s">
        <v>183</v>
      </c>
      <c r="E12525" t="s">
        <v>11</v>
      </c>
      <c r="F12525">
        <v>0.84681010246276855</v>
      </c>
    </row>
    <row r="12526" spans="2:6">
      <c r="B12526">
        <v>2014</v>
      </c>
      <c r="C12526" t="s">
        <v>135</v>
      </c>
      <c r="D12526" t="s">
        <v>183</v>
      </c>
      <c r="E12526" t="s">
        <v>12</v>
      </c>
      <c r="F12526">
        <v>-0.12640388309955597</v>
      </c>
    </row>
    <row r="12527" spans="2:6">
      <c r="B12527">
        <v>2014</v>
      </c>
      <c r="C12527" t="s">
        <v>135</v>
      </c>
      <c r="D12527" t="s">
        <v>183</v>
      </c>
      <c r="E12527" t="s">
        <v>13</v>
      </c>
      <c r="F12527">
        <v>0.9410700798034668</v>
      </c>
    </row>
    <row r="12528" spans="2:6">
      <c r="B12528">
        <v>2014</v>
      </c>
      <c r="C12528" t="s">
        <v>135</v>
      </c>
      <c r="D12528" t="s">
        <v>183</v>
      </c>
      <c r="E12528" t="s">
        <v>14</v>
      </c>
      <c r="F12528">
        <v>0.70507228374481201</v>
      </c>
    </row>
    <row r="12529" spans="2:6">
      <c r="B12529">
        <v>2014</v>
      </c>
      <c r="C12529" t="s">
        <v>135</v>
      </c>
      <c r="D12529" t="s">
        <v>183</v>
      </c>
      <c r="E12529" t="s">
        <v>15</v>
      </c>
      <c r="F12529">
        <v>0.35769227147102356</v>
      </c>
    </row>
    <row r="12530" spans="2:6">
      <c r="B12530">
        <v>2015</v>
      </c>
      <c r="C12530" t="s">
        <v>135</v>
      </c>
      <c r="D12530" t="s">
        <v>183</v>
      </c>
      <c r="E12530" t="s">
        <v>7</v>
      </c>
      <c r="F12530">
        <v>5.0808663368225098</v>
      </c>
    </row>
    <row r="12531" spans="2:6">
      <c r="B12531">
        <v>2015</v>
      </c>
      <c r="C12531" t="s">
        <v>135</v>
      </c>
      <c r="D12531" t="s">
        <v>183</v>
      </c>
      <c r="E12531" t="s">
        <v>8</v>
      </c>
      <c r="F12531">
        <v>10.346818923950195</v>
      </c>
    </row>
    <row r="12532" spans="2:6">
      <c r="B12532">
        <v>2015</v>
      </c>
      <c r="C12532" t="s">
        <v>135</v>
      </c>
      <c r="D12532" t="s">
        <v>183</v>
      </c>
      <c r="E12532" t="s">
        <v>9</v>
      </c>
      <c r="F12532">
        <v>0.86621385812759399</v>
      </c>
    </row>
    <row r="12533" spans="2:6">
      <c r="B12533">
        <v>2015</v>
      </c>
      <c r="C12533" t="s">
        <v>135</v>
      </c>
      <c r="D12533" t="s">
        <v>183</v>
      </c>
      <c r="E12533" t="s">
        <v>10</v>
      </c>
      <c r="F12533">
        <v>71.800003051757813</v>
      </c>
    </row>
    <row r="12534" spans="2:6">
      <c r="B12534">
        <v>2015</v>
      </c>
      <c r="C12534" t="s">
        <v>135</v>
      </c>
      <c r="D12534" t="s">
        <v>183</v>
      </c>
      <c r="E12534" t="s">
        <v>11</v>
      </c>
      <c r="F12534">
        <v>0.80044031143188477</v>
      </c>
    </row>
    <row r="12535" spans="2:6">
      <c r="B12535">
        <v>2015</v>
      </c>
      <c r="C12535" t="s">
        <v>135</v>
      </c>
      <c r="D12535" t="s">
        <v>183</v>
      </c>
      <c r="E12535" t="s">
        <v>12</v>
      </c>
      <c r="F12535">
        <v>-0.16310612857341766</v>
      </c>
    </row>
    <row r="12536" spans="2:6">
      <c r="B12536">
        <v>2015</v>
      </c>
      <c r="C12536" t="s">
        <v>135</v>
      </c>
      <c r="D12536" t="s">
        <v>183</v>
      </c>
      <c r="E12536" t="s">
        <v>13</v>
      </c>
      <c r="F12536">
        <v>0.94105076789855957</v>
      </c>
    </row>
    <row r="12537" spans="2:6">
      <c r="B12537">
        <v>2015</v>
      </c>
      <c r="C12537" t="s">
        <v>135</v>
      </c>
      <c r="D12537" t="s">
        <v>183</v>
      </c>
      <c r="E12537" t="s">
        <v>14</v>
      </c>
      <c r="F12537">
        <v>0.65717631578445435</v>
      </c>
    </row>
    <row r="12538" spans="2:6">
      <c r="B12538">
        <v>2015</v>
      </c>
      <c r="C12538" t="s">
        <v>135</v>
      </c>
      <c r="D12538" t="s">
        <v>183</v>
      </c>
      <c r="E12538" t="s">
        <v>15</v>
      </c>
      <c r="F12538">
        <v>0.37073686718940735</v>
      </c>
    </row>
    <row r="12539" spans="2:6">
      <c r="B12539">
        <v>2016</v>
      </c>
      <c r="C12539" t="s">
        <v>135</v>
      </c>
      <c r="D12539" t="s">
        <v>183</v>
      </c>
      <c r="E12539" t="s">
        <v>7</v>
      </c>
      <c r="F12539">
        <v>5.4466371536254883</v>
      </c>
    </row>
    <row r="12540" spans="2:6">
      <c r="B12540">
        <v>2016</v>
      </c>
      <c r="C12540" t="s">
        <v>135</v>
      </c>
      <c r="D12540" t="s">
        <v>183</v>
      </c>
      <c r="E12540" t="s">
        <v>8</v>
      </c>
      <c r="F12540">
        <v>10.369966506958008</v>
      </c>
    </row>
    <row r="12541" spans="2:6">
      <c r="B12541">
        <v>2016</v>
      </c>
      <c r="C12541" t="s">
        <v>135</v>
      </c>
      <c r="D12541" t="s">
        <v>183</v>
      </c>
      <c r="E12541" t="s">
        <v>9</v>
      </c>
      <c r="F12541">
        <v>0.90463536977767944</v>
      </c>
    </row>
    <row r="12542" spans="2:6">
      <c r="B12542">
        <v>2016</v>
      </c>
      <c r="C12542" t="s">
        <v>135</v>
      </c>
      <c r="D12542" t="s">
        <v>183</v>
      </c>
      <c r="E12542" t="s">
        <v>10</v>
      </c>
      <c r="F12542">
        <v>72</v>
      </c>
    </row>
    <row r="12543" spans="2:6">
      <c r="B12543">
        <v>2016</v>
      </c>
      <c r="C12543" t="s">
        <v>135</v>
      </c>
      <c r="D12543" t="s">
        <v>183</v>
      </c>
      <c r="E12543" t="s">
        <v>11</v>
      </c>
      <c r="F12543">
        <v>0.83806931972503662</v>
      </c>
    </row>
    <row r="12544" spans="2:6">
      <c r="B12544">
        <v>2016</v>
      </c>
      <c r="C12544" t="s">
        <v>135</v>
      </c>
      <c r="D12544" t="s">
        <v>183</v>
      </c>
      <c r="E12544" t="s">
        <v>12</v>
      </c>
      <c r="F12544">
        <v>-0.22528617084026337</v>
      </c>
    </row>
    <row r="12545" spans="2:6">
      <c r="B12545">
        <v>2016</v>
      </c>
      <c r="C12545" t="s">
        <v>135</v>
      </c>
      <c r="D12545" t="s">
        <v>183</v>
      </c>
      <c r="E12545" t="s">
        <v>13</v>
      </c>
      <c r="F12545">
        <v>0.92219239473342896</v>
      </c>
    </row>
    <row r="12546" spans="2:6">
      <c r="B12546">
        <v>2016</v>
      </c>
      <c r="C12546" t="s">
        <v>135</v>
      </c>
      <c r="D12546" t="s">
        <v>183</v>
      </c>
      <c r="E12546" t="s">
        <v>14</v>
      </c>
      <c r="F12546">
        <v>0.68356621265411377</v>
      </c>
    </row>
    <row r="12547" spans="2:6">
      <c r="B12547">
        <v>2016</v>
      </c>
      <c r="C12547" t="s">
        <v>135</v>
      </c>
      <c r="D12547" t="s">
        <v>183</v>
      </c>
      <c r="E12547" t="s">
        <v>15</v>
      </c>
      <c r="F12547">
        <v>0.32625272870063782</v>
      </c>
    </row>
    <row r="12548" spans="2:6">
      <c r="B12548">
        <v>2017</v>
      </c>
      <c r="C12548" t="s">
        <v>135</v>
      </c>
      <c r="D12548" t="s">
        <v>183</v>
      </c>
      <c r="E12548" t="s">
        <v>7</v>
      </c>
      <c r="F12548">
        <v>5.7114992141723633</v>
      </c>
    </row>
    <row r="12549" spans="2:6">
      <c r="B12549">
        <v>2017</v>
      </c>
      <c r="C12549" t="s">
        <v>135</v>
      </c>
      <c r="D12549" t="s">
        <v>183</v>
      </c>
      <c r="E12549" t="s">
        <v>8</v>
      </c>
      <c r="F12549">
        <v>10.406868934631348</v>
      </c>
    </row>
    <row r="12550" spans="2:6">
      <c r="B12550">
        <v>2017</v>
      </c>
      <c r="C12550" t="s">
        <v>135</v>
      </c>
      <c r="D12550" t="s">
        <v>183</v>
      </c>
      <c r="E12550" t="s">
        <v>9</v>
      </c>
      <c r="F12550">
        <v>0.89998483657836914</v>
      </c>
    </row>
    <row r="12551" spans="2:6">
      <c r="B12551">
        <v>2017</v>
      </c>
      <c r="C12551" t="s">
        <v>135</v>
      </c>
      <c r="D12551" t="s">
        <v>183</v>
      </c>
      <c r="E12551" t="s">
        <v>10</v>
      </c>
      <c r="F12551">
        <v>72.199996948242188</v>
      </c>
    </row>
    <row r="12552" spans="2:6">
      <c r="B12552">
        <v>2017</v>
      </c>
      <c r="C12552" t="s">
        <v>135</v>
      </c>
      <c r="D12552" t="s">
        <v>183</v>
      </c>
      <c r="E12552" t="s">
        <v>11</v>
      </c>
      <c r="F12552">
        <v>0.90506565570831299</v>
      </c>
    </row>
    <row r="12553" spans="2:6">
      <c r="B12553">
        <v>2017</v>
      </c>
      <c r="C12553" t="s">
        <v>135</v>
      </c>
      <c r="D12553" t="s">
        <v>183</v>
      </c>
      <c r="E12553" t="s">
        <v>12</v>
      </c>
      <c r="F12553">
        <v>-0.17587386071681976</v>
      </c>
    </row>
    <row r="12554" spans="2:6">
      <c r="B12554">
        <v>2017</v>
      </c>
      <c r="C12554" t="s">
        <v>135</v>
      </c>
      <c r="D12554" t="s">
        <v>183</v>
      </c>
      <c r="E12554" t="s">
        <v>13</v>
      </c>
      <c r="F12554">
        <v>0.8809705376625061</v>
      </c>
    </row>
    <row r="12555" spans="2:6">
      <c r="B12555">
        <v>2017</v>
      </c>
      <c r="C12555" t="s">
        <v>135</v>
      </c>
      <c r="D12555" t="s">
        <v>183</v>
      </c>
      <c r="E12555" t="s">
        <v>14</v>
      </c>
      <c r="F12555">
        <v>0.64915108680725098</v>
      </c>
    </row>
    <row r="12556" spans="2:6">
      <c r="B12556">
        <v>2017</v>
      </c>
      <c r="C12556" t="s">
        <v>135</v>
      </c>
      <c r="D12556" t="s">
        <v>183</v>
      </c>
      <c r="E12556" t="s">
        <v>15</v>
      </c>
      <c r="F12556">
        <v>0.29427257180213928</v>
      </c>
    </row>
    <row r="12557" spans="2:6">
      <c r="B12557">
        <v>2018</v>
      </c>
      <c r="C12557" t="s">
        <v>135</v>
      </c>
      <c r="D12557" t="s">
        <v>183</v>
      </c>
      <c r="E12557" t="s">
        <v>7</v>
      </c>
      <c r="F12557">
        <v>5.9198226928710938</v>
      </c>
    </row>
    <row r="12558" spans="2:6">
      <c r="B12558">
        <v>2018</v>
      </c>
      <c r="C12558" t="s">
        <v>135</v>
      </c>
      <c r="D12558" t="s">
        <v>183</v>
      </c>
      <c r="E12558" t="s">
        <v>8</v>
      </c>
      <c r="F12558">
        <v>10.434499740600586</v>
      </c>
    </row>
    <row r="12559" spans="2:6">
      <c r="B12559">
        <v>2018</v>
      </c>
      <c r="C12559" t="s">
        <v>135</v>
      </c>
      <c r="D12559" t="s">
        <v>183</v>
      </c>
      <c r="E12559" t="s">
        <v>9</v>
      </c>
      <c r="F12559">
        <v>0.88711327314376831</v>
      </c>
    </row>
    <row r="12560" spans="2:6">
      <c r="B12560">
        <v>2018</v>
      </c>
      <c r="C12560" t="s">
        <v>135</v>
      </c>
      <c r="D12560" t="s">
        <v>183</v>
      </c>
      <c r="E12560" t="s">
        <v>10</v>
      </c>
      <c r="F12560">
        <v>72.400001525878906</v>
      </c>
    </row>
    <row r="12561" spans="2:6">
      <c r="B12561">
        <v>2018</v>
      </c>
      <c r="C12561" t="s">
        <v>135</v>
      </c>
      <c r="D12561" t="s">
        <v>183</v>
      </c>
      <c r="E12561" t="s">
        <v>11</v>
      </c>
      <c r="F12561">
        <v>0.87740421295166016</v>
      </c>
    </row>
    <row r="12562" spans="2:6">
      <c r="B12562">
        <v>2018</v>
      </c>
      <c r="C12562" t="s">
        <v>135</v>
      </c>
      <c r="D12562" t="s">
        <v>183</v>
      </c>
      <c r="E12562" t="s">
        <v>12</v>
      </c>
      <c r="F12562">
        <v>-0.26136642694473267</v>
      </c>
    </row>
    <row r="12563" spans="2:6">
      <c r="B12563">
        <v>2018</v>
      </c>
      <c r="C12563" t="s">
        <v>135</v>
      </c>
      <c r="D12563" t="s">
        <v>183</v>
      </c>
      <c r="E12563" t="s">
        <v>13</v>
      </c>
      <c r="F12563">
        <v>0.87972784042358398</v>
      </c>
    </row>
    <row r="12564" spans="2:6">
      <c r="B12564">
        <v>2018</v>
      </c>
      <c r="C12564" t="s">
        <v>135</v>
      </c>
      <c r="D12564" t="s">
        <v>183</v>
      </c>
      <c r="E12564" t="s">
        <v>14</v>
      </c>
      <c r="F12564">
        <v>0.67910414934158325</v>
      </c>
    </row>
    <row r="12565" spans="2:6">
      <c r="B12565">
        <v>2018</v>
      </c>
      <c r="C12565" t="s">
        <v>135</v>
      </c>
      <c r="D12565" t="s">
        <v>183</v>
      </c>
      <c r="E12565" t="s">
        <v>15</v>
      </c>
      <c r="F12565">
        <v>0.31799474358558655</v>
      </c>
    </row>
    <row r="12566" spans="2:6">
      <c r="B12566">
        <v>2019</v>
      </c>
      <c r="C12566" t="s">
        <v>135</v>
      </c>
      <c r="D12566" t="s">
        <v>183</v>
      </c>
      <c r="E12566" t="s">
        <v>7</v>
      </c>
      <c r="F12566">
        <v>6.0954732894897461</v>
      </c>
    </row>
    <row r="12567" spans="2:6">
      <c r="B12567">
        <v>2019</v>
      </c>
      <c r="C12567" t="s">
        <v>135</v>
      </c>
      <c r="D12567" t="s">
        <v>183</v>
      </c>
      <c r="E12567" t="s">
        <v>8</v>
      </c>
      <c r="F12567">
        <v>10.457315444946289</v>
      </c>
    </row>
    <row r="12568" spans="2:6">
      <c r="B12568">
        <v>2019</v>
      </c>
      <c r="C12568" t="s">
        <v>135</v>
      </c>
      <c r="D12568" t="s">
        <v>183</v>
      </c>
      <c r="E12568" t="s">
        <v>9</v>
      </c>
      <c r="F12568">
        <v>0.87608259916305542</v>
      </c>
    </row>
    <row r="12569" spans="2:6">
      <c r="B12569">
        <v>2019</v>
      </c>
      <c r="C12569" t="s">
        <v>135</v>
      </c>
      <c r="D12569" t="s">
        <v>183</v>
      </c>
      <c r="E12569" t="s">
        <v>10</v>
      </c>
      <c r="F12569">
        <v>72.599998474121094</v>
      </c>
    </row>
    <row r="12570" spans="2:6">
      <c r="B12570">
        <v>2019</v>
      </c>
      <c r="C12570" t="s">
        <v>135</v>
      </c>
      <c r="D12570" t="s">
        <v>183</v>
      </c>
      <c r="E12570" t="s">
        <v>11</v>
      </c>
      <c r="F12570">
        <v>0.8823511004447937</v>
      </c>
    </row>
    <row r="12571" spans="2:6">
      <c r="B12571">
        <v>2019</v>
      </c>
      <c r="C12571" t="s">
        <v>135</v>
      </c>
      <c r="D12571" t="s">
        <v>183</v>
      </c>
      <c r="E12571" t="s">
        <v>12</v>
      </c>
      <c r="F12571">
        <v>-0.2338545173406601</v>
      </c>
    </row>
    <row r="12572" spans="2:6">
      <c r="B12572">
        <v>2019</v>
      </c>
      <c r="C12572" t="s">
        <v>135</v>
      </c>
      <c r="D12572" t="s">
        <v>183</v>
      </c>
      <c r="E12572" t="s">
        <v>13</v>
      </c>
      <c r="F12572">
        <v>0.91516560316085815</v>
      </c>
    </row>
    <row r="12573" spans="2:6">
      <c r="B12573">
        <v>2019</v>
      </c>
      <c r="C12573" t="s">
        <v>135</v>
      </c>
      <c r="D12573" t="s">
        <v>183</v>
      </c>
      <c r="E12573" t="s">
        <v>14</v>
      </c>
      <c r="F12573">
        <v>0.70982217788696289</v>
      </c>
    </row>
    <row r="12574" spans="2:6">
      <c r="B12574">
        <v>2019</v>
      </c>
      <c r="C12574" t="s">
        <v>135</v>
      </c>
      <c r="D12574" t="s">
        <v>183</v>
      </c>
      <c r="E12574" t="s">
        <v>15</v>
      </c>
      <c r="F12574">
        <v>0.29987475275993347</v>
      </c>
    </row>
    <row r="12575" spans="2:6">
      <c r="B12575">
        <v>2020</v>
      </c>
      <c r="C12575" t="s">
        <v>135</v>
      </c>
      <c r="D12575" t="s">
        <v>183</v>
      </c>
      <c r="E12575" t="s">
        <v>7</v>
      </c>
      <c r="F12575">
        <v>5.7677922248840332</v>
      </c>
    </row>
    <row r="12576" spans="2:6">
      <c r="B12576">
        <v>2020</v>
      </c>
      <c r="C12576" t="s">
        <v>135</v>
      </c>
      <c r="D12576" t="s">
        <v>183</v>
      </c>
      <c r="E12576" t="s">
        <v>8</v>
      </c>
      <c r="F12576">
        <v>10.370820045471191</v>
      </c>
    </row>
    <row r="12577" spans="2:6">
      <c r="B12577">
        <v>2020</v>
      </c>
      <c r="C12577" t="s">
        <v>135</v>
      </c>
      <c r="D12577" t="s">
        <v>183</v>
      </c>
      <c r="E12577" t="s">
        <v>9</v>
      </c>
      <c r="F12577">
        <v>0.87499034404754639</v>
      </c>
    </row>
    <row r="12578" spans="2:6">
      <c r="B12578">
        <v>2020</v>
      </c>
      <c r="C12578" t="s">
        <v>135</v>
      </c>
      <c r="D12578" t="s">
        <v>183</v>
      </c>
      <c r="E12578" t="s">
        <v>10</v>
      </c>
      <c r="F12578">
        <v>72.800003051757813</v>
      </c>
    </row>
    <row r="12579" spans="2:6">
      <c r="B12579">
        <v>2020</v>
      </c>
      <c r="C12579" t="s">
        <v>135</v>
      </c>
      <c r="D12579" t="s">
        <v>183</v>
      </c>
      <c r="E12579" t="s">
        <v>11</v>
      </c>
      <c r="F12579">
        <v>0.91313076019287109</v>
      </c>
    </row>
    <row r="12580" spans="2:6">
      <c r="B12580">
        <v>2020</v>
      </c>
      <c r="C12580" t="s">
        <v>135</v>
      </c>
      <c r="D12580" t="s">
        <v>183</v>
      </c>
      <c r="E12580" t="s">
        <v>12</v>
      </c>
      <c r="F12580">
        <v>-0.23809020221233368</v>
      </c>
    </row>
    <row r="12581" spans="2:6">
      <c r="B12581">
        <v>2020</v>
      </c>
      <c r="C12581" t="s">
        <v>135</v>
      </c>
      <c r="D12581" t="s">
        <v>183</v>
      </c>
      <c r="E12581" t="s">
        <v>13</v>
      </c>
      <c r="F12581">
        <v>0.86715716123580933</v>
      </c>
    </row>
    <row r="12582" spans="2:6">
      <c r="B12582">
        <v>2020</v>
      </c>
      <c r="C12582" t="s">
        <v>135</v>
      </c>
      <c r="D12582" t="s">
        <v>183</v>
      </c>
      <c r="E12582" t="s">
        <v>14</v>
      </c>
      <c r="F12582">
        <v>0.64776885509490967</v>
      </c>
    </row>
    <row r="12583" spans="2:6">
      <c r="B12583">
        <v>2020</v>
      </c>
      <c r="C12583" t="s">
        <v>135</v>
      </c>
      <c r="D12583" t="s">
        <v>183</v>
      </c>
      <c r="E12583" t="s">
        <v>15</v>
      </c>
      <c r="F12583">
        <v>0.38281267881393433</v>
      </c>
    </row>
    <row r="12584" spans="2:6">
      <c r="B12584">
        <v>2009</v>
      </c>
      <c r="C12584" t="s">
        <v>136</v>
      </c>
      <c r="D12584" t="s">
        <v>182</v>
      </c>
      <c r="E12584" t="s">
        <v>7</v>
      </c>
      <c r="F12584">
        <v>6.4178242683410645</v>
      </c>
    </row>
    <row r="12585" spans="2:6">
      <c r="B12585">
        <v>2009</v>
      </c>
      <c r="C12585" t="s">
        <v>136</v>
      </c>
      <c r="D12585" t="s">
        <v>182</v>
      </c>
      <c r="E12585" t="s">
        <v>8</v>
      </c>
      <c r="F12585">
        <v>11.455723762512207</v>
      </c>
    </row>
    <row r="12586" spans="2:6">
      <c r="B12586">
        <v>2009</v>
      </c>
      <c r="C12586" t="s">
        <v>136</v>
      </c>
      <c r="D12586" t="s">
        <v>182</v>
      </c>
      <c r="E12586" t="s">
        <v>9</v>
      </c>
      <c r="F12586">
        <v>0.89449310302734375</v>
      </c>
    </row>
    <row r="12587" spans="2:6">
      <c r="B12587">
        <v>2009</v>
      </c>
      <c r="C12587" t="s">
        <v>136</v>
      </c>
      <c r="D12587" t="s">
        <v>182</v>
      </c>
      <c r="E12587" t="s">
        <v>10</v>
      </c>
      <c r="F12587">
        <v>66.580001831054688</v>
      </c>
    </row>
    <row r="12588" spans="2:6">
      <c r="B12588">
        <v>2009</v>
      </c>
      <c r="C12588" t="s">
        <v>136</v>
      </c>
      <c r="D12588" t="s">
        <v>182</v>
      </c>
      <c r="E12588" t="s">
        <v>11</v>
      </c>
      <c r="F12588">
        <v>0.86499190330505371</v>
      </c>
    </row>
    <row r="12589" spans="2:6">
      <c r="B12589">
        <v>2009</v>
      </c>
      <c r="C12589" t="s">
        <v>136</v>
      </c>
      <c r="D12589" t="s">
        <v>182</v>
      </c>
      <c r="E12589" t="s">
        <v>12</v>
      </c>
      <c r="F12589">
        <v>0.23489730060100555</v>
      </c>
    </row>
    <row r="12590" spans="2:6">
      <c r="B12590">
        <v>2009</v>
      </c>
      <c r="C12590" t="s">
        <v>136</v>
      </c>
      <c r="D12590" t="s">
        <v>182</v>
      </c>
      <c r="E12590" t="s">
        <v>13</v>
      </c>
      <c r="F12590">
        <v>0.18379813432693481</v>
      </c>
    </row>
    <row r="12591" spans="2:6">
      <c r="B12591">
        <v>2009</v>
      </c>
      <c r="C12591" t="s">
        <v>136</v>
      </c>
      <c r="D12591" t="s">
        <v>182</v>
      </c>
      <c r="E12591" t="s">
        <v>14</v>
      </c>
      <c r="F12591">
        <v>0.67791163921356201</v>
      </c>
    </row>
    <row r="12592" spans="2:6">
      <c r="B12592">
        <v>2009</v>
      </c>
      <c r="C12592" t="s">
        <v>136</v>
      </c>
      <c r="D12592" t="s">
        <v>182</v>
      </c>
      <c r="E12592" t="s">
        <v>15</v>
      </c>
      <c r="F12592">
        <v>0.2580845057964325</v>
      </c>
    </row>
    <row r="12593" spans="2:6">
      <c r="B12593">
        <v>2010</v>
      </c>
      <c r="C12593" t="s">
        <v>136</v>
      </c>
      <c r="D12593" t="s">
        <v>182</v>
      </c>
      <c r="E12593" t="s">
        <v>7</v>
      </c>
      <c r="F12593">
        <v>6.8496527671813965</v>
      </c>
    </row>
    <row r="12594" spans="2:6">
      <c r="B12594">
        <v>2010</v>
      </c>
      <c r="C12594" t="s">
        <v>136</v>
      </c>
      <c r="D12594" t="s">
        <v>182</v>
      </c>
      <c r="E12594" t="s">
        <v>8</v>
      </c>
      <c r="F12594">
        <v>11.519813537597656</v>
      </c>
    </row>
    <row r="12595" spans="2:6">
      <c r="B12595">
        <v>2010</v>
      </c>
      <c r="C12595" t="s">
        <v>136</v>
      </c>
      <c r="D12595" t="s">
        <v>182</v>
      </c>
      <c r="E12595" t="s">
        <v>10</v>
      </c>
      <c r="F12595">
        <v>66.699996948242188</v>
      </c>
    </row>
    <row r="12596" spans="2:6">
      <c r="B12596">
        <v>2010</v>
      </c>
      <c r="C12596" t="s">
        <v>136</v>
      </c>
      <c r="D12596" t="s">
        <v>182</v>
      </c>
      <c r="E12596" t="s">
        <v>12</v>
      </c>
      <c r="F12596">
        <v>0.10368723422288895</v>
      </c>
    </row>
    <row r="12597" spans="2:6">
      <c r="B12597">
        <v>2011</v>
      </c>
      <c r="C12597" t="s">
        <v>136</v>
      </c>
      <c r="D12597" t="s">
        <v>182</v>
      </c>
      <c r="E12597" t="s">
        <v>7</v>
      </c>
      <c r="F12597">
        <v>6.5916042327880859</v>
      </c>
    </row>
    <row r="12598" spans="2:6">
      <c r="B12598">
        <v>2011</v>
      </c>
      <c r="C12598" t="s">
        <v>136</v>
      </c>
      <c r="D12598" t="s">
        <v>182</v>
      </c>
      <c r="E12598" t="s">
        <v>8</v>
      </c>
      <c r="F12598">
        <v>11.553021430969238</v>
      </c>
    </row>
    <row r="12599" spans="2:6">
      <c r="B12599">
        <v>2011</v>
      </c>
      <c r="C12599" t="s">
        <v>136</v>
      </c>
      <c r="D12599" t="s">
        <v>182</v>
      </c>
      <c r="E12599" t="s">
        <v>9</v>
      </c>
      <c r="F12599">
        <v>0.85735058784484863</v>
      </c>
    </row>
    <row r="12600" spans="2:6">
      <c r="B12600">
        <v>2011</v>
      </c>
      <c r="C12600" t="s">
        <v>136</v>
      </c>
      <c r="D12600" t="s">
        <v>182</v>
      </c>
      <c r="E12600" t="s">
        <v>10</v>
      </c>
      <c r="F12600">
        <v>67.019996643066406</v>
      </c>
    </row>
    <row r="12601" spans="2:6">
      <c r="B12601">
        <v>2011</v>
      </c>
      <c r="C12601" t="s">
        <v>136</v>
      </c>
      <c r="D12601" t="s">
        <v>182</v>
      </c>
      <c r="E12601" t="s">
        <v>11</v>
      </c>
      <c r="F12601">
        <v>0.90468746423721313</v>
      </c>
    </row>
    <row r="12602" spans="2:6">
      <c r="B12602">
        <v>2011</v>
      </c>
      <c r="C12602" t="s">
        <v>136</v>
      </c>
      <c r="D12602" t="s">
        <v>182</v>
      </c>
      <c r="E12602" t="s">
        <v>12</v>
      </c>
      <c r="F12602">
        <v>1.1700338684022427E-2</v>
      </c>
    </row>
    <row r="12603" spans="2:6">
      <c r="B12603">
        <v>2011</v>
      </c>
      <c r="C12603" t="s">
        <v>136</v>
      </c>
      <c r="D12603" t="s">
        <v>182</v>
      </c>
      <c r="E12603" t="s">
        <v>14</v>
      </c>
      <c r="F12603">
        <v>0.76092731952667236</v>
      </c>
    </row>
    <row r="12604" spans="2:6">
      <c r="B12604">
        <v>2011</v>
      </c>
      <c r="C12604" t="s">
        <v>136</v>
      </c>
      <c r="D12604" t="s">
        <v>182</v>
      </c>
      <c r="E12604" t="s">
        <v>15</v>
      </c>
      <c r="F12604">
        <v>0.32778990268707275</v>
      </c>
    </row>
    <row r="12605" spans="2:6">
      <c r="B12605">
        <v>2012</v>
      </c>
      <c r="C12605" t="s">
        <v>136</v>
      </c>
      <c r="D12605" t="s">
        <v>182</v>
      </c>
      <c r="E12605" t="s">
        <v>7</v>
      </c>
      <c r="F12605">
        <v>6.6112985610961914</v>
      </c>
    </row>
    <row r="12606" spans="2:6">
      <c r="B12606">
        <v>2012</v>
      </c>
      <c r="C12606" t="s">
        <v>136</v>
      </c>
      <c r="D12606" t="s">
        <v>182</v>
      </c>
      <c r="E12606" t="s">
        <v>8</v>
      </c>
      <c r="F12606">
        <v>11.52308177947998</v>
      </c>
    </row>
    <row r="12607" spans="2:6">
      <c r="B12607">
        <v>2012</v>
      </c>
      <c r="C12607" t="s">
        <v>136</v>
      </c>
      <c r="D12607" t="s">
        <v>182</v>
      </c>
      <c r="E12607" t="s">
        <v>9</v>
      </c>
      <c r="F12607">
        <v>0.83813166618347168</v>
      </c>
    </row>
    <row r="12608" spans="2:6">
      <c r="B12608">
        <v>2012</v>
      </c>
      <c r="C12608" t="s">
        <v>136</v>
      </c>
      <c r="D12608" t="s">
        <v>182</v>
      </c>
      <c r="E12608" t="s">
        <v>10</v>
      </c>
      <c r="F12608">
        <v>67.339996337890625</v>
      </c>
    </row>
    <row r="12609" spans="2:6">
      <c r="B12609">
        <v>2012</v>
      </c>
      <c r="C12609" t="s">
        <v>136</v>
      </c>
      <c r="D12609" t="s">
        <v>182</v>
      </c>
      <c r="E12609" t="s">
        <v>11</v>
      </c>
      <c r="F12609">
        <v>0.92433363199234009</v>
      </c>
    </row>
    <row r="12610" spans="2:6">
      <c r="B12610">
        <v>2012</v>
      </c>
      <c r="C12610" t="s">
        <v>136</v>
      </c>
      <c r="D12610" t="s">
        <v>182</v>
      </c>
      <c r="E12610" t="s">
        <v>12</v>
      </c>
      <c r="F12610">
        <v>0.16152980923652649</v>
      </c>
    </row>
    <row r="12611" spans="2:6">
      <c r="B12611">
        <v>2012</v>
      </c>
      <c r="C12611" t="s">
        <v>136</v>
      </c>
      <c r="D12611" t="s">
        <v>182</v>
      </c>
      <c r="E12611" t="s">
        <v>14</v>
      </c>
      <c r="F12611">
        <v>0.76589882373809814</v>
      </c>
    </row>
    <row r="12612" spans="2:6">
      <c r="B12612">
        <v>2012</v>
      </c>
      <c r="C12612" t="s">
        <v>136</v>
      </c>
      <c r="D12612" t="s">
        <v>182</v>
      </c>
      <c r="E12612" t="s">
        <v>15</v>
      </c>
      <c r="F12612">
        <v>0.32218143343925476</v>
      </c>
    </row>
    <row r="12613" spans="2:6">
      <c r="B12613">
        <v>2015</v>
      </c>
      <c r="C12613" t="s">
        <v>136</v>
      </c>
      <c r="D12613" t="s">
        <v>182</v>
      </c>
      <c r="E12613" t="s">
        <v>7</v>
      </c>
      <c r="F12613">
        <v>6.3745293617248535</v>
      </c>
    </row>
    <row r="12614" spans="2:6">
      <c r="B12614">
        <v>2015</v>
      </c>
      <c r="C12614" t="s">
        <v>136</v>
      </c>
      <c r="D12614" t="s">
        <v>182</v>
      </c>
      <c r="E12614" t="s">
        <v>8</v>
      </c>
      <c r="F12614">
        <v>11.485614776611328</v>
      </c>
    </row>
    <row r="12615" spans="2:6">
      <c r="B12615">
        <v>2015</v>
      </c>
      <c r="C12615" t="s">
        <v>136</v>
      </c>
      <c r="D12615" t="s">
        <v>182</v>
      </c>
      <c r="E12615" t="s">
        <v>10</v>
      </c>
      <c r="F12615">
        <v>68.300003051757813</v>
      </c>
    </row>
    <row r="12616" spans="2:6">
      <c r="B12616">
        <v>2005</v>
      </c>
      <c r="C12616" t="s">
        <v>137</v>
      </c>
      <c r="D12616" t="s">
        <v>183</v>
      </c>
      <c r="E12616" t="s">
        <v>7</v>
      </c>
      <c r="F12616">
        <v>5.0486483573913574</v>
      </c>
    </row>
    <row r="12617" spans="2:6">
      <c r="B12617">
        <v>2005</v>
      </c>
      <c r="C12617" t="s">
        <v>137</v>
      </c>
      <c r="D12617" t="s">
        <v>183</v>
      </c>
      <c r="E12617" t="s">
        <v>8</v>
      </c>
      <c r="F12617">
        <v>9.7243118286132813</v>
      </c>
    </row>
    <row r="12618" spans="2:6">
      <c r="B12618">
        <v>2005</v>
      </c>
      <c r="C12618" t="s">
        <v>137</v>
      </c>
      <c r="D12618" t="s">
        <v>183</v>
      </c>
      <c r="E12618" t="s">
        <v>9</v>
      </c>
      <c r="F12618">
        <v>0.83768546581268311</v>
      </c>
    </row>
    <row r="12619" spans="2:6">
      <c r="B12619">
        <v>2005</v>
      </c>
      <c r="C12619" t="s">
        <v>137</v>
      </c>
      <c r="D12619" t="s">
        <v>183</v>
      </c>
      <c r="E12619" t="s">
        <v>10</v>
      </c>
      <c r="F12619">
        <v>64</v>
      </c>
    </row>
    <row r="12620" spans="2:6">
      <c r="B12620">
        <v>2005</v>
      </c>
      <c r="C12620" t="s">
        <v>137</v>
      </c>
      <c r="D12620" t="s">
        <v>183</v>
      </c>
      <c r="E12620" t="s">
        <v>11</v>
      </c>
      <c r="F12620">
        <v>0.80012059211730957</v>
      </c>
    </row>
    <row r="12621" spans="2:6">
      <c r="B12621">
        <v>2005</v>
      </c>
      <c r="C12621" t="s">
        <v>137</v>
      </c>
      <c r="D12621" t="s">
        <v>183</v>
      </c>
      <c r="E12621" t="s">
        <v>13</v>
      </c>
      <c r="F12621">
        <v>0.95688456296920776</v>
      </c>
    </row>
    <row r="12622" spans="2:6">
      <c r="B12622">
        <v>2005</v>
      </c>
      <c r="C12622" t="s">
        <v>137</v>
      </c>
      <c r="D12622" t="s">
        <v>183</v>
      </c>
      <c r="E12622" t="s">
        <v>14</v>
      </c>
      <c r="F12622">
        <v>0.64201593399047852</v>
      </c>
    </row>
    <row r="12623" spans="2:6">
      <c r="B12623">
        <v>2005</v>
      </c>
      <c r="C12623" t="s">
        <v>137</v>
      </c>
      <c r="D12623" t="s">
        <v>183</v>
      </c>
      <c r="E12623" t="s">
        <v>15</v>
      </c>
      <c r="F12623">
        <v>0.34568691253662109</v>
      </c>
    </row>
    <row r="12624" spans="2:6">
      <c r="B12624">
        <v>2007</v>
      </c>
      <c r="C12624" t="s">
        <v>137</v>
      </c>
      <c r="D12624" t="s">
        <v>183</v>
      </c>
      <c r="E12624" t="s">
        <v>7</v>
      </c>
      <c r="F12624">
        <v>5.3937239646911621</v>
      </c>
    </row>
    <row r="12625" spans="2:6">
      <c r="B12625">
        <v>2007</v>
      </c>
      <c r="C12625" t="s">
        <v>137</v>
      </c>
      <c r="D12625" t="s">
        <v>183</v>
      </c>
      <c r="E12625" t="s">
        <v>8</v>
      </c>
      <c r="F12625">
        <v>9.8920774459838867</v>
      </c>
    </row>
    <row r="12626" spans="2:6">
      <c r="B12626">
        <v>2007</v>
      </c>
      <c r="C12626" t="s">
        <v>137</v>
      </c>
      <c r="D12626" t="s">
        <v>183</v>
      </c>
      <c r="E12626" t="s">
        <v>9</v>
      </c>
      <c r="F12626">
        <v>0.73648041486740112</v>
      </c>
    </row>
    <row r="12627" spans="2:6">
      <c r="B12627">
        <v>2007</v>
      </c>
      <c r="C12627" t="s">
        <v>137</v>
      </c>
      <c r="D12627" t="s">
        <v>183</v>
      </c>
      <c r="E12627" t="s">
        <v>10</v>
      </c>
      <c r="F12627">
        <v>64.480003356933594</v>
      </c>
    </row>
    <row r="12628" spans="2:6">
      <c r="B12628">
        <v>2007</v>
      </c>
      <c r="C12628" t="s">
        <v>137</v>
      </c>
      <c r="D12628" t="s">
        <v>183</v>
      </c>
      <c r="E12628" t="s">
        <v>11</v>
      </c>
      <c r="F12628">
        <v>0.68574774265289307</v>
      </c>
    </row>
    <row r="12629" spans="2:6">
      <c r="B12629">
        <v>2007</v>
      </c>
      <c r="C12629" t="s">
        <v>137</v>
      </c>
      <c r="D12629" t="s">
        <v>183</v>
      </c>
      <c r="E12629" t="s">
        <v>12</v>
      </c>
      <c r="F12629">
        <v>-0.18775719404220581</v>
      </c>
    </row>
    <row r="12630" spans="2:6">
      <c r="B12630">
        <v>2007</v>
      </c>
      <c r="C12630" t="s">
        <v>137</v>
      </c>
      <c r="D12630" t="s">
        <v>183</v>
      </c>
      <c r="E12630" t="s">
        <v>13</v>
      </c>
      <c r="F12630">
        <v>0.94870662689208984</v>
      </c>
    </row>
    <row r="12631" spans="2:6">
      <c r="B12631">
        <v>2007</v>
      </c>
      <c r="C12631" t="s">
        <v>137</v>
      </c>
      <c r="D12631" t="s">
        <v>183</v>
      </c>
      <c r="E12631" t="s">
        <v>14</v>
      </c>
      <c r="F12631">
        <v>0.64417767524719238</v>
      </c>
    </row>
    <row r="12632" spans="2:6">
      <c r="B12632">
        <v>2007</v>
      </c>
      <c r="C12632" t="s">
        <v>137</v>
      </c>
      <c r="D12632" t="s">
        <v>183</v>
      </c>
      <c r="E12632" t="s">
        <v>15</v>
      </c>
      <c r="F12632">
        <v>0.27662608027458191</v>
      </c>
    </row>
    <row r="12633" spans="2:6">
      <c r="B12633">
        <v>2009</v>
      </c>
      <c r="C12633" t="s">
        <v>137</v>
      </c>
      <c r="D12633" t="s">
        <v>183</v>
      </c>
      <c r="E12633" t="s">
        <v>7</v>
      </c>
      <c r="F12633">
        <v>5.3675651550292969</v>
      </c>
    </row>
    <row r="12634" spans="2:6">
      <c r="B12634">
        <v>2009</v>
      </c>
      <c r="C12634" t="s">
        <v>137</v>
      </c>
      <c r="D12634" t="s">
        <v>183</v>
      </c>
      <c r="E12634" t="s">
        <v>8</v>
      </c>
      <c r="F12634">
        <v>9.9493122100830078</v>
      </c>
    </row>
    <row r="12635" spans="2:6">
      <c r="B12635">
        <v>2009</v>
      </c>
      <c r="C12635" t="s">
        <v>137</v>
      </c>
      <c r="D12635" t="s">
        <v>183</v>
      </c>
      <c r="E12635" t="s">
        <v>9</v>
      </c>
      <c r="F12635">
        <v>0.81244957447052002</v>
      </c>
    </row>
    <row r="12636" spans="2:6">
      <c r="B12636">
        <v>2009</v>
      </c>
      <c r="C12636" t="s">
        <v>137</v>
      </c>
      <c r="D12636" t="s">
        <v>183</v>
      </c>
      <c r="E12636" t="s">
        <v>10</v>
      </c>
      <c r="F12636">
        <v>64.959999084472656</v>
      </c>
    </row>
    <row r="12637" spans="2:6">
      <c r="B12637">
        <v>2009</v>
      </c>
      <c r="C12637" t="s">
        <v>137</v>
      </c>
      <c r="D12637" t="s">
        <v>183</v>
      </c>
      <c r="E12637" t="s">
        <v>11</v>
      </c>
      <c r="F12637">
        <v>0.60582762956619263</v>
      </c>
    </row>
    <row r="12638" spans="2:6">
      <c r="B12638">
        <v>2009</v>
      </c>
      <c r="C12638" t="s">
        <v>137</v>
      </c>
      <c r="D12638" t="s">
        <v>183</v>
      </c>
      <c r="E12638" t="s">
        <v>12</v>
      </c>
      <c r="F12638">
        <v>-0.19623224437236786</v>
      </c>
    </row>
    <row r="12639" spans="2:6">
      <c r="B12639">
        <v>2009</v>
      </c>
      <c r="C12639" t="s">
        <v>137</v>
      </c>
      <c r="D12639" t="s">
        <v>183</v>
      </c>
      <c r="E12639" t="s">
        <v>13</v>
      </c>
      <c r="F12639">
        <v>0.96679461002349854</v>
      </c>
    </row>
    <row r="12640" spans="2:6">
      <c r="B12640">
        <v>2009</v>
      </c>
      <c r="C12640" t="s">
        <v>137</v>
      </c>
      <c r="D12640" t="s">
        <v>183</v>
      </c>
      <c r="E12640" t="s">
        <v>14</v>
      </c>
      <c r="F12640">
        <v>0.54834747314453125</v>
      </c>
    </row>
    <row r="12641" spans="2:6">
      <c r="B12641">
        <v>2009</v>
      </c>
      <c r="C12641" t="s">
        <v>137</v>
      </c>
      <c r="D12641" t="s">
        <v>183</v>
      </c>
      <c r="E12641" t="s">
        <v>15</v>
      </c>
      <c r="F12641">
        <v>0.2700512707233429</v>
      </c>
    </row>
    <row r="12642" spans="2:6">
      <c r="B12642">
        <v>2010</v>
      </c>
      <c r="C12642" t="s">
        <v>137</v>
      </c>
      <c r="D12642" t="s">
        <v>183</v>
      </c>
      <c r="E12642" t="s">
        <v>7</v>
      </c>
      <c r="F12642">
        <v>4.9091658592224121</v>
      </c>
    </row>
    <row r="12643" spans="2:6">
      <c r="B12643">
        <v>2010</v>
      </c>
      <c r="C12643" t="s">
        <v>137</v>
      </c>
      <c r="D12643" t="s">
        <v>183</v>
      </c>
      <c r="E12643" t="s">
        <v>8</v>
      </c>
      <c r="F12643">
        <v>9.9154577255249023</v>
      </c>
    </row>
    <row r="12644" spans="2:6">
      <c r="B12644">
        <v>2010</v>
      </c>
      <c r="C12644" t="s">
        <v>137</v>
      </c>
      <c r="D12644" t="s">
        <v>183</v>
      </c>
      <c r="E12644" t="s">
        <v>9</v>
      </c>
      <c r="F12644">
        <v>0.68906563520431519</v>
      </c>
    </row>
    <row r="12645" spans="2:6">
      <c r="B12645">
        <v>2010</v>
      </c>
      <c r="C12645" t="s">
        <v>137</v>
      </c>
      <c r="D12645" t="s">
        <v>183</v>
      </c>
      <c r="E12645" t="s">
        <v>10</v>
      </c>
      <c r="F12645">
        <v>65.199996948242188</v>
      </c>
    </row>
    <row r="12646" spans="2:6">
      <c r="B12646">
        <v>2010</v>
      </c>
      <c r="C12646" t="s">
        <v>137</v>
      </c>
      <c r="D12646" t="s">
        <v>183</v>
      </c>
      <c r="E12646" t="s">
        <v>11</v>
      </c>
      <c r="F12646">
        <v>0.5655367374420166</v>
      </c>
    </row>
    <row r="12647" spans="2:6">
      <c r="B12647">
        <v>2010</v>
      </c>
      <c r="C12647" t="s">
        <v>137</v>
      </c>
      <c r="D12647" t="s">
        <v>183</v>
      </c>
      <c r="E12647" t="s">
        <v>12</v>
      </c>
      <c r="F12647">
        <v>-8.4712840616703033E-2</v>
      </c>
    </row>
    <row r="12648" spans="2:6">
      <c r="B12648">
        <v>2010</v>
      </c>
      <c r="C12648" t="s">
        <v>137</v>
      </c>
      <c r="D12648" t="s">
        <v>183</v>
      </c>
      <c r="E12648" t="s">
        <v>13</v>
      </c>
      <c r="F12648">
        <v>0.9736863374710083</v>
      </c>
    </row>
    <row r="12649" spans="2:6">
      <c r="B12649">
        <v>2010</v>
      </c>
      <c r="C12649" t="s">
        <v>137</v>
      </c>
      <c r="D12649" t="s">
        <v>183</v>
      </c>
      <c r="E12649" t="s">
        <v>14</v>
      </c>
      <c r="F12649">
        <v>0.59648919105529785</v>
      </c>
    </row>
    <row r="12650" spans="2:6">
      <c r="B12650">
        <v>2010</v>
      </c>
      <c r="C12650" t="s">
        <v>137</v>
      </c>
      <c r="D12650" t="s">
        <v>183</v>
      </c>
      <c r="E12650" t="s">
        <v>15</v>
      </c>
      <c r="F12650">
        <v>0.34447821974754333</v>
      </c>
    </row>
    <row r="12651" spans="2:6">
      <c r="B12651">
        <v>2011</v>
      </c>
      <c r="C12651" t="s">
        <v>137</v>
      </c>
      <c r="D12651" t="s">
        <v>183</v>
      </c>
      <c r="E12651" t="s">
        <v>7</v>
      </c>
      <c r="F12651">
        <v>5.0227575302124023</v>
      </c>
    </row>
    <row r="12652" spans="2:6">
      <c r="B12652">
        <v>2011</v>
      </c>
      <c r="C12652" t="s">
        <v>137</v>
      </c>
      <c r="D12652" t="s">
        <v>183</v>
      </c>
      <c r="E12652" t="s">
        <v>8</v>
      </c>
      <c r="F12652">
        <v>9.9402494430541992</v>
      </c>
    </row>
    <row r="12653" spans="2:6">
      <c r="B12653">
        <v>2011</v>
      </c>
      <c r="C12653" t="s">
        <v>137</v>
      </c>
      <c r="D12653" t="s">
        <v>183</v>
      </c>
      <c r="E12653" t="s">
        <v>9</v>
      </c>
      <c r="F12653">
        <v>0.75260680913925171</v>
      </c>
    </row>
    <row r="12654" spans="2:6">
      <c r="B12654">
        <v>2011</v>
      </c>
      <c r="C12654" t="s">
        <v>137</v>
      </c>
      <c r="D12654" t="s">
        <v>183</v>
      </c>
      <c r="E12654" t="s">
        <v>10</v>
      </c>
      <c r="F12654">
        <v>65.419998168945313</v>
      </c>
    </row>
    <row r="12655" spans="2:6">
      <c r="B12655">
        <v>2011</v>
      </c>
      <c r="C12655" t="s">
        <v>137</v>
      </c>
      <c r="D12655" t="s">
        <v>183</v>
      </c>
      <c r="E12655" t="s">
        <v>11</v>
      </c>
      <c r="F12655">
        <v>0.65040218830108643</v>
      </c>
    </row>
    <row r="12656" spans="2:6">
      <c r="B12656">
        <v>2011</v>
      </c>
      <c r="C12656" t="s">
        <v>137</v>
      </c>
      <c r="D12656" t="s">
        <v>183</v>
      </c>
      <c r="E12656" t="s">
        <v>12</v>
      </c>
      <c r="F12656">
        <v>-0.1397925466299057</v>
      </c>
    </row>
    <row r="12657" spans="2:6">
      <c r="B12657">
        <v>2011</v>
      </c>
      <c r="C12657" t="s">
        <v>137</v>
      </c>
      <c r="D12657" t="s">
        <v>183</v>
      </c>
      <c r="E12657" t="s">
        <v>13</v>
      </c>
      <c r="F12657">
        <v>0.96404260396957397</v>
      </c>
    </row>
    <row r="12658" spans="2:6">
      <c r="B12658">
        <v>2011</v>
      </c>
      <c r="C12658" t="s">
        <v>137</v>
      </c>
      <c r="D12658" t="s">
        <v>183</v>
      </c>
      <c r="E12658" t="s">
        <v>14</v>
      </c>
      <c r="F12658">
        <v>0.54272913932800293</v>
      </c>
    </row>
    <row r="12659" spans="2:6">
      <c r="B12659">
        <v>2011</v>
      </c>
      <c r="C12659" t="s">
        <v>137</v>
      </c>
      <c r="D12659" t="s">
        <v>183</v>
      </c>
      <c r="E12659" t="s">
        <v>15</v>
      </c>
      <c r="F12659">
        <v>0.29446154832839966</v>
      </c>
    </row>
    <row r="12660" spans="2:6">
      <c r="B12660">
        <v>2012</v>
      </c>
      <c r="C12660" t="s">
        <v>137</v>
      </c>
      <c r="D12660" t="s">
        <v>183</v>
      </c>
      <c r="E12660" t="s">
        <v>7</v>
      </c>
      <c r="F12660">
        <v>5.166874885559082</v>
      </c>
    </row>
    <row r="12661" spans="2:6">
      <c r="B12661">
        <v>2012</v>
      </c>
      <c r="C12661" t="s">
        <v>137</v>
      </c>
      <c r="D12661" t="s">
        <v>183</v>
      </c>
      <c r="E12661" t="s">
        <v>8</v>
      </c>
      <c r="F12661">
        <v>9.9652605056762695</v>
      </c>
    </row>
    <row r="12662" spans="2:6">
      <c r="B12662">
        <v>2012</v>
      </c>
      <c r="C12662" t="s">
        <v>137</v>
      </c>
      <c r="D12662" t="s">
        <v>183</v>
      </c>
      <c r="E12662" t="s">
        <v>9</v>
      </c>
      <c r="F12662">
        <v>0.74004310369491577</v>
      </c>
    </row>
    <row r="12663" spans="2:6">
      <c r="B12663">
        <v>2012</v>
      </c>
      <c r="C12663" t="s">
        <v>137</v>
      </c>
      <c r="D12663" t="s">
        <v>183</v>
      </c>
      <c r="E12663" t="s">
        <v>10</v>
      </c>
      <c r="F12663">
        <v>65.639999389648438</v>
      </c>
    </row>
    <row r="12664" spans="2:6">
      <c r="B12664">
        <v>2012</v>
      </c>
      <c r="C12664" t="s">
        <v>137</v>
      </c>
      <c r="D12664" t="s">
        <v>183</v>
      </c>
      <c r="E12664" t="s">
        <v>11</v>
      </c>
      <c r="F12664">
        <v>0.64453613758087158</v>
      </c>
    </row>
    <row r="12665" spans="2:6">
      <c r="B12665">
        <v>2012</v>
      </c>
      <c r="C12665" t="s">
        <v>137</v>
      </c>
      <c r="D12665" t="s">
        <v>183</v>
      </c>
      <c r="E12665" t="s">
        <v>12</v>
      </c>
      <c r="F12665">
        <v>-0.11152307689189911</v>
      </c>
    </row>
    <row r="12666" spans="2:6">
      <c r="B12666">
        <v>2012</v>
      </c>
      <c r="C12666" t="s">
        <v>137</v>
      </c>
      <c r="D12666" t="s">
        <v>183</v>
      </c>
      <c r="E12666" t="s">
        <v>13</v>
      </c>
      <c r="F12666">
        <v>0.95948612689971924</v>
      </c>
    </row>
    <row r="12667" spans="2:6">
      <c r="B12667">
        <v>2012</v>
      </c>
      <c r="C12667" t="s">
        <v>137</v>
      </c>
      <c r="D12667" t="s">
        <v>183</v>
      </c>
      <c r="E12667" t="s">
        <v>14</v>
      </c>
      <c r="F12667">
        <v>0.55599397420883179</v>
      </c>
    </row>
    <row r="12668" spans="2:6">
      <c r="B12668">
        <v>2012</v>
      </c>
      <c r="C12668" t="s">
        <v>137</v>
      </c>
      <c r="D12668" t="s">
        <v>183</v>
      </c>
      <c r="E12668" t="s">
        <v>15</v>
      </c>
      <c r="F12668">
        <v>0.34261462092399597</v>
      </c>
    </row>
    <row r="12669" spans="2:6">
      <c r="B12669">
        <v>2013</v>
      </c>
      <c r="C12669" t="s">
        <v>137</v>
      </c>
      <c r="D12669" t="s">
        <v>183</v>
      </c>
      <c r="E12669" t="s">
        <v>7</v>
      </c>
      <c r="F12669">
        <v>5.0815844535827637</v>
      </c>
    </row>
    <row r="12670" spans="2:6">
      <c r="B12670">
        <v>2013</v>
      </c>
      <c r="C12670" t="s">
        <v>137</v>
      </c>
      <c r="D12670" t="s">
        <v>183</v>
      </c>
      <c r="E12670" t="s">
        <v>8</v>
      </c>
      <c r="F12670">
        <v>10.003515243530273</v>
      </c>
    </row>
    <row r="12671" spans="2:6">
      <c r="B12671">
        <v>2013</v>
      </c>
      <c r="C12671" t="s">
        <v>137</v>
      </c>
      <c r="D12671" t="s">
        <v>183</v>
      </c>
      <c r="E12671" t="s">
        <v>9</v>
      </c>
      <c r="F12671">
        <v>0.77755206823348999</v>
      </c>
    </row>
    <row r="12672" spans="2:6">
      <c r="B12672">
        <v>2013</v>
      </c>
      <c r="C12672" t="s">
        <v>137</v>
      </c>
      <c r="D12672" t="s">
        <v>183</v>
      </c>
      <c r="E12672" t="s">
        <v>10</v>
      </c>
      <c r="F12672">
        <v>65.860000610351563</v>
      </c>
    </row>
    <row r="12673" spans="2:6">
      <c r="B12673">
        <v>2013</v>
      </c>
      <c r="C12673" t="s">
        <v>137</v>
      </c>
      <c r="D12673" t="s">
        <v>183</v>
      </c>
      <c r="E12673" t="s">
        <v>11</v>
      </c>
      <c r="F12673">
        <v>0.65454214811325073</v>
      </c>
    </row>
    <row r="12674" spans="2:6">
      <c r="B12674">
        <v>2013</v>
      </c>
      <c r="C12674" t="s">
        <v>137</v>
      </c>
      <c r="D12674" t="s">
        <v>183</v>
      </c>
      <c r="E12674" t="s">
        <v>12</v>
      </c>
      <c r="F12674">
        <v>-0.12921588122844696</v>
      </c>
    </row>
    <row r="12675" spans="2:6">
      <c r="B12675">
        <v>2013</v>
      </c>
      <c r="C12675" t="s">
        <v>137</v>
      </c>
      <c r="D12675" t="s">
        <v>183</v>
      </c>
      <c r="E12675" t="s">
        <v>13</v>
      </c>
      <c r="F12675">
        <v>0.95184355974197388</v>
      </c>
    </row>
    <row r="12676" spans="2:6">
      <c r="B12676">
        <v>2013</v>
      </c>
      <c r="C12676" t="s">
        <v>137</v>
      </c>
      <c r="D12676" t="s">
        <v>183</v>
      </c>
      <c r="E12676" t="s">
        <v>14</v>
      </c>
      <c r="F12676">
        <v>0.63982093334197998</v>
      </c>
    </row>
    <row r="12677" spans="2:6">
      <c r="B12677">
        <v>2013</v>
      </c>
      <c r="C12677" t="s">
        <v>137</v>
      </c>
      <c r="D12677" t="s">
        <v>183</v>
      </c>
      <c r="E12677" t="s">
        <v>15</v>
      </c>
      <c r="F12677">
        <v>0.32861948013305664</v>
      </c>
    </row>
    <row r="12678" spans="2:6">
      <c r="B12678">
        <v>2014</v>
      </c>
      <c r="C12678" t="s">
        <v>137</v>
      </c>
      <c r="D12678" t="s">
        <v>183</v>
      </c>
      <c r="E12678" t="s">
        <v>7</v>
      </c>
      <c r="F12678">
        <v>5.726893424987793</v>
      </c>
    </row>
    <row r="12679" spans="2:6">
      <c r="B12679">
        <v>2014</v>
      </c>
      <c r="C12679" t="s">
        <v>137</v>
      </c>
      <c r="D12679" t="s">
        <v>183</v>
      </c>
      <c r="E12679" t="s">
        <v>8</v>
      </c>
      <c r="F12679">
        <v>10.040800094604492</v>
      </c>
    </row>
    <row r="12680" spans="2:6">
      <c r="B12680">
        <v>2014</v>
      </c>
      <c r="C12680" t="s">
        <v>137</v>
      </c>
      <c r="D12680" t="s">
        <v>183</v>
      </c>
      <c r="E12680" t="s">
        <v>9</v>
      </c>
      <c r="F12680">
        <v>0.75294137001037598</v>
      </c>
    </row>
    <row r="12681" spans="2:6">
      <c r="B12681">
        <v>2014</v>
      </c>
      <c r="C12681" t="s">
        <v>137</v>
      </c>
      <c r="D12681" t="s">
        <v>183</v>
      </c>
      <c r="E12681" t="s">
        <v>10</v>
      </c>
      <c r="F12681">
        <v>66.080001831054688</v>
      </c>
    </row>
    <row r="12682" spans="2:6">
      <c r="B12682">
        <v>2014</v>
      </c>
      <c r="C12682" t="s">
        <v>137</v>
      </c>
      <c r="D12682" t="s">
        <v>183</v>
      </c>
      <c r="E12682" t="s">
        <v>11</v>
      </c>
      <c r="F12682">
        <v>0.75423550605773926</v>
      </c>
    </row>
    <row r="12683" spans="2:6">
      <c r="B12683">
        <v>2014</v>
      </c>
      <c r="C12683" t="s">
        <v>137</v>
      </c>
      <c r="D12683" t="s">
        <v>183</v>
      </c>
      <c r="E12683" t="s">
        <v>12</v>
      </c>
      <c r="F12683">
        <v>-0.10044325888156891</v>
      </c>
    </row>
    <row r="12684" spans="2:6">
      <c r="B12684">
        <v>2014</v>
      </c>
      <c r="C12684" t="s">
        <v>137</v>
      </c>
      <c r="D12684" t="s">
        <v>183</v>
      </c>
      <c r="E12684" t="s">
        <v>13</v>
      </c>
      <c r="F12684">
        <v>0.95832473039627075</v>
      </c>
    </row>
    <row r="12685" spans="2:6">
      <c r="B12685">
        <v>2014</v>
      </c>
      <c r="C12685" t="s">
        <v>137</v>
      </c>
      <c r="D12685" t="s">
        <v>183</v>
      </c>
      <c r="E12685" t="s">
        <v>14</v>
      </c>
      <c r="F12685">
        <v>0.65449833869934082</v>
      </c>
    </row>
    <row r="12686" spans="2:6">
      <c r="B12686">
        <v>2014</v>
      </c>
      <c r="C12686" t="s">
        <v>137</v>
      </c>
      <c r="D12686" t="s">
        <v>183</v>
      </c>
      <c r="E12686" t="s">
        <v>15</v>
      </c>
      <c r="F12686">
        <v>0.33068773150444031</v>
      </c>
    </row>
    <row r="12687" spans="2:6">
      <c r="B12687">
        <v>2015</v>
      </c>
      <c r="C12687" t="s">
        <v>137</v>
      </c>
      <c r="D12687" t="s">
        <v>183</v>
      </c>
      <c r="E12687" t="s">
        <v>7</v>
      </c>
      <c r="F12687">
        <v>5.7774910926818848</v>
      </c>
    </row>
    <row r="12688" spans="2:6">
      <c r="B12688">
        <v>2015</v>
      </c>
      <c r="C12688" t="s">
        <v>137</v>
      </c>
      <c r="D12688" t="s">
        <v>183</v>
      </c>
      <c r="E12688" t="s">
        <v>8</v>
      </c>
      <c r="F12688">
        <v>10.08348560333252</v>
      </c>
    </row>
    <row r="12689" spans="2:6">
      <c r="B12689">
        <v>2015</v>
      </c>
      <c r="C12689" t="s">
        <v>137</v>
      </c>
      <c r="D12689" t="s">
        <v>183</v>
      </c>
      <c r="E12689" t="s">
        <v>9</v>
      </c>
      <c r="F12689">
        <v>0.78696733713150024</v>
      </c>
    </row>
    <row r="12690" spans="2:6">
      <c r="B12690">
        <v>2015</v>
      </c>
      <c r="C12690" t="s">
        <v>137</v>
      </c>
      <c r="D12690" t="s">
        <v>183</v>
      </c>
      <c r="E12690" t="s">
        <v>10</v>
      </c>
      <c r="F12690">
        <v>66.300003051757813</v>
      </c>
    </row>
    <row r="12691" spans="2:6">
      <c r="B12691">
        <v>2015</v>
      </c>
      <c r="C12691" t="s">
        <v>137</v>
      </c>
      <c r="D12691" t="s">
        <v>183</v>
      </c>
      <c r="E12691" t="s">
        <v>11</v>
      </c>
      <c r="F12691">
        <v>0.79584771394729614</v>
      </c>
    </row>
    <row r="12692" spans="2:6">
      <c r="B12692">
        <v>2015</v>
      </c>
      <c r="C12692" t="s">
        <v>137</v>
      </c>
      <c r="D12692" t="s">
        <v>183</v>
      </c>
      <c r="E12692" t="s">
        <v>12</v>
      </c>
      <c r="F12692">
        <v>-0.14125832915306091</v>
      </c>
    </row>
    <row r="12693" spans="2:6">
      <c r="B12693">
        <v>2015</v>
      </c>
      <c r="C12693" t="s">
        <v>137</v>
      </c>
      <c r="D12693" t="s">
        <v>183</v>
      </c>
      <c r="E12693" t="s">
        <v>13</v>
      </c>
      <c r="F12693">
        <v>0.96165096759796143</v>
      </c>
    </row>
    <row r="12694" spans="2:6">
      <c r="B12694">
        <v>2015</v>
      </c>
      <c r="C12694" t="s">
        <v>137</v>
      </c>
      <c r="D12694" t="s">
        <v>183</v>
      </c>
      <c r="E12694" t="s">
        <v>14</v>
      </c>
      <c r="F12694">
        <v>0.71414649486541748</v>
      </c>
    </row>
    <row r="12695" spans="2:6">
      <c r="B12695">
        <v>2015</v>
      </c>
      <c r="C12695" t="s">
        <v>137</v>
      </c>
      <c r="D12695" t="s">
        <v>183</v>
      </c>
      <c r="E12695" t="s">
        <v>15</v>
      </c>
      <c r="F12695">
        <v>0.31157416105270386</v>
      </c>
    </row>
    <row r="12696" spans="2:6">
      <c r="B12696">
        <v>2016</v>
      </c>
      <c r="C12696" t="s">
        <v>137</v>
      </c>
      <c r="D12696" t="s">
        <v>183</v>
      </c>
      <c r="E12696" t="s">
        <v>7</v>
      </c>
      <c r="F12696">
        <v>5.9688706398010254</v>
      </c>
    </row>
    <row r="12697" spans="2:6">
      <c r="B12697">
        <v>2016</v>
      </c>
      <c r="C12697" t="s">
        <v>137</v>
      </c>
      <c r="D12697" t="s">
        <v>183</v>
      </c>
      <c r="E12697" t="s">
        <v>8</v>
      </c>
      <c r="F12697">
        <v>10.136113166809082</v>
      </c>
    </row>
    <row r="12698" spans="2:6">
      <c r="B12698">
        <v>2016</v>
      </c>
      <c r="C12698" t="s">
        <v>137</v>
      </c>
      <c r="D12698" t="s">
        <v>183</v>
      </c>
      <c r="E12698" t="s">
        <v>9</v>
      </c>
      <c r="F12698">
        <v>0.80922919511795044</v>
      </c>
    </row>
    <row r="12699" spans="2:6">
      <c r="B12699">
        <v>2016</v>
      </c>
      <c r="C12699" t="s">
        <v>137</v>
      </c>
      <c r="D12699" t="s">
        <v>183</v>
      </c>
      <c r="E12699" t="s">
        <v>10</v>
      </c>
      <c r="F12699">
        <v>66.599998474121094</v>
      </c>
    </row>
    <row r="12700" spans="2:6">
      <c r="B12700">
        <v>2016</v>
      </c>
      <c r="C12700" t="s">
        <v>137</v>
      </c>
      <c r="D12700" t="s">
        <v>183</v>
      </c>
      <c r="E12700" t="s">
        <v>11</v>
      </c>
      <c r="F12700">
        <v>0.82172060012817383</v>
      </c>
    </row>
    <row r="12701" spans="2:6">
      <c r="B12701">
        <v>2016</v>
      </c>
      <c r="C12701" t="s">
        <v>137</v>
      </c>
      <c r="D12701" t="s">
        <v>183</v>
      </c>
      <c r="E12701" t="s">
        <v>12</v>
      </c>
      <c r="F12701">
        <v>-0.11528762429952621</v>
      </c>
    </row>
    <row r="12702" spans="2:6">
      <c r="B12702">
        <v>2016</v>
      </c>
      <c r="C12702" t="s">
        <v>137</v>
      </c>
      <c r="D12702" t="s">
        <v>183</v>
      </c>
      <c r="E12702" t="s">
        <v>13</v>
      </c>
      <c r="F12702">
        <v>0.94904452562332153</v>
      </c>
    </row>
    <row r="12703" spans="2:6">
      <c r="B12703">
        <v>2016</v>
      </c>
      <c r="C12703" t="s">
        <v>137</v>
      </c>
      <c r="D12703" t="s">
        <v>183</v>
      </c>
      <c r="E12703" t="s">
        <v>14</v>
      </c>
      <c r="F12703">
        <v>0.69441533088684082</v>
      </c>
    </row>
    <row r="12704" spans="2:6">
      <c r="B12704">
        <v>2016</v>
      </c>
      <c r="C12704" t="s">
        <v>137</v>
      </c>
      <c r="D12704" t="s">
        <v>183</v>
      </c>
      <c r="E12704" t="s">
        <v>15</v>
      </c>
      <c r="F12704">
        <v>0.25776350498199463</v>
      </c>
    </row>
    <row r="12705" spans="2:6">
      <c r="B12705">
        <v>2017</v>
      </c>
      <c r="C12705" t="s">
        <v>137</v>
      </c>
      <c r="D12705" t="s">
        <v>183</v>
      </c>
      <c r="E12705" t="s">
        <v>7</v>
      </c>
      <c r="F12705">
        <v>6.08990478515625</v>
      </c>
    </row>
    <row r="12706" spans="2:6">
      <c r="B12706">
        <v>2017</v>
      </c>
      <c r="C12706" t="s">
        <v>137</v>
      </c>
      <c r="D12706" t="s">
        <v>183</v>
      </c>
      <c r="E12706" t="s">
        <v>8</v>
      </c>
      <c r="F12706">
        <v>10.210665702819824</v>
      </c>
    </row>
    <row r="12707" spans="2:6">
      <c r="B12707">
        <v>2017</v>
      </c>
      <c r="C12707" t="s">
        <v>137</v>
      </c>
      <c r="D12707" t="s">
        <v>183</v>
      </c>
      <c r="E12707" t="s">
        <v>9</v>
      </c>
      <c r="F12707">
        <v>0.81124013662338257</v>
      </c>
    </row>
    <row r="12708" spans="2:6">
      <c r="B12708">
        <v>2017</v>
      </c>
      <c r="C12708" t="s">
        <v>137</v>
      </c>
      <c r="D12708" t="s">
        <v>183</v>
      </c>
      <c r="E12708" t="s">
        <v>10</v>
      </c>
      <c r="F12708">
        <v>66.900001525878906</v>
      </c>
    </row>
    <row r="12709" spans="2:6">
      <c r="B12709">
        <v>2017</v>
      </c>
      <c r="C12709" t="s">
        <v>137</v>
      </c>
      <c r="D12709" t="s">
        <v>183</v>
      </c>
      <c r="E12709" t="s">
        <v>11</v>
      </c>
      <c r="F12709">
        <v>0.83858668804168701</v>
      </c>
    </row>
    <row r="12710" spans="2:6">
      <c r="B12710">
        <v>2017</v>
      </c>
      <c r="C12710" t="s">
        <v>137</v>
      </c>
      <c r="D12710" t="s">
        <v>183</v>
      </c>
      <c r="E12710" t="s">
        <v>12</v>
      </c>
      <c r="F12710">
        <v>-0.15979000926017761</v>
      </c>
    </row>
    <row r="12711" spans="2:6">
      <c r="B12711">
        <v>2017</v>
      </c>
      <c r="C12711" t="s">
        <v>137</v>
      </c>
      <c r="D12711" t="s">
        <v>183</v>
      </c>
      <c r="E12711" t="s">
        <v>13</v>
      </c>
      <c r="F12711">
        <v>0.92565804719924927</v>
      </c>
    </row>
    <row r="12712" spans="2:6">
      <c r="B12712">
        <v>2017</v>
      </c>
      <c r="C12712" t="s">
        <v>137</v>
      </c>
      <c r="D12712" t="s">
        <v>183</v>
      </c>
      <c r="E12712" t="s">
        <v>14</v>
      </c>
      <c r="F12712">
        <v>0.73373037576675415</v>
      </c>
    </row>
    <row r="12713" spans="2:6">
      <c r="B12713">
        <v>2017</v>
      </c>
      <c r="C12713" t="s">
        <v>137</v>
      </c>
      <c r="D12713" t="s">
        <v>183</v>
      </c>
      <c r="E12713" t="s">
        <v>15</v>
      </c>
      <c r="F12713">
        <v>0.23083619773387909</v>
      </c>
    </row>
    <row r="12714" spans="2:6">
      <c r="B12714">
        <v>2018</v>
      </c>
      <c r="C12714" t="s">
        <v>137</v>
      </c>
      <c r="D12714" t="s">
        <v>183</v>
      </c>
      <c r="E12714" t="s">
        <v>7</v>
      </c>
      <c r="F12714">
        <v>6.15087890625</v>
      </c>
    </row>
    <row r="12715" spans="2:6">
      <c r="B12715">
        <v>2018</v>
      </c>
      <c r="C12715" t="s">
        <v>137</v>
      </c>
      <c r="D12715" t="s">
        <v>183</v>
      </c>
      <c r="E12715" t="s">
        <v>8</v>
      </c>
      <c r="F12715">
        <v>10.259953498840332</v>
      </c>
    </row>
    <row r="12716" spans="2:6">
      <c r="B12716">
        <v>2018</v>
      </c>
      <c r="C12716" t="s">
        <v>137</v>
      </c>
      <c r="D12716" t="s">
        <v>183</v>
      </c>
      <c r="E12716" t="s">
        <v>9</v>
      </c>
      <c r="F12716">
        <v>0.81793045997619629</v>
      </c>
    </row>
    <row r="12717" spans="2:6">
      <c r="B12717">
        <v>2018</v>
      </c>
      <c r="C12717" t="s">
        <v>137</v>
      </c>
      <c r="D12717" t="s">
        <v>183</v>
      </c>
      <c r="E12717" t="s">
        <v>10</v>
      </c>
      <c r="F12717">
        <v>67.199996948242188</v>
      </c>
    </row>
    <row r="12718" spans="2:6">
      <c r="B12718">
        <v>2018</v>
      </c>
      <c r="C12718" t="s">
        <v>137</v>
      </c>
      <c r="D12718" t="s">
        <v>183</v>
      </c>
      <c r="E12718" t="s">
        <v>11</v>
      </c>
      <c r="F12718">
        <v>0.84515959024429321</v>
      </c>
    </row>
    <row r="12719" spans="2:6">
      <c r="B12719">
        <v>2018</v>
      </c>
      <c r="C12719" t="s">
        <v>137</v>
      </c>
      <c r="D12719" t="s">
        <v>183</v>
      </c>
      <c r="E12719" t="s">
        <v>12</v>
      </c>
      <c r="F12719">
        <v>-0.21736560761928558</v>
      </c>
    </row>
    <row r="12720" spans="2:6">
      <c r="B12720">
        <v>2018</v>
      </c>
      <c r="C12720" t="s">
        <v>137</v>
      </c>
      <c r="D12720" t="s">
        <v>183</v>
      </c>
      <c r="E12720" t="s">
        <v>13</v>
      </c>
      <c r="F12720">
        <v>0.92117017507553101</v>
      </c>
    </row>
    <row r="12721" spans="2:6">
      <c r="B12721">
        <v>2018</v>
      </c>
      <c r="C12721" t="s">
        <v>137</v>
      </c>
      <c r="D12721" t="s">
        <v>183</v>
      </c>
      <c r="E12721" t="s">
        <v>14</v>
      </c>
      <c r="F12721">
        <v>0.73534250259399414</v>
      </c>
    </row>
    <row r="12722" spans="2:6">
      <c r="B12722">
        <v>2018</v>
      </c>
      <c r="C12722" t="s">
        <v>137</v>
      </c>
      <c r="D12722" t="s">
        <v>183</v>
      </c>
      <c r="E12722" t="s">
        <v>15</v>
      </c>
      <c r="F12722">
        <v>0.2984539270401001</v>
      </c>
    </row>
    <row r="12723" spans="2:6">
      <c r="B12723">
        <v>2019</v>
      </c>
      <c r="C12723" t="s">
        <v>137</v>
      </c>
      <c r="D12723" t="s">
        <v>183</v>
      </c>
      <c r="E12723" t="s">
        <v>7</v>
      </c>
      <c r="F12723">
        <v>6.1299424171447754</v>
      </c>
    </row>
    <row r="12724" spans="2:6">
      <c r="B12724">
        <v>2019</v>
      </c>
      <c r="C12724" t="s">
        <v>137</v>
      </c>
      <c r="D12724" t="s">
        <v>183</v>
      </c>
      <c r="E12724" t="s">
        <v>8</v>
      </c>
      <c r="F12724">
        <v>10.305913925170898</v>
      </c>
    </row>
    <row r="12725" spans="2:6">
      <c r="B12725">
        <v>2019</v>
      </c>
      <c r="C12725" t="s">
        <v>137</v>
      </c>
      <c r="D12725" t="s">
        <v>183</v>
      </c>
      <c r="E12725" t="s">
        <v>9</v>
      </c>
      <c r="F12725">
        <v>0.84190595149993896</v>
      </c>
    </row>
    <row r="12726" spans="2:6">
      <c r="B12726">
        <v>2019</v>
      </c>
      <c r="C12726" t="s">
        <v>137</v>
      </c>
      <c r="D12726" t="s">
        <v>183</v>
      </c>
      <c r="E12726" t="s">
        <v>10</v>
      </c>
      <c r="F12726">
        <v>67.5</v>
      </c>
    </row>
    <row r="12727" spans="2:6">
      <c r="B12727">
        <v>2019</v>
      </c>
      <c r="C12727" t="s">
        <v>137</v>
      </c>
      <c r="D12727" t="s">
        <v>183</v>
      </c>
      <c r="E12727" t="s">
        <v>11</v>
      </c>
      <c r="F12727">
        <v>0.84754317998886108</v>
      </c>
    </row>
    <row r="12728" spans="2:6">
      <c r="B12728">
        <v>2019</v>
      </c>
      <c r="C12728" t="s">
        <v>137</v>
      </c>
      <c r="D12728" t="s">
        <v>183</v>
      </c>
      <c r="E12728" t="s">
        <v>12</v>
      </c>
      <c r="F12728">
        <v>-0.22142210602760315</v>
      </c>
    </row>
    <row r="12729" spans="2:6">
      <c r="B12729">
        <v>2019</v>
      </c>
      <c r="C12729" t="s">
        <v>137</v>
      </c>
      <c r="D12729" t="s">
        <v>183</v>
      </c>
      <c r="E12729" t="s">
        <v>13</v>
      </c>
      <c r="F12729">
        <v>0.95413070917129517</v>
      </c>
    </row>
    <row r="12730" spans="2:6">
      <c r="B12730">
        <v>2019</v>
      </c>
      <c r="C12730" t="s">
        <v>137</v>
      </c>
      <c r="D12730" t="s">
        <v>183</v>
      </c>
      <c r="E12730" t="s">
        <v>14</v>
      </c>
      <c r="F12730">
        <v>0.69744336605072021</v>
      </c>
    </row>
    <row r="12731" spans="2:6">
      <c r="B12731">
        <v>2019</v>
      </c>
      <c r="C12731" t="s">
        <v>137</v>
      </c>
      <c r="D12731" t="s">
        <v>183</v>
      </c>
      <c r="E12731" t="s">
        <v>15</v>
      </c>
      <c r="F12731">
        <v>0.24365922808647156</v>
      </c>
    </row>
    <row r="12732" spans="2:6">
      <c r="B12732">
        <v>2006</v>
      </c>
      <c r="C12732" t="s">
        <v>138</v>
      </c>
      <c r="D12732" t="s">
        <v>183</v>
      </c>
      <c r="E12732" t="s">
        <v>7</v>
      </c>
      <c r="F12732">
        <v>4.963742733001709</v>
      </c>
    </row>
    <row r="12733" spans="2:6">
      <c r="B12733">
        <v>2006</v>
      </c>
      <c r="C12733" t="s">
        <v>138</v>
      </c>
      <c r="D12733" t="s">
        <v>183</v>
      </c>
      <c r="E12733" t="s">
        <v>8</v>
      </c>
      <c r="F12733">
        <v>9.9907751083374023</v>
      </c>
    </row>
    <row r="12734" spans="2:6">
      <c r="B12734">
        <v>2006</v>
      </c>
      <c r="C12734" t="s">
        <v>138</v>
      </c>
      <c r="D12734" t="s">
        <v>183</v>
      </c>
      <c r="E12734" t="s">
        <v>9</v>
      </c>
      <c r="F12734">
        <v>0.89470738172531128</v>
      </c>
    </row>
    <row r="12735" spans="2:6">
      <c r="B12735">
        <v>2006</v>
      </c>
      <c r="C12735" t="s">
        <v>138</v>
      </c>
      <c r="D12735" t="s">
        <v>183</v>
      </c>
      <c r="E12735" t="s">
        <v>10</v>
      </c>
      <c r="F12735">
        <v>58.680000305175781</v>
      </c>
    </row>
    <row r="12736" spans="2:6">
      <c r="B12736">
        <v>2006</v>
      </c>
      <c r="C12736" t="s">
        <v>138</v>
      </c>
      <c r="D12736" t="s">
        <v>183</v>
      </c>
      <c r="E12736" t="s">
        <v>11</v>
      </c>
      <c r="F12736">
        <v>0.64338821172714233</v>
      </c>
    </row>
    <row r="12737" spans="2:6">
      <c r="B12737">
        <v>2006</v>
      </c>
      <c r="C12737" t="s">
        <v>138</v>
      </c>
      <c r="D12737" t="s">
        <v>183</v>
      </c>
      <c r="E12737" t="s">
        <v>12</v>
      </c>
      <c r="F12737">
        <v>-0.30656155943870544</v>
      </c>
    </row>
    <row r="12738" spans="2:6">
      <c r="B12738">
        <v>2006</v>
      </c>
      <c r="C12738" t="s">
        <v>138</v>
      </c>
      <c r="D12738" t="s">
        <v>183</v>
      </c>
      <c r="E12738" t="s">
        <v>13</v>
      </c>
      <c r="F12738">
        <v>0.93510174751281738</v>
      </c>
    </row>
    <row r="12739" spans="2:6">
      <c r="B12739">
        <v>2006</v>
      </c>
      <c r="C12739" t="s">
        <v>138</v>
      </c>
      <c r="D12739" t="s">
        <v>183</v>
      </c>
      <c r="E12739" t="s">
        <v>14</v>
      </c>
      <c r="F12739">
        <v>0.61143207550048828</v>
      </c>
    </row>
    <row r="12740" spans="2:6">
      <c r="B12740">
        <v>2006</v>
      </c>
      <c r="C12740" t="s">
        <v>138</v>
      </c>
      <c r="D12740" t="s">
        <v>183</v>
      </c>
      <c r="E12740" t="s">
        <v>15</v>
      </c>
      <c r="F12740">
        <v>0.2324291467666626</v>
      </c>
    </row>
    <row r="12741" spans="2:6">
      <c r="B12741">
        <v>2007</v>
      </c>
      <c r="C12741" t="s">
        <v>138</v>
      </c>
      <c r="D12741" t="s">
        <v>183</v>
      </c>
      <c r="E12741" t="s">
        <v>7</v>
      </c>
      <c r="F12741">
        <v>5.222867488861084</v>
      </c>
    </row>
    <row r="12742" spans="2:6">
      <c r="B12742">
        <v>2007</v>
      </c>
      <c r="C12742" t="s">
        <v>138</v>
      </c>
      <c r="D12742" t="s">
        <v>183</v>
      </c>
      <c r="E12742" t="s">
        <v>8</v>
      </c>
      <c r="F12742">
        <v>10.074066162109375</v>
      </c>
    </row>
    <row r="12743" spans="2:6">
      <c r="B12743">
        <v>2007</v>
      </c>
      <c r="C12743" t="s">
        <v>138</v>
      </c>
      <c r="D12743" t="s">
        <v>183</v>
      </c>
      <c r="E12743" t="s">
        <v>9</v>
      </c>
      <c r="F12743">
        <v>0.88465636968612671</v>
      </c>
    </row>
    <row r="12744" spans="2:6">
      <c r="B12744">
        <v>2007</v>
      </c>
      <c r="C12744" t="s">
        <v>138</v>
      </c>
      <c r="D12744" t="s">
        <v>183</v>
      </c>
      <c r="E12744" t="s">
        <v>10</v>
      </c>
      <c r="F12744">
        <v>59.259998321533203</v>
      </c>
    </row>
    <row r="12745" spans="2:6">
      <c r="B12745">
        <v>2007</v>
      </c>
      <c r="C12745" t="s">
        <v>138</v>
      </c>
      <c r="D12745" t="s">
        <v>183</v>
      </c>
      <c r="E12745" t="s">
        <v>11</v>
      </c>
      <c r="F12745">
        <v>0.59256970882415771</v>
      </c>
    </row>
    <row r="12746" spans="2:6">
      <c r="B12746">
        <v>2007</v>
      </c>
      <c r="C12746" t="s">
        <v>138</v>
      </c>
      <c r="D12746" t="s">
        <v>183</v>
      </c>
      <c r="E12746" t="s">
        <v>12</v>
      </c>
      <c r="F12746">
        <v>-0.28374198079109192</v>
      </c>
    </row>
    <row r="12747" spans="2:6">
      <c r="B12747">
        <v>2007</v>
      </c>
      <c r="C12747" t="s">
        <v>138</v>
      </c>
      <c r="D12747" t="s">
        <v>183</v>
      </c>
      <c r="E12747" t="s">
        <v>13</v>
      </c>
      <c r="F12747">
        <v>0.93346410989761353</v>
      </c>
    </row>
    <row r="12748" spans="2:6">
      <c r="B12748">
        <v>2007</v>
      </c>
      <c r="C12748" t="s">
        <v>138</v>
      </c>
      <c r="D12748" t="s">
        <v>183</v>
      </c>
      <c r="E12748" t="s">
        <v>14</v>
      </c>
      <c r="F12748">
        <v>0.62269014120101929</v>
      </c>
    </row>
    <row r="12749" spans="2:6">
      <c r="B12749">
        <v>2007</v>
      </c>
      <c r="C12749" t="s">
        <v>138</v>
      </c>
      <c r="D12749" t="s">
        <v>183</v>
      </c>
      <c r="E12749" t="s">
        <v>15</v>
      </c>
      <c r="F12749">
        <v>0.19284635782241821</v>
      </c>
    </row>
    <row r="12750" spans="2:6">
      <c r="B12750">
        <v>2008</v>
      </c>
      <c r="C12750" t="s">
        <v>138</v>
      </c>
      <c r="D12750" t="s">
        <v>183</v>
      </c>
      <c r="E12750" t="s">
        <v>7</v>
      </c>
      <c r="F12750">
        <v>5.6187539100646973</v>
      </c>
    </row>
    <row r="12751" spans="2:6">
      <c r="B12751">
        <v>2008</v>
      </c>
      <c r="C12751" t="s">
        <v>138</v>
      </c>
      <c r="D12751" t="s">
        <v>183</v>
      </c>
      <c r="E12751" t="s">
        <v>8</v>
      </c>
      <c r="F12751">
        <v>10.125198364257813</v>
      </c>
    </row>
    <row r="12752" spans="2:6">
      <c r="B12752">
        <v>2008</v>
      </c>
      <c r="C12752" t="s">
        <v>138</v>
      </c>
      <c r="D12752" t="s">
        <v>183</v>
      </c>
      <c r="E12752" t="s">
        <v>9</v>
      </c>
      <c r="F12752">
        <v>0.88231617212295532</v>
      </c>
    </row>
    <row r="12753" spans="2:6">
      <c r="B12753">
        <v>2008</v>
      </c>
      <c r="C12753" t="s">
        <v>138</v>
      </c>
      <c r="D12753" t="s">
        <v>183</v>
      </c>
      <c r="E12753" t="s">
        <v>10</v>
      </c>
      <c r="F12753">
        <v>59.840000152587891</v>
      </c>
    </row>
    <row r="12754" spans="2:6">
      <c r="B12754">
        <v>2008</v>
      </c>
      <c r="C12754" t="s">
        <v>138</v>
      </c>
      <c r="D12754" t="s">
        <v>183</v>
      </c>
      <c r="E12754" t="s">
        <v>11</v>
      </c>
      <c r="F12754">
        <v>0.64277827739715576</v>
      </c>
    </row>
    <row r="12755" spans="2:6">
      <c r="B12755">
        <v>2008</v>
      </c>
      <c r="C12755" t="s">
        <v>138</v>
      </c>
      <c r="D12755" t="s">
        <v>183</v>
      </c>
      <c r="E12755" t="s">
        <v>12</v>
      </c>
      <c r="F12755">
        <v>-0.30501219630241394</v>
      </c>
    </row>
    <row r="12756" spans="2:6">
      <c r="B12756">
        <v>2008</v>
      </c>
      <c r="C12756" t="s">
        <v>138</v>
      </c>
      <c r="D12756" t="s">
        <v>183</v>
      </c>
      <c r="E12756" t="s">
        <v>13</v>
      </c>
      <c r="F12756">
        <v>0.92409038543701172</v>
      </c>
    </row>
    <row r="12757" spans="2:6">
      <c r="B12757">
        <v>2008</v>
      </c>
      <c r="C12757" t="s">
        <v>138</v>
      </c>
      <c r="D12757" t="s">
        <v>183</v>
      </c>
      <c r="E12757" t="s">
        <v>14</v>
      </c>
      <c r="F12757">
        <v>0.59379827976226807</v>
      </c>
    </row>
    <row r="12758" spans="2:6">
      <c r="B12758">
        <v>2008</v>
      </c>
      <c r="C12758" t="s">
        <v>138</v>
      </c>
      <c r="D12758" t="s">
        <v>183</v>
      </c>
      <c r="E12758" t="s">
        <v>15</v>
      </c>
      <c r="F12758">
        <v>0.16590188443660736</v>
      </c>
    </row>
    <row r="12759" spans="2:6">
      <c r="B12759">
        <v>2009</v>
      </c>
      <c r="C12759" t="s">
        <v>138</v>
      </c>
      <c r="D12759" t="s">
        <v>183</v>
      </c>
      <c r="E12759" t="s">
        <v>7</v>
      </c>
      <c r="F12759">
        <v>5.1582279205322266</v>
      </c>
    </row>
    <row r="12760" spans="2:6">
      <c r="B12760">
        <v>2009</v>
      </c>
      <c r="C12760" t="s">
        <v>138</v>
      </c>
      <c r="D12760" t="s">
        <v>183</v>
      </c>
      <c r="E12760" t="s">
        <v>8</v>
      </c>
      <c r="F12760">
        <v>10.043686866760254</v>
      </c>
    </row>
    <row r="12761" spans="2:6">
      <c r="B12761">
        <v>2009</v>
      </c>
      <c r="C12761" t="s">
        <v>138</v>
      </c>
      <c r="D12761" t="s">
        <v>183</v>
      </c>
      <c r="E12761" t="s">
        <v>9</v>
      </c>
      <c r="F12761">
        <v>0.90807557106018066</v>
      </c>
    </row>
    <row r="12762" spans="2:6">
      <c r="B12762">
        <v>2009</v>
      </c>
      <c r="C12762" t="s">
        <v>138</v>
      </c>
      <c r="D12762" t="s">
        <v>183</v>
      </c>
      <c r="E12762" t="s">
        <v>10</v>
      </c>
      <c r="F12762">
        <v>60.419998168945313</v>
      </c>
    </row>
    <row r="12763" spans="2:6">
      <c r="B12763">
        <v>2009</v>
      </c>
      <c r="C12763" t="s">
        <v>138</v>
      </c>
      <c r="D12763" t="s">
        <v>183</v>
      </c>
      <c r="E12763" t="s">
        <v>11</v>
      </c>
      <c r="F12763">
        <v>0.61711513996124268</v>
      </c>
    </row>
    <row r="12764" spans="2:6">
      <c r="B12764">
        <v>2009</v>
      </c>
      <c r="C12764" t="s">
        <v>138</v>
      </c>
      <c r="D12764" t="s">
        <v>183</v>
      </c>
      <c r="E12764" t="s">
        <v>12</v>
      </c>
      <c r="F12764">
        <v>-0.28338301181793213</v>
      </c>
    </row>
    <row r="12765" spans="2:6">
      <c r="B12765">
        <v>2009</v>
      </c>
      <c r="C12765" t="s">
        <v>138</v>
      </c>
      <c r="D12765" t="s">
        <v>183</v>
      </c>
      <c r="E12765" t="s">
        <v>13</v>
      </c>
      <c r="F12765">
        <v>0.95360171794891357</v>
      </c>
    </row>
    <row r="12766" spans="2:6">
      <c r="B12766">
        <v>2009</v>
      </c>
      <c r="C12766" t="s">
        <v>138</v>
      </c>
      <c r="D12766" t="s">
        <v>183</v>
      </c>
      <c r="E12766" t="s">
        <v>14</v>
      </c>
      <c r="F12766">
        <v>0.56615144014358521</v>
      </c>
    </row>
    <row r="12767" spans="2:6">
      <c r="B12767">
        <v>2009</v>
      </c>
      <c r="C12767" t="s">
        <v>138</v>
      </c>
      <c r="D12767" t="s">
        <v>183</v>
      </c>
      <c r="E12767" t="s">
        <v>15</v>
      </c>
      <c r="F12767">
        <v>0.16897927224636078</v>
      </c>
    </row>
    <row r="12768" spans="2:6">
      <c r="B12768">
        <v>2010</v>
      </c>
      <c r="C12768" t="s">
        <v>138</v>
      </c>
      <c r="D12768" t="s">
        <v>183</v>
      </c>
      <c r="E12768" t="s">
        <v>7</v>
      </c>
      <c r="F12768">
        <v>5.3847732543945313</v>
      </c>
    </row>
    <row r="12769" spans="2:6">
      <c r="B12769">
        <v>2010</v>
      </c>
      <c r="C12769" t="s">
        <v>138</v>
      </c>
      <c r="D12769" t="s">
        <v>183</v>
      </c>
      <c r="E12769" t="s">
        <v>8</v>
      </c>
      <c r="F12769">
        <v>10.087255477905273</v>
      </c>
    </row>
    <row r="12770" spans="2:6">
      <c r="B12770">
        <v>2010</v>
      </c>
      <c r="C12770" t="s">
        <v>138</v>
      </c>
      <c r="D12770" t="s">
        <v>183</v>
      </c>
      <c r="E12770" t="s">
        <v>9</v>
      </c>
      <c r="F12770">
        <v>0.9088141918182373</v>
      </c>
    </row>
    <row r="12771" spans="2:6">
      <c r="B12771">
        <v>2010</v>
      </c>
      <c r="C12771" t="s">
        <v>138</v>
      </c>
      <c r="D12771" t="s">
        <v>183</v>
      </c>
      <c r="E12771" t="s">
        <v>10</v>
      </c>
      <c r="F12771">
        <v>61</v>
      </c>
    </row>
    <row r="12772" spans="2:6">
      <c r="B12772">
        <v>2010</v>
      </c>
      <c r="C12772" t="s">
        <v>138</v>
      </c>
      <c r="D12772" t="s">
        <v>183</v>
      </c>
      <c r="E12772" t="s">
        <v>11</v>
      </c>
      <c r="F12772">
        <v>0.61315900087356567</v>
      </c>
    </row>
    <row r="12773" spans="2:6">
      <c r="B12773">
        <v>2010</v>
      </c>
      <c r="C12773" t="s">
        <v>138</v>
      </c>
      <c r="D12773" t="s">
        <v>183</v>
      </c>
      <c r="E12773" t="s">
        <v>12</v>
      </c>
      <c r="F12773">
        <v>-0.29636645317077637</v>
      </c>
    </row>
    <row r="12774" spans="2:6">
      <c r="B12774">
        <v>2010</v>
      </c>
      <c r="C12774" t="s">
        <v>138</v>
      </c>
      <c r="D12774" t="s">
        <v>183</v>
      </c>
      <c r="E12774" t="s">
        <v>13</v>
      </c>
      <c r="F12774">
        <v>0.93657195568084717</v>
      </c>
    </row>
    <row r="12775" spans="2:6">
      <c r="B12775">
        <v>2010</v>
      </c>
      <c r="C12775" t="s">
        <v>138</v>
      </c>
      <c r="D12775" t="s">
        <v>183</v>
      </c>
      <c r="E12775" t="s">
        <v>14</v>
      </c>
      <c r="F12775">
        <v>0.58897536993026733</v>
      </c>
    </row>
    <row r="12776" spans="2:6">
      <c r="B12776">
        <v>2010</v>
      </c>
      <c r="C12776" t="s">
        <v>138</v>
      </c>
      <c r="D12776" t="s">
        <v>183</v>
      </c>
      <c r="E12776" t="s">
        <v>15</v>
      </c>
      <c r="F12776">
        <v>0.17142096161842346</v>
      </c>
    </row>
    <row r="12777" spans="2:6">
      <c r="B12777">
        <v>2011</v>
      </c>
      <c r="C12777" t="s">
        <v>138</v>
      </c>
      <c r="D12777" t="s">
        <v>183</v>
      </c>
      <c r="E12777" t="s">
        <v>7</v>
      </c>
      <c r="F12777">
        <v>5.3887662887573242</v>
      </c>
    </row>
    <row r="12778" spans="2:6">
      <c r="B12778">
        <v>2011</v>
      </c>
      <c r="C12778" t="s">
        <v>138</v>
      </c>
      <c r="D12778" t="s">
        <v>183</v>
      </c>
      <c r="E12778" t="s">
        <v>8</v>
      </c>
      <c r="F12778">
        <v>10.128576278686523</v>
      </c>
    </row>
    <row r="12779" spans="2:6">
      <c r="B12779">
        <v>2011</v>
      </c>
      <c r="C12779" t="s">
        <v>138</v>
      </c>
      <c r="D12779" t="s">
        <v>183</v>
      </c>
      <c r="E12779" t="s">
        <v>9</v>
      </c>
      <c r="F12779">
        <v>0.88341689109802246</v>
      </c>
    </row>
    <row r="12780" spans="2:6">
      <c r="B12780">
        <v>2011</v>
      </c>
      <c r="C12780" t="s">
        <v>138</v>
      </c>
      <c r="D12780" t="s">
        <v>183</v>
      </c>
      <c r="E12780" t="s">
        <v>10</v>
      </c>
      <c r="F12780">
        <v>61.419998168945313</v>
      </c>
    </row>
    <row r="12781" spans="2:6">
      <c r="B12781">
        <v>2011</v>
      </c>
      <c r="C12781" t="s">
        <v>138</v>
      </c>
      <c r="D12781" t="s">
        <v>183</v>
      </c>
      <c r="E12781" t="s">
        <v>11</v>
      </c>
      <c r="F12781">
        <v>0.62584757804870605</v>
      </c>
    </row>
    <row r="12782" spans="2:6">
      <c r="B12782">
        <v>2011</v>
      </c>
      <c r="C12782" t="s">
        <v>138</v>
      </c>
      <c r="D12782" t="s">
        <v>183</v>
      </c>
      <c r="E12782" t="s">
        <v>12</v>
      </c>
      <c r="F12782">
        <v>-0.27883076667785645</v>
      </c>
    </row>
    <row r="12783" spans="2:6">
      <c r="B12783">
        <v>2011</v>
      </c>
      <c r="C12783" t="s">
        <v>138</v>
      </c>
      <c r="D12783" t="s">
        <v>183</v>
      </c>
      <c r="E12783" t="s">
        <v>13</v>
      </c>
      <c r="F12783">
        <v>0.93513041734695435</v>
      </c>
    </row>
    <row r="12784" spans="2:6">
      <c r="B12784">
        <v>2011</v>
      </c>
      <c r="C12784" t="s">
        <v>138</v>
      </c>
      <c r="D12784" t="s">
        <v>183</v>
      </c>
      <c r="E12784" t="s">
        <v>14</v>
      </c>
      <c r="F12784">
        <v>0.60134768486022949</v>
      </c>
    </row>
    <row r="12785" spans="2:6">
      <c r="B12785">
        <v>2011</v>
      </c>
      <c r="C12785" t="s">
        <v>138</v>
      </c>
      <c r="D12785" t="s">
        <v>183</v>
      </c>
      <c r="E12785" t="s">
        <v>15</v>
      </c>
      <c r="F12785">
        <v>0.16523495316505432</v>
      </c>
    </row>
    <row r="12786" spans="2:6">
      <c r="B12786">
        <v>2012</v>
      </c>
      <c r="C12786" t="s">
        <v>138</v>
      </c>
      <c r="D12786" t="s">
        <v>183</v>
      </c>
      <c r="E12786" t="s">
        <v>7</v>
      </c>
      <c r="F12786">
        <v>5.6207356452941895</v>
      </c>
    </row>
    <row r="12787" spans="2:6">
      <c r="B12787">
        <v>2012</v>
      </c>
      <c r="C12787" t="s">
        <v>138</v>
      </c>
      <c r="D12787" t="s">
        <v>183</v>
      </c>
      <c r="E12787" t="s">
        <v>8</v>
      </c>
      <c r="F12787">
        <v>10.166345596313477</v>
      </c>
    </row>
    <row r="12788" spans="2:6">
      <c r="B12788">
        <v>2012</v>
      </c>
      <c r="C12788" t="s">
        <v>138</v>
      </c>
      <c r="D12788" t="s">
        <v>183</v>
      </c>
      <c r="E12788" t="s">
        <v>9</v>
      </c>
      <c r="F12788">
        <v>0.90129512548446655</v>
      </c>
    </row>
    <row r="12789" spans="2:6">
      <c r="B12789">
        <v>2012</v>
      </c>
      <c r="C12789" t="s">
        <v>138</v>
      </c>
      <c r="D12789" t="s">
        <v>183</v>
      </c>
      <c r="E12789" t="s">
        <v>10</v>
      </c>
      <c r="F12789">
        <v>61.840000152587891</v>
      </c>
    </row>
    <row r="12790" spans="2:6">
      <c r="B12790">
        <v>2012</v>
      </c>
      <c r="C12790" t="s">
        <v>138</v>
      </c>
      <c r="D12790" t="s">
        <v>183</v>
      </c>
      <c r="E12790" t="s">
        <v>11</v>
      </c>
      <c r="F12790">
        <v>0.60910415649414063</v>
      </c>
    </row>
    <row r="12791" spans="2:6">
      <c r="B12791">
        <v>2012</v>
      </c>
      <c r="C12791" t="s">
        <v>138</v>
      </c>
      <c r="D12791" t="s">
        <v>183</v>
      </c>
      <c r="E12791" t="s">
        <v>12</v>
      </c>
      <c r="F12791">
        <v>-0.29261636734008789</v>
      </c>
    </row>
    <row r="12792" spans="2:6">
      <c r="B12792">
        <v>2012</v>
      </c>
      <c r="C12792" t="s">
        <v>138</v>
      </c>
      <c r="D12792" t="s">
        <v>183</v>
      </c>
      <c r="E12792" t="s">
        <v>13</v>
      </c>
      <c r="F12792">
        <v>0.93751794099807739</v>
      </c>
    </row>
    <row r="12793" spans="2:6">
      <c r="B12793">
        <v>2012</v>
      </c>
      <c r="C12793" t="s">
        <v>138</v>
      </c>
      <c r="D12793" t="s">
        <v>183</v>
      </c>
      <c r="E12793" t="s">
        <v>14</v>
      </c>
      <c r="F12793">
        <v>0.6111641526222229</v>
      </c>
    </row>
    <row r="12794" spans="2:6">
      <c r="B12794">
        <v>2012</v>
      </c>
      <c r="C12794" t="s">
        <v>138</v>
      </c>
      <c r="D12794" t="s">
        <v>183</v>
      </c>
      <c r="E12794" t="s">
        <v>15</v>
      </c>
      <c r="F12794">
        <v>0.17360448837280273</v>
      </c>
    </row>
    <row r="12795" spans="2:6">
      <c r="B12795">
        <v>2013</v>
      </c>
      <c r="C12795" t="s">
        <v>138</v>
      </c>
      <c r="D12795" t="s">
        <v>183</v>
      </c>
      <c r="E12795" t="s">
        <v>7</v>
      </c>
      <c r="F12795">
        <v>5.537177562713623</v>
      </c>
    </row>
    <row r="12796" spans="2:6">
      <c r="B12796">
        <v>2013</v>
      </c>
      <c r="C12796" t="s">
        <v>138</v>
      </c>
      <c r="D12796" t="s">
        <v>183</v>
      </c>
      <c r="E12796" t="s">
        <v>8</v>
      </c>
      <c r="F12796">
        <v>10.181618690490723</v>
      </c>
    </row>
    <row r="12797" spans="2:6">
      <c r="B12797">
        <v>2013</v>
      </c>
      <c r="C12797" t="s">
        <v>138</v>
      </c>
      <c r="D12797" t="s">
        <v>183</v>
      </c>
      <c r="E12797" t="s">
        <v>9</v>
      </c>
      <c r="F12797">
        <v>0.88085699081420898</v>
      </c>
    </row>
    <row r="12798" spans="2:6">
      <c r="B12798">
        <v>2013</v>
      </c>
      <c r="C12798" t="s">
        <v>138</v>
      </c>
      <c r="D12798" t="s">
        <v>183</v>
      </c>
      <c r="E12798" t="s">
        <v>10</v>
      </c>
      <c r="F12798">
        <v>62.259998321533203</v>
      </c>
    </row>
    <row r="12799" spans="2:6">
      <c r="B12799">
        <v>2013</v>
      </c>
      <c r="C12799" t="s">
        <v>138</v>
      </c>
      <c r="D12799" t="s">
        <v>183</v>
      </c>
      <c r="E12799" t="s">
        <v>11</v>
      </c>
      <c r="F12799">
        <v>0.66118556261062622</v>
      </c>
    </row>
    <row r="12800" spans="2:6">
      <c r="B12800">
        <v>2013</v>
      </c>
      <c r="C12800" t="s">
        <v>138</v>
      </c>
      <c r="D12800" t="s">
        <v>183</v>
      </c>
      <c r="E12800" t="s">
        <v>12</v>
      </c>
      <c r="F12800">
        <v>-0.28933006525039673</v>
      </c>
    </row>
    <row r="12801" spans="2:6">
      <c r="B12801">
        <v>2013</v>
      </c>
      <c r="C12801" t="s">
        <v>138</v>
      </c>
      <c r="D12801" t="s">
        <v>183</v>
      </c>
      <c r="E12801" t="s">
        <v>13</v>
      </c>
      <c r="F12801">
        <v>0.93380451202392578</v>
      </c>
    </row>
    <row r="12802" spans="2:6">
      <c r="B12802">
        <v>2013</v>
      </c>
      <c r="C12802" t="s">
        <v>138</v>
      </c>
      <c r="D12802" t="s">
        <v>183</v>
      </c>
      <c r="E12802" t="s">
        <v>14</v>
      </c>
      <c r="F12802">
        <v>0.67974531650543213</v>
      </c>
    </row>
    <row r="12803" spans="2:6">
      <c r="B12803">
        <v>2013</v>
      </c>
      <c r="C12803" t="s">
        <v>138</v>
      </c>
      <c r="D12803" t="s">
        <v>183</v>
      </c>
      <c r="E12803" t="s">
        <v>15</v>
      </c>
      <c r="F12803">
        <v>0.17992375791072845</v>
      </c>
    </row>
    <row r="12804" spans="2:6">
      <c r="B12804">
        <v>2014</v>
      </c>
      <c r="C12804" t="s">
        <v>138</v>
      </c>
      <c r="D12804" t="s">
        <v>183</v>
      </c>
      <c r="E12804" t="s">
        <v>7</v>
      </c>
      <c r="F12804">
        <v>6.0369768142700195</v>
      </c>
    </row>
    <row r="12805" spans="2:6">
      <c r="B12805">
        <v>2014</v>
      </c>
      <c r="C12805" t="s">
        <v>138</v>
      </c>
      <c r="D12805" t="s">
        <v>183</v>
      </c>
      <c r="E12805" t="s">
        <v>8</v>
      </c>
      <c r="F12805">
        <v>10.171111106872559</v>
      </c>
    </row>
    <row r="12806" spans="2:6">
      <c r="B12806">
        <v>2014</v>
      </c>
      <c r="C12806" t="s">
        <v>138</v>
      </c>
      <c r="D12806" t="s">
        <v>183</v>
      </c>
      <c r="E12806" t="s">
        <v>9</v>
      </c>
      <c r="F12806">
        <v>0.9317554235458374</v>
      </c>
    </row>
    <row r="12807" spans="2:6">
      <c r="B12807">
        <v>2014</v>
      </c>
      <c r="C12807" t="s">
        <v>138</v>
      </c>
      <c r="D12807" t="s">
        <v>183</v>
      </c>
      <c r="E12807" t="s">
        <v>10</v>
      </c>
      <c r="F12807">
        <v>62.680000305175781</v>
      </c>
    </row>
    <row r="12808" spans="2:6">
      <c r="B12808">
        <v>2014</v>
      </c>
      <c r="C12808" t="s">
        <v>138</v>
      </c>
      <c r="D12808" t="s">
        <v>183</v>
      </c>
      <c r="E12808" t="s">
        <v>11</v>
      </c>
      <c r="F12808">
        <v>0.74433207511901855</v>
      </c>
    </row>
    <row r="12809" spans="2:6">
      <c r="B12809">
        <v>2014</v>
      </c>
      <c r="C12809" t="s">
        <v>138</v>
      </c>
      <c r="D12809" t="s">
        <v>183</v>
      </c>
      <c r="E12809" t="s">
        <v>12</v>
      </c>
      <c r="F12809">
        <v>-0.26455968618392944</v>
      </c>
    </row>
    <row r="12810" spans="2:6">
      <c r="B12810">
        <v>2014</v>
      </c>
      <c r="C12810" t="s">
        <v>138</v>
      </c>
      <c r="D12810" t="s">
        <v>183</v>
      </c>
      <c r="E12810" t="s">
        <v>13</v>
      </c>
      <c r="F12810">
        <v>0.86926728487014771</v>
      </c>
    </row>
    <row r="12811" spans="2:6">
      <c r="B12811">
        <v>2014</v>
      </c>
      <c r="C12811" t="s">
        <v>138</v>
      </c>
      <c r="D12811" t="s">
        <v>183</v>
      </c>
      <c r="E12811" t="s">
        <v>14</v>
      </c>
      <c r="F12811">
        <v>0.68763792514801025</v>
      </c>
    </row>
    <row r="12812" spans="2:6">
      <c r="B12812">
        <v>2014</v>
      </c>
      <c r="C12812" t="s">
        <v>138</v>
      </c>
      <c r="D12812" t="s">
        <v>183</v>
      </c>
      <c r="E12812" t="s">
        <v>15</v>
      </c>
      <c r="F12812">
        <v>0.15134692192077637</v>
      </c>
    </row>
    <row r="12813" spans="2:6">
      <c r="B12813">
        <v>2015</v>
      </c>
      <c r="C12813" t="s">
        <v>138</v>
      </c>
      <c r="D12813" t="s">
        <v>183</v>
      </c>
      <c r="E12813" t="s">
        <v>7</v>
      </c>
      <c r="F12813">
        <v>5.9955387115478516</v>
      </c>
    </row>
    <row r="12814" spans="2:6">
      <c r="B12814">
        <v>2015</v>
      </c>
      <c r="C12814" t="s">
        <v>138</v>
      </c>
      <c r="D12814" t="s">
        <v>183</v>
      </c>
      <c r="E12814" t="s">
        <v>8</v>
      </c>
      <c r="F12814">
        <v>10.149029731750488</v>
      </c>
    </row>
    <row r="12815" spans="2:6">
      <c r="B12815">
        <v>2015</v>
      </c>
      <c r="C12815" t="s">
        <v>138</v>
      </c>
      <c r="D12815" t="s">
        <v>183</v>
      </c>
      <c r="E12815" t="s">
        <v>9</v>
      </c>
      <c r="F12815">
        <v>0.92436325550079346</v>
      </c>
    </row>
    <row r="12816" spans="2:6">
      <c r="B12816">
        <v>2015</v>
      </c>
      <c r="C12816" t="s">
        <v>138</v>
      </c>
      <c r="D12816" t="s">
        <v>183</v>
      </c>
      <c r="E12816" t="s">
        <v>10</v>
      </c>
      <c r="F12816">
        <v>63.099998474121094</v>
      </c>
    </row>
    <row r="12817" spans="2:6">
      <c r="B12817">
        <v>2015</v>
      </c>
      <c r="C12817" t="s">
        <v>138</v>
      </c>
      <c r="D12817" t="s">
        <v>183</v>
      </c>
      <c r="E12817" t="s">
        <v>11</v>
      </c>
      <c r="F12817">
        <v>0.68545472621917725</v>
      </c>
    </row>
    <row r="12818" spans="2:6">
      <c r="B12818">
        <v>2015</v>
      </c>
      <c r="C12818" t="s">
        <v>138</v>
      </c>
      <c r="D12818" t="s">
        <v>183</v>
      </c>
      <c r="E12818" t="s">
        <v>12</v>
      </c>
      <c r="F12818">
        <v>-0.17106080055236816</v>
      </c>
    </row>
    <row r="12819" spans="2:6">
      <c r="B12819">
        <v>2015</v>
      </c>
      <c r="C12819" t="s">
        <v>138</v>
      </c>
      <c r="D12819" t="s">
        <v>183</v>
      </c>
      <c r="E12819" t="s">
        <v>13</v>
      </c>
      <c r="F12819">
        <v>0.91341829299926758</v>
      </c>
    </row>
    <row r="12820" spans="2:6">
      <c r="B12820">
        <v>2015</v>
      </c>
      <c r="C12820" t="s">
        <v>138</v>
      </c>
      <c r="D12820" t="s">
        <v>183</v>
      </c>
      <c r="E12820" t="s">
        <v>14</v>
      </c>
      <c r="F12820">
        <v>0.67873191833496094</v>
      </c>
    </row>
    <row r="12821" spans="2:6">
      <c r="B12821">
        <v>2015</v>
      </c>
      <c r="C12821" t="s">
        <v>138</v>
      </c>
      <c r="D12821" t="s">
        <v>183</v>
      </c>
      <c r="E12821" t="s">
        <v>15</v>
      </c>
      <c r="F12821">
        <v>0.13000592589378357</v>
      </c>
    </row>
    <row r="12822" spans="2:6">
      <c r="B12822">
        <v>2016</v>
      </c>
      <c r="C12822" t="s">
        <v>138</v>
      </c>
      <c r="D12822" t="s">
        <v>183</v>
      </c>
      <c r="E12822" t="s">
        <v>7</v>
      </c>
      <c r="F12822">
        <v>5.8549456596374512</v>
      </c>
    </row>
    <row r="12823" spans="2:6">
      <c r="B12823">
        <v>2016</v>
      </c>
      <c r="C12823" t="s">
        <v>138</v>
      </c>
      <c r="D12823" t="s">
        <v>183</v>
      </c>
      <c r="E12823" t="s">
        <v>8</v>
      </c>
      <c r="F12823">
        <v>10.14913272857666</v>
      </c>
    </row>
    <row r="12824" spans="2:6">
      <c r="B12824">
        <v>2016</v>
      </c>
      <c r="C12824" t="s">
        <v>138</v>
      </c>
      <c r="D12824" t="s">
        <v>183</v>
      </c>
      <c r="E12824" t="s">
        <v>9</v>
      </c>
      <c r="F12824">
        <v>0.91092735528945923</v>
      </c>
    </row>
    <row r="12825" spans="2:6">
      <c r="B12825">
        <v>2016</v>
      </c>
      <c r="C12825" t="s">
        <v>138</v>
      </c>
      <c r="D12825" t="s">
        <v>183</v>
      </c>
      <c r="E12825" t="s">
        <v>10</v>
      </c>
      <c r="F12825">
        <v>63.5</v>
      </c>
    </row>
    <row r="12826" spans="2:6">
      <c r="B12826">
        <v>2016</v>
      </c>
      <c r="C12826" t="s">
        <v>138</v>
      </c>
      <c r="D12826" t="s">
        <v>183</v>
      </c>
      <c r="E12826" t="s">
        <v>11</v>
      </c>
      <c r="F12826">
        <v>0.71360629796981812</v>
      </c>
    </row>
    <row r="12827" spans="2:6">
      <c r="B12827">
        <v>2016</v>
      </c>
      <c r="C12827" t="s">
        <v>138</v>
      </c>
      <c r="D12827" t="s">
        <v>183</v>
      </c>
      <c r="E12827" t="s">
        <v>12</v>
      </c>
      <c r="F12827">
        <v>-0.18124747276306152</v>
      </c>
    </row>
    <row r="12828" spans="2:6">
      <c r="B12828">
        <v>2016</v>
      </c>
      <c r="C12828" t="s">
        <v>138</v>
      </c>
      <c r="D12828" t="s">
        <v>183</v>
      </c>
      <c r="E12828" t="s">
        <v>13</v>
      </c>
      <c r="F12828">
        <v>0.92546272277832031</v>
      </c>
    </row>
    <row r="12829" spans="2:6">
      <c r="B12829">
        <v>2016</v>
      </c>
      <c r="C12829" t="s">
        <v>138</v>
      </c>
      <c r="D12829" t="s">
        <v>183</v>
      </c>
      <c r="E12829" t="s">
        <v>14</v>
      </c>
      <c r="F12829">
        <v>0.63629865646362305</v>
      </c>
    </row>
    <row r="12830" spans="2:6">
      <c r="B12830">
        <v>2016</v>
      </c>
      <c r="C12830" t="s">
        <v>138</v>
      </c>
      <c r="D12830" t="s">
        <v>183</v>
      </c>
      <c r="E12830" t="s">
        <v>15</v>
      </c>
      <c r="F12830">
        <v>0.1424972265958786</v>
      </c>
    </row>
    <row r="12831" spans="2:6">
      <c r="B12831">
        <v>2017</v>
      </c>
      <c r="C12831" t="s">
        <v>138</v>
      </c>
      <c r="D12831" t="s">
        <v>183</v>
      </c>
      <c r="E12831" t="s">
        <v>7</v>
      </c>
      <c r="F12831">
        <v>5.5787429809570313</v>
      </c>
    </row>
    <row r="12832" spans="2:6">
      <c r="B12832">
        <v>2017</v>
      </c>
      <c r="C12832" t="s">
        <v>138</v>
      </c>
      <c r="D12832" t="s">
        <v>183</v>
      </c>
      <c r="E12832" t="s">
        <v>8</v>
      </c>
      <c r="F12832">
        <v>10.166081428527832</v>
      </c>
    </row>
    <row r="12833" spans="2:6">
      <c r="B12833">
        <v>2017</v>
      </c>
      <c r="C12833" t="s">
        <v>138</v>
      </c>
      <c r="D12833" t="s">
        <v>183</v>
      </c>
      <c r="E12833" t="s">
        <v>9</v>
      </c>
      <c r="F12833">
        <v>0.89615130424499512</v>
      </c>
    </row>
    <row r="12834" spans="2:6">
      <c r="B12834">
        <v>2017</v>
      </c>
      <c r="C12834" t="s">
        <v>138</v>
      </c>
      <c r="D12834" t="s">
        <v>183</v>
      </c>
      <c r="E12834" t="s">
        <v>10</v>
      </c>
      <c r="F12834">
        <v>63.900001525878906</v>
      </c>
    </row>
    <row r="12835" spans="2:6">
      <c r="B12835">
        <v>2017</v>
      </c>
      <c r="C12835" t="s">
        <v>138</v>
      </c>
      <c r="D12835" t="s">
        <v>183</v>
      </c>
      <c r="E12835" t="s">
        <v>11</v>
      </c>
      <c r="F12835">
        <v>0.73087424039840698</v>
      </c>
    </row>
    <row r="12836" spans="2:6">
      <c r="B12836">
        <v>2017</v>
      </c>
      <c r="C12836" t="s">
        <v>138</v>
      </c>
      <c r="D12836" t="s">
        <v>183</v>
      </c>
      <c r="E12836" t="s">
        <v>12</v>
      </c>
      <c r="F12836">
        <v>-0.14496149122714996</v>
      </c>
    </row>
    <row r="12837" spans="2:6">
      <c r="B12837">
        <v>2017</v>
      </c>
      <c r="C12837" t="s">
        <v>138</v>
      </c>
      <c r="D12837" t="s">
        <v>183</v>
      </c>
      <c r="E12837" t="s">
        <v>13</v>
      </c>
      <c r="F12837">
        <v>0.86159020662307739</v>
      </c>
    </row>
    <row r="12838" spans="2:6">
      <c r="B12838">
        <v>2017</v>
      </c>
      <c r="C12838" t="s">
        <v>138</v>
      </c>
      <c r="D12838" t="s">
        <v>183</v>
      </c>
      <c r="E12838" t="s">
        <v>14</v>
      </c>
      <c r="F12838">
        <v>0.71023023128509521</v>
      </c>
    </row>
    <row r="12839" spans="2:6">
      <c r="B12839">
        <v>2017</v>
      </c>
      <c r="C12839" t="s">
        <v>138</v>
      </c>
      <c r="D12839" t="s">
        <v>183</v>
      </c>
      <c r="E12839" t="s">
        <v>15</v>
      </c>
      <c r="F12839">
        <v>0.19456052780151367</v>
      </c>
    </row>
    <row r="12840" spans="2:6">
      <c r="B12840">
        <v>2018</v>
      </c>
      <c r="C12840" t="s">
        <v>138</v>
      </c>
      <c r="D12840" t="s">
        <v>183</v>
      </c>
      <c r="E12840" t="s">
        <v>7</v>
      </c>
      <c r="F12840">
        <v>5.5135002136230469</v>
      </c>
    </row>
    <row r="12841" spans="2:6">
      <c r="B12841">
        <v>2018</v>
      </c>
      <c r="C12841" t="s">
        <v>138</v>
      </c>
      <c r="D12841" t="s">
        <v>183</v>
      </c>
      <c r="E12841" t="s">
        <v>8</v>
      </c>
      <c r="F12841">
        <v>10.191208839416504</v>
      </c>
    </row>
    <row r="12842" spans="2:6">
      <c r="B12842">
        <v>2018</v>
      </c>
      <c r="C12842" t="s">
        <v>138</v>
      </c>
      <c r="D12842" t="s">
        <v>183</v>
      </c>
      <c r="E12842" t="s">
        <v>9</v>
      </c>
      <c r="F12842">
        <v>0.90872609615325928</v>
      </c>
    </row>
    <row r="12843" spans="2:6">
      <c r="B12843">
        <v>2018</v>
      </c>
      <c r="C12843" t="s">
        <v>138</v>
      </c>
      <c r="D12843" t="s">
        <v>183</v>
      </c>
      <c r="E12843" t="s">
        <v>10</v>
      </c>
      <c r="F12843">
        <v>64.300003051757813</v>
      </c>
    </row>
    <row r="12844" spans="2:6">
      <c r="B12844">
        <v>2018</v>
      </c>
      <c r="C12844" t="s">
        <v>138</v>
      </c>
      <c r="D12844" t="s">
        <v>183</v>
      </c>
      <c r="E12844" t="s">
        <v>11</v>
      </c>
      <c r="F12844">
        <v>0.7292822003364563</v>
      </c>
    </row>
    <row r="12845" spans="2:6">
      <c r="B12845">
        <v>2018</v>
      </c>
      <c r="C12845" t="s">
        <v>138</v>
      </c>
      <c r="D12845" t="s">
        <v>183</v>
      </c>
      <c r="E12845" t="s">
        <v>12</v>
      </c>
      <c r="F12845">
        <v>-0.14714211225509644</v>
      </c>
    </row>
    <row r="12846" spans="2:6">
      <c r="B12846">
        <v>2018</v>
      </c>
      <c r="C12846" t="s">
        <v>138</v>
      </c>
      <c r="D12846" t="s">
        <v>183</v>
      </c>
      <c r="E12846" t="s">
        <v>13</v>
      </c>
      <c r="F12846">
        <v>0.86531156301498413</v>
      </c>
    </row>
    <row r="12847" spans="2:6">
      <c r="B12847">
        <v>2018</v>
      </c>
      <c r="C12847" t="s">
        <v>138</v>
      </c>
      <c r="D12847" t="s">
        <v>183</v>
      </c>
      <c r="E12847" t="s">
        <v>14</v>
      </c>
      <c r="F12847">
        <v>0.67334628105163574</v>
      </c>
    </row>
    <row r="12848" spans="2:6">
      <c r="B12848">
        <v>2018</v>
      </c>
      <c r="C12848" t="s">
        <v>138</v>
      </c>
      <c r="D12848" t="s">
        <v>183</v>
      </c>
      <c r="E12848" t="s">
        <v>15</v>
      </c>
      <c r="F12848">
        <v>0.19879630208015442</v>
      </c>
    </row>
    <row r="12849" spans="2:6">
      <c r="B12849">
        <v>2019</v>
      </c>
      <c r="C12849" t="s">
        <v>138</v>
      </c>
      <c r="D12849" t="s">
        <v>183</v>
      </c>
      <c r="E12849" t="s">
        <v>7</v>
      </c>
      <c r="F12849">
        <v>5.440523624420166</v>
      </c>
    </row>
    <row r="12850" spans="2:6">
      <c r="B12850">
        <v>2019</v>
      </c>
      <c r="C12850" t="s">
        <v>138</v>
      </c>
      <c r="D12850" t="s">
        <v>183</v>
      </c>
      <c r="E12850" t="s">
        <v>8</v>
      </c>
      <c r="F12850">
        <v>10.205218315124512</v>
      </c>
    </row>
    <row r="12851" spans="2:6">
      <c r="B12851">
        <v>2019</v>
      </c>
      <c r="C12851" t="s">
        <v>138</v>
      </c>
      <c r="D12851" t="s">
        <v>183</v>
      </c>
      <c r="E12851" t="s">
        <v>9</v>
      </c>
      <c r="F12851">
        <v>0.9100988507270813</v>
      </c>
    </row>
    <row r="12852" spans="2:6">
      <c r="B12852">
        <v>2019</v>
      </c>
      <c r="C12852" t="s">
        <v>138</v>
      </c>
      <c r="D12852" t="s">
        <v>183</v>
      </c>
      <c r="E12852" t="s">
        <v>10</v>
      </c>
      <c r="F12852">
        <v>64.699996948242188</v>
      </c>
    </row>
    <row r="12853" spans="2:6">
      <c r="B12853">
        <v>2019</v>
      </c>
      <c r="C12853" t="s">
        <v>138</v>
      </c>
      <c r="D12853" t="s">
        <v>183</v>
      </c>
      <c r="E12853" t="s">
        <v>11</v>
      </c>
      <c r="F12853">
        <v>0.71476608514785767</v>
      </c>
    </row>
    <row r="12854" spans="2:6">
      <c r="B12854">
        <v>2019</v>
      </c>
      <c r="C12854" t="s">
        <v>138</v>
      </c>
      <c r="D12854" t="s">
        <v>183</v>
      </c>
      <c r="E12854" t="s">
        <v>12</v>
      </c>
      <c r="F12854">
        <v>-0.11557179689407349</v>
      </c>
    </row>
    <row r="12855" spans="2:6">
      <c r="B12855">
        <v>2019</v>
      </c>
      <c r="C12855" t="s">
        <v>138</v>
      </c>
      <c r="D12855" t="s">
        <v>183</v>
      </c>
      <c r="E12855" t="s">
        <v>13</v>
      </c>
      <c r="F12855">
        <v>0.84770506620407104</v>
      </c>
    </row>
    <row r="12856" spans="2:6">
      <c r="B12856">
        <v>2019</v>
      </c>
      <c r="C12856" t="s">
        <v>138</v>
      </c>
      <c r="D12856" t="s">
        <v>183</v>
      </c>
      <c r="E12856" t="s">
        <v>14</v>
      </c>
      <c r="F12856">
        <v>0.69135141372680664</v>
      </c>
    </row>
    <row r="12857" spans="2:6">
      <c r="B12857">
        <v>2019</v>
      </c>
      <c r="C12857" t="s">
        <v>138</v>
      </c>
      <c r="D12857" t="s">
        <v>183</v>
      </c>
      <c r="E12857" t="s">
        <v>15</v>
      </c>
      <c r="F12857">
        <v>0.20042155683040619</v>
      </c>
    </row>
    <row r="12858" spans="2:6">
      <c r="B12858">
        <v>2020</v>
      </c>
      <c r="C12858" t="s">
        <v>138</v>
      </c>
      <c r="D12858" t="s">
        <v>183</v>
      </c>
      <c r="E12858" t="s">
        <v>7</v>
      </c>
      <c r="F12858">
        <v>5.4952888488769531</v>
      </c>
    </row>
    <row r="12859" spans="2:6">
      <c r="B12859">
        <v>2020</v>
      </c>
      <c r="C12859" t="s">
        <v>138</v>
      </c>
      <c r="D12859" t="s">
        <v>183</v>
      </c>
      <c r="E12859" t="s">
        <v>8</v>
      </c>
      <c r="F12859">
        <v>10.162235260009766</v>
      </c>
    </row>
    <row r="12860" spans="2:6">
      <c r="B12860">
        <v>2020</v>
      </c>
      <c r="C12860" t="s">
        <v>138</v>
      </c>
      <c r="D12860" t="s">
        <v>183</v>
      </c>
      <c r="E12860" t="s">
        <v>9</v>
      </c>
      <c r="F12860">
        <v>0.88702017068862915</v>
      </c>
    </row>
    <row r="12861" spans="2:6">
      <c r="B12861">
        <v>2020</v>
      </c>
      <c r="C12861" t="s">
        <v>138</v>
      </c>
      <c r="D12861" t="s">
        <v>183</v>
      </c>
      <c r="E12861" t="s">
        <v>10</v>
      </c>
      <c r="F12861">
        <v>65.099998474121094</v>
      </c>
    </row>
    <row r="12862" spans="2:6">
      <c r="B12862">
        <v>2020</v>
      </c>
      <c r="C12862" t="s">
        <v>138</v>
      </c>
      <c r="D12862" t="s">
        <v>183</v>
      </c>
      <c r="E12862" t="s">
        <v>11</v>
      </c>
      <c r="F12862">
        <v>0.71446645259857178</v>
      </c>
    </row>
    <row r="12863" spans="2:6">
      <c r="B12863">
        <v>2020</v>
      </c>
      <c r="C12863" t="s">
        <v>138</v>
      </c>
      <c r="D12863" t="s">
        <v>183</v>
      </c>
      <c r="E12863" t="s">
        <v>12</v>
      </c>
      <c r="F12863">
        <v>-7.0612296462059021E-2</v>
      </c>
    </row>
    <row r="12864" spans="2:6">
      <c r="B12864">
        <v>2020</v>
      </c>
      <c r="C12864" t="s">
        <v>138</v>
      </c>
      <c r="D12864" t="s">
        <v>183</v>
      </c>
      <c r="E12864" t="s">
        <v>13</v>
      </c>
      <c r="F12864">
        <v>0.82304751873016357</v>
      </c>
    </row>
    <row r="12865" spans="2:6">
      <c r="B12865">
        <v>2020</v>
      </c>
      <c r="C12865" t="s">
        <v>138</v>
      </c>
      <c r="D12865" t="s">
        <v>183</v>
      </c>
      <c r="E12865" t="s">
        <v>14</v>
      </c>
      <c r="F12865">
        <v>0.64521497488021851</v>
      </c>
    </row>
    <row r="12866" spans="2:6">
      <c r="B12866">
        <v>2020</v>
      </c>
      <c r="C12866" t="s">
        <v>138</v>
      </c>
      <c r="D12866" t="s">
        <v>183</v>
      </c>
      <c r="E12866" t="s">
        <v>15</v>
      </c>
      <c r="F12866">
        <v>0.18952153623104095</v>
      </c>
    </row>
    <row r="12867" spans="2:6">
      <c r="B12867">
        <v>2006</v>
      </c>
      <c r="C12867" t="s">
        <v>139</v>
      </c>
      <c r="D12867" t="s">
        <v>184</v>
      </c>
      <c r="E12867" t="s">
        <v>7</v>
      </c>
      <c r="F12867">
        <v>4.2147035598754883</v>
      </c>
    </row>
    <row r="12868" spans="2:6">
      <c r="B12868">
        <v>2006</v>
      </c>
      <c r="C12868" t="s">
        <v>139</v>
      </c>
      <c r="D12868" t="s">
        <v>184</v>
      </c>
      <c r="E12868" t="s">
        <v>8</v>
      </c>
      <c r="F12868">
        <v>7.111424446105957</v>
      </c>
    </row>
    <row r="12869" spans="2:6">
      <c r="B12869">
        <v>2006</v>
      </c>
      <c r="C12869" t="s">
        <v>139</v>
      </c>
      <c r="D12869" t="s">
        <v>184</v>
      </c>
      <c r="E12869" t="s">
        <v>9</v>
      </c>
      <c r="F12869">
        <v>0.71758335828781128</v>
      </c>
    </row>
    <row r="12870" spans="2:6">
      <c r="B12870">
        <v>2006</v>
      </c>
      <c r="C12870" t="s">
        <v>139</v>
      </c>
      <c r="D12870" t="s">
        <v>184</v>
      </c>
      <c r="E12870" t="s">
        <v>10</v>
      </c>
      <c r="F12870">
        <v>49.880001068115234</v>
      </c>
    </row>
    <row r="12871" spans="2:6">
      <c r="B12871">
        <v>2006</v>
      </c>
      <c r="C12871" t="s">
        <v>139</v>
      </c>
      <c r="D12871" t="s">
        <v>184</v>
      </c>
      <c r="E12871" t="s">
        <v>11</v>
      </c>
      <c r="F12871">
        <v>0.9154808521270752</v>
      </c>
    </row>
    <row r="12872" spans="2:6">
      <c r="B12872">
        <v>2006</v>
      </c>
      <c r="C12872" t="s">
        <v>139</v>
      </c>
      <c r="D12872" t="s">
        <v>184</v>
      </c>
      <c r="E12872" t="s">
        <v>13</v>
      </c>
      <c r="F12872">
        <v>0.29864352941513062</v>
      </c>
    </row>
    <row r="12873" spans="2:6">
      <c r="B12873">
        <v>2006</v>
      </c>
      <c r="C12873" t="s">
        <v>139</v>
      </c>
      <c r="D12873" t="s">
        <v>184</v>
      </c>
      <c r="E12873" t="s">
        <v>14</v>
      </c>
      <c r="F12873">
        <v>0.73501592874526978</v>
      </c>
    </row>
    <row r="12874" spans="2:6">
      <c r="B12874">
        <v>2006</v>
      </c>
      <c r="C12874" t="s">
        <v>139</v>
      </c>
      <c r="D12874" t="s">
        <v>184</v>
      </c>
      <c r="E12874" t="s">
        <v>15</v>
      </c>
      <c r="F12874">
        <v>0.1889963299036026</v>
      </c>
    </row>
    <row r="12875" spans="2:6">
      <c r="B12875">
        <v>2008</v>
      </c>
      <c r="C12875" t="s">
        <v>139</v>
      </c>
      <c r="D12875" t="s">
        <v>184</v>
      </c>
      <c r="E12875" t="s">
        <v>7</v>
      </c>
      <c r="F12875">
        <v>4.3629889488220215</v>
      </c>
    </row>
    <row r="12876" spans="2:6">
      <c r="B12876">
        <v>2008</v>
      </c>
      <c r="C12876" t="s">
        <v>139</v>
      </c>
      <c r="D12876" t="s">
        <v>184</v>
      </c>
      <c r="E12876" t="s">
        <v>8</v>
      </c>
      <c r="F12876">
        <v>7.2389535903930664</v>
      </c>
    </row>
    <row r="12877" spans="2:6">
      <c r="B12877">
        <v>2008</v>
      </c>
      <c r="C12877" t="s">
        <v>139</v>
      </c>
      <c r="D12877" t="s">
        <v>184</v>
      </c>
      <c r="E12877" t="s">
        <v>9</v>
      </c>
      <c r="F12877">
        <v>0.4856809675693512</v>
      </c>
    </row>
    <row r="12878" spans="2:6">
      <c r="B12878">
        <v>2008</v>
      </c>
      <c r="C12878" t="s">
        <v>139</v>
      </c>
      <c r="D12878" t="s">
        <v>184</v>
      </c>
      <c r="E12878" t="s">
        <v>10</v>
      </c>
      <c r="F12878">
        <v>53.040000915527344</v>
      </c>
    </row>
    <row r="12879" spans="2:6">
      <c r="B12879">
        <v>2008</v>
      </c>
      <c r="C12879" t="s">
        <v>139</v>
      </c>
      <c r="D12879" t="s">
        <v>184</v>
      </c>
      <c r="E12879" t="s">
        <v>11</v>
      </c>
      <c r="F12879">
        <v>0.75229346752166748</v>
      </c>
    </row>
    <row r="12880" spans="2:6">
      <c r="B12880">
        <v>2008</v>
      </c>
      <c r="C12880" t="s">
        <v>139</v>
      </c>
      <c r="D12880" t="s">
        <v>184</v>
      </c>
      <c r="E12880" t="s">
        <v>12</v>
      </c>
      <c r="F12880">
        <v>1.7380876466631889E-2</v>
      </c>
    </row>
    <row r="12881" spans="2:6">
      <c r="B12881">
        <v>2008</v>
      </c>
      <c r="C12881" t="s">
        <v>139</v>
      </c>
      <c r="D12881" t="s">
        <v>184</v>
      </c>
      <c r="E12881" t="s">
        <v>13</v>
      </c>
      <c r="F12881">
        <v>0.2864072322845459</v>
      </c>
    </row>
    <row r="12882" spans="2:6">
      <c r="B12882">
        <v>2008</v>
      </c>
      <c r="C12882" t="s">
        <v>139</v>
      </c>
      <c r="D12882" t="s">
        <v>184</v>
      </c>
      <c r="E12882" t="s">
        <v>14</v>
      </c>
      <c r="F12882">
        <v>0.64295434951782227</v>
      </c>
    </row>
    <row r="12883" spans="2:6">
      <c r="B12883">
        <v>2008</v>
      </c>
      <c r="C12883" t="s">
        <v>139</v>
      </c>
      <c r="D12883" t="s">
        <v>184</v>
      </c>
      <c r="E12883" t="s">
        <v>15</v>
      </c>
      <c r="F12883">
        <v>0.22076791524887085</v>
      </c>
    </row>
    <row r="12884" spans="2:6">
      <c r="B12884">
        <v>2009</v>
      </c>
      <c r="C12884" t="s">
        <v>139</v>
      </c>
      <c r="D12884" t="s">
        <v>184</v>
      </c>
      <c r="E12884" t="s">
        <v>7</v>
      </c>
      <c r="F12884">
        <v>4.029761791229248</v>
      </c>
    </row>
    <row r="12885" spans="2:6">
      <c r="B12885">
        <v>2009</v>
      </c>
      <c r="C12885" t="s">
        <v>139</v>
      </c>
      <c r="D12885" t="s">
        <v>184</v>
      </c>
      <c r="E12885" t="s">
        <v>8</v>
      </c>
      <c r="F12885">
        <v>7.2728099822998047</v>
      </c>
    </row>
    <row r="12886" spans="2:6">
      <c r="B12886">
        <v>2009</v>
      </c>
      <c r="C12886" t="s">
        <v>139</v>
      </c>
      <c r="D12886" t="s">
        <v>184</v>
      </c>
      <c r="E12886" t="s">
        <v>9</v>
      </c>
      <c r="F12886">
        <v>0.55939042568206787</v>
      </c>
    </row>
    <row r="12887" spans="2:6">
      <c r="B12887">
        <v>2009</v>
      </c>
      <c r="C12887" t="s">
        <v>139</v>
      </c>
      <c r="D12887" t="s">
        <v>184</v>
      </c>
      <c r="E12887" t="s">
        <v>10</v>
      </c>
      <c r="F12887">
        <v>54.619998931884766</v>
      </c>
    </row>
    <row r="12888" spans="2:6">
      <c r="B12888">
        <v>2009</v>
      </c>
      <c r="C12888" t="s">
        <v>139</v>
      </c>
      <c r="D12888" t="s">
        <v>184</v>
      </c>
      <c r="E12888" t="s">
        <v>11</v>
      </c>
      <c r="F12888">
        <v>0.76556903123855591</v>
      </c>
    </row>
    <row r="12889" spans="2:6">
      <c r="B12889">
        <v>2009</v>
      </c>
      <c r="C12889" t="s">
        <v>139</v>
      </c>
      <c r="D12889" t="s">
        <v>184</v>
      </c>
      <c r="E12889" t="s">
        <v>12</v>
      </c>
      <c r="F12889">
        <v>-7.2969717439264059E-4</v>
      </c>
    </row>
    <row r="12890" spans="2:6">
      <c r="B12890">
        <v>2009</v>
      </c>
      <c r="C12890" t="s">
        <v>139</v>
      </c>
      <c r="D12890" t="s">
        <v>184</v>
      </c>
      <c r="E12890" t="s">
        <v>13</v>
      </c>
      <c r="F12890">
        <v>0.40970286726951599</v>
      </c>
    </row>
    <row r="12891" spans="2:6">
      <c r="B12891">
        <v>2009</v>
      </c>
      <c r="C12891" t="s">
        <v>139</v>
      </c>
      <c r="D12891" t="s">
        <v>184</v>
      </c>
      <c r="E12891" t="s">
        <v>14</v>
      </c>
      <c r="F12891">
        <v>0.67769777774810791</v>
      </c>
    </row>
    <row r="12892" spans="2:6">
      <c r="B12892">
        <v>2009</v>
      </c>
      <c r="C12892" t="s">
        <v>139</v>
      </c>
      <c r="D12892" t="s">
        <v>184</v>
      </c>
      <c r="E12892" t="s">
        <v>15</v>
      </c>
      <c r="F12892">
        <v>0.11236191540956497</v>
      </c>
    </row>
    <row r="12893" spans="2:6">
      <c r="B12893">
        <v>2011</v>
      </c>
      <c r="C12893" t="s">
        <v>139</v>
      </c>
      <c r="D12893" t="s">
        <v>184</v>
      </c>
      <c r="E12893" t="s">
        <v>7</v>
      </c>
      <c r="F12893">
        <v>4.0974359512329102</v>
      </c>
    </row>
    <row r="12894" spans="2:6">
      <c r="B12894">
        <v>2011</v>
      </c>
      <c r="C12894" t="s">
        <v>139</v>
      </c>
      <c r="D12894" t="s">
        <v>184</v>
      </c>
      <c r="E12894" t="s">
        <v>8</v>
      </c>
      <c r="F12894">
        <v>7.369293212890625</v>
      </c>
    </row>
    <row r="12895" spans="2:6">
      <c r="B12895">
        <v>2011</v>
      </c>
      <c r="C12895" t="s">
        <v>139</v>
      </c>
      <c r="D12895" t="s">
        <v>184</v>
      </c>
      <c r="E12895" t="s">
        <v>9</v>
      </c>
      <c r="F12895">
        <v>0.56985950469970703</v>
      </c>
    </row>
    <row r="12896" spans="2:6">
      <c r="B12896">
        <v>2011</v>
      </c>
      <c r="C12896" t="s">
        <v>139</v>
      </c>
      <c r="D12896" t="s">
        <v>184</v>
      </c>
      <c r="E12896" t="s">
        <v>10</v>
      </c>
      <c r="F12896">
        <v>56.819999694824219</v>
      </c>
    </row>
    <row r="12897" spans="2:6">
      <c r="B12897">
        <v>2011</v>
      </c>
      <c r="C12897" t="s">
        <v>139</v>
      </c>
      <c r="D12897" t="s">
        <v>184</v>
      </c>
      <c r="E12897" t="s">
        <v>11</v>
      </c>
      <c r="F12897">
        <v>0.8290361762046814</v>
      </c>
    </row>
    <row r="12898" spans="2:6">
      <c r="B12898">
        <v>2011</v>
      </c>
      <c r="C12898" t="s">
        <v>139</v>
      </c>
      <c r="D12898" t="s">
        <v>184</v>
      </c>
      <c r="E12898" t="s">
        <v>12</v>
      </c>
      <c r="F12898">
        <v>-3.8671389222145081E-2</v>
      </c>
    </row>
    <row r="12899" spans="2:6">
      <c r="B12899">
        <v>2011</v>
      </c>
      <c r="C12899" t="s">
        <v>139</v>
      </c>
      <c r="D12899" t="s">
        <v>184</v>
      </c>
      <c r="E12899" t="s">
        <v>13</v>
      </c>
      <c r="F12899">
        <v>0.16147466003894806</v>
      </c>
    </row>
    <row r="12900" spans="2:6">
      <c r="B12900">
        <v>2011</v>
      </c>
      <c r="C12900" t="s">
        <v>139</v>
      </c>
      <c r="D12900" t="s">
        <v>184</v>
      </c>
      <c r="E12900" t="s">
        <v>14</v>
      </c>
      <c r="F12900">
        <v>0.66547387838363647</v>
      </c>
    </row>
    <row r="12901" spans="2:6">
      <c r="B12901">
        <v>2011</v>
      </c>
      <c r="C12901" t="s">
        <v>139</v>
      </c>
      <c r="D12901" t="s">
        <v>184</v>
      </c>
      <c r="E12901" t="s">
        <v>15</v>
      </c>
      <c r="F12901">
        <v>0.15424193441867828</v>
      </c>
    </row>
    <row r="12902" spans="2:6">
      <c r="B12902">
        <v>2012</v>
      </c>
      <c r="C12902" t="s">
        <v>139</v>
      </c>
      <c r="D12902" t="s">
        <v>184</v>
      </c>
      <c r="E12902" t="s">
        <v>7</v>
      </c>
      <c r="F12902">
        <v>3.3330478668212891</v>
      </c>
    </row>
    <row r="12903" spans="2:6">
      <c r="B12903">
        <v>2012</v>
      </c>
      <c r="C12903" t="s">
        <v>139</v>
      </c>
      <c r="D12903" t="s">
        <v>184</v>
      </c>
      <c r="E12903" t="s">
        <v>8</v>
      </c>
      <c r="F12903">
        <v>7.4275774955749512</v>
      </c>
    </row>
    <row r="12904" spans="2:6">
      <c r="B12904">
        <v>2012</v>
      </c>
      <c r="C12904" t="s">
        <v>139</v>
      </c>
      <c r="D12904" t="s">
        <v>184</v>
      </c>
      <c r="E12904" t="s">
        <v>9</v>
      </c>
      <c r="F12904">
        <v>0.63714724779129028</v>
      </c>
    </row>
    <row r="12905" spans="2:6">
      <c r="B12905">
        <v>2012</v>
      </c>
      <c r="C12905" t="s">
        <v>139</v>
      </c>
      <c r="D12905" t="s">
        <v>184</v>
      </c>
      <c r="E12905" t="s">
        <v>10</v>
      </c>
      <c r="F12905">
        <v>57.439998626708984</v>
      </c>
    </row>
    <row r="12906" spans="2:6">
      <c r="B12906">
        <v>2012</v>
      </c>
      <c r="C12906" t="s">
        <v>139</v>
      </c>
      <c r="D12906" t="s">
        <v>184</v>
      </c>
      <c r="E12906" t="s">
        <v>11</v>
      </c>
      <c r="F12906">
        <v>0.8354913592338562</v>
      </c>
    </row>
    <row r="12907" spans="2:6">
      <c r="B12907">
        <v>2012</v>
      </c>
      <c r="C12907" t="s">
        <v>139</v>
      </c>
      <c r="D12907" t="s">
        <v>184</v>
      </c>
      <c r="E12907" t="s">
        <v>12</v>
      </c>
      <c r="F12907">
        <v>-1.1817571707069874E-2</v>
      </c>
    </row>
    <row r="12908" spans="2:6">
      <c r="B12908">
        <v>2012</v>
      </c>
      <c r="C12908" t="s">
        <v>139</v>
      </c>
      <c r="D12908" t="s">
        <v>184</v>
      </c>
      <c r="E12908" t="s">
        <v>13</v>
      </c>
      <c r="F12908">
        <v>8.1324897706508636E-2</v>
      </c>
    </row>
    <row r="12909" spans="2:6">
      <c r="B12909">
        <v>2012</v>
      </c>
      <c r="C12909" t="s">
        <v>139</v>
      </c>
      <c r="D12909" t="s">
        <v>184</v>
      </c>
      <c r="E12909" t="s">
        <v>14</v>
      </c>
      <c r="F12909">
        <v>0.70279431343078613</v>
      </c>
    </row>
    <row r="12910" spans="2:6">
      <c r="B12910">
        <v>2012</v>
      </c>
      <c r="C12910" t="s">
        <v>139</v>
      </c>
      <c r="D12910" t="s">
        <v>184</v>
      </c>
      <c r="E12910" t="s">
        <v>15</v>
      </c>
      <c r="F12910">
        <v>0.13239814341068268</v>
      </c>
    </row>
    <row r="12911" spans="2:6">
      <c r="B12911">
        <v>2013</v>
      </c>
      <c r="C12911" t="s">
        <v>139</v>
      </c>
      <c r="D12911" t="s">
        <v>184</v>
      </c>
      <c r="E12911" t="s">
        <v>7</v>
      </c>
      <c r="F12911">
        <v>3.4663877487182617</v>
      </c>
    </row>
    <row r="12912" spans="2:6">
      <c r="B12912">
        <v>2013</v>
      </c>
      <c r="C12912" t="s">
        <v>139</v>
      </c>
      <c r="D12912" t="s">
        <v>184</v>
      </c>
      <c r="E12912" t="s">
        <v>8</v>
      </c>
      <c r="F12912">
        <v>7.4491772651672363</v>
      </c>
    </row>
    <row r="12913" spans="2:6">
      <c r="B12913">
        <v>2013</v>
      </c>
      <c r="C12913" t="s">
        <v>139</v>
      </c>
      <c r="D12913" t="s">
        <v>184</v>
      </c>
      <c r="E12913" t="s">
        <v>9</v>
      </c>
      <c r="F12913">
        <v>0.74963295459747314</v>
      </c>
    </row>
    <row r="12914" spans="2:6">
      <c r="B12914">
        <v>2013</v>
      </c>
      <c r="C12914" t="s">
        <v>139</v>
      </c>
      <c r="D12914" t="s">
        <v>184</v>
      </c>
      <c r="E12914" t="s">
        <v>10</v>
      </c>
      <c r="F12914">
        <v>58.060001373291016</v>
      </c>
    </row>
    <row r="12915" spans="2:6">
      <c r="B12915">
        <v>2013</v>
      </c>
      <c r="C12915" t="s">
        <v>139</v>
      </c>
      <c r="D12915" t="s">
        <v>184</v>
      </c>
      <c r="E12915" t="s">
        <v>11</v>
      </c>
      <c r="F12915">
        <v>0.90427225828170776</v>
      </c>
    </row>
    <row r="12916" spans="2:6">
      <c r="B12916">
        <v>2013</v>
      </c>
      <c r="C12916" t="s">
        <v>139</v>
      </c>
      <c r="D12916" t="s">
        <v>184</v>
      </c>
      <c r="E12916" t="s">
        <v>12</v>
      </c>
      <c r="F12916">
        <v>-2.7709512040019035E-2</v>
      </c>
    </row>
    <row r="12917" spans="2:6">
      <c r="B12917">
        <v>2013</v>
      </c>
      <c r="C12917" t="s">
        <v>139</v>
      </c>
      <c r="D12917" t="s">
        <v>184</v>
      </c>
      <c r="E12917" t="s">
        <v>13</v>
      </c>
      <c r="F12917">
        <v>0.11716540902853012</v>
      </c>
    </row>
    <row r="12918" spans="2:6">
      <c r="B12918">
        <v>2013</v>
      </c>
      <c r="C12918" t="s">
        <v>139</v>
      </c>
      <c r="D12918" t="s">
        <v>184</v>
      </c>
      <c r="E12918" t="s">
        <v>14</v>
      </c>
      <c r="F12918">
        <v>0.76001429557800293</v>
      </c>
    </row>
    <row r="12919" spans="2:6">
      <c r="B12919">
        <v>2013</v>
      </c>
      <c r="C12919" t="s">
        <v>139</v>
      </c>
      <c r="D12919" t="s">
        <v>184</v>
      </c>
      <c r="E12919" t="s">
        <v>15</v>
      </c>
      <c r="F12919">
        <v>0.1673484593629837</v>
      </c>
    </row>
    <row r="12920" spans="2:6">
      <c r="B12920">
        <v>2014</v>
      </c>
      <c r="C12920" t="s">
        <v>139</v>
      </c>
      <c r="D12920" t="s">
        <v>184</v>
      </c>
      <c r="E12920" t="s">
        <v>7</v>
      </c>
      <c r="F12920">
        <v>3.5956783294677734</v>
      </c>
    </row>
    <row r="12921" spans="2:6">
      <c r="B12921">
        <v>2014</v>
      </c>
      <c r="C12921" t="s">
        <v>139</v>
      </c>
      <c r="D12921" t="s">
        <v>184</v>
      </c>
      <c r="E12921" t="s">
        <v>8</v>
      </c>
      <c r="F12921">
        <v>7.4841394424438477</v>
      </c>
    </row>
    <row r="12922" spans="2:6">
      <c r="B12922">
        <v>2014</v>
      </c>
      <c r="C12922" t="s">
        <v>139</v>
      </c>
      <c r="D12922" t="s">
        <v>184</v>
      </c>
      <c r="E12922" t="s">
        <v>9</v>
      </c>
      <c r="F12922">
        <v>0.74830418825149536</v>
      </c>
    </row>
    <row r="12923" spans="2:6">
      <c r="B12923">
        <v>2014</v>
      </c>
      <c r="C12923" t="s">
        <v>139</v>
      </c>
      <c r="D12923" t="s">
        <v>184</v>
      </c>
      <c r="E12923" t="s">
        <v>10</v>
      </c>
      <c r="F12923">
        <v>58.680000305175781</v>
      </c>
    </row>
    <row r="12924" spans="2:6">
      <c r="B12924">
        <v>2014</v>
      </c>
      <c r="C12924" t="s">
        <v>139</v>
      </c>
      <c r="D12924" t="s">
        <v>184</v>
      </c>
      <c r="E12924" t="s">
        <v>11</v>
      </c>
      <c r="F12924">
        <v>0.89402526617050171</v>
      </c>
    </row>
    <row r="12925" spans="2:6">
      <c r="B12925">
        <v>2014</v>
      </c>
      <c r="C12925" t="s">
        <v>139</v>
      </c>
      <c r="D12925" t="s">
        <v>184</v>
      </c>
      <c r="E12925" t="s">
        <v>12</v>
      </c>
      <c r="F12925">
        <v>-2.2728776559233665E-2</v>
      </c>
    </row>
    <row r="12926" spans="2:6">
      <c r="B12926">
        <v>2014</v>
      </c>
      <c r="C12926" t="s">
        <v>139</v>
      </c>
      <c r="D12926" t="s">
        <v>184</v>
      </c>
      <c r="E12926" t="s">
        <v>13</v>
      </c>
      <c r="F12926">
        <v>7.8000180423259735E-2</v>
      </c>
    </row>
    <row r="12927" spans="2:6">
      <c r="B12927">
        <v>2014</v>
      </c>
      <c r="C12927" t="s">
        <v>139</v>
      </c>
      <c r="D12927" t="s">
        <v>184</v>
      </c>
      <c r="E12927" t="s">
        <v>14</v>
      </c>
      <c r="F12927">
        <v>0.7628440260887146</v>
      </c>
    </row>
    <row r="12928" spans="2:6">
      <c r="B12928">
        <v>2014</v>
      </c>
      <c r="C12928" t="s">
        <v>139</v>
      </c>
      <c r="D12928" t="s">
        <v>184</v>
      </c>
      <c r="E12928" t="s">
        <v>15</v>
      </c>
      <c r="F12928">
        <v>0.13360974192619324</v>
      </c>
    </row>
    <row r="12929" spans="2:6">
      <c r="B12929">
        <v>2015</v>
      </c>
      <c r="C12929" t="s">
        <v>139</v>
      </c>
      <c r="D12929" t="s">
        <v>184</v>
      </c>
      <c r="E12929" t="s">
        <v>7</v>
      </c>
      <c r="F12929">
        <v>3.4831089973449707</v>
      </c>
    </row>
    <row r="12930" spans="2:6">
      <c r="B12930">
        <v>2015</v>
      </c>
      <c r="C12930" t="s">
        <v>139</v>
      </c>
      <c r="D12930" t="s">
        <v>184</v>
      </c>
      <c r="E12930" t="s">
        <v>8</v>
      </c>
      <c r="F12930">
        <v>7.5436811447143555</v>
      </c>
    </row>
    <row r="12931" spans="2:6">
      <c r="B12931">
        <v>2015</v>
      </c>
      <c r="C12931" t="s">
        <v>139</v>
      </c>
      <c r="D12931" t="s">
        <v>184</v>
      </c>
      <c r="E12931" t="s">
        <v>9</v>
      </c>
      <c r="F12931">
        <v>0.67814356088638306</v>
      </c>
    </row>
    <row r="12932" spans="2:6">
      <c r="B12932">
        <v>2015</v>
      </c>
      <c r="C12932" t="s">
        <v>139</v>
      </c>
      <c r="D12932" t="s">
        <v>184</v>
      </c>
      <c r="E12932" t="s">
        <v>10</v>
      </c>
      <c r="F12932">
        <v>59.299999237060547</v>
      </c>
    </row>
    <row r="12933" spans="2:6">
      <c r="B12933">
        <v>2015</v>
      </c>
      <c r="C12933" t="s">
        <v>139</v>
      </c>
      <c r="D12933" t="s">
        <v>184</v>
      </c>
      <c r="E12933" t="s">
        <v>11</v>
      </c>
      <c r="F12933">
        <v>0.90789234638214111</v>
      </c>
    </row>
    <row r="12934" spans="2:6">
      <c r="B12934">
        <v>2015</v>
      </c>
      <c r="C12934" t="s">
        <v>139</v>
      </c>
      <c r="D12934" t="s">
        <v>184</v>
      </c>
      <c r="E12934" t="s">
        <v>12</v>
      </c>
      <c r="F12934">
        <v>2.5018684566020966E-2</v>
      </c>
    </row>
    <row r="12935" spans="2:6">
      <c r="B12935">
        <v>2015</v>
      </c>
      <c r="C12935" t="s">
        <v>139</v>
      </c>
      <c r="D12935" t="s">
        <v>184</v>
      </c>
      <c r="E12935" t="s">
        <v>13</v>
      </c>
      <c r="F12935">
        <v>9.4604469835758209E-2</v>
      </c>
    </row>
    <row r="12936" spans="2:6">
      <c r="B12936">
        <v>2015</v>
      </c>
      <c r="C12936" t="s">
        <v>139</v>
      </c>
      <c r="D12936" t="s">
        <v>184</v>
      </c>
      <c r="E12936" t="s">
        <v>14</v>
      </c>
      <c r="F12936">
        <v>0.72118258476257324</v>
      </c>
    </row>
    <row r="12937" spans="2:6">
      <c r="B12937">
        <v>2015</v>
      </c>
      <c r="C12937" t="s">
        <v>139</v>
      </c>
      <c r="D12937" t="s">
        <v>184</v>
      </c>
      <c r="E12937" t="s">
        <v>15</v>
      </c>
      <c r="F12937">
        <v>0.20640276372432709</v>
      </c>
    </row>
    <row r="12938" spans="2:6">
      <c r="B12938">
        <v>2016</v>
      </c>
      <c r="C12938" t="s">
        <v>139</v>
      </c>
      <c r="D12938" t="s">
        <v>184</v>
      </c>
      <c r="E12938" t="s">
        <v>7</v>
      </c>
      <c r="F12938">
        <v>3.3329899311065674</v>
      </c>
    </row>
    <row r="12939" spans="2:6">
      <c r="B12939">
        <v>2016</v>
      </c>
      <c r="C12939" t="s">
        <v>139</v>
      </c>
      <c r="D12939" t="s">
        <v>184</v>
      </c>
      <c r="E12939" t="s">
        <v>8</v>
      </c>
      <c r="F12939">
        <v>7.5757546424865723</v>
      </c>
    </row>
    <row r="12940" spans="2:6">
      <c r="B12940">
        <v>2016</v>
      </c>
      <c r="C12940" t="s">
        <v>139</v>
      </c>
      <c r="D12940" t="s">
        <v>184</v>
      </c>
      <c r="E12940" t="s">
        <v>9</v>
      </c>
      <c r="F12940">
        <v>0.66513091325759888</v>
      </c>
    </row>
    <row r="12941" spans="2:6">
      <c r="B12941">
        <v>2016</v>
      </c>
      <c r="C12941" t="s">
        <v>139</v>
      </c>
      <c r="D12941" t="s">
        <v>184</v>
      </c>
      <c r="E12941" t="s">
        <v>10</v>
      </c>
      <c r="F12941">
        <v>59.900001525878906</v>
      </c>
    </row>
    <row r="12942" spans="2:6">
      <c r="B12942">
        <v>2016</v>
      </c>
      <c r="C12942" t="s">
        <v>139</v>
      </c>
      <c r="D12942" t="s">
        <v>184</v>
      </c>
      <c r="E12942" t="s">
        <v>11</v>
      </c>
      <c r="F12942">
        <v>0.91073638200759888</v>
      </c>
    </row>
    <row r="12943" spans="2:6">
      <c r="B12943">
        <v>2016</v>
      </c>
      <c r="C12943" t="s">
        <v>139</v>
      </c>
      <c r="D12943" t="s">
        <v>184</v>
      </c>
      <c r="E12943" t="s">
        <v>12</v>
      </c>
      <c r="F12943">
        <v>2.5147499516606331E-2</v>
      </c>
    </row>
    <row r="12944" spans="2:6">
      <c r="B12944">
        <v>2016</v>
      </c>
      <c r="C12944" t="s">
        <v>139</v>
      </c>
      <c r="D12944" t="s">
        <v>184</v>
      </c>
      <c r="E12944" t="s">
        <v>13</v>
      </c>
      <c r="F12944">
        <v>0.15860138833522797</v>
      </c>
    </row>
    <row r="12945" spans="2:6">
      <c r="B12945">
        <v>2016</v>
      </c>
      <c r="C12945" t="s">
        <v>139</v>
      </c>
      <c r="D12945" t="s">
        <v>184</v>
      </c>
      <c r="E12945" t="s">
        <v>14</v>
      </c>
      <c r="F12945">
        <v>0.75231069326400757</v>
      </c>
    </row>
    <row r="12946" spans="2:6">
      <c r="B12946">
        <v>2016</v>
      </c>
      <c r="C12946" t="s">
        <v>139</v>
      </c>
      <c r="D12946" t="s">
        <v>184</v>
      </c>
      <c r="E12946" t="s">
        <v>15</v>
      </c>
      <c r="F12946">
        <v>0.28538423776626587</v>
      </c>
    </row>
    <row r="12947" spans="2:6">
      <c r="B12947">
        <v>2017</v>
      </c>
      <c r="C12947" t="s">
        <v>139</v>
      </c>
      <c r="D12947" t="s">
        <v>184</v>
      </c>
      <c r="E12947" t="s">
        <v>7</v>
      </c>
      <c r="F12947">
        <v>3.1083738803863525</v>
      </c>
    </row>
    <row r="12948" spans="2:6">
      <c r="B12948">
        <v>2017</v>
      </c>
      <c r="C12948" t="s">
        <v>139</v>
      </c>
      <c r="D12948" t="s">
        <v>184</v>
      </c>
      <c r="E12948" t="s">
        <v>8</v>
      </c>
      <c r="F12948">
        <v>7.5884513854980469</v>
      </c>
    </row>
    <row r="12949" spans="2:6">
      <c r="B12949">
        <v>2017</v>
      </c>
      <c r="C12949" t="s">
        <v>139</v>
      </c>
      <c r="D12949" t="s">
        <v>184</v>
      </c>
      <c r="E12949" t="s">
        <v>9</v>
      </c>
      <c r="F12949">
        <v>0.51655000448226929</v>
      </c>
    </row>
    <row r="12950" spans="2:6">
      <c r="B12950">
        <v>2017</v>
      </c>
      <c r="C12950" t="s">
        <v>139</v>
      </c>
      <c r="D12950" t="s">
        <v>184</v>
      </c>
      <c r="E12950" t="s">
        <v>10</v>
      </c>
      <c r="F12950">
        <v>60.5</v>
      </c>
    </row>
    <row r="12951" spans="2:6">
      <c r="B12951">
        <v>2017</v>
      </c>
      <c r="C12951" t="s">
        <v>139</v>
      </c>
      <c r="D12951" t="s">
        <v>184</v>
      </c>
      <c r="E12951" t="s">
        <v>11</v>
      </c>
      <c r="F12951">
        <v>0.90811485052108765</v>
      </c>
    </row>
    <row r="12952" spans="2:6">
      <c r="B12952">
        <v>2017</v>
      </c>
      <c r="C12952" t="s">
        <v>139</v>
      </c>
      <c r="D12952" t="s">
        <v>184</v>
      </c>
      <c r="E12952" t="s">
        <v>12</v>
      </c>
      <c r="F12952">
        <v>5.1389560103416443E-2</v>
      </c>
    </row>
    <row r="12953" spans="2:6">
      <c r="B12953">
        <v>2017</v>
      </c>
      <c r="C12953" t="s">
        <v>139</v>
      </c>
      <c r="D12953" t="s">
        <v>184</v>
      </c>
      <c r="E12953" t="s">
        <v>13</v>
      </c>
      <c r="F12953">
        <v>0.2137572169303894</v>
      </c>
    </row>
    <row r="12954" spans="2:6">
      <c r="B12954">
        <v>2017</v>
      </c>
      <c r="C12954" t="s">
        <v>139</v>
      </c>
      <c r="D12954" t="s">
        <v>184</v>
      </c>
      <c r="E12954" t="s">
        <v>14</v>
      </c>
      <c r="F12954">
        <v>0.76216107606887817</v>
      </c>
    </row>
    <row r="12955" spans="2:6">
      <c r="B12955">
        <v>2017</v>
      </c>
      <c r="C12955" t="s">
        <v>139</v>
      </c>
      <c r="D12955" t="s">
        <v>184</v>
      </c>
      <c r="E12955" t="s">
        <v>15</v>
      </c>
      <c r="F12955">
        <v>0.35830962657928467</v>
      </c>
    </row>
    <row r="12956" spans="2:6">
      <c r="B12956">
        <v>2018</v>
      </c>
      <c r="C12956" t="s">
        <v>139</v>
      </c>
      <c r="D12956" t="s">
        <v>184</v>
      </c>
      <c r="E12956" t="s">
        <v>7</v>
      </c>
      <c r="F12956">
        <v>3.5610466003417969</v>
      </c>
    </row>
    <row r="12957" spans="2:6">
      <c r="B12957">
        <v>2018</v>
      </c>
      <c r="C12957" t="s">
        <v>139</v>
      </c>
      <c r="D12957" t="s">
        <v>184</v>
      </c>
      <c r="E12957" t="s">
        <v>8</v>
      </c>
      <c r="F12957">
        <v>7.644233226776123</v>
      </c>
    </row>
    <row r="12958" spans="2:6">
      <c r="B12958">
        <v>2018</v>
      </c>
      <c r="C12958" t="s">
        <v>139</v>
      </c>
      <c r="D12958" t="s">
        <v>184</v>
      </c>
      <c r="E12958" t="s">
        <v>9</v>
      </c>
      <c r="F12958">
        <v>0.61617273092269897</v>
      </c>
    </row>
    <row r="12959" spans="2:6">
      <c r="B12959">
        <v>2018</v>
      </c>
      <c r="C12959" t="s">
        <v>139</v>
      </c>
      <c r="D12959" t="s">
        <v>184</v>
      </c>
      <c r="E12959" t="s">
        <v>10</v>
      </c>
      <c r="F12959">
        <v>61.099998474121094</v>
      </c>
    </row>
    <row r="12960" spans="2:6">
      <c r="B12960">
        <v>2018</v>
      </c>
      <c r="C12960" t="s">
        <v>139</v>
      </c>
      <c r="D12960" t="s">
        <v>184</v>
      </c>
      <c r="E12960" t="s">
        <v>11</v>
      </c>
      <c r="F12960">
        <v>0.92423164844512939</v>
      </c>
    </row>
    <row r="12961" spans="2:6">
      <c r="B12961">
        <v>2018</v>
      </c>
      <c r="C12961" t="s">
        <v>139</v>
      </c>
      <c r="D12961" t="s">
        <v>184</v>
      </c>
      <c r="E12961" t="s">
        <v>12</v>
      </c>
      <c r="F12961">
        <v>5.6991949677467346E-2</v>
      </c>
    </row>
    <row r="12962" spans="2:6">
      <c r="B12962">
        <v>2018</v>
      </c>
      <c r="C12962" t="s">
        <v>139</v>
      </c>
      <c r="D12962" t="s">
        <v>184</v>
      </c>
      <c r="E12962" t="s">
        <v>13</v>
      </c>
      <c r="F12962">
        <v>0.16380995512008667</v>
      </c>
    </row>
    <row r="12963" spans="2:6">
      <c r="B12963">
        <v>2018</v>
      </c>
      <c r="C12963" t="s">
        <v>139</v>
      </c>
      <c r="D12963" t="s">
        <v>184</v>
      </c>
      <c r="E12963" t="s">
        <v>14</v>
      </c>
      <c r="F12963">
        <v>0.79336762428283691</v>
      </c>
    </row>
    <row r="12964" spans="2:6">
      <c r="B12964">
        <v>2018</v>
      </c>
      <c r="C12964" t="s">
        <v>139</v>
      </c>
      <c r="D12964" t="s">
        <v>184</v>
      </c>
      <c r="E12964" t="s">
        <v>15</v>
      </c>
      <c r="F12964">
        <v>0.30819916725158691</v>
      </c>
    </row>
    <row r="12965" spans="2:6">
      <c r="B12965">
        <v>2019</v>
      </c>
      <c r="C12965" t="s">
        <v>139</v>
      </c>
      <c r="D12965" t="s">
        <v>184</v>
      </c>
      <c r="E12965" t="s">
        <v>7</v>
      </c>
      <c r="F12965">
        <v>3.2681522369384766</v>
      </c>
    </row>
    <row r="12966" spans="2:6">
      <c r="B12966">
        <v>2019</v>
      </c>
      <c r="C12966" t="s">
        <v>139</v>
      </c>
      <c r="D12966" t="s">
        <v>184</v>
      </c>
      <c r="E12966" t="s">
        <v>8</v>
      </c>
      <c r="F12966">
        <v>7.7080607414245605</v>
      </c>
    </row>
    <row r="12967" spans="2:6">
      <c r="B12967">
        <v>2019</v>
      </c>
      <c r="C12967" t="s">
        <v>139</v>
      </c>
      <c r="D12967" t="s">
        <v>184</v>
      </c>
      <c r="E12967" t="s">
        <v>9</v>
      </c>
      <c r="F12967">
        <v>0.48945823311805725</v>
      </c>
    </row>
    <row r="12968" spans="2:6">
      <c r="B12968">
        <v>2019</v>
      </c>
      <c r="C12968" t="s">
        <v>139</v>
      </c>
      <c r="D12968" t="s">
        <v>184</v>
      </c>
      <c r="E12968" t="s">
        <v>10</v>
      </c>
      <c r="F12968">
        <v>61.700000762939453</v>
      </c>
    </row>
    <row r="12969" spans="2:6">
      <c r="B12969">
        <v>2019</v>
      </c>
      <c r="C12969" t="s">
        <v>139</v>
      </c>
      <c r="D12969" t="s">
        <v>184</v>
      </c>
      <c r="E12969" t="s">
        <v>11</v>
      </c>
      <c r="F12969">
        <v>0.868999183177948</v>
      </c>
    </row>
    <row r="12970" spans="2:6">
      <c r="B12970">
        <v>2019</v>
      </c>
      <c r="C12970" t="s">
        <v>139</v>
      </c>
      <c r="D12970" t="s">
        <v>184</v>
      </c>
      <c r="E12970" t="s">
        <v>12</v>
      </c>
      <c r="F12970">
        <v>6.4065881073474884E-2</v>
      </c>
    </row>
    <row r="12971" spans="2:6">
      <c r="B12971">
        <v>2019</v>
      </c>
      <c r="C12971" t="s">
        <v>139</v>
      </c>
      <c r="D12971" t="s">
        <v>184</v>
      </c>
      <c r="E12971" t="s">
        <v>13</v>
      </c>
      <c r="F12971">
        <v>0.16797089576721191</v>
      </c>
    </row>
    <row r="12972" spans="2:6">
      <c r="B12972">
        <v>2019</v>
      </c>
      <c r="C12972" t="s">
        <v>139</v>
      </c>
      <c r="D12972" t="s">
        <v>184</v>
      </c>
      <c r="E12972" t="s">
        <v>14</v>
      </c>
      <c r="F12972">
        <v>0.73606795072555542</v>
      </c>
    </row>
    <row r="12973" spans="2:6">
      <c r="B12973">
        <v>2019</v>
      </c>
      <c r="C12973" t="s">
        <v>139</v>
      </c>
      <c r="D12973" t="s">
        <v>184</v>
      </c>
      <c r="E12973" t="s">
        <v>15</v>
      </c>
      <c r="F12973">
        <v>0.4176676869392395</v>
      </c>
    </row>
    <row r="12974" spans="2:6">
      <c r="B12974">
        <v>2005</v>
      </c>
      <c r="C12974" t="s">
        <v>140</v>
      </c>
      <c r="D12974" t="s">
        <v>182</v>
      </c>
      <c r="E12974" t="s">
        <v>7</v>
      </c>
      <c r="F12974">
        <v>7.0796442031860352</v>
      </c>
    </row>
    <row r="12975" spans="2:6">
      <c r="B12975">
        <v>2005</v>
      </c>
      <c r="C12975" t="s">
        <v>140</v>
      </c>
      <c r="D12975" t="s">
        <v>182</v>
      </c>
      <c r="E12975" t="s">
        <v>8</v>
      </c>
      <c r="F12975">
        <v>10.698954582214355</v>
      </c>
    </row>
    <row r="12976" spans="2:6">
      <c r="B12976">
        <v>2005</v>
      </c>
      <c r="C12976" t="s">
        <v>140</v>
      </c>
      <c r="D12976" t="s">
        <v>182</v>
      </c>
      <c r="E12976" t="s">
        <v>9</v>
      </c>
      <c r="F12976">
        <v>0.86781948804855347</v>
      </c>
    </row>
    <row r="12977" spans="2:6">
      <c r="B12977">
        <v>2005</v>
      </c>
      <c r="C12977" t="s">
        <v>140</v>
      </c>
      <c r="D12977" t="s">
        <v>182</v>
      </c>
      <c r="E12977" t="s">
        <v>10</v>
      </c>
      <c r="F12977">
        <v>63.5</v>
      </c>
    </row>
    <row r="12978" spans="2:6">
      <c r="B12978">
        <v>2005</v>
      </c>
      <c r="C12978" t="s">
        <v>140</v>
      </c>
      <c r="D12978" t="s">
        <v>182</v>
      </c>
      <c r="E12978" t="s">
        <v>13</v>
      </c>
      <c r="F12978">
        <v>0.50514906644821167</v>
      </c>
    </row>
    <row r="12979" spans="2:6">
      <c r="B12979">
        <v>2005</v>
      </c>
      <c r="C12979" t="s">
        <v>140</v>
      </c>
      <c r="D12979" t="s">
        <v>182</v>
      </c>
      <c r="E12979" t="s">
        <v>14</v>
      </c>
      <c r="F12979">
        <v>0.72959786653518677</v>
      </c>
    </row>
    <row r="12980" spans="2:6">
      <c r="B12980">
        <v>2005</v>
      </c>
      <c r="C12980" t="s">
        <v>140</v>
      </c>
      <c r="D12980" t="s">
        <v>182</v>
      </c>
      <c r="E12980" t="s">
        <v>15</v>
      </c>
      <c r="F12980">
        <v>0.24255302548408508</v>
      </c>
    </row>
    <row r="12981" spans="2:6">
      <c r="B12981">
        <v>2007</v>
      </c>
      <c r="C12981" t="s">
        <v>140</v>
      </c>
      <c r="D12981" t="s">
        <v>182</v>
      </c>
      <c r="E12981" t="s">
        <v>7</v>
      </c>
      <c r="F12981">
        <v>7.2666940689086914</v>
      </c>
    </row>
    <row r="12982" spans="2:6">
      <c r="B12982">
        <v>2007</v>
      </c>
      <c r="C12982" t="s">
        <v>140</v>
      </c>
      <c r="D12982" t="s">
        <v>182</v>
      </c>
      <c r="E12982" t="s">
        <v>8</v>
      </c>
      <c r="F12982">
        <v>10.688892364501953</v>
      </c>
    </row>
    <row r="12983" spans="2:6">
      <c r="B12983">
        <v>2007</v>
      </c>
      <c r="C12983" t="s">
        <v>140</v>
      </c>
      <c r="D12983" t="s">
        <v>182</v>
      </c>
      <c r="E12983" t="s">
        <v>9</v>
      </c>
      <c r="F12983">
        <v>0.89152491092681885</v>
      </c>
    </row>
    <row r="12984" spans="2:6">
      <c r="B12984">
        <v>2007</v>
      </c>
      <c r="C12984" t="s">
        <v>140</v>
      </c>
      <c r="D12984" t="s">
        <v>182</v>
      </c>
      <c r="E12984" t="s">
        <v>10</v>
      </c>
      <c r="F12984">
        <v>63.860000610351563</v>
      </c>
    </row>
    <row r="12985" spans="2:6">
      <c r="B12985">
        <v>2007</v>
      </c>
      <c r="C12985" t="s">
        <v>140</v>
      </c>
      <c r="D12985" t="s">
        <v>182</v>
      </c>
      <c r="E12985" t="s">
        <v>11</v>
      </c>
      <c r="F12985">
        <v>0.62207019329071045</v>
      </c>
    </row>
    <row r="12986" spans="2:6">
      <c r="B12986">
        <v>2007</v>
      </c>
      <c r="C12986" t="s">
        <v>140</v>
      </c>
      <c r="D12986" t="s">
        <v>182</v>
      </c>
      <c r="E12986" t="s">
        <v>12</v>
      </c>
      <c r="F12986">
        <v>4.6033849939703941E-3</v>
      </c>
    </row>
    <row r="12987" spans="2:6">
      <c r="B12987">
        <v>2007</v>
      </c>
      <c r="C12987" t="s">
        <v>140</v>
      </c>
      <c r="D12987" t="s">
        <v>182</v>
      </c>
      <c r="E12987" t="s">
        <v>14</v>
      </c>
      <c r="F12987">
        <v>0.77224349975585938</v>
      </c>
    </row>
    <row r="12988" spans="2:6">
      <c r="B12988">
        <v>2007</v>
      </c>
      <c r="C12988" t="s">
        <v>140</v>
      </c>
      <c r="D12988" t="s">
        <v>182</v>
      </c>
      <c r="E12988" t="s">
        <v>15</v>
      </c>
      <c r="F12988">
        <v>0.23154743015766144</v>
      </c>
    </row>
    <row r="12989" spans="2:6">
      <c r="B12989">
        <v>2008</v>
      </c>
      <c r="C12989" t="s">
        <v>140</v>
      </c>
      <c r="D12989" t="s">
        <v>182</v>
      </c>
      <c r="E12989" t="s">
        <v>7</v>
      </c>
      <c r="F12989">
        <v>6.8113703727722168</v>
      </c>
    </row>
    <row r="12990" spans="2:6">
      <c r="B12990">
        <v>2008</v>
      </c>
      <c r="C12990" t="s">
        <v>140</v>
      </c>
      <c r="D12990" t="s">
        <v>182</v>
      </c>
      <c r="E12990" t="s">
        <v>8</v>
      </c>
      <c r="F12990">
        <v>10.721946716308594</v>
      </c>
    </row>
    <row r="12991" spans="2:6">
      <c r="B12991">
        <v>2008</v>
      </c>
      <c r="C12991" t="s">
        <v>140</v>
      </c>
      <c r="D12991" t="s">
        <v>182</v>
      </c>
      <c r="E12991" t="s">
        <v>9</v>
      </c>
      <c r="F12991">
        <v>0.82305353879928589</v>
      </c>
    </row>
    <row r="12992" spans="2:6">
      <c r="B12992">
        <v>2008</v>
      </c>
      <c r="C12992" t="s">
        <v>140</v>
      </c>
      <c r="D12992" t="s">
        <v>182</v>
      </c>
      <c r="E12992" t="s">
        <v>10</v>
      </c>
      <c r="F12992">
        <v>64.040000915527344</v>
      </c>
    </row>
    <row r="12993" spans="2:6">
      <c r="B12993">
        <v>2008</v>
      </c>
      <c r="C12993" t="s">
        <v>140</v>
      </c>
      <c r="D12993" t="s">
        <v>182</v>
      </c>
      <c r="E12993" t="s">
        <v>11</v>
      </c>
      <c r="F12993">
        <v>0.53181195259094238</v>
      </c>
    </row>
    <row r="12994" spans="2:6">
      <c r="B12994">
        <v>2008</v>
      </c>
      <c r="C12994" t="s">
        <v>140</v>
      </c>
      <c r="D12994" t="s">
        <v>182</v>
      </c>
      <c r="E12994" t="s">
        <v>12</v>
      </c>
      <c r="F12994">
        <v>-2.199254184961319E-2</v>
      </c>
    </row>
    <row r="12995" spans="2:6">
      <c r="B12995">
        <v>2008</v>
      </c>
      <c r="C12995" t="s">
        <v>140</v>
      </c>
      <c r="D12995" t="s">
        <v>182</v>
      </c>
      <c r="E12995" t="s">
        <v>13</v>
      </c>
      <c r="F12995">
        <v>0.50791901350021362</v>
      </c>
    </row>
    <row r="12996" spans="2:6">
      <c r="B12996">
        <v>2008</v>
      </c>
      <c r="C12996" t="s">
        <v>140</v>
      </c>
      <c r="D12996" t="s">
        <v>182</v>
      </c>
      <c r="E12996" t="s">
        <v>14</v>
      </c>
      <c r="F12996">
        <v>0.70953941345214844</v>
      </c>
    </row>
    <row r="12997" spans="2:6">
      <c r="B12997">
        <v>2008</v>
      </c>
      <c r="C12997" t="s">
        <v>140</v>
      </c>
      <c r="D12997" t="s">
        <v>182</v>
      </c>
      <c r="E12997" t="s">
        <v>15</v>
      </c>
      <c r="F12997">
        <v>0.2018229067325592</v>
      </c>
    </row>
    <row r="12998" spans="2:6">
      <c r="B12998">
        <v>2009</v>
      </c>
      <c r="C12998" t="s">
        <v>140</v>
      </c>
      <c r="D12998" t="s">
        <v>182</v>
      </c>
      <c r="E12998" t="s">
        <v>7</v>
      </c>
      <c r="F12998">
        <v>6.147590160369873</v>
      </c>
    </row>
    <row r="12999" spans="2:6">
      <c r="B12999">
        <v>2009</v>
      </c>
      <c r="C12999" t="s">
        <v>140</v>
      </c>
      <c r="D12999" t="s">
        <v>182</v>
      </c>
      <c r="E12999" t="s">
        <v>8</v>
      </c>
      <c r="F12999">
        <v>10.672889709472656</v>
      </c>
    </row>
    <row r="13000" spans="2:6">
      <c r="B13000">
        <v>2009</v>
      </c>
      <c r="C13000" t="s">
        <v>140</v>
      </c>
      <c r="D13000" t="s">
        <v>182</v>
      </c>
      <c r="E13000" t="s">
        <v>9</v>
      </c>
      <c r="F13000">
        <v>0.9212881326675415</v>
      </c>
    </row>
    <row r="13001" spans="2:6">
      <c r="B13001">
        <v>2009</v>
      </c>
      <c r="C13001" t="s">
        <v>140</v>
      </c>
      <c r="D13001" t="s">
        <v>182</v>
      </c>
      <c r="E13001" t="s">
        <v>10</v>
      </c>
      <c r="F13001">
        <v>64.220001220703125</v>
      </c>
    </row>
    <row r="13002" spans="2:6">
      <c r="B13002">
        <v>2009</v>
      </c>
      <c r="C13002" t="s">
        <v>140</v>
      </c>
      <c r="D13002" t="s">
        <v>182</v>
      </c>
      <c r="E13002" t="s">
        <v>11</v>
      </c>
      <c r="F13002">
        <v>0.63940566778182983</v>
      </c>
    </row>
    <row r="13003" spans="2:6">
      <c r="B13003">
        <v>2009</v>
      </c>
      <c r="C13003" t="s">
        <v>140</v>
      </c>
      <c r="D13003" t="s">
        <v>182</v>
      </c>
      <c r="E13003" t="s">
        <v>12</v>
      </c>
      <c r="F13003">
        <v>-0.10987800359725952</v>
      </c>
    </row>
    <row r="13004" spans="2:6">
      <c r="B13004">
        <v>2009</v>
      </c>
      <c r="C13004" t="s">
        <v>140</v>
      </c>
      <c r="D13004" t="s">
        <v>182</v>
      </c>
      <c r="E13004" t="s">
        <v>13</v>
      </c>
      <c r="F13004">
        <v>0.4451315701007843</v>
      </c>
    </row>
    <row r="13005" spans="2:6">
      <c r="B13005">
        <v>2009</v>
      </c>
      <c r="C13005" t="s">
        <v>140</v>
      </c>
      <c r="D13005" t="s">
        <v>182</v>
      </c>
      <c r="E13005" t="s">
        <v>14</v>
      </c>
      <c r="F13005">
        <v>0.7418358325958252</v>
      </c>
    </row>
    <row r="13006" spans="2:6">
      <c r="B13006">
        <v>2009</v>
      </c>
      <c r="C13006" t="s">
        <v>140</v>
      </c>
      <c r="D13006" t="s">
        <v>182</v>
      </c>
      <c r="E13006" t="s">
        <v>15</v>
      </c>
      <c r="F13006">
        <v>0.31947490572929382</v>
      </c>
    </row>
    <row r="13007" spans="2:6">
      <c r="B13007">
        <v>2010</v>
      </c>
      <c r="C13007" t="s">
        <v>140</v>
      </c>
      <c r="D13007" t="s">
        <v>182</v>
      </c>
      <c r="E13007" t="s">
        <v>7</v>
      </c>
      <c r="F13007">
        <v>6.307098388671875</v>
      </c>
    </row>
    <row r="13008" spans="2:6">
      <c r="B13008">
        <v>2010</v>
      </c>
      <c r="C13008" t="s">
        <v>140</v>
      </c>
      <c r="D13008" t="s">
        <v>182</v>
      </c>
      <c r="E13008" t="s">
        <v>8</v>
      </c>
      <c r="F13008">
        <v>10.692780494689941</v>
      </c>
    </row>
    <row r="13009" spans="2:6">
      <c r="B13009">
        <v>2010</v>
      </c>
      <c r="C13009" t="s">
        <v>140</v>
      </c>
      <c r="D13009" t="s">
        <v>182</v>
      </c>
      <c r="E13009" t="s">
        <v>9</v>
      </c>
      <c r="F13009">
        <v>0.87959831953048706</v>
      </c>
    </row>
    <row r="13010" spans="2:6">
      <c r="B13010">
        <v>2010</v>
      </c>
      <c r="C13010" t="s">
        <v>140</v>
      </c>
      <c r="D13010" t="s">
        <v>182</v>
      </c>
      <c r="E13010" t="s">
        <v>10</v>
      </c>
      <c r="F13010">
        <v>64.400001525878906</v>
      </c>
    </row>
    <row r="13011" spans="2:6">
      <c r="B13011">
        <v>2010</v>
      </c>
      <c r="C13011" t="s">
        <v>140</v>
      </c>
      <c r="D13011" t="s">
        <v>182</v>
      </c>
      <c r="E13011" t="s">
        <v>11</v>
      </c>
      <c r="F13011">
        <v>0.67777723073959351</v>
      </c>
    </row>
    <row r="13012" spans="2:6">
      <c r="B13012">
        <v>2010</v>
      </c>
      <c r="C13012" t="s">
        <v>140</v>
      </c>
      <c r="D13012" t="s">
        <v>182</v>
      </c>
      <c r="E13012" t="s">
        <v>12</v>
      </c>
      <c r="F13012">
        <v>-3.2632522284984589E-2</v>
      </c>
    </row>
    <row r="13013" spans="2:6">
      <c r="B13013">
        <v>2010</v>
      </c>
      <c r="C13013" t="s">
        <v>140</v>
      </c>
      <c r="D13013" t="s">
        <v>182</v>
      </c>
      <c r="E13013" t="s">
        <v>14</v>
      </c>
      <c r="F13013">
        <v>0.64508908987045288</v>
      </c>
    </row>
    <row r="13014" spans="2:6">
      <c r="B13014">
        <v>2010</v>
      </c>
      <c r="C13014" t="s">
        <v>140</v>
      </c>
      <c r="D13014" t="s">
        <v>182</v>
      </c>
      <c r="E13014" t="s">
        <v>15</v>
      </c>
      <c r="F13014">
        <v>0.29720893502235413</v>
      </c>
    </row>
    <row r="13015" spans="2:6">
      <c r="B13015">
        <v>2011</v>
      </c>
      <c r="C13015" t="s">
        <v>140</v>
      </c>
      <c r="D13015" t="s">
        <v>182</v>
      </c>
      <c r="E13015" t="s">
        <v>7</v>
      </c>
      <c r="F13015">
        <v>6.6997895240783691</v>
      </c>
    </row>
    <row r="13016" spans="2:6">
      <c r="B13016">
        <v>2011</v>
      </c>
      <c r="C13016" t="s">
        <v>140</v>
      </c>
      <c r="D13016" t="s">
        <v>182</v>
      </c>
      <c r="E13016" t="s">
        <v>8</v>
      </c>
      <c r="F13016">
        <v>10.757668495178223</v>
      </c>
    </row>
    <row r="13017" spans="2:6">
      <c r="B13017">
        <v>2011</v>
      </c>
      <c r="C13017" t="s">
        <v>140</v>
      </c>
      <c r="D13017" t="s">
        <v>182</v>
      </c>
      <c r="E13017" t="s">
        <v>9</v>
      </c>
      <c r="F13017">
        <v>0.82963365316390991</v>
      </c>
    </row>
    <row r="13018" spans="2:6">
      <c r="B13018">
        <v>2011</v>
      </c>
      <c r="C13018" t="s">
        <v>140</v>
      </c>
      <c r="D13018" t="s">
        <v>182</v>
      </c>
      <c r="E13018" t="s">
        <v>10</v>
      </c>
      <c r="F13018">
        <v>64.599998474121094</v>
      </c>
    </row>
    <row r="13019" spans="2:6">
      <c r="B13019">
        <v>2011</v>
      </c>
      <c r="C13019" t="s">
        <v>140</v>
      </c>
      <c r="D13019" t="s">
        <v>182</v>
      </c>
      <c r="E13019" t="s">
        <v>11</v>
      </c>
      <c r="F13019">
        <v>0.60345566272735596</v>
      </c>
    </row>
    <row r="13020" spans="2:6">
      <c r="B13020">
        <v>2011</v>
      </c>
      <c r="C13020" t="s">
        <v>140</v>
      </c>
      <c r="D13020" t="s">
        <v>182</v>
      </c>
      <c r="E13020" t="s">
        <v>12</v>
      </c>
      <c r="F13020">
        <v>-0.14188583195209503</v>
      </c>
    </row>
    <row r="13021" spans="2:6">
      <c r="B13021">
        <v>2011</v>
      </c>
      <c r="C13021" t="s">
        <v>140</v>
      </c>
      <c r="D13021" t="s">
        <v>182</v>
      </c>
      <c r="E13021" t="s">
        <v>14</v>
      </c>
      <c r="F13021">
        <v>0.72597068548202515</v>
      </c>
    </row>
    <row r="13022" spans="2:6">
      <c r="B13022">
        <v>2011</v>
      </c>
      <c r="C13022" t="s">
        <v>140</v>
      </c>
      <c r="D13022" t="s">
        <v>182</v>
      </c>
      <c r="E13022" t="s">
        <v>15</v>
      </c>
      <c r="F13022">
        <v>0.24013972282409668</v>
      </c>
    </row>
    <row r="13023" spans="2:6">
      <c r="B13023">
        <v>2012</v>
      </c>
      <c r="C13023" t="s">
        <v>140</v>
      </c>
      <c r="D13023" t="s">
        <v>182</v>
      </c>
      <c r="E13023" t="s">
        <v>7</v>
      </c>
      <c r="F13023">
        <v>6.3963594436645508</v>
      </c>
    </row>
    <row r="13024" spans="2:6">
      <c r="B13024">
        <v>2012</v>
      </c>
      <c r="C13024" t="s">
        <v>140</v>
      </c>
      <c r="D13024" t="s">
        <v>182</v>
      </c>
      <c r="E13024" t="s">
        <v>8</v>
      </c>
      <c r="F13024">
        <v>10.77945613861084</v>
      </c>
    </row>
    <row r="13025" spans="2:6">
      <c r="B13025">
        <v>2012</v>
      </c>
      <c r="C13025" t="s">
        <v>140</v>
      </c>
      <c r="D13025" t="s">
        <v>182</v>
      </c>
      <c r="E13025" t="s">
        <v>9</v>
      </c>
      <c r="F13025">
        <v>0.86710095405578613</v>
      </c>
    </row>
    <row r="13026" spans="2:6">
      <c r="B13026">
        <v>2012</v>
      </c>
      <c r="C13026" t="s">
        <v>140</v>
      </c>
      <c r="D13026" t="s">
        <v>182</v>
      </c>
      <c r="E13026" t="s">
        <v>10</v>
      </c>
      <c r="F13026">
        <v>64.800003051757813</v>
      </c>
    </row>
    <row r="13027" spans="2:6">
      <c r="B13027">
        <v>2012</v>
      </c>
      <c r="C13027" t="s">
        <v>140</v>
      </c>
      <c r="D13027" t="s">
        <v>182</v>
      </c>
      <c r="E13027" t="s">
        <v>11</v>
      </c>
      <c r="F13027">
        <v>0.56045538187026978</v>
      </c>
    </row>
    <row r="13028" spans="2:6">
      <c r="B13028">
        <v>2012</v>
      </c>
      <c r="C13028" t="s">
        <v>140</v>
      </c>
      <c r="D13028" t="s">
        <v>182</v>
      </c>
      <c r="E13028" t="s">
        <v>12</v>
      </c>
      <c r="F13028">
        <v>-0.11950630694627762</v>
      </c>
    </row>
    <row r="13029" spans="2:6">
      <c r="B13029">
        <v>2012</v>
      </c>
      <c r="C13029" t="s">
        <v>140</v>
      </c>
      <c r="D13029" t="s">
        <v>182</v>
      </c>
      <c r="E13029" t="s">
        <v>14</v>
      </c>
      <c r="F13029">
        <v>0.7152174711227417</v>
      </c>
    </row>
    <row r="13030" spans="2:6">
      <c r="B13030">
        <v>2012</v>
      </c>
      <c r="C13030" t="s">
        <v>140</v>
      </c>
      <c r="D13030" t="s">
        <v>182</v>
      </c>
      <c r="E13030" t="s">
        <v>15</v>
      </c>
      <c r="F13030">
        <v>0.22484098374843597</v>
      </c>
    </row>
    <row r="13031" spans="2:6">
      <c r="B13031">
        <v>2013</v>
      </c>
      <c r="C13031" t="s">
        <v>140</v>
      </c>
      <c r="D13031" t="s">
        <v>182</v>
      </c>
      <c r="E13031" t="s">
        <v>7</v>
      </c>
      <c r="F13031">
        <v>6.4951329231262207</v>
      </c>
    </row>
    <row r="13032" spans="2:6">
      <c r="B13032">
        <v>2013</v>
      </c>
      <c r="C13032" t="s">
        <v>140</v>
      </c>
      <c r="D13032" t="s">
        <v>182</v>
      </c>
      <c r="E13032" t="s">
        <v>8</v>
      </c>
      <c r="F13032">
        <v>10.775776863098145</v>
      </c>
    </row>
    <row r="13033" spans="2:6">
      <c r="B13033">
        <v>2013</v>
      </c>
      <c r="C13033" t="s">
        <v>140</v>
      </c>
      <c r="D13033" t="s">
        <v>182</v>
      </c>
      <c r="E13033" t="s">
        <v>9</v>
      </c>
      <c r="F13033">
        <v>0.82669532299041748</v>
      </c>
    </row>
    <row r="13034" spans="2:6">
      <c r="B13034">
        <v>2013</v>
      </c>
      <c r="C13034" t="s">
        <v>140</v>
      </c>
      <c r="D13034" t="s">
        <v>182</v>
      </c>
      <c r="E13034" t="s">
        <v>10</v>
      </c>
      <c r="F13034">
        <v>65</v>
      </c>
    </row>
    <row r="13035" spans="2:6">
      <c r="B13035">
        <v>2013</v>
      </c>
      <c r="C13035" t="s">
        <v>140</v>
      </c>
      <c r="D13035" t="s">
        <v>182</v>
      </c>
      <c r="E13035" t="s">
        <v>11</v>
      </c>
      <c r="F13035">
        <v>0.66104233264923096</v>
      </c>
    </row>
    <row r="13036" spans="2:6">
      <c r="B13036">
        <v>2013</v>
      </c>
      <c r="C13036" t="s">
        <v>140</v>
      </c>
      <c r="D13036" t="s">
        <v>182</v>
      </c>
      <c r="E13036" t="s">
        <v>12</v>
      </c>
      <c r="F13036">
        <v>-8.1082873046398163E-2</v>
      </c>
    </row>
    <row r="13037" spans="2:6">
      <c r="B13037">
        <v>2013</v>
      </c>
      <c r="C13037" t="s">
        <v>140</v>
      </c>
      <c r="D13037" t="s">
        <v>182</v>
      </c>
      <c r="E13037" t="s">
        <v>14</v>
      </c>
      <c r="F13037">
        <v>0.74408024549484253</v>
      </c>
    </row>
    <row r="13038" spans="2:6">
      <c r="B13038">
        <v>2013</v>
      </c>
      <c r="C13038" t="s">
        <v>140</v>
      </c>
      <c r="D13038" t="s">
        <v>182</v>
      </c>
      <c r="E13038" t="s">
        <v>15</v>
      </c>
      <c r="F13038">
        <v>0.27555006742477417</v>
      </c>
    </row>
    <row r="13039" spans="2:6">
      <c r="B13039">
        <v>2014</v>
      </c>
      <c r="C13039" t="s">
        <v>140</v>
      </c>
      <c r="D13039" t="s">
        <v>182</v>
      </c>
      <c r="E13039" t="s">
        <v>7</v>
      </c>
      <c r="F13039">
        <v>6.2783780097961426</v>
      </c>
    </row>
    <row r="13040" spans="2:6">
      <c r="B13040">
        <v>2014</v>
      </c>
      <c r="C13040" t="s">
        <v>140</v>
      </c>
      <c r="D13040" t="s">
        <v>182</v>
      </c>
      <c r="E13040" t="s">
        <v>8</v>
      </c>
      <c r="F13040">
        <v>10.783290863037109</v>
      </c>
    </row>
    <row r="13041" spans="2:6">
      <c r="B13041">
        <v>2014</v>
      </c>
      <c r="C13041" t="s">
        <v>140</v>
      </c>
      <c r="D13041" t="s">
        <v>182</v>
      </c>
      <c r="E13041" t="s">
        <v>9</v>
      </c>
      <c r="F13041">
        <v>0.81841981410980225</v>
      </c>
    </row>
    <row r="13042" spans="2:6">
      <c r="B13042">
        <v>2014</v>
      </c>
      <c r="C13042" t="s">
        <v>140</v>
      </c>
      <c r="D13042" t="s">
        <v>182</v>
      </c>
      <c r="E13042" t="s">
        <v>10</v>
      </c>
      <c r="F13042">
        <v>65.199996948242188</v>
      </c>
    </row>
    <row r="13043" spans="2:6">
      <c r="B13043">
        <v>2014</v>
      </c>
      <c r="C13043" t="s">
        <v>140</v>
      </c>
      <c r="D13043" t="s">
        <v>182</v>
      </c>
      <c r="E13043" t="s">
        <v>11</v>
      </c>
      <c r="F13043">
        <v>0.76225167512893677</v>
      </c>
    </row>
    <row r="13044" spans="2:6">
      <c r="B13044">
        <v>2014</v>
      </c>
      <c r="C13044" t="s">
        <v>140</v>
      </c>
      <c r="D13044" t="s">
        <v>182</v>
      </c>
      <c r="E13044" t="s">
        <v>12</v>
      </c>
      <c r="F13044">
        <v>-7.2554022073745728E-2</v>
      </c>
    </row>
    <row r="13045" spans="2:6">
      <c r="B13045">
        <v>2014</v>
      </c>
      <c r="C13045" t="s">
        <v>140</v>
      </c>
      <c r="D13045" t="s">
        <v>182</v>
      </c>
      <c r="E13045" t="s">
        <v>14</v>
      </c>
      <c r="F13045">
        <v>0.70504003763198853</v>
      </c>
    </row>
    <row r="13046" spans="2:6">
      <c r="B13046">
        <v>2014</v>
      </c>
      <c r="C13046" t="s">
        <v>140</v>
      </c>
      <c r="D13046" t="s">
        <v>182</v>
      </c>
      <c r="E13046" t="s">
        <v>15</v>
      </c>
      <c r="F13046">
        <v>0.31294947862625122</v>
      </c>
    </row>
    <row r="13047" spans="2:6">
      <c r="B13047">
        <v>2015</v>
      </c>
      <c r="C13047" t="s">
        <v>140</v>
      </c>
      <c r="D13047" t="s">
        <v>182</v>
      </c>
      <c r="E13047" t="s">
        <v>7</v>
      </c>
      <c r="F13047">
        <v>6.345491886138916</v>
      </c>
    </row>
    <row r="13048" spans="2:6">
      <c r="B13048">
        <v>2015</v>
      </c>
      <c r="C13048" t="s">
        <v>140</v>
      </c>
      <c r="D13048" t="s">
        <v>182</v>
      </c>
      <c r="E13048" t="s">
        <v>8</v>
      </c>
      <c r="F13048">
        <v>10.797966957092285</v>
      </c>
    </row>
    <row r="13049" spans="2:6">
      <c r="B13049">
        <v>2015</v>
      </c>
      <c r="C13049" t="s">
        <v>140</v>
      </c>
      <c r="D13049" t="s">
        <v>182</v>
      </c>
      <c r="E13049" t="s">
        <v>9</v>
      </c>
      <c r="F13049">
        <v>0.81974971294403076</v>
      </c>
    </row>
    <row r="13050" spans="2:6">
      <c r="B13050">
        <v>2015</v>
      </c>
      <c r="C13050" t="s">
        <v>140</v>
      </c>
      <c r="D13050" t="s">
        <v>182</v>
      </c>
      <c r="E13050" t="s">
        <v>10</v>
      </c>
      <c r="F13050">
        <v>65.400001525878906</v>
      </c>
    </row>
    <row r="13051" spans="2:6">
      <c r="B13051">
        <v>2015</v>
      </c>
      <c r="C13051" t="s">
        <v>140</v>
      </c>
      <c r="D13051" t="s">
        <v>182</v>
      </c>
      <c r="E13051" t="s">
        <v>11</v>
      </c>
      <c r="F13051">
        <v>0.82020723819732666</v>
      </c>
    </row>
    <row r="13052" spans="2:6">
      <c r="B13052">
        <v>2015</v>
      </c>
      <c r="C13052" t="s">
        <v>140</v>
      </c>
      <c r="D13052" t="s">
        <v>182</v>
      </c>
      <c r="E13052" t="s">
        <v>12</v>
      </c>
      <c r="F13052">
        <v>-4.480266198515892E-2</v>
      </c>
    </row>
    <row r="13053" spans="2:6">
      <c r="B13053">
        <v>2015</v>
      </c>
      <c r="C13053" t="s">
        <v>140</v>
      </c>
      <c r="D13053" t="s">
        <v>182</v>
      </c>
      <c r="E13053" t="s">
        <v>14</v>
      </c>
      <c r="F13053">
        <v>0.72360771894454956</v>
      </c>
    </row>
    <row r="13054" spans="2:6">
      <c r="B13054">
        <v>2015</v>
      </c>
      <c r="C13054" t="s">
        <v>140</v>
      </c>
      <c r="D13054" t="s">
        <v>182</v>
      </c>
      <c r="E13054" t="s">
        <v>15</v>
      </c>
      <c r="F13054">
        <v>0.32713937759399414</v>
      </c>
    </row>
    <row r="13055" spans="2:6">
      <c r="B13055">
        <v>2016</v>
      </c>
      <c r="C13055" t="s">
        <v>140</v>
      </c>
      <c r="D13055" t="s">
        <v>182</v>
      </c>
      <c r="E13055" t="s">
        <v>7</v>
      </c>
      <c r="F13055">
        <v>6.4739212989807129</v>
      </c>
    </row>
    <row r="13056" spans="2:6">
      <c r="B13056">
        <v>2016</v>
      </c>
      <c r="C13056" t="s">
        <v>140</v>
      </c>
      <c r="D13056" t="s">
        <v>182</v>
      </c>
      <c r="E13056" t="s">
        <v>8</v>
      </c>
      <c r="F13056">
        <v>10.791936874389648</v>
      </c>
    </row>
    <row r="13057" spans="2:6">
      <c r="B13057">
        <v>2016</v>
      </c>
      <c r="C13057" t="s">
        <v>140</v>
      </c>
      <c r="D13057" t="s">
        <v>182</v>
      </c>
      <c r="E13057" t="s">
        <v>9</v>
      </c>
      <c r="F13057">
        <v>0.88993233442306519</v>
      </c>
    </row>
    <row r="13058" spans="2:6">
      <c r="B13058">
        <v>2016</v>
      </c>
      <c r="C13058" t="s">
        <v>140</v>
      </c>
      <c r="D13058" t="s">
        <v>182</v>
      </c>
      <c r="E13058" t="s">
        <v>10</v>
      </c>
      <c r="F13058">
        <v>65.699996948242188</v>
      </c>
    </row>
    <row r="13059" spans="2:6">
      <c r="B13059">
        <v>2016</v>
      </c>
      <c r="C13059" t="s">
        <v>140</v>
      </c>
      <c r="D13059" t="s">
        <v>182</v>
      </c>
      <c r="E13059" t="s">
        <v>11</v>
      </c>
      <c r="F13059">
        <v>0.77426773309707642</v>
      </c>
    </row>
    <row r="13060" spans="2:6">
      <c r="B13060">
        <v>2016</v>
      </c>
      <c r="C13060" t="s">
        <v>140</v>
      </c>
      <c r="D13060" t="s">
        <v>182</v>
      </c>
      <c r="E13060" t="s">
        <v>12</v>
      </c>
      <c r="F13060">
        <v>-0.13231615722179413</v>
      </c>
    </row>
    <row r="13061" spans="2:6">
      <c r="B13061">
        <v>2016</v>
      </c>
      <c r="C13061" t="s">
        <v>140</v>
      </c>
      <c r="D13061" t="s">
        <v>182</v>
      </c>
      <c r="E13061" t="s">
        <v>14</v>
      </c>
      <c r="F13061">
        <v>0.7929985523223877</v>
      </c>
    </row>
    <row r="13062" spans="2:6">
      <c r="B13062">
        <v>2016</v>
      </c>
      <c r="C13062" t="s">
        <v>140</v>
      </c>
      <c r="D13062" t="s">
        <v>182</v>
      </c>
      <c r="E13062" t="s">
        <v>15</v>
      </c>
      <c r="F13062">
        <v>0.26629266142845154</v>
      </c>
    </row>
    <row r="13063" spans="2:6">
      <c r="B13063">
        <v>2017</v>
      </c>
      <c r="C13063" t="s">
        <v>140</v>
      </c>
      <c r="D13063" t="s">
        <v>182</v>
      </c>
      <c r="E13063" t="s">
        <v>7</v>
      </c>
      <c r="F13063">
        <v>6.2942824363708496</v>
      </c>
    </row>
    <row r="13064" spans="2:6">
      <c r="B13064">
        <v>2017</v>
      </c>
      <c r="C13064" t="s">
        <v>140</v>
      </c>
      <c r="D13064" t="s">
        <v>182</v>
      </c>
      <c r="E13064" t="s">
        <v>8</v>
      </c>
      <c r="F13064">
        <v>10.764458656311035</v>
      </c>
    </row>
    <row r="13065" spans="2:6">
      <c r="B13065">
        <v>2017</v>
      </c>
      <c r="C13065" t="s">
        <v>140</v>
      </c>
      <c r="D13065" t="s">
        <v>182</v>
      </c>
      <c r="E13065" t="s">
        <v>9</v>
      </c>
      <c r="F13065">
        <v>0.84008628129959106</v>
      </c>
    </row>
    <row r="13066" spans="2:6">
      <c r="B13066">
        <v>2017</v>
      </c>
      <c r="C13066" t="s">
        <v>140</v>
      </c>
      <c r="D13066" t="s">
        <v>182</v>
      </c>
      <c r="E13066" t="s">
        <v>10</v>
      </c>
      <c r="F13066">
        <v>66</v>
      </c>
    </row>
    <row r="13067" spans="2:6">
      <c r="B13067">
        <v>2017</v>
      </c>
      <c r="C13067" t="s">
        <v>140</v>
      </c>
      <c r="D13067" t="s">
        <v>182</v>
      </c>
      <c r="E13067" t="s">
        <v>11</v>
      </c>
      <c r="F13067">
        <v>0.81414216756820679</v>
      </c>
    </row>
    <row r="13068" spans="2:6">
      <c r="B13068">
        <v>2017</v>
      </c>
      <c r="C13068" t="s">
        <v>140</v>
      </c>
      <c r="D13068" t="s">
        <v>182</v>
      </c>
      <c r="E13068" t="s">
        <v>12</v>
      </c>
      <c r="F13068">
        <v>-0.13114206492900848</v>
      </c>
    </row>
    <row r="13069" spans="2:6">
      <c r="B13069">
        <v>2017</v>
      </c>
      <c r="C13069" t="s">
        <v>140</v>
      </c>
      <c r="D13069" t="s">
        <v>182</v>
      </c>
      <c r="E13069" t="s">
        <v>14</v>
      </c>
      <c r="F13069">
        <v>0.7748757004737854</v>
      </c>
    </row>
    <row r="13070" spans="2:6">
      <c r="B13070">
        <v>2017</v>
      </c>
      <c r="C13070" t="s">
        <v>140</v>
      </c>
      <c r="D13070" t="s">
        <v>182</v>
      </c>
      <c r="E13070" t="s">
        <v>15</v>
      </c>
      <c r="F13070">
        <v>0.30584189295768738</v>
      </c>
    </row>
    <row r="13071" spans="2:6">
      <c r="B13071">
        <v>2018</v>
      </c>
      <c r="C13071" t="s">
        <v>140</v>
      </c>
      <c r="D13071" t="s">
        <v>182</v>
      </c>
      <c r="E13071" t="s">
        <v>7</v>
      </c>
      <c r="F13071">
        <v>6.3563933372497559</v>
      </c>
    </row>
    <row r="13072" spans="2:6">
      <c r="B13072">
        <v>2018</v>
      </c>
      <c r="C13072" t="s">
        <v>140</v>
      </c>
      <c r="D13072" t="s">
        <v>182</v>
      </c>
      <c r="E13072" t="s">
        <v>8</v>
      </c>
      <c r="F13072">
        <v>10.770519256591797</v>
      </c>
    </row>
    <row r="13073" spans="2:6">
      <c r="B13073">
        <v>2018</v>
      </c>
      <c r="C13073" t="s">
        <v>140</v>
      </c>
      <c r="D13073" t="s">
        <v>182</v>
      </c>
      <c r="E13073" t="s">
        <v>9</v>
      </c>
      <c r="F13073">
        <v>0.86784839630126953</v>
      </c>
    </row>
    <row r="13074" spans="2:6">
      <c r="B13074">
        <v>2018</v>
      </c>
      <c r="C13074" t="s">
        <v>140</v>
      </c>
      <c r="D13074" t="s">
        <v>182</v>
      </c>
      <c r="E13074" t="s">
        <v>10</v>
      </c>
      <c r="F13074">
        <v>66.300003051757813</v>
      </c>
    </row>
    <row r="13075" spans="2:6">
      <c r="B13075">
        <v>2018</v>
      </c>
      <c r="C13075" t="s">
        <v>140</v>
      </c>
      <c r="D13075" t="s">
        <v>182</v>
      </c>
      <c r="E13075" t="s">
        <v>11</v>
      </c>
      <c r="F13075">
        <v>0.85492151975631714</v>
      </c>
    </row>
    <row r="13076" spans="2:6">
      <c r="B13076">
        <v>2018</v>
      </c>
      <c r="C13076" t="s">
        <v>140</v>
      </c>
      <c r="D13076" t="s">
        <v>182</v>
      </c>
      <c r="E13076" t="s">
        <v>12</v>
      </c>
      <c r="F13076">
        <v>-0.19226565957069397</v>
      </c>
    </row>
    <row r="13077" spans="2:6">
      <c r="B13077">
        <v>2018</v>
      </c>
      <c r="C13077" t="s">
        <v>140</v>
      </c>
      <c r="D13077" t="s">
        <v>182</v>
      </c>
      <c r="E13077" t="s">
        <v>14</v>
      </c>
      <c r="F13077">
        <v>0.76440548896789551</v>
      </c>
    </row>
    <row r="13078" spans="2:6">
      <c r="B13078">
        <v>2018</v>
      </c>
      <c r="C13078" t="s">
        <v>140</v>
      </c>
      <c r="D13078" t="s">
        <v>182</v>
      </c>
      <c r="E13078" t="s">
        <v>15</v>
      </c>
      <c r="F13078">
        <v>0.28837990760803223</v>
      </c>
    </row>
    <row r="13079" spans="2:6">
      <c r="B13079">
        <v>2019</v>
      </c>
      <c r="C13079" t="s">
        <v>140</v>
      </c>
      <c r="D13079" t="s">
        <v>182</v>
      </c>
      <c r="E13079" t="s">
        <v>7</v>
      </c>
      <c r="F13079">
        <v>6.5612473487854004</v>
      </c>
    </row>
    <row r="13080" spans="2:6">
      <c r="B13080">
        <v>2019</v>
      </c>
      <c r="C13080" t="s">
        <v>140</v>
      </c>
      <c r="D13080" t="s">
        <v>182</v>
      </c>
      <c r="E13080" t="s">
        <v>8</v>
      </c>
      <c r="F13080">
        <v>10.757097244262695</v>
      </c>
    </row>
    <row r="13081" spans="2:6">
      <c r="B13081">
        <v>2019</v>
      </c>
      <c r="C13081" t="s">
        <v>140</v>
      </c>
      <c r="D13081" t="s">
        <v>182</v>
      </c>
      <c r="E13081" t="s">
        <v>9</v>
      </c>
      <c r="F13081">
        <v>0.91171842813491821</v>
      </c>
    </row>
    <row r="13082" spans="2:6">
      <c r="B13082">
        <v>2019</v>
      </c>
      <c r="C13082" t="s">
        <v>140</v>
      </c>
      <c r="D13082" t="s">
        <v>182</v>
      </c>
      <c r="E13082" t="s">
        <v>10</v>
      </c>
      <c r="F13082">
        <v>66.599998474121094</v>
      </c>
    </row>
    <row r="13083" spans="2:6">
      <c r="B13083">
        <v>2019</v>
      </c>
      <c r="C13083" t="s">
        <v>140</v>
      </c>
      <c r="D13083" t="s">
        <v>182</v>
      </c>
      <c r="E13083" t="s">
        <v>11</v>
      </c>
      <c r="F13083">
        <v>0.89108657836914063</v>
      </c>
    </row>
    <row r="13084" spans="2:6">
      <c r="B13084">
        <v>2019</v>
      </c>
      <c r="C13084" t="s">
        <v>140</v>
      </c>
      <c r="D13084" t="s">
        <v>182</v>
      </c>
      <c r="E13084" t="s">
        <v>12</v>
      </c>
      <c r="F13084">
        <v>-0.14684349298477173</v>
      </c>
    </row>
    <row r="13085" spans="2:6">
      <c r="B13085">
        <v>2019</v>
      </c>
      <c r="C13085" t="s">
        <v>140</v>
      </c>
      <c r="D13085" t="s">
        <v>182</v>
      </c>
      <c r="E13085" t="s">
        <v>14</v>
      </c>
      <c r="F13085">
        <v>0.73176360130310059</v>
      </c>
    </row>
    <row r="13086" spans="2:6">
      <c r="B13086">
        <v>2019</v>
      </c>
      <c r="C13086" t="s">
        <v>140</v>
      </c>
      <c r="D13086" t="s">
        <v>182</v>
      </c>
      <c r="E13086" t="s">
        <v>15</v>
      </c>
      <c r="F13086">
        <v>0.23773732781410217</v>
      </c>
    </row>
    <row r="13087" spans="2:6">
      <c r="B13087">
        <v>2020</v>
      </c>
      <c r="C13087" t="s">
        <v>140</v>
      </c>
      <c r="D13087" t="s">
        <v>182</v>
      </c>
      <c r="E13087" t="s">
        <v>7</v>
      </c>
      <c r="F13087">
        <v>6.5595884323120117</v>
      </c>
    </row>
    <row r="13088" spans="2:6">
      <c r="B13088">
        <v>2020</v>
      </c>
      <c r="C13088" t="s">
        <v>140</v>
      </c>
      <c r="D13088" t="s">
        <v>182</v>
      </c>
      <c r="E13088" t="s">
        <v>8</v>
      </c>
      <c r="F13088">
        <v>10.700662612915039</v>
      </c>
    </row>
    <row r="13089" spans="2:6">
      <c r="B13089">
        <v>2020</v>
      </c>
      <c r="C13089" t="s">
        <v>140</v>
      </c>
      <c r="D13089" t="s">
        <v>182</v>
      </c>
      <c r="E13089" t="s">
        <v>9</v>
      </c>
      <c r="F13089">
        <v>0.89025592803955078</v>
      </c>
    </row>
    <row r="13090" spans="2:6">
      <c r="B13090">
        <v>2020</v>
      </c>
      <c r="C13090" t="s">
        <v>140</v>
      </c>
      <c r="D13090" t="s">
        <v>182</v>
      </c>
      <c r="E13090" t="s">
        <v>10</v>
      </c>
      <c r="F13090">
        <v>66.900001525878906</v>
      </c>
    </row>
    <row r="13091" spans="2:6">
      <c r="B13091">
        <v>2020</v>
      </c>
      <c r="C13091" t="s">
        <v>140</v>
      </c>
      <c r="D13091" t="s">
        <v>182</v>
      </c>
      <c r="E13091" t="s">
        <v>11</v>
      </c>
      <c r="F13091">
        <v>0.88422012329101563</v>
      </c>
    </row>
    <row r="13092" spans="2:6">
      <c r="B13092">
        <v>2020</v>
      </c>
      <c r="C13092" t="s">
        <v>140</v>
      </c>
      <c r="D13092" t="s">
        <v>182</v>
      </c>
      <c r="E13092" t="s">
        <v>12</v>
      </c>
      <c r="F13092">
        <v>-0.11053171008825302</v>
      </c>
    </row>
    <row r="13093" spans="2:6">
      <c r="B13093">
        <v>2020</v>
      </c>
      <c r="C13093" t="s">
        <v>140</v>
      </c>
      <c r="D13093" t="s">
        <v>182</v>
      </c>
      <c r="E13093" t="s">
        <v>14</v>
      </c>
      <c r="F13093">
        <v>0.75360763072967529</v>
      </c>
    </row>
    <row r="13094" spans="2:6">
      <c r="B13094">
        <v>2020</v>
      </c>
      <c r="C13094" t="s">
        <v>140</v>
      </c>
      <c r="D13094" t="s">
        <v>182</v>
      </c>
      <c r="E13094" t="s">
        <v>15</v>
      </c>
      <c r="F13094">
        <v>0.25119906663894653</v>
      </c>
    </row>
    <row r="13095" spans="2:6">
      <c r="B13095">
        <v>2006</v>
      </c>
      <c r="C13095" t="s">
        <v>141</v>
      </c>
      <c r="D13095" t="s">
        <v>184</v>
      </c>
      <c r="E13095" t="s">
        <v>7</v>
      </c>
      <c r="F13095">
        <v>4.4173526763916016</v>
      </c>
    </row>
    <row r="13096" spans="2:6">
      <c r="B13096">
        <v>2006</v>
      </c>
      <c r="C13096" t="s">
        <v>141</v>
      </c>
      <c r="D13096" t="s">
        <v>184</v>
      </c>
      <c r="E13096" t="s">
        <v>8</v>
      </c>
      <c r="F13096">
        <v>7.8809452056884766</v>
      </c>
    </row>
    <row r="13097" spans="2:6">
      <c r="B13097">
        <v>2006</v>
      </c>
      <c r="C13097" t="s">
        <v>141</v>
      </c>
      <c r="D13097" t="s">
        <v>184</v>
      </c>
      <c r="E13097" t="s">
        <v>9</v>
      </c>
      <c r="F13097">
        <v>0.76025205850601196</v>
      </c>
    </row>
    <row r="13098" spans="2:6">
      <c r="B13098">
        <v>2006</v>
      </c>
      <c r="C13098" t="s">
        <v>141</v>
      </c>
      <c r="D13098" t="s">
        <v>184</v>
      </c>
      <c r="E13098" t="s">
        <v>10</v>
      </c>
      <c r="F13098">
        <v>53.380001068115234</v>
      </c>
    </row>
    <row r="13099" spans="2:6">
      <c r="B13099">
        <v>2006</v>
      </c>
      <c r="C13099" t="s">
        <v>141</v>
      </c>
      <c r="D13099" t="s">
        <v>184</v>
      </c>
      <c r="E13099" t="s">
        <v>11</v>
      </c>
      <c r="F13099">
        <v>0.73572355508804321</v>
      </c>
    </row>
    <row r="13100" spans="2:6">
      <c r="B13100">
        <v>2006</v>
      </c>
      <c r="C13100" t="s">
        <v>141</v>
      </c>
      <c r="D13100" t="s">
        <v>184</v>
      </c>
      <c r="E13100" t="s">
        <v>12</v>
      </c>
      <c r="F13100">
        <v>-5.0642609596252441E-2</v>
      </c>
    </row>
    <row r="13101" spans="2:6">
      <c r="B13101">
        <v>2006</v>
      </c>
      <c r="C13101" t="s">
        <v>141</v>
      </c>
      <c r="D13101" t="s">
        <v>184</v>
      </c>
      <c r="E13101" t="s">
        <v>13</v>
      </c>
      <c r="F13101">
        <v>0.80532914400100708</v>
      </c>
    </row>
    <row r="13102" spans="2:6">
      <c r="B13102">
        <v>2006</v>
      </c>
      <c r="C13102" t="s">
        <v>141</v>
      </c>
      <c r="D13102" t="s">
        <v>184</v>
      </c>
      <c r="E13102" t="s">
        <v>14</v>
      </c>
      <c r="F13102">
        <v>0.73995298147201538</v>
      </c>
    </row>
    <row r="13103" spans="2:6">
      <c r="B13103">
        <v>2006</v>
      </c>
      <c r="C13103" t="s">
        <v>141</v>
      </c>
      <c r="D13103" t="s">
        <v>184</v>
      </c>
      <c r="E13103" t="s">
        <v>15</v>
      </c>
      <c r="F13103">
        <v>0.22498969733715057</v>
      </c>
    </row>
    <row r="13104" spans="2:6">
      <c r="B13104">
        <v>2007</v>
      </c>
      <c r="C13104" t="s">
        <v>141</v>
      </c>
      <c r="D13104" t="s">
        <v>184</v>
      </c>
      <c r="E13104" t="s">
        <v>7</v>
      </c>
      <c r="F13104">
        <v>4.6799869537353516</v>
      </c>
    </row>
    <row r="13105" spans="2:6">
      <c r="B13105">
        <v>2007</v>
      </c>
      <c r="C13105" t="s">
        <v>141</v>
      </c>
      <c r="D13105" t="s">
        <v>184</v>
      </c>
      <c r="E13105" t="s">
        <v>8</v>
      </c>
      <c r="F13105">
        <v>7.9027223587036133</v>
      </c>
    </row>
    <row r="13106" spans="2:6">
      <c r="B13106">
        <v>2007</v>
      </c>
      <c r="C13106" t="s">
        <v>141</v>
      </c>
      <c r="D13106" t="s">
        <v>184</v>
      </c>
      <c r="E13106" t="s">
        <v>9</v>
      </c>
      <c r="F13106">
        <v>0.71846103668212891</v>
      </c>
    </row>
    <row r="13107" spans="2:6">
      <c r="B13107">
        <v>2007</v>
      </c>
      <c r="C13107" t="s">
        <v>141</v>
      </c>
      <c r="D13107" t="s">
        <v>184</v>
      </c>
      <c r="E13107" t="s">
        <v>10</v>
      </c>
      <c r="F13107">
        <v>54.060001373291016</v>
      </c>
    </row>
    <row r="13108" spans="2:6">
      <c r="B13108">
        <v>2007</v>
      </c>
      <c r="C13108" t="s">
        <v>141</v>
      </c>
      <c r="D13108" t="s">
        <v>184</v>
      </c>
      <c r="E13108" t="s">
        <v>11</v>
      </c>
      <c r="F13108">
        <v>0.69800525903701782</v>
      </c>
    </row>
    <row r="13109" spans="2:6">
      <c r="B13109">
        <v>2007</v>
      </c>
      <c r="C13109" t="s">
        <v>141</v>
      </c>
      <c r="D13109" t="s">
        <v>184</v>
      </c>
      <c r="E13109" t="s">
        <v>12</v>
      </c>
      <c r="F13109">
        <v>-2.1319782827049494E-3</v>
      </c>
    </row>
    <row r="13110" spans="2:6">
      <c r="B13110">
        <v>2007</v>
      </c>
      <c r="C13110" t="s">
        <v>141</v>
      </c>
      <c r="D13110" t="s">
        <v>184</v>
      </c>
      <c r="E13110" t="s">
        <v>13</v>
      </c>
      <c r="F13110">
        <v>0.82668423652648926</v>
      </c>
    </row>
    <row r="13111" spans="2:6">
      <c r="B13111">
        <v>2007</v>
      </c>
      <c r="C13111" t="s">
        <v>141</v>
      </c>
      <c r="D13111" t="s">
        <v>184</v>
      </c>
      <c r="E13111" t="s">
        <v>14</v>
      </c>
      <c r="F13111">
        <v>0.7140471339225769</v>
      </c>
    </row>
    <row r="13112" spans="2:6">
      <c r="B13112">
        <v>2007</v>
      </c>
      <c r="C13112" t="s">
        <v>141</v>
      </c>
      <c r="D13112" t="s">
        <v>184</v>
      </c>
      <c r="E13112" t="s">
        <v>15</v>
      </c>
      <c r="F13112">
        <v>0.19874195754528046</v>
      </c>
    </row>
    <row r="13113" spans="2:6">
      <c r="B13113">
        <v>2008</v>
      </c>
      <c r="C13113" t="s">
        <v>141</v>
      </c>
      <c r="D13113" t="s">
        <v>184</v>
      </c>
      <c r="E13113" t="s">
        <v>7</v>
      </c>
      <c r="F13113">
        <v>4.683499813079834</v>
      </c>
    </row>
    <row r="13114" spans="2:6">
      <c r="B13114">
        <v>2008</v>
      </c>
      <c r="C13114" t="s">
        <v>141</v>
      </c>
      <c r="D13114" t="s">
        <v>184</v>
      </c>
      <c r="E13114" t="s">
        <v>8</v>
      </c>
      <c r="F13114">
        <v>7.9156703948974609</v>
      </c>
    </row>
    <row r="13115" spans="2:6">
      <c r="B13115">
        <v>2008</v>
      </c>
      <c r="C13115" t="s">
        <v>141</v>
      </c>
      <c r="D13115" t="s">
        <v>184</v>
      </c>
      <c r="E13115" t="s">
        <v>9</v>
      </c>
      <c r="F13115">
        <v>0.7562987208366394</v>
      </c>
    </row>
    <row r="13116" spans="2:6">
      <c r="B13116">
        <v>2008</v>
      </c>
      <c r="C13116" t="s">
        <v>141</v>
      </c>
      <c r="D13116" t="s">
        <v>184</v>
      </c>
      <c r="E13116" t="s">
        <v>10</v>
      </c>
      <c r="F13116">
        <v>54.740001678466797</v>
      </c>
    </row>
    <row r="13117" spans="2:6">
      <c r="B13117">
        <v>2008</v>
      </c>
      <c r="C13117" t="s">
        <v>141</v>
      </c>
      <c r="D13117" t="s">
        <v>184</v>
      </c>
      <c r="E13117" t="s">
        <v>11</v>
      </c>
      <c r="F13117">
        <v>0.61187618970870972</v>
      </c>
    </row>
    <row r="13118" spans="2:6">
      <c r="B13118">
        <v>2008</v>
      </c>
      <c r="C13118" t="s">
        <v>141</v>
      </c>
      <c r="D13118" t="s">
        <v>184</v>
      </c>
      <c r="E13118" t="s">
        <v>12</v>
      </c>
      <c r="F13118">
        <v>-3.0309071764349937E-2</v>
      </c>
    </row>
    <row r="13119" spans="2:6">
      <c r="B13119">
        <v>2008</v>
      </c>
      <c r="C13119" t="s">
        <v>141</v>
      </c>
      <c r="D13119" t="s">
        <v>184</v>
      </c>
      <c r="E13119" t="s">
        <v>13</v>
      </c>
      <c r="F13119">
        <v>0.87924784421920776</v>
      </c>
    </row>
    <row r="13120" spans="2:6">
      <c r="B13120">
        <v>2008</v>
      </c>
      <c r="C13120" t="s">
        <v>141</v>
      </c>
      <c r="D13120" t="s">
        <v>184</v>
      </c>
      <c r="E13120" t="s">
        <v>14</v>
      </c>
      <c r="F13120">
        <v>0.67288082838058472</v>
      </c>
    </row>
    <row r="13121" spans="2:6">
      <c r="B13121">
        <v>2008</v>
      </c>
      <c r="C13121" t="s">
        <v>141</v>
      </c>
      <c r="D13121" t="s">
        <v>184</v>
      </c>
      <c r="E13121" t="s">
        <v>15</v>
      </c>
      <c r="F13121">
        <v>0.25216123461723328</v>
      </c>
    </row>
    <row r="13122" spans="2:6">
      <c r="B13122">
        <v>2009</v>
      </c>
      <c r="C13122" t="s">
        <v>141</v>
      </c>
      <c r="D13122" t="s">
        <v>184</v>
      </c>
      <c r="E13122" t="s">
        <v>7</v>
      </c>
      <c r="F13122">
        <v>4.3351140022277832</v>
      </c>
    </row>
    <row r="13123" spans="2:6">
      <c r="B13123">
        <v>2009</v>
      </c>
      <c r="C13123" t="s">
        <v>141</v>
      </c>
      <c r="D13123" t="s">
        <v>184</v>
      </c>
      <c r="E13123" t="s">
        <v>8</v>
      </c>
      <c r="F13123">
        <v>7.9092307090759277</v>
      </c>
    </row>
    <row r="13124" spans="2:6">
      <c r="B13124">
        <v>2009</v>
      </c>
      <c r="C13124" t="s">
        <v>141</v>
      </c>
      <c r="D13124" t="s">
        <v>184</v>
      </c>
      <c r="E13124" t="s">
        <v>9</v>
      </c>
      <c r="F13124">
        <v>0.81035530567169189</v>
      </c>
    </row>
    <row r="13125" spans="2:6">
      <c r="B13125">
        <v>2009</v>
      </c>
      <c r="C13125" t="s">
        <v>141</v>
      </c>
      <c r="D13125" t="s">
        <v>184</v>
      </c>
      <c r="E13125" t="s">
        <v>10</v>
      </c>
      <c r="F13125">
        <v>55.419998168945313</v>
      </c>
    </row>
    <row r="13126" spans="2:6">
      <c r="B13126">
        <v>2009</v>
      </c>
      <c r="C13126" t="s">
        <v>141</v>
      </c>
      <c r="D13126" t="s">
        <v>184</v>
      </c>
      <c r="E13126" t="s">
        <v>11</v>
      </c>
      <c r="F13126">
        <v>0.55683815479278564</v>
      </c>
    </row>
    <row r="13127" spans="2:6">
      <c r="B13127">
        <v>2009</v>
      </c>
      <c r="C13127" t="s">
        <v>141</v>
      </c>
      <c r="D13127" t="s">
        <v>184</v>
      </c>
      <c r="E13127" t="s">
        <v>12</v>
      </c>
      <c r="F13127">
        <v>-3.6256648600101471E-2</v>
      </c>
    </row>
    <row r="13128" spans="2:6">
      <c r="B13128">
        <v>2009</v>
      </c>
      <c r="C13128" t="s">
        <v>141</v>
      </c>
      <c r="D13128" t="s">
        <v>184</v>
      </c>
      <c r="E13128" t="s">
        <v>13</v>
      </c>
      <c r="F13128">
        <v>0.91803544759750366</v>
      </c>
    </row>
    <row r="13129" spans="2:6">
      <c r="B13129">
        <v>2009</v>
      </c>
      <c r="C13129" t="s">
        <v>141</v>
      </c>
      <c r="D13129" t="s">
        <v>184</v>
      </c>
      <c r="E13129" t="s">
        <v>14</v>
      </c>
      <c r="F13129">
        <v>0.75737845897674561</v>
      </c>
    </row>
    <row r="13130" spans="2:6">
      <c r="B13130">
        <v>2009</v>
      </c>
      <c r="C13130" t="s">
        <v>141</v>
      </c>
      <c r="D13130" t="s">
        <v>184</v>
      </c>
      <c r="E13130" t="s">
        <v>15</v>
      </c>
      <c r="F13130">
        <v>0.22757962346076965</v>
      </c>
    </row>
    <row r="13131" spans="2:6">
      <c r="B13131">
        <v>2010</v>
      </c>
      <c r="C13131" t="s">
        <v>141</v>
      </c>
      <c r="D13131" t="s">
        <v>184</v>
      </c>
      <c r="E13131" t="s">
        <v>7</v>
      </c>
      <c r="F13131">
        <v>4.3721561431884766</v>
      </c>
    </row>
    <row r="13132" spans="2:6">
      <c r="B13132">
        <v>2010</v>
      </c>
      <c r="C13132" t="s">
        <v>141</v>
      </c>
      <c r="D13132" t="s">
        <v>184</v>
      </c>
      <c r="E13132" t="s">
        <v>8</v>
      </c>
      <c r="F13132">
        <v>7.9168057441711426</v>
      </c>
    </row>
    <row r="13133" spans="2:6">
      <c r="B13133">
        <v>2010</v>
      </c>
      <c r="C13133" t="s">
        <v>141</v>
      </c>
      <c r="D13133" t="s">
        <v>184</v>
      </c>
      <c r="E13133" t="s">
        <v>9</v>
      </c>
      <c r="F13133">
        <v>0.76029407978057861</v>
      </c>
    </row>
    <row r="13134" spans="2:6">
      <c r="B13134">
        <v>2010</v>
      </c>
      <c r="C13134" t="s">
        <v>141</v>
      </c>
      <c r="D13134" t="s">
        <v>184</v>
      </c>
      <c r="E13134" t="s">
        <v>10</v>
      </c>
      <c r="F13134">
        <v>56.099998474121094</v>
      </c>
    </row>
    <row r="13135" spans="2:6">
      <c r="B13135">
        <v>2010</v>
      </c>
      <c r="C13135" t="s">
        <v>141</v>
      </c>
      <c r="D13135" t="s">
        <v>184</v>
      </c>
      <c r="E13135" t="s">
        <v>11</v>
      </c>
      <c r="F13135">
        <v>0.77726262807846069</v>
      </c>
    </row>
    <row r="13136" spans="2:6">
      <c r="B13136">
        <v>2010</v>
      </c>
      <c r="C13136" t="s">
        <v>141</v>
      </c>
      <c r="D13136" t="s">
        <v>184</v>
      </c>
      <c r="E13136" t="s">
        <v>12</v>
      </c>
      <c r="F13136">
        <v>-7.7270224690437317E-2</v>
      </c>
    </row>
    <row r="13137" spans="2:6">
      <c r="B13137">
        <v>2010</v>
      </c>
      <c r="C13137" t="s">
        <v>141</v>
      </c>
      <c r="D13137" t="s">
        <v>184</v>
      </c>
      <c r="E13137" t="s">
        <v>13</v>
      </c>
      <c r="F13137">
        <v>0.85053485631942749</v>
      </c>
    </row>
    <row r="13138" spans="2:6">
      <c r="B13138">
        <v>2010</v>
      </c>
      <c r="C13138" t="s">
        <v>141</v>
      </c>
      <c r="D13138" t="s">
        <v>184</v>
      </c>
      <c r="E13138" t="s">
        <v>14</v>
      </c>
      <c r="F13138">
        <v>0.76881211996078491</v>
      </c>
    </row>
    <row r="13139" spans="2:6">
      <c r="B13139">
        <v>2010</v>
      </c>
      <c r="C13139" t="s">
        <v>141</v>
      </c>
      <c r="D13139" t="s">
        <v>184</v>
      </c>
      <c r="E13139" t="s">
        <v>15</v>
      </c>
      <c r="F13139">
        <v>0.14273770153522491</v>
      </c>
    </row>
    <row r="13140" spans="2:6">
      <c r="B13140">
        <v>2011</v>
      </c>
      <c r="C13140" t="s">
        <v>141</v>
      </c>
      <c r="D13140" t="s">
        <v>184</v>
      </c>
      <c r="E13140" t="s">
        <v>7</v>
      </c>
      <c r="F13140">
        <v>3.8342015743255615</v>
      </c>
    </row>
    <row r="13141" spans="2:6">
      <c r="B13141">
        <v>2011</v>
      </c>
      <c r="C13141" t="s">
        <v>141</v>
      </c>
      <c r="D13141" t="s">
        <v>184</v>
      </c>
      <c r="E13141" t="s">
        <v>8</v>
      </c>
      <c r="F13141">
        <v>7.9036173820495605</v>
      </c>
    </row>
    <row r="13142" spans="2:6">
      <c r="B13142">
        <v>2011</v>
      </c>
      <c r="C13142" t="s">
        <v>141</v>
      </c>
      <c r="D13142" t="s">
        <v>184</v>
      </c>
      <c r="E13142" t="s">
        <v>9</v>
      </c>
      <c r="F13142">
        <v>0.60240936279296875</v>
      </c>
    </row>
    <row r="13143" spans="2:6">
      <c r="B13143">
        <v>2011</v>
      </c>
      <c r="C13143" t="s">
        <v>141</v>
      </c>
      <c r="D13143" t="s">
        <v>184</v>
      </c>
      <c r="E13143" t="s">
        <v>10</v>
      </c>
      <c r="F13143">
        <v>56.560001373291016</v>
      </c>
    </row>
    <row r="13144" spans="2:6">
      <c r="B13144">
        <v>2011</v>
      </c>
      <c r="C13144" t="s">
        <v>141</v>
      </c>
      <c r="D13144" t="s">
        <v>184</v>
      </c>
      <c r="E13144" t="s">
        <v>11</v>
      </c>
      <c r="F13144">
        <v>0.64089030027389526</v>
      </c>
    </row>
    <row r="13145" spans="2:6">
      <c r="B13145">
        <v>2011</v>
      </c>
      <c r="C13145" t="s">
        <v>141</v>
      </c>
      <c r="D13145" t="s">
        <v>184</v>
      </c>
      <c r="E13145" t="s">
        <v>12</v>
      </c>
      <c r="F13145">
        <v>-0.1604560911655426</v>
      </c>
    </row>
    <row r="13146" spans="2:6">
      <c r="B13146">
        <v>2011</v>
      </c>
      <c r="C13146" t="s">
        <v>141</v>
      </c>
      <c r="D13146" t="s">
        <v>184</v>
      </c>
      <c r="E13146" t="s">
        <v>13</v>
      </c>
      <c r="F13146">
        <v>0.86989396810531616</v>
      </c>
    </row>
    <row r="13147" spans="2:6">
      <c r="B13147">
        <v>2011</v>
      </c>
      <c r="C13147" t="s">
        <v>141</v>
      </c>
      <c r="D13147" t="s">
        <v>184</v>
      </c>
      <c r="E13147" t="s">
        <v>14</v>
      </c>
      <c r="F13147">
        <v>0.75188320875167847</v>
      </c>
    </row>
    <row r="13148" spans="2:6">
      <c r="B13148">
        <v>2011</v>
      </c>
      <c r="C13148" t="s">
        <v>141</v>
      </c>
      <c r="D13148" t="s">
        <v>184</v>
      </c>
      <c r="E13148" t="s">
        <v>15</v>
      </c>
      <c r="F13148">
        <v>0.18002699315547943</v>
      </c>
    </row>
    <row r="13149" spans="2:6">
      <c r="B13149">
        <v>2012</v>
      </c>
      <c r="C13149" t="s">
        <v>141</v>
      </c>
      <c r="D13149" t="s">
        <v>184</v>
      </c>
      <c r="E13149" t="s">
        <v>7</v>
      </c>
      <c r="F13149">
        <v>3.6687369346618652</v>
      </c>
    </row>
    <row r="13150" spans="2:6">
      <c r="B13150">
        <v>2012</v>
      </c>
      <c r="C13150" t="s">
        <v>141</v>
      </c>
      <c r="D13150" t="s">
        <v>184</v>
      </c>
      <c r="E13150" t="s">
        <v>8</v>
      </c>
      <c r="F13150">
        <v>7.9256682395935059</v>
      </c>
    </row>
    <row r="13151" spans="2:6">
      <c r="B13151">
        <v>2012</v>
      </c>
      <c r="C13151" t="s">
        <v>141</v>
      </c>
      <c r="D13151" t="s">
        <v>184</v>
      </c>
      <c r="E13151" t="s">
        <v>9</v>
      </c>
      <c r="F13151">
        <v>0.71107739210128784</v>
      </c>
    </row>
    <row r="13152" spans="2:6">
      <c r="B13152">
        <v>2012</v>
      </c>
      <c r="C13152" t="s">
        <v>141</v>
      </c>
      <c r="D13152" t="s">
        <v>184</v>
      </c>
      <c r="E13152" t="s">
        <v>10</v>
      </c>
      <c r="F13152">
        <v>57.020000457763672</v>
      </c>
    </row>
    <row r="13153" spans="2:6">
      <c r="B13153">
        <v>2012</v>
      </c>
      <c r="C13153" t="s">
        <v>141</v>
      </c>
      <c r="D13153" t="s">
        <v>184</v>
      </c>
      <c r="E13153" t="s">
        <v>11</v>
      </c>
      <c r="F13153">
        <v>0.66825228929519653</v>
      </c>
    </row>
    <row r="13154" spans="2:6">
      <c r="B13154">
        <v>2012</v>
      </c>
      <c r="C13154" t="s">
        <v>141</v>
      </c>
      <c r="D13154" t="s">
        <v>184</v>
      </c>
      <c r="E13154" t="s">
        <v>12</v>
      </c>
      <c r="F13154">
        <v>-3.5587240010499954E-2</v>
      </c>
    </row>
    <row r="13155" spans="2:6">
      <c r="B13155">
        <v>2012</v>
      </c>
      <c r="C13155" t="s">
        <v>141</v>
      </c>
      <c r="D13155" t="s">
        <v>184</v>
      </c>
      <c r="E13155" t="s">
        <v>13</v>
      </c>
      <c r="F13155">
        <v>0.85187989473342896</v>
      </c>
    </row>
    <row r="13156" spans="2:6">
      <c r="B13156">
        <v>2012</v>
      </c>
      <c r="C13156" t="s">
        <v>141</v>
      </c>
      <c r="D13156" t="s">
        <v>184</v>
      </c>
      <c r="E13156" t="s">
        <v>14</v>
      </c>
      <c r="F13156">
        <v>0.77091848850250244</v>
      </c>
    </row>
    <row r="13157" spans="2:6">
      <c r="B13157">
        <v>2012</v>
      </c>
      <c r="C13157" t="s">
        <v>141</v>
      </c>
      <c r="D13157" t="s">
        <v>184</v>
      </c>
      <c r="E13157" t="s">
        <v>15</v>
      </c>
      <c r="F13157">
        <v>0.21360284090042114</v>
      </c>
    </row>
    <row r="13158" spans="2:6">
      <c r="B13158">
        <v>2013</v>
      </c>
      <c r="C13158" t="s">
        <v>141</v>
      </c>
      <c r="D13158" t="s">
        <v>184</v>
      </c>
      <c r="E13158" t="s">
        <v>7</v>
      </c>
      <c r="F13158">
        <v>3.647367000579834</v>
      </c>
    </row>
    <row r="13159" spans="2:6">
      <c r="B13159">
        <v>2013</v>
      </c>
      <c r="C13159" t="s">
        <v>141</v>
      </c>
      <c r="D13159" t="s">
        <v>184</v>
      </c>
      <c r="E13159" t="s">
        <v>8</v>
      </c>
      <c r="F13159">
        <v>7.9255080223083496</v>
      </c>
    </row>
    <row r="13160" spans="2:6">
      <c r="B13160">
        <v>2013</v>
      </c>
      <c r="C13160" t="s">
        <v>141</v>
      </c>
      <c r="D13160" t="s">
        <v>184</v>
      </c>
      <c r="E13160" t="s">
        <v>9</v>
      </c>
      <c r="F13160">
        <v>0.82295787334442139</v>
      </c>
    </row>
    <row r="13161" spans="2:6">
      <c r="B13161">
        <v>2013</v>
      </c>
      <c r="C13161" t="s">
        <v>141</v>
      </c>
      <c r="D13161" t="s">
        <v>184</v>
      </c>
      <c r="E13161" t="s">
        <v>10</v>
      </c>
      <c r="F13161">
        <v>57.479999542236328</v>
      </c>
    </row>
    <row r="13162" spans="2:6">
      <c r="B13162">
        <v>2013</v>
      </c>
      <c r="C13162" t="s">
        <v>141</v>
      </c>
      <c r="D13162" t="s">
        <v>184</v>
      </c>
      <c r="E13162" t="s">
        <v>11</v>
      </c>
      <c r="F13162">
        <v>0.63553953170776367</v>
      </c>
    </row>
    <row r="13163" spans="2:6">
      <c r="B13163">
        <v>2013</v>
      </c>
      <c r="C13163" t="s">
        <v>141</v>
      </c>
      <c r="D13163" t="s">
        <v>184</v>
      </c>
      <c r="E13163" t="s">
        <v>12</v>
      </c>
      <c r="F13163">
        <v>-5.1867052912712097E-2</v>
      </c>
    </row>
    <row r="13164" spans="2:6">
      <c r="B13164">
        <v>2013</v>
      </c>
      <c r="C13164" t="s">
        <v>141</v>
      </c>
      <c r="D13164" t="s">
        <v>184</v>
      </c>
      <c r="E13164" t="s">
        <v>13</v>
      </c>
      <c r="F13164">
        <v>0.83661222457885742</v>
      </c>
    </row>
    <row r="13165" spans="2:6">
      <c r="B13165">
        <v>2013</v>
      </c>
      <c r="C13165" t="s">
        <v>141</v>
      </c>
      <c r="D13165" t="s">
        <v>184</v>
      </c>
      <c r="E13165" t="s">
        <v>14</v>
      </c>
      <c r="F13165">
        <v>0.68012064695358276</v>
      </c>
    </row>
    <row r="13166" spans="2:6">
      <c r="B13166">
        <v>2013</v>
      </c>
      <c r="C13166" t="s">
        <v>141</v>
      </c>
      <c r="D13166" t="s">
        <v>184</v>
      </c>
      <c r="E13166" t="s">
        <v>15</v>
      </c>
      <c r="F13166">
        <v>0.16507852077484131</v>
      </c>
    </row>
    <row r="13167" spans="2:6">
      <c r="B13167">
        <v>2014</v>
      </c>
      <c r="C13167" t="s">
        <v>141</v>
      </c>
      <c r="D13167" t="s">
        <v>184</v>
      </c>
      <c r="E13167" t="s">
        <v>7</v>
      </c>
      <c r="F13167">
        <v>4.3947772979736328</v>
      </c>
    </row>
    <row r="13168" spans="2:6">
      <c r="B13168">
        <v>2014</v>
      </c>
      <c r="C13168" t="s">
        <v>141</v>
      </c>
      <c r="D13168" t="s">
        <v>184</v>
      </c>
      <c r="E13168" t="s">
        <v>8</v>
      </c>
      <c r="F13168">
        <v>7.9614810943603516</v>
      </c>
    </row>
    <row r="13169" spans="2:6">
      <c r="B13169">
        <v>2014</v>
      </c>
      <c r="C13169" t="s">
        <v>141</v>
      </c>
      <c r="D13169" t="s">
        <v>184</v>
      </c>
      <c r="E13169" t="s">
        <v>9</v>
      </c>
      <c r="F13169">
        <v>0.85552209615707397</v>
      </c>
    </row>
    <row r="13170" spans="2:6">
      <c r="B13170">
        <v>2014</v>
      </c>
      <c r="C13170" t="s">
        <v>141</v>
      </c>
      <c r="D13170" t="s">
        <v>184</v>
      </c>
      <c r="E13170" t="s">
        <v>10</v>
      </c>
      <c r="F13170">
        <v>57.939998626708984</v>
      </c>
    </row>
    <row r="13171" spans="2:6">
      <c r="B13171">
        <v>2014</v>
      </c>
      <c r="C13171" t="s">
        <v>141</v>
      </c>
      <c r="D13171" t="s">
        <v>184</v>
      </c>
      <c r="E13171" t="s">
        <v>11</v>
      </c>
      <c r="F13171">
        <v>0.69235318899154663</v>
      </c>
    </row>
    <row r="13172" spans="2:6">
      <c r="B13172">
        <v>2014</v>
      </c>
      <c r="C13172" t="s">
        <v>141</v>
      </c>
      <c r="D13172" t="s">
        <v>184</v>
      </c>
      <c r="E13172" t="s">
        <v>12</v>
      </c>
      <c r="F13172">
        <v>-4.5290060341358185E-2</v>
      </c>
    </row>
    <row r="13173" spans="2:6">
      <c r="B13173">
        <v>2014</v>
      </c>
      <c r="C13173" t="s">
        <v>141</v>
      </c>
      <c r="D13173" t="s">
        <v>184</v>
      </c>
      <c r="E13173" t="s">
        <v>13</v>
      </c>
      <c r="F13173">
        <v>0.69966000318527222</v>
      </c>
    </row>
    <row r="13174" spans="2:6">
      <c r="B13174">
        <v>2014</v>
      </c>
      <c r="C13174" t="s">
        <v>141</v>
      </c>
      <c r="D13174" t="s">
        <v>184</v>
      </c>
      <c r="E13174" t="s">
        <v>14</v>
      </c>
      <c r="F13174">
        <v>0.7246970534324646</v>
      </c>
    </row>
    <row r="13175" spans="2:6">
      <c r="B13175">
        <v>2014</v>
      </c>
      <c r="C13175" t="s">
        <v>141</v>
      </c>
      <c r="D13175" t="s">
        <v>184</v>
      </c>
      <c r="E13175" t="s">
        <v>15</v>
      </c>
      <c r="F13175">
        <v>0.15722657740116119</v>
      </c>
    </row>
    <row r="13176" spans="2:6">
      <c r="B13176">
        <v>2015</v>
      </c>
      <c r="C13176" t="s">
        <v>141</v>
      </c>
      <c r="D13176" t="s">
        <v>184</v>
      </c>
      <c r="E13176" t="s">
        <v>7</v>
      </c>
      <c r="F13176">
        <v>4.6170005798339844</v>
      </c>
    </row>
    <row r="13177" spans="2:6">
      <c r="B13177">
        <v>2015</v>
      </c>
      <c r="C13177" t="s">
        <v>141</v>
      </c>
      <c r="D13177" t="s">
        <v>184</v>
      </c>
      <c r="E13177" t="s">
        <v>8</v>
      </c>
      <c r="F13177">
        <v>7.9951224327087402</v>
      </c>
    </row>
    <row r="13178" spans="2:6">
      <c r="B13178">
        <v>2015</v>
      </c>
      <c r="C13178" t="s">
        <v>141</v>
      </c>
      <c r="D13178" t="s">
        <v>184</v>
      </c>
      <c r="E13178" t="s">
        <v>9</v>
      </c>
      <c r="F13178">
        <v>0.70153450965881348</v>
      </c>
    </row>
    <row r="13179" spans="2:6">
      <c r="B13179">
        <v>2015</v>
      </c>
      <c r="C13179" t="s">
        <v>141</v>
      </c>
      <c r="D13179" t="s">
        <v>184</v>
      </c>
      <c r="E13179" t="s">
        <v>10</v>
      </c>
      <c r="F13179">
        <v>58.400001525878906</v>
      </c>
    </row>
    <row r="13180" spans="2:6">
      <c r="B13180">
        <v>2015</v>
      </c>
      <c r="C13180" t="s">
        <v>141</v>
      </c>
      <c r="D13180" t="s">
        <v>184</v>
      </c>
      <c r="E13180" t="s">
        <v>11</v>
      </c>
      <c r="F13180">
        <v>0.71953326463699341</v>
      </c>
    </row>
    <row r="13181" spans="2:6">
      <c r="B13181">
        <v>2015</v>
      </c>
      <c r="C13181" t="s">
        <v>141</v>
      </c>
      <c r="D13181" t="s">
        <v>184</v>
      </c>
      <c r="E13181" t="s">
        <v>12</v>
      </c>
      <c r="F13181">
        <v>-0.11110300570726395</v>
      </c>
    </row>
    <row r="13182" spans="2:6">
      <c r="B13182">
        <v>2015</v>
      </c>
      <c r="C13182" t="s">
        <v>141</v>
      </c>
      <c r="D13182" t="s">
        <v>184</v>
      </c>
      <c r="E13182" t="s">
        <v>13</v>
      </c>
      <c r="F13182">
        <v>0.76549017429351807</v>
      </c>
    </row>
    <row r="13183" spans="2:6">
      <c r="B13183">
        <v>2015</v>
      </c>
      <c r="C13183" t="s">
        <v>141</v>
      </c>
      <c r="D13183" t="s">
        <v>184</v>
      </c>
      <c r="E13183" t="s">
        <v>14</v>
      </c>
      <c r="F13183">
        <v>0.71103507280349731</v>
      </c>
    </row>
    <row r="13184" spans="2:6">
      <c r="B13184">
        <v>2015</v>
      </c>
      <c r="C13184" t="s">
        <v>141</v>
      </c>
      <c r="D13184" t="s">
        <v>184</v>
      </c>
      <c r="E13184" t="s">
        <v>15</v>
      </c>
      <c r="F13184">
        <v>0.20766763389110565</v>
      </c>
    </row>
    <row r="13185" spans="2:6">
      <c r="B13185">
        <v>2016</v>
      </c>
      <c r="C13185" t="s">
        <v>141</v>
      </c>
      <c r="D13185" t="s">
        <v>184</v>
      </c>
      <c r="E13185" t="s">
        <v>7</v>
      </c>
      <c r="F13185">
        <v>4.5945339202880859</v>
      </c>
    </row>
    <row r="13186" spans="2:6">
      <c r="B13186">
        <v>2016</v>
      </c>
      <c r="C13186" t="s">
        <v>141</v>
      </c>
      <c r="D13186" t="s">
        <v>184</v>
      </c>
      <c r="E13186" t="s">
        <v>8</v>
      </c>
      <c r="F13186">
        <v>8.0286712646484375</v>
      </c>
    </row>
    <row r="13187" spans="2:6">
      <c r="B13187">
        <v>2016</v>
      </c>
      <c r="C13187" t="s">
        <v>141</v>
      </c>
      <c r="D13187" t="s">
        <v>184</v>
      </c>
      <c r="E13187" t="s">
        <v>9</v>
      </c>
      <c r="F13187">
        <v>0.83899438381195068</v>
      </c>
    </row>
    <row r="13188" spans="2:6">
      <c r="B13188">
        <v>2016</v>
      </c>
      <c r="C13188" t="s">
        <v>141</v>
      </c>
      <c r="D13188" t="s">
        <v>184</v>
      </c>
      <c r="E13188" t="s">
        <v>10</v>
      </c>
      <c r="F13188">
        <v>58.799999237060547</v>
      </c>
    </row>
    <row r="13189" spans="2:6">
      <c r="B13189">
        <v>2016</v>
      </c>
      <c r="C13189" t="s">
        <v>141</v>
      </c>
      <c r="D13189" t="s">
        <v>184</v>
      </c>
      <c r="E13189" t="s">
        <v>11</v>
      </c>
      <c r="F13189">
        <v>0.74372965097427368</v>
      </c>
    </row>
    <row r="13190" spans="2:6">
      <c r="B13190">
        <v>2016</v>
      </c>
      <c r="C13190" t="s">
        <v>141</v>
      </c>
      <c r="D13190" t="s">
        <v>184</v>
      </c>
      <c r="E13190" t="s">
        <v>12</v>
      </c>
      <c r="F13190">
        <v>-8.5590019822120667E-2</v>
      </c>
    </row>
    <row r="13191" spans="2:6">
      <c r="B13191">
        <v>2016</v>
      </c>
      <c r="C13191" t="s">
        <v>141</v>
      </c>
      <c r="D13191" t="s">
        <v>184</v>
      </c>
      <c r="E13191" t="s">
        <v>13</v>
      </c>
      <c r="F13191">
        <v>0.79435372352600098</v>
      </c>
    </row>
    <row r="13192" spans="2:6">
      <c r="B13192">
        <v>2016</v>
      </c>
      <c r="C13192" t="s">
        <v>141</v>
      </c>
      <c r="D13192" t="s">
        <v>184</v>
      </c>
      <c r="E13192" t="s">
        <v>14</v>
      </c>
      <c r="F13192">
        <v>0.78381794691085815</v>
      </c>
    </row>
    <row r="13193" spans="2:6">
      <c r="B13193">
        <v>2016</v>
      </c>
      <c r="C13193" t="s">
        <v>141</v>
      </c>
      <c r="D13193" t="s">
        <v>184</v>
      </c>
      <c r="E13193" t="s">
        <v>15</v>
      </c>
      <c r="F13193">
        <v>0.24485176801681519</v>
      </c>
    </row>
    <row r="13194" spans="2:6">
      <c r="B13194">
        <v>2017</v>
      </c>
      <c r="C13194" t="s">
        <v>141</v>
      </c>
      <c r="D13194" t="s">
        <v>184</v>
      </c>
      <c r="E13194" t="s">
        <v>7</v>
      </c>
      <c r="F13194">
        <v>4.6830248832702637</v>
      </c>
    </row>
    <row r="13195" spans="2:6">
      <c r="B13195">
        <v>2017</v>
      </c>
      <c r="C13195" t="s">
        <v>141</v>
      </c>
      <c r="D13195" t="s">
        <v>184</v>
      </c>
      <c r="E13195" t="s">
        <v>8</v>
      </c>
      <c r="F13195">
        <v>8.0721244812011719</v>
      </c>
    </row>
    <row r="13196" spans="2:6">
      <c r="B13196">
        <v>2017</v>
      </c>
      <c r="C13196" t="s">
        <v>141</v>
      </c>
      <c r="D13196" t="s">
        <v>184</v>
      </c>
      <c r="E13196" t="s">
        <v>9</v>
      </c>
      <c r="F13196">
        <v>0.74375933408737183</v>
      </c>
    </row>
    <row r="13197" spans="2:6">
      <c r="B13197">
        <v>2017</v>
      </c>
      <c r="C13197" t="s">
        <v>141</v>
      </c>
      <c r="D13197" t="s">
        <v>184</v>
      </c>
      <c r="E13197" t="s">
        <v>10</v>
      </c>
      <c r="F13197">
        <v>59.200000762939453</v>
      </c>
    </row>
    <row r="13198" spans="2:6">
      <c r="B13198">
        <v>2017</v>
      </c>
      <c r="C13198" t="s">
        <v>141</v>
      </c>
      <c r="D13198" t="s">
        <v>184</v>
      </c>
      <c r="E13198" t="s">
        <v>11</v>
      </c>
      <c r="F13198">
        <v>0.68693703413009644</v>
      </c>
    </row>
    <row r="13199" spans="2:6">
      <c r="B13199">
        <v>2017</v>
      </c>
      <c r="C13199" t="s">
        <v>141</v>
      </c>
      <c r="D13199" t="s">
        <v>184</v>
      </c>
      <c r="E13199" t="s">
        <v>12</v>
      </c>
      <c r="F13199">
        <v>-4.3521888554096222E-2</v>
      </c>
    </row>
    <row r="13200" spans="2:6">
      <c r="B13200">
        <v>2017</v>
      </c>
      <c r="C13200" t="s">
        <v>141</v>
      </c>
      <c r="D13200" t="s">
        <v>184</v>
      </c>
      <c r="E13200" t="s">
        <v>13</v>
      </c>
      <c r="F13200">
        <v>0.82524186372756958</v>
      </c>
    </row>
    <row r="13201" spans="2:6">
      <c r="B13201">
        <v>2017</v>
      </c>
      <c r="C13201" t="s">
        <v>141</v>
      </c>
      <c r="D13201" t="s">
        <v>184</v>
      </c>
      <c r="E13201" t="s">
        <v>14</v>
      </c>
      <c r="F13201">
        <v>0.74573206901550293</v>
      </c>
    </row>
    <row r="13202" spans="2:6">
      <c r="B13202">
        <v>2017</v>
      </c>
      <c r="C13202" t="s">
        <v>141</v>
      </c>
      <c r="D13202" t="s">
        <v>184</v>
      </c>
      <c r="E13202" t="s">
        <v>15</v>
      </c>
      <c r="F13202">
        <v>0.29083606600761414</v>
      </c>
    </row>
    <row r="13203" spans="2:6">
      <c r="B13203">
        <v>2018</v>
      </c>
      <c r="C13203" t="s">
        <v>141</v>
      </c>
      <c r="D13203" t="s">
        <v>184</v>
      </c>
      <c r="E13203" t="s">
        <v>7</v>
      </c>
      <c r="F13203">
        <v>4.7693772315979004</v>
      </c>
    </row>
    <row r="13204" spans="2:6">
      <c r="B13204">
        <v>2018</v>
      </c>
      <c r="C13204" t="s">
        <v>141</v>
      </c>
      <c r="D13204" t="s">
        <v>184</v>
      </c>
      <c r="E13204" t="s">
        <v>8</v>
      </c>
      <c r="F13204">
        <v>8.1061477661132813</v>
      </c>
    </row>
    <row r="13205" spans="2:6">
      <c r="B13205">
        <v>2018</v>
      </c>
      <c r="C13205" t="s">
        <v>141</v>
      </c>
      <c r="D13205" t="s">
        <v>184</v>
      </c>
      <c r="E13205" t="s">
        <v>9</v>
      </c>
      <c r="F13205">
        <v>0.73935478925704956</v>
      </c>
    </row>
    <row r="13206" spans="2:6">
      <c r="B13206">
        <v>2018</v>
      </c>
      <c r="C13206" t="s">
        <v>141</v>
      </c>
      <c r="D13206" t="s">
        <v>184</v>
      </c>
      <c r="E13206" t="s">
        <v>10</v>
      </c>
      <c r="F13206">
        <v>59.599998474121094</v>
      </c>
    </row>
    <row r="13207" spans="2:6">
      <c r="B13207">
        <v>2018</v>
      </c>
      <c r="C13207" t="s">
        <v>141</v>
      </c>
      <c r="D13207" t="s">
        <v>184</v>
      </c>
      <c r="E13207" t="s">
        <v>11</v>
      </c>
      <c r="F13207">
        <v>0.62922346591949463</v>
      </c>
    </row>
    <row r="13208" spans="2:6">
      <c r="B13208">
        <v>2018</v>
      </c>
      <c r="C13208" t="s">
        <v>141</v>
      </c>
      <c r="D13208" t="s">
        <v>184</v>
      </c>
      <c r="E13208" t="s">
        <v>12</v>
      </c>
      <c r="F13208">
        <v>-7.3627173900604248E-2</v>
      </c>
    </row>
    <row r="13209" spans="2:6">
      <c r="B13209">
        <v>2018</v>
      </c>
      <c r="C13209" t="s">
        <v>141</v>
      </c>
      <c r="D13209" t="s">
        <v>184</v>
      </c>
      <c r="E13209" t="s">
        <v>13</v>
      </c>
      <c r="F13209">
        <v>0.80477946996688843</v>
      </c>
    </row>
    <row r="13210" spans="2:6">
      <c r="B13210">
        <v>2018</v>
      </c>
      <c r="C13210" t="s">
        <v>141</v>
      </c>
      <c r="D13210" t="s">
        <v>184</v>
      </c>
      <c r="E13210" t="s">
        <v>14</v>
      </c>
      <c r="F13210">
        <v>0.71389412879943848</v>
      </c>
    </row>
    <row r="13211" spans="2:6">
      <c r="B13211">
        <v>2018</v>
      </c>
      <c r="C13211" t="s">
        <v>141</v>
      </c>
      <c r="D13211" t="s">
        <v>184</v>
      </c>
      <c r="E13211" t="s">
        <v>15</v>
      </c>
      <c r="F13211">
        <v>0.24707472324371338</v>
      </c>
    </row>
    <row r="13212" spans="2:6">
      <c r="B13212">
        <v>2019</v>
      </c>
      <c r="C13212" t="s">
        <v>141</v>
      </c>
      <c r="D13212" t="s">
        <v>184</v>
      </c>
      <c r="E13212" t="s">
        <v>7</v>
      </c>
      <c r="F13212">
        <v>5.488736629486084</v>
      </c>
    </row>
    <row r="13213" spans="2:6">
      <c r="B13213">
        <v>2019</v>
      </c>
      <c r="C13213" t="s">
        <v>141</v>
      </c>
      <c r="D13213" t="s">
        <v>184</v>
      </c>
      <c r="E13213" t="s">
        <v>8</v>
      </c>
      <c r="F13213">
        <v>8.1300201416015625</v>
      </c>
    </row>
    <row r="13214" spans="2:6">
      <c r="B13214">
        <v>2019</v>
      </c>
      <c r="C13214" t="s">
        <v>141</v>
      </c>
      <c r="D13214" t="s">
        <v>184</v>
      </c>
      <c r="E13214" t="s">
        <v>9</v>
      </c>
      <c r="F13214">
        <v>0.6876140832901001</v>
      </c>
    </row>
    <row r="13215" spans="2:6">
      <c r="B13215">
        <v>2019</v>
      </c>
      <c r="C13215" t="s">
        <v>141</v>
      </c>
      <c r="D13215" t="s">
        <v>184</v>
      </c>
      <c r="E13215" t="s">
        <v>10</v>
      </c>
      <c r="F13215">
        <v>60</v>
      </c>
    </row>
    <row r="13216" spans="2:6">
      <c r="B13216">
        <v>2019</v>
      </c>
      <c r="C13216" t="s">
        <v>141</v>
      </c>
      <c r="D13216" t="s">
        <v>184</v>
      </c>
      <c r="E13216" t="s">
        <v>11</v>
      </c>
      <c r="F13216">
        <v>0.75884175300598145</v>
      </c>
    </row>
    <row r="13217" spans="2:6">
      <c r="B13217">
        <v>2019</v>
      </c>
      <c r="C13217" t="s">
        <v>141</v>
      </c>
      <c r="D13217" t="s">
        <v>184</v>
      </c>
      <c r="E13217" t="s">
        <v>12</v>
      </c>
      <c r="F13217">
        <v>-1.880391500890255E-2</v>
      </c>
    </row>
    <row r="13218" spans="2:6">
      <c r="B13218">
        <v>2019</v>
      </c>
      <c r="C13218" t="s">
        <v>141</v>
      </c>
      <c r="D13218" t="s">
        <v>184</v>
      </c>
      <c r="E13218" t="s">
        <v>13</v>
      </c>
      <c r="F13218">
        <v>0.7956734299659729</v>
      </c>
    </row>
    <row r="13219" spans="2:6">
      <c r="B13219">
        <v>2019</v>
      </c>
      <c r="C13219" t="s">
        <v>141</v>
      </c>
      <c r="D13219" t="s">
        <v>184</v>
      </c>
      <c r="E13219" t="s">
        <v>14</v>
      </c>
      <c r="F13219">
        <v>0.78897303342819214</v>
      </c>
    </row>
    <row r="13220" spans="2:6">
      <c r="B13220">
        <v>2019</v>
      </c>
      <c r="C13220" t="s">
        <v>141</v>
      </c>
      <c r="D13220" t="s">
        <v>184</v>
      </c>
      <c r="E13220" t="s">
        <v>15</v>
      </c>
      <c r="F13220">
        <v>0.33192583918571472</v>
      </c>
    </row>
    <row r="13221" spans="2:6">
      <c r="B13221">
        <v>2007</v>
      </c>
      <c r="C13221" t="s">
        <v>142</v>
      </c>
      <c r="D13221" t="s">
        <v>183</v>
      </c>
      <c r="E13221" t="s">
        <v>7</v>
      </c>
      <c r="F13221">
        <v>4.7503838539123535</v>
      </c>
    </row>
    <row r="13222" spans="2:6">
      <c r="B13222">
        <v>2007</v>
      </c>
      <c r="C13222" t="s">
        <v>142</v>
      </c>
      <c r="D13222" t="s">
        <v>183</v>
      </c>
      <c r="E13222" t="s">
        <v>8</v>
      </c>
      <c r="F13222">
        <v>9.5319290161132813</v>
      </c>
    </row>
    <row r="13223" spans="2:6">
      <c r="B13223">
        <v>2007</v>
      </c>
      <c r="C13223" t="s">
        <v>142</v>
      </c>
      <c r="D13223" t="s">
        <v>183</v>
      </c>
      <c r="E13223" t="s">
        <v>9</v>
      </c>
      <c r="F13223">
        <v>0.84441304206848145</v>
      </c>
    </row>
    <row r="13224" spans="2:6">
      <c r="B13224">
        <v>2007</v>
      </c>
      <c r="C13224" t="s">
        <v>142</v>
      </c>
      <c r="D13224" t="s">
        <v>183</v>
      </c>
      <c r="E13224" t="s">
        <v>10</v>
      </c>
      <c r="F13224">
        <v>65.599998474121094</v>
      </c>
    </row>
    <row r="13225" spans="2:6">
      <c r="B13225">
        <v>2007</v>
      </c>
      <c r="C13225" t="s">
        <v>142</v>
      </c>
      <c r="D13225" t="s">
        <v>183</v>
      </c>
      <c r="E13225" t="s">
        <v>11</v>
      </c>
      <c r="F13225">
        <v>0.45278117060661316</v>
      </c>
    </row>
    <row r="13226" spans="2:6">
      <c r="B13226">
        <v>2007</v>
      </c>
      <c r="C13226" t="s">
        <v>142</v>
      </c>
      <c r="D13226" t="s">
        <v>183</v>
      </c>
      <c r="E13226" t="s">
        <v>12</v>
      </c>
      <c r="F13226">
        <v>-0.1653100848197937</v>
      </c>
    </row>
    <row r="13227" spans="2:6">
      <c r="B13227">
        <v>2007</v>
      </c>
      <c r="C13227" t="s">
        <v>142</v>
      </c>
      <c r="D13227" t="s">
        <v>183</v>
      </c>
      <c r="E13227" t="s">
        <v>13</v>
      </c>
      <c r="F13227">
        <v>0.90494966506958008</v>
      </c>
    </row>
    <row r="13228" spans="2:6">
      <c r="B13228">
        <v>2007</v>
      </c>
      <c r="C13228" t="s">
        <v>142</v>
      </c>
      <c r="D13228" t="s">
        <v>183</v>
      </c>
      <c r="E13228" t="s">
        <v>14</v>
      </c>
      <c r="F13228">
        <v>0.57604813575744629</v>
      </c>
    </row>
    <row r="13229" spans="2:6">
      <c r="B13229">
        <v>2007</v>
      </c>
      <c r="C13229" t="s">
        <v>142</v>
      </c>
      <c r="D13229" t="s">
        <v>183</v>
      </c>
      <c r="E13229" t="s">
        <v>15</v>
      </c>
      <c r="F13229">
        <v>0.33441972732543945</v>
      </c>
    </row>
    <row r="13230" spans="2:6">
      <c r="B13230">
        <v>2009</v>
      </c>
      <c r="C13230" t="s">
        <v>142</v>
      </c>
      <c r="D13230" t="s">
        <v>183</v>
      </c>
      <c r="E13230" t="s">
        <v>7</v>
      </c>
      <c r="F13230">
        <v>4.3803119659423828</v>
      </c>
    </row>
    <row r="13231" spans="2:6">
      <c r="B13231">
        <v>2009</v>
      </c>
      <c r="C13231" t="s">
        <v>142</v>
      </c>
      <c r="D13231" t="s">
        <v>183</v>
      </c>
      <c r="E13231" t="s">
        <v>8</v>
      </c>
      <c r="F13231">
        <v>9.5675125122070313</v>
      </c>
    </row>
    <row r="13232" spans="2:6">
      <c r="B13232">
        <v>2009</v>
      </c>
      <c r="C13232" t="s">
        <v>142</v>
      </c>
      <c r="D13232" t="s">
        <v>183</v>
      </c>
      <c r="E13232" t="s">
        <v>9</v>
      </c>
      <c r="F13232">
        <v>0.7701261043548584</v>
      </c>
    </row>
    <row r="13233" spans="2:6">
      <c r="B13233">
        <v>2009</v>
      </c>
      <c r="C13233" t="s">
        <v>142</v>
      </c>
      <c r="D13233" t="s">
        <v>183</v>
      </c>
      <c r="E13233" t="s">
        <v>10</v>
      </c>
      <c r="F13233">
        <v>66</v>
      </c>
    </row>
    <row r="13234" spans="2:6">
      <c r="B13234">
        <v>2009</v>
      </c>
      <c r="C13234" t="s">
        <v>142</v>
      </c>
      <c r="D13234" t="s">
        <v>183</v>
      </c>
      <c r="E13234" t="s">
        <v>11</v>
      </c>
      <c r="F13234">
        <v>0.37288129329681396</v>
      </c>
    </row>
    <row r="13235" spans="2:6">
      <c r="B13235">
        <v>2009</v>
      </c>
      <c r="C13235" t="s">
        <v>142</v>
      </c>
      <c r="D13235" t="s">
        <v>183</v>
      </c>
      <c r="E13235" t="s">
        <v>12</v>
      </c>
      <c r="F13235">
        <v>-0.17762303352355957</v>
      </c>
    </row>
    <row r="13236" spans="2:6">
      <c r="B13236">
        <v>2009</v>
      </c>
      <c r="C13236" t="s">
        <v>142</v>
      </c>
      <c r="D13236" t="s">
        <v>183</v>
      </c>
      <c r="E13236" t="s">
        <v>13</v>
      </c>
      <c r="F13236">
        <v>0.96097791194915771</v>
      </c>
    </row>
    <row r="13237" spans="2:6">
      <c r="B13237">
        <v>2009</v>
      </c>
      <c r="C13237" t="s">
        <v>142</v>
      </c>
      <c r="D13237" t="s">
        <v>183</v>
      </c>
      <c r="E13237" t="s">
        <v>14</v>
      </c>
      <c r="F13237">
        <v>0.54379910230636597</v>
      </c>
    </row>
    <row r="13238" spans="2:6">
      <c r="B13238">
        <v>2009</v>
      </c>
      <c r="C13238" t="s">
        <v>142</v>
      </c>
      <c r="D13238" t="s">
        <v>183</v>
      </c>
      <c r="E13238" t="s">
        <v>15</v>
      </c>
      <c r="F13238">
        <v>0.43547362089157104</v>
      </c>
    </row>
    <row r="13239" spans="2:6">
      <c r="B13239">
        <v>2010</v>
      </c>
      <c r="C13239" t="s">
        <v>142</v>
      </c>
      <c r="D13239" t="s">
        <v>183</v>
      </c>
      <c r="E13239" t="s">
        <v>7</v>
      </c>
      <c r="F13239">
        <v>4.4613041877746582</v>
      </c>
    </row>
    <row r="13240" spans="2:6">
      <c r="B13240">
        <v>2010</v>
      </c>
      <c r="C13240" t="s">
        <v>142</v>
      </c>
      <c r="D13240" t="s">
        <v>183</v>
      </c>
      <c r="E13240" t="s">
        <v>8</v>
      </c>
      <c r="F13240">
        <v>9.5788164138793945</v>
      </c>
    </row>
    <row r="13241" spans="2:6">
      <c r="B13241">
        <v>2010</v>
      </c>
      <c r="C13241" t="s">
        <v>142</v>
      </c>
      <c r="D13241" t="s">
        <v>183</v>
      </c>
      <c r="E13241" t="s">
        <v>9</v>
      </c>
      <c r="F13241">
        <v>0.72556334733963013</v>
      </c>
    </row>
    <row r="13242" spans="2:6">
      <c r="B13242">
        <v>2010</v>
      </c>
      <c r="C13242" t="s">
        <v>142</v>
      </c>
      <c r="D13242" t="s">
        <v>183</v>
      </c>
      <c r="E13242" t="s">
        <v>10</v>
      </c>
      <c r="F13242">
        <v>66.199996948242188</v>
      </c>
    </row>
    <row r="13243" spans="2:6">
      <c r="B13243">
        <v>2010</v>
      </c>
      <c r="C13243" t="s">
        <v>142</v>
      </c>
      <c r="D13243" t="s">
        <v>183</v>
      </c>
      <c r="E13243" t="s">
        <v>11</v>
      </c>
      <c r="F13243">
        <v>0.46264725923538208</v>
      </c>
    </row>
    <row r="13244" spans="2:6">
      <c r="B13244">
        <v>2010</v>
      </c>
      <c r="C13244" t="s">
        <v>142</v>
      </c>
      <c r="D13244" t="s">
        <v>183</v>
      </c>
      <c r="E13244" t="s">
        <v>12</v>
      </c>
      <c r="F13244">
        <v>-0.1702040433883667</v>
      </c>
    </row>
    <row r="13245" spans="2:6">
      <c r="B13245">
        <v>2010</v>
      </c>
      <c r="C13245" t="s">
        <v>142</v>
      </c>
      <c r="D13245" t="s">
        <v>183</v>
      </c>
      <c r="E13245" t="s">
        <v>13</v>
      </c>
      <c r="F13245">
        <v>0.96547245979309082</v>
      </c>
    </row>
    <row r="13246" spans="2:6">
      <c r="B13246">
        <v>2010</v>
      </c>
      <c r="C13246" t="s">
        <v>142</v>
      </c>
      <c r="D13246" t="s">
        <v>183</v>
      </c>
      <c r="E13246" t="s">
        <v>14</v>
      </c>
      <c r="F13246">
        <v>0.53220230340957642</v>
      </c>
    </row>
    <row r="13247" spans="2:6">
      <c r="B13247">
        <v>2010</v>
      </c>
      <c r="C13247" t="s">
        <v>142</v>
      </c>
      <c r="D13247" t="s">
        <v>183</v>
      </c>
      <c r="E13247" t="s">
        <v>15</v>
      </c>
      <c r="F13247">
        <v>0.41540920734405518</v>
      </c>
    </row>
    <row r="13248" spans="2:6">
      <c r="B13248">
        <v>2011</v>
      </c>
      <c r="C13248" t="s">
        <v>142</v>
      </c>
      <c r="D13248" t="s">
        <v>183</v>
      </c>
      <c r="E13248" t="s">
        <v>7</v>
      </c>
      <c r="F13248">
        <v>4.8151865005493164</v>
      </c>
    </row>
    <row r="13249" spans="2:6">
      <c r="B13249">
        <v>2011</v>
      </c>
      <c r="C13249" t="s">
        <v>142</v>
      </c>
      <c r="D13249" t="s">
        <v>183</v>
      </c>
      <c r="E13249" t="s">
        <v>8</v>
      </c>
      <c r="F13249">
        <v>9.6068687438964844</v>
      </c>
    </row>
    <row r="13250" spans="2:6">
      <c r="B13250">
        <v>2011</v>
      </c>
      <c r="C13250" t="s">
        <v>142</v>
      </c>
      <c r="D13250" t="s">
        <v>183</v>
      </c>
      <c r="E13250" t="s">
        <v>9</v>
      </c>
      <c r="F13250">
        <v>0.77321064472198486</v>
      </c>
    </row>
    <row r="13251" spans="2:6">
      <c r="B13251">
        <v>2011</v>
      </c>
      <c r="C13251" t="s">
        <v>142</v>
      </c>
      <c r="D13251" t="s">
        <v>183</v>
      </c>
      <c r="E13251" t="s">
        <v>10</v>
      </c>
      <c r="F13251">
        <v>66.360000610351563</v>
      </c>
    </row>
    <row r="13252" spans="2:6">
      <c r="B13252">
        <v>2011</v>
      </c>
      <c r="C13252" t="s">
        <v>142</v>
      </c>
      <c r="D13252" t="s">
        <v>183</v>
      </c>
      <c r="E13252" t="s">
        <v>11</v>
      </c>
      <c r="F13252">
        <v>0.44045829772949219</v>
      </c>
    </row>
    <row r="13253" spans="2:6">
      <c r="B13253">
        <v>2011</v>
      </c>
      <c r="C13253" t="s">
        <v>142</v>
      </c>
      <c r="D13253" t="s">
        <v>183</v>
      </c>
      <c r="E13253" t="s">
        <v>12</v>
      </c>
      <c r="F13253">
        <v>-0.18484504520893097</v>
      </c>
    </row>
    <row r="13254" spans="2:6">
      <c r="B13254">
        <v>2011</v>
      </c>
      <c r="C13254" t="s">
        <v>142</v>
      </c>
      <c r="D13254" t="s">
        <v>183</v>
      </c>
      <c r="E13254" t="s">
        <v>13</v>
      </c>
      <c r="F13254">
        <v>0.97691738605499268</v>
      </c>
    </row>
    <row r="13255" spans="2:6">
      <c r="B13255">
        <v>2011</v>
      </c>
      <c r="C13255" t="s">
        <v>142</v>
      </c>
      <c r="D13255" t="s">
        <v>183</v>
      </c>
      <c r="E13255" t="s">
        <v>14</v>
      </c>
      <c r="F13255">
        <v>0.54548060894012451</v>
      </c>
    </row>
    <row r="13256" spans="2:6">
      <c r="B13256">
        <v>2011</v>
      </c>
      <c r="C13256" t="s">
        <v>142</v>
      </c>
      <c r="D13256" t="s">
        <v>183</v>
      </c>
      <c r="E13256" t="s">
        <v>15</v>
      </c>
      <c r="F13256">
        <v>0.41025495529174805</v>
      </c>
    </row>
    <row r="13257" spans="2:6">
      <c r="B13257">
        <v>2012</v>
      </c>
      <c r="C13257" t="s">
        <v>142</v>
      </c>
      <c r="D13257" t="s">
        <v>183</v>
      </c>
      <c r="E13257" t="s">
        <v>7</v>
      </c>
      <c r="F13257">
        <v>5.1545219421386719</v>
      </c>
    </row>
    <row r="13258" spans="2:6">
      <c r="B13258">
        <v>2012</v>
      </c>
      <c r="C13258" t="s">
        <v>142</v>
      </c>
      <c r="D13258" t="s">
        <v>183</v>
      </c>
      <c r="E13258" t="s">
        <v>8</v>
      </c>
      <c r="F13258">
        <v>9.6048831939697266</v>
      </c>
    </row>
    <row r="13259" spans="2:6">
      <c r="B13259">
        <v>2012</v>
      </c>
      <c r="C13259" t="s">
        <v>142</v>
      </c>
      <c r="D13259" t="s">
        <v>183</v>
      </c>
      <c r="E13259" t="s">
        <v>9</v>
      </c>
      <c r="F13259">
        <v>0.81943041086196899</v>
      </c>
    </row>
    <row r="13260" spans="2:6">
      <c r="B13260">
        <v>2012</v>
      </c>
      <c r="C13260" t="s">
        <v>142</v>
      </c>
      <c r="D13260" t="s">
        <v>183</v>
      </c>
      <c r="E13260" t="s">
        <v>10</v>
      </c>
      <c r="F13260">
        <v>66.519996643066406</v>
      </c>
    </row>
    <row r="13261" spans="2:6">
      <c r="B13261">
        <v>2012</v>
      </c>
      <c r="C13261" t="s">
        <v>142</v>
      </c>
      <c r="D13261" t="s">
        <v>183</v>
      </c>
      <c r="E13261" t="s">
        <v>11</v>
      </c>
      <c r="F13261">
        <v>0.4605746865272522</v>
      </c>
    </row>
    <row r="13262" spans="2:6">
      <c r="B13262">
        <v>2012</v>
      </c>
      <c r="C13262" t="s">
        <v>142</v>
      </c>
      <c r="D13262" t="s">
        <v>183</v>
      </c>
      <c r="E13262" t="s">
        <v>12</v>
      </c>
      <c r="F13262">
        <v>-0.13040107488632202</v>
      </c>
    </row>
    <row r="13263" spans="2:6">
      <c r="B13263">
        <v>2012</v>
      </c>
      <c r="C13263" t="s">
        <v>142</v>
      </c>
      <c r="D13263" t="s">
        <v>183</v>
      </c>
      <c r="E13263" t="s">
        <v>13</v>
      </c>
      <c r="F13263">
        <v>0.95166784524917603</v>
      </c>
    </row>
    <row r="13264" spans="2:6">
      <c r="B13264">
        <v>2012</v>
      </c>
      <c r="C13264" t="s">
        <v>142</v>
      </c>
      <c r="D13264" t="s">
        <v>183</v>
      </c>
      <c r="E13264" t="s">
        <v>14</v>
      </c>
      <c r="F13264">
        <v>0.5143323540687561</v>
      </c>
    </row>
    <row r="13265" spans="2:6">
      <c r="B13265">
        <v>2012</v>
      </c>
      <c r="C13265" t="s">
        <v>142</v>
      </c>
      <c r="D13265" t="s">
        <v>183</v>
      </c>
      <c r="E13265" t="s">
        <v>15</v>
      </c>
      <c r="F13265">
        <v>0.37123644351959229</v>
      </c>
    </row>
    <row r="13266" spans="2:6">
      <c r="B13266">
        <v>2013</v>
      </c>
      <c r="C13266" t="s">
        <v>142</v>
      </c>
      <c r="D13266" t="s">
        <v>183</v>
      </c>
      <c r="E13266" t="s">
        <v>7</v>
      </c>
      <c r="F13266">
        <v>5.1018404960632324</v>
      </c>
    </row>
    <row r="13267" spans="2:6">
      <c r="B13267">
        <v>2013</v>
      </c>
      <c r="C13267" t="s">
        <v>142</v>
      </c>
      <c r="D13267" t="s">
        <v>183</v>
      </c>
      <c r="E13267" t="s">
        <v>8</v>
      </c>
      <c r="F13267">
        <v>9.6382656097412109</v>
      </c>
    </row>
    <row r="13268" spans="2:6">
      <c r="B13268">
        <v>2013</v>
      </c>
      <c r="C13268" t="s">
        <v>142</v>
      </c>
      <c r="D13268" t="s">
        <v>183</v>
      </c>
      <c r="E13268" t="s">
        <v>9</v>
      </c>
      <c r="F13268">
        <v>0.82806873321533203</v>
      </c>
    </row>
    <row r="13269" spans="2:6">
      <c r="B13269">
        <v>2013</v>
      </c>
      <c r="C13269" t="s">
        <v>142</v>
      </c>
      <c r="D13269" t="s">
        <v>183</v>
      </c>
      <c r="E13269" t="s">
        <v>10</v>
      </c>
      <c r="F13269">
        <v>66.680000305175781</v>
      </c>
    </row>
    <row r="13270" spans="2:6">
      <c r="B13270">
        <v>2013</v>
      </c>
      <c r="C13270" t="s">
        <v>142</v>
      </c>
      <c r="D13270" t="s">
        <v>183</v>
      </c>
      <c r="E13270" t="s">
        <v>11</v>
      </c>
      <c r="F13270">
        <v>0.53283971548080444</v>
      </c>
    </row>
    <row r="13271" spans="2:6">
      <c r="B13271">
        <v>2013</v>
      </c>
      <c r="C13271" t="s">
        <v>142</v>
      </c>
      <c r="D13271" t="s">
        <v>183</v>
      </c>
      <c r="E13271" t="s">
        <v>12</v>
      </c>
      <c r="F13271">
        <v>-9.9876224994659424E-2</v>
      </c>
    </row>
    <row r="13272" spans="2:6">
      <c r="B13272">
        <v>2013</v>
      </c>
      <c r="C13272" t="s">
        <v>142</v>
      </c>
      <c r="D13272" t="s">
        <v>183</v>
      </c>
      <c r="E13272" t="s">
        <v>13</v>
      </c>
      <c r="F13272">
        <v>0.90812200307846069</v>
      </c>
    </row>
    <row r="13273" spans="2:6">
      <c r="B13273">
        <v>2013</v>
      </c>
      <c r="C13273" t="s">
        <v>142</v>
      </c>
      <c r="D13273" t="s">
        <v>183</v>
      </c>
      <c r="E13273" t="s">
        <v>14</v>
      </c>
      <c r="F13273">
        <v>0.52910846471786499</v>
      </c>
    </row>
    <row r="13274" spans="2:6">
      <c r="B13274">
        <v>2013</v>
      </c>
      <c r="C13274" t="s">
        <v>142</v>
      </c>
      <c r="D13274" t="s">
        <v>183</v>
      </c>
      <c r="E13274" t="s">
        <v>15</v>
      </c>
      <c r="F13274">
        <v>0.40345296263694763</v>
      </c>
    </row>
    <row r="13275" spans="2:6">
      <c r="B13275">
        <v>2014</v>
      </c>
      <c r="C13275" t="s">
        <v>142</v>
      </c>
      <c r="D13275" t="s">
        <v>183</v>
      </c>
      <c r="E13275" t="s">
        <v>7</v>
      </c>
      <c r="F13275">
        <v>5.1127285957336426</v>
      </c>
    </row>
    <row r="13276" spans="2:6">
      <c r="B13276">
        <v>2014</v>
      </c>
      <c r="C13276" t="s">
        <v>142</v>
      </c>
      <c r="D13276" t="s">
        <v>183</v>
      </c>
      <c r="E13276" t="s">
        <v>8</v>
      </c>
      <c r="F13276">
        <v>9.6269369125366211</v>
      </c>
    </row>
    <row r="13277" spans="2:6">
      <c r="B13277">
        <v>2014</v>
      </c>
      <c r="C13277" t="s">
        <v>142</v>
      </c>
      <c r="D13277" t="s">
        <v>183</v>
      </c>
      <c r="E13277" t="s">
        <v>9</v>
      </c>
      <c r="F13277">
        <v>0.78270870447158813</v>
      </c>
    </row>
    <row r="13278" spans="2:6">
      <c r="B13278">
        <v>2014</v>
      </c>
      <c r="C13278" t="s">
        <v>142</v>
      </c>
      <c r="D13278" t="s">
        <v>183</v>
      </c>
      <c r="E13278" t="s">
        <v>10</v>
      </c>
      <c r="F13278">
        <v>66.839996337890625</v>
      </c>
    </row>
    <row r="13279" spans="2:6">
      <c r="B13279">
        <v>2014</v>
      </c>
      <c r="C13279" t="s">
        <v>142</v>
      </c>
      <c r="D13279" t="s">
        <v>183</v>
      </c>
      <c r="E13279" t="s">
        <v>11</v>
      </c>
      <c r="F13279">
        <v>0.53159725666046143</v>
      </c>
    </row>
    <row r="13280" spans="2:6">
      <c r="B13280">
        <v>2014</v>
      </c>
      <c r="C13280" t="s">
        <v>142</v>
      </c>
      <c r="D13280" t="s">
        <v>183</v>
      </c>
      <c r="E13280" t="s">
        <v>12</v>
      </c>
      <c r="F13280">
        <v>7.1945346891880035E-2</v>
      </c>
    </row>
    <row r="13281" spans="2:6">
      <c r="B13281">
        <v>2014</v>
      </c>
      <c r="C13281" t="s">
        <v>142</v>
      </c>
      <c r="D13281" t="s">
        <v>183</v>
      </c>
      <c r="E13281" t="s">
        <v>13</v>
      </c>
      <c r="F13281">
        <v>0.91173243522644043</v>
      </c>
    </row>
    <row r="13282" spans="2:6">
      <c r="B13282">
        <v>2014</v>
      </c>
      <c r="C13282" t="s">
        <v>142</v>
      </c>
      <c r="D13282" t="s">
        <v>183</v>
      </c>
      <c r="E13282" t="s">
        <v>14</v>
      </c>
      <c r="F13282">
        <v>0.4977552592754364</v>
      </c>
    </row>
    <row r="13283" spans="2:6">
      <c r="B13283">
        <v>2014</v>
      </c>
      <c r="C13283" t="s">
        <v>142</v>
      </c>
      <c r="D13283" t="s">
        <v>183</v>
      </c>
      <c r="E13283" t="s">
        <v>15</v>
      </c>
      <c r="F13283">
        <v>0.32611781358718872</v>
      </c>
    </row>
    <row r="13284" spans="2:6">
      <c r="B13284">
        <v>2015</v>
      </c>
      <c r="C13284" t="s">
        <v>142</v>
      </c>
      <c r="D13284" t="s">
        <v>183</v>
      </c>
      <c r="E13284" t="s">
        <v>7</v>
      </c>
      <c r="F13284">
        <v>5.3176851272583008</v>
      </c>
    </row>
    <row r="13285" spans="2:6">
      <c r="B13285">
        <v>2015</v>
      </c>
      <c r="C13285" t="s">
        <v>142</v>
      </c>
      <c r="D13285" t="s">
        <v>183</v>
      </c>
      <c r="E13285" t="s">
        <v>8</v>
      </c>
      <c r="F13285">
        <v>9.6494922637939453</v>
      </c>
    </row>
    <row r="13286" spans="2:6">
      <c r="B13286">
        <v>2015</v>
      </c>
      <c r="C13286" t="s">
        <v>142</v>
      </c>
      <c r="D13286" t="s">
        <v>183</v>
      </c>
      <c r="E13286" t="s">
        <v>9</v>
      </c>
      <c r="F13286">
        <v>0.81625103950500488</v>
      </c>
    </row>
    <row r="13287" spans="2:6">
      <c r="B13287">
        <v>2015</v>
      </c>
      <c r="C13287" t="s">
        <v>142</v>
      </c>
      <c r="D13287" t="s">
        <v>183</v>
      </c>
      <c r="E13287" t="s">
        <v>10</v>
      </c>
      <c r="F13287">
        <v>67</v>
      </c>
    </row>
    <row r="13288" spans="2:6">
      <c r="B13288">
        <v>2015</v>
      </c>
      <c r="C13288" t="s">
        <v>142</v>
      </c>
      <c r="D13288" t="s">
        <v>183</v>
      </c>
      <c r="E13288" t="s">
        <v>11</v>
      </c>
      <c r="F13288">
        <v>0.54589200019836426</v>
      </c>
    </row>
    <row r="13289" spans="2:6">
      <c r="B13289">
        <v>2015</v>
      </c>
      <c r="C13289" t="s">
        <v>142</v>
      </c>
      <c r="D13289" t="s">
        <v>183</v>
      </c>
      <c r="E13289" t="s">
        <v>12</v>
      </c>
      <c r="F13289">
        <v>-6.2089975923299789E-2</v>
      </c>
    </row>
    <row r="13290" spans="2:6">
      <c r="B13290">
        <v>2015</v>
      </c>
      <c r="C13290" t="s">
        <v>142</v>
      </c>
      <c r="D13290" t="s">
        <v>183</v>
      </c>
      <c r="E13290" t="s">
        <v>13</v>
      </c>
      <c r="F13290">
        <v>0.85935801267623901</v>
      </c>
    </row>
    <row r="13291" spans="2:6">
      <c r="B13291">
        <v>2015</v>
      </c>
      <c r="C13291" t="s">
        <v>142</v>
      </c>
      <c r="D13291" t="s">
        <v>183</v>
      </c>
      <c r="E13291" t="s">
        <v>14</v>
      </c>
      <c r="F13291">
        <v>0.4962410032749176</v>
      </c>
    </row>
    <row r="13292" spans="2:6">
      <c r="B13292">
        <v>2015</v>
      </c>
      <c r="C13292" t="s">
        <v>142</v>
      </c>
      <c r="D13292" t="s">
        <v>183</v>
      </c>
      <c r="E13292" t="s">
        <v>15</v>
      </c>
      <c r="F13292">
        <v>0.30254402756690979</v>
      </c>
    </row>
    <row r="13293" spans="2:6">
      <c r="B13293">
        <v>2016</v>
      </c>
      <c r="C13293" t="s">
        <v>142</v>
      </c>
      <c r="D13293" t="s">
        <v>183</v>
      </c>
      <c r="E13293" t="s">
        <v>7</v>
      </c>
      <c r="F13293">
        <v>5.7527546882629395</v>
      </c>
    </row>
    <row r="13294" spans="2:6">
      <c r="B13294">
        <v>2016</v>
      </c>
      <c r="C13294" t="s">
        <v>142</v>
      </c>
      <c r="D13294" t="s">
        <v>183</v>
      </c>
      <c r="E13294" t="s">
        <v>8</v>
      </c>
      <c r="F13294">
        <v>9.687586784362793</v>
      </c>
    </row>
    <row r="13295" spans="2:6">
      <c r="B13295">
        <v>2016</v>
      </c>
      <c r="C13295" t="s">
        <v>142</v>
      </c>
      <c r="D13295" t="s">
        <v>183</v>
      </c>
      <c r="E13295" t="s">
        <v>9</v>
      </c>
      <c r="F13295">
        <v>0.89489495754241943</v>
      </c>
    </row>
    <row r="13296" spans="2:6">
      <c r="B13296">
        <v>2016</v>
      </c>
      <c r="C13296" t="s">
        <v>142</v>
      </c>
      <c r="D13296" t="s">
        <v>183</v>
      </c>
      <c r="E13296" t="s">
        <v>10</v>
      </c>
      <c r="F13296">
        <v>67.400001525878906</v>
      </c>
    </row>
    <row r="13297" spans="2:6">
      <c r="B13297">
        <v>2016</v>
      </c>
      <c r="C13297" t="s">
        <v>142</v>
      </c>
      <c r="D13297" t="s">
        <v>183</v>
      </c>
      <c r="E13297" t="s">
        <v>11</v>
      </c>
      <c r="F13297">
        <v>0.61437082290649414</v>
      </c>
    </row>
    <row r="13298" spans="2:6">
      <c r="B13298">
        <v>2016</v>
      </c>
      <c r="C13298" t="s">
        <v>142</v>
      </c>
      <c r="D13298" t="s">
        <v>183</v>
      </c>
      <c r="E13298" t="s">
        <v>12</v>
      </c>
      <c r="F13298">
        <v>-6.7875616252422333E-2</v>
      </c>
    </row>
    <row r="13299" spans="2:6">
      <c r="B13299">
        <v>2016</v>
      </c>
      <c r="C13299" t="s">
        <v>142</v>
      </c>
      <c r="D13299" t="s">
        <v>183</v>
      </c>
      <c r="E13299" t="s">
        <v>13</v>
      </c>
      <c r="F13299">
        <v>0.88976520299911499</v>
      </c>
    </row>
    <row r="13300" spans="2:6">
      <c r="B13300">
        <v>2016</v>
      </c>
      <c r="C13300" t="s">
        <v>142</v>
      </c>
      <c r="D13300" t="s">
        <v>183</v>
      </c>
      <c r="E13300" t="s">
        <v>14</v>
      </c>
      <c r="F13300">
        <v>0.53482705354690552</v>
      </c>
    </row>
    <row r="13301" spans="2:6">
      <c r="B13301">
        <v>2016</v>
      </c>
      <c r="C13301" t="s">
        <v>142</v>
      </c>
      <c r="D13301" t="s">
        <v>183</v>
      </c>
      <c r="E13301" t="s">
        <v>15</v>
      </c>
      <c r="F13301">
        <v>0.29812660813331604</v>
      </c>
    </row>
    <row r="13302" spans="2:6">
      <c r="B13302">
        <v>2017</v>
      </c>
      <c r="C13302" t="s">
        <v>142</v>
      </c>
      <c r="D13302" t="s">
        <v>183</v>
      </c>
      <c r="E13302" t="s">
        <v>7</v>
      </c>
      <c r="F13302">
        <v>5.1220312118530273</v>
      </c>
    </row>
    <row r="13303" spans="2:6">
      <c r="B13303">
        <v>2017</v>
      </c>
      <c r="C13303" t="s">
        <v>142</v>
      </c>
      <c r="D13303" t="s">
        <v>183</v>
      </c>
      <c r="E13303" t="s">
        <v>8</v>
      </c>
      <c r="F13303">
        <v>9.7131948471069336</v>
      </c>
    </row>
    <row r="13304" spans="2:6">
      <c r="B13304">
        <v>2017</v>
      </c>
      <c r="C13304" t="s">
        <v>142</v>
      </c>
      <c r="D13304" t="s">
        <v>183</v>
      </c>
      <c r="E13304" t="s">
        <v>9</v>
      </c>
      <c r="F13304">
        <v>0.8837704062461853</v>
      </c>
    </row>
    <row r="13305" spans="2:6">
      <c r="B13305">
        <v>2017</v>
      </c>
      <c r="C13305" t="s">
        <v>142</v>
      </c>
      <c r="D13305" t="s">
        <v>183</v>
      </c>
      <c r="E13305" t="s">
        <v>10</v>
      </c>
      <c r="F13305">
        <v>67.800003051757813</v>
      </c>
    </row>
    <row r="13306" spans="2:6">
      <c r="B13306">
        <v>2017</v>
      </c>
      <c r="C13306" t="s">
        <v>142</v>
      </c>
      <c r="D13306" t="s">
        <v>183</v>
      </c>
      <c r="E13306" t="s">
        <v>11</v>
      </c>
      <c r="F13306">
        <v>0.68484634160995483</v>
      </c>
    </row>
    <row r="13307" spans="2:6">
      <c r="B13307">
        <v>2017</v>
      </c>
      <c r="C13307" t="s">
        <v>142</v>
      </c>
      <c r="D13307" t="s">
        <v>183</v>
      </c>
      <c r="E13307" t="s">
        <v>12</v>
      </c>
      <c r="F13307">
        <v>-7.7479861676692963E-2</v>
      </c>
    </row>
    <row r="13308" spans="2:6">
      <c r="B13308">
        <v>2017</v>
      </c>
      <c r="C13308" t="s">
        <v>142</v>
      </c>
      <c r="D13308" t="s">
        <v>183</v>
      </c>
      <c r="E13308" t="s">
        <v>13</v>
      </c>
      <c r="F13308">
        <v>0.85145783424377441</v>
      </c>
    </row>
    <row r="13309" spans="2:6">
      <c r="B13309">
        <v>2017</v>
      </c>
      <c r="C13309" t="s">
        <v>142</v>
      </c>
      <c r="D13309" t="s">
        <v>183</v>
      </c>
      <c r="E13309" t="s">
        <v>14</v>
      </c>
      <c r="F13309">
        <v>0.50972121953964233</v>
      </c>
    </row>
    <row r="13310" spans="2:6">
      <c r="B13310">
        <v>2017</v>
      </c>
      <c r="C13310" t="s">
        <v>142</v>
      </c>
      <c r="D13310" t="s">
        <v>183</v>
      </c>
      <c r="E13310" t="s">
        <v>15</v>
      </c>
      <c r="F13310">
        <v>0.32640707492828369</v>
      </c>
    </row>
    <row r="13311" spans="2:6">
      <c r="B13311">
        <v>2018</v>
      </c>
      <c r="C13311" t="s">
        <v>142</v>
      </c>
      <c r="D13311" t="s">
        <v>183</v>
      </c>
      <c r="E13311" t="s">
        <v>7</v>
      </c>
      <c r="F13311">
        <v>5.9364933967590332</v>
      </c>
    </row>
    <row r="13312" spans="2:6">
      <c r="B13312">
        <v>2018</v>
      </c>
      <c r="C13312" t="s">
        <v>142</v>
      </c>
      <c r="D13312" t="s">
        <v>183</v>
      </c>
      <c r="E13312" t="s">
        <v>8</v>
      </c>
      <c r="F13312">
        <v>9.7616434097290039</v>
      </c>
    </row>
    <row r="13313" spans="2:6">
      <c r="B13313">
        <v>2018</v>
      </c>
      <c r="C13313" t="s">
        <v>142</v>
      </c>
      <c r="D13313" t="s">
        <v>183</v>
      </c>
      <c r="E13313" t="s">
        <v>9</v>
      </c>
      <c r="F13313">
        <v>0.85294532775878906</v>
      </c>
    </row>
    <row r="13314" spans="2:6">
      <c r="B13314">
        <v>2018</v>
      </c>
      <c r="C13314" t="s">
        <v>142</v>
      </c>
      <c r="D13314" t="s">
        <v>183</v>
      </c>
      <c r="E13314" t="s">
        <v>10</v>
      </c>
      <c r="F13314">
        <v>68.199996948242188</v>
      </c>
    </row>
    <row r="13315" spans="2:6">
      <c r="B13315">
        <v>2018</v>
      </c>
      <c r="C13315" t="s">
        <v>142</v>
      </c>
      <c r="D13315" t="s">
        <v>183</v>
      </c>
      <c r="E13315" t="s">
        <v>11</v>
      </c>
      <c r="F13315">
        <v>0.73989182710647583</v>
      </c>
    </row>
    <row r="13316" spans="2:6">
      <c r="B13316">
        <v>2018</v>
      </c>
      <c r="C13316" t="s">
        <v>142</v>
      </c>
      <c r="D13316" t="s">
        <v>183</v>
      </c>
      <c r="E13316" t="s">
        <v>12</v>
      </c>
      <c r="F13316">
        <v>-9.9542491137981415E-2</v>
      </c>
    </row>
    <row r="13317" spans="2:6">
      <c r="B13317">
        <v>2018</v>
      </c>
      <c r="C13317" t="s">
        <v>142</v>
      </c>
      <c r="D13317" t="s">
        <v>183</v>
      </c>
      <c r="E13317" t="s">
        <v>13</v>
      </c>
      <c r="F13317">
        <v>0.86372357606887817</v>
      </c>
    </row>
    <row r="13318" spans="2:6">
      <c r="B13318">
        <v>2018</v>
      </c>
      <c r="C13318" t="s">
        <v>142</v>
      </c>
      <c r="D13318" t="s">
        <v>183</v>
      </c>
      <c r="E13318" t="s">
        <v>14</v>
      </c>
      <c r="F13318">
        <v>0.5589408278465271</v>
      </c>
    </row>
    <row r="13319" spans="2:6">
      <c r="B13319">
        <v>2018</v>
      </c>
      <c r="C13319" t="s">
        <v>142</v>
      </c>
      <c r="D13319" t="s">
        <v>183</v>
      </c>
      <c r="E13319" t="s">
        <v>15</v>
      </c>
      <c r="F13319">
        <v>0.29629585146903992</v>
      </c>
    </row>
    <row r="13320" spans="2:6">
      <c r="B13320">
        <v>2019</v>
      </c>
      <c r="C13320" t="s">
        <v>142</v>
      </c>
      <c r="D13320" t="s">
        <v>183</v>
      </c>
      <c r="E13320" t="s">
        <v>7</v>
      </c>
      <c r="F13320">
        <v>6.2414073944091797</v>
      </c>
    </row>
    <row r="13321" spans="2:6">
      <c r="B13321">
        <v>2019</v>
      </c>
      <c r="C13321" t="s">
        <v>142</v>
      </c>
      <c r="D13321" t="s">
        <v>183</v>
      </c>
      <c r="E13321" t="s">
        <v>8</v>
      </c>
      <c r="F13321">
        <v>9.8080654144287109</v>
      </c>
    </row>
    <row r="13322" spans="2:6">
      <c r="B13322">
        <v>2019</v>
      </c>
      <c r="C13322" t="s">
        <v>142</v>
      </c>
      <c r="D13322" t="s">
        <v>183</v>
      </c>
      <c r="E13322" t="s">
        <v>9</v>
      </c>
      <c r="F13322">
        <v>0.90329426527023315</v>
      </c>
    </row>
    <row r="13323" spans="2:6">
      <c r="B13323">
        <v>2019</v>
      </c>
      <c r="C13323" t="s">
        <v>142</v>
      </c>
      <c r="D13323" t="s">
        <v>183</v>
      </c>
      <c r="E13323" t="s">
        <v>10</v>
      </c>
      <c r="F13323">
        <v>68.599998474121094</v>
      </c>
    </row>
    <row r="13324" spans="2:6">
      <c r="B13324">
        <v>2019</v>
      </c>
      <c r="C13324" t="s">
        <v>142</v>
      </c>
      <c r="D13324" t="s">
        <v>183</v>
      </c>
      <c r="E13324" t="s">
        <v>11</v>
      </c>
      <c r="F13324">
        <v>0.75250458717346191</v>
      </c>
    </row>
    <row r="13325" spans="2:6">
      <c r="B13325">
        <v>2019</v>
      </c>
      <c r="C13325" t="s">
        <v>142</v>
      </c>
      <c r="D13325" t="s">
        <v>183</v>
      </c>
      <c r="E13325" t="s">
        <v>12</v>
      </c>
      <c r="F13325">
        <v>-3.9931874722242355E-2</v>
      </c>
    </row>
    <row r="13326" spans="2:6">
      <c r="B13326">
        <v>2019</v>
      </c>
      <c r="C13326" t="s">
        <v>142</v>
      </c>
      <c r="D13326" t="s">
        <v>183</v>
      </c>
      <c r="E13326" t="s">
        <v>13</v>
      </c>
      <c r="F13326">
        <v>0.81314182281494141</v>
      </c>
    </row>
    <row r="13327" spans="2:6">
      <c r="B13327">
        <v>2019</v>
      </c>
      <c r="C13327" t="s">
        <v>142</v>
      </c>
      <c r="D13327" t="s">
        <v>183</v>
      </c>
      <c r="E13327" t="s">
        <v>14</v>
      </c>
      <c r="F13327">
        <v>0.50910186767578125</v>
      </c>
    </row>
    <row r="13328" spans="2:6">
      <c r="B13328">
        <v>2019</v>
      </c>
      <c r="C13328" t="s">
        <v>142</v>
      </c>
      <c r="D13328" t="s">
        <v>183</v>
      </c>
      <c r="E13328" t="s">
        <v>15</v>
      </c>
      <c r="F13328">
        <v>0.24213021993637085</v>
      </c>
    </row>
    <row r="13329" spans="2:6">
      <c r="B13329">
        <v>2020</v>
      </c>
      <c r="C13329" t="s">
        <v>142</v>
      </c>
      <c r="D13329" t="s">
        <v>183</v>
      </c>
      <c r="E13329" t="s">
        <v>7</v>
      </c>
      <c r="F13329">
        <v>6.0415463447570801</v>
      </c>
    </row>
    <row r="13330" spans="2:6">
      <c r="B13330">
        <v>2020</v>
      </c>
      <c r="C13330" t="s">
        <v>142</v>
      </c>
      <c r="D13330" t="s">
        <v>183</v>
      </c>
      <c r="E13330" t="s">
        <v>8</v>
      </c>
      <c r="F13330">
        <v>9.7882595062255859</v>
      </c>
    </row>
    <row r="13331" spans="2:6">
      <c r="B13331">
        <v>2020</v>
      </c>
      <c r="C13331" t="s">
        <v>142</v>
      </c>
      <c r="D13331" t="s">
        <v>183</v>
      </c>
      <c r="E13331" t="s">
        <v>9</v>
      </c>
      <c r="F13331">
        <v>0.85210186243057251</v>
      </c>
    </row>
    <row r="13332" spans="2:6">
      <c r="B13332">
        <v>2020</v>
      </c>
      <c r="C13332" t="s">
        <v>142</v>
      </c>
      <c r="D13332" t="s">
        <v>183</v>
      </c>
      <c r="E13332" t="s">
        <v>10</v>
      </c>
      <c r="F13332">
        <v>69</v>
      </c>
    </row>
    <row r="13333" spans="2:6">
      <c r="B13333">
        <v>2020</v>
      </c>
      <c r="C13333" t="s">
        <v>142</v>
      </c>
      <c r="D13333" t="s">
        <v>183</v>
      </c>
      <c r="E13333" t="s">
        <v>11</v>
      </c>
      <c r="F13333">
        <v>0.84347987174987793</v>
      </c>
    </row>
    <row r="13334" spans="2:6">
      <c r="B13334">
        <v>2020</v>
      </c>
      <c r="C13334" t="s">
        <v>142</v>
      </c>
      <c r="D13334" t="s">
        <v>183</v>
      </c>
      <c r="E13334" t="s">
        <v>12</v>
      </c>
      <c r="F13334">
        <v>0.14940130710601807</v>
      </c>
    </row>
    <row r="13335" spans="2:6">
      <c r="B13335">
        <v>2020</v>
      </c>
      <c r="C13335" t="s">
        <v>142</v>
      </c>
      <c r="D13335" t="s">
        <v>183</v>
      </c>
      <c r="E13335" t="s">
        <v>13</v>
      </c>
      <c r="F13335">
        <v>0.82447248697280884</v>
      </c>
    </row>
    <row r="13336" spans="2:6">
      <c r="B13336">
        <v>2020</v>
      </c>
      <c r="C13336" t="s">
        <v>142</v>
      </c>
      <c r="D13336" t="s">
        <v>183</v>
      </c>
      <c r="E13336" t="s">
        <v>14</v>
      </c>
      <c r="F13336">
        <v>0.60284614562988281</v>
      </c>
    </row>
    <row r="13337" spans="2:6">
      <c r="B13337">
        <v>2020</v>
      </c>
      <c r="C13337" t="s">
        <v>142</v>
      </c>
      <c r="D13337" t="s">
        <v>183</v>
      </c>
      <c r="E13337" t="s">
        <v>15</v>
      </c>
      <c r="F13337">
        <v>0.3575802743434906</v>
      </c>
    </row>
    <row r="13338" spans="2:6">
      <c r="B13338">
        <v>2006</v>
      </c>
      <c r="C13338" t="s">
        <v>143</v>
      </c>
      <c r="D13338" t="s">
        <v>184</v>
      </c>
      <c r="E13338" t="s">
        <v>7</v>
      </c>
      <c r="F13338">
        <v>3.6281850337982178</v>
      </c>
    </row>
    <row r="13339" spans="2:6">
      <c r="B13339">
        <v>2006</v>
      </c>
      <c r="C13339" t="s">
        <v>143</v>
      </c>
      <c r="D13339" t="s">
        <v>184</v>
      </c>
      <c r="E13339" t="s">
        <v>8</v>
      </c>
      <c r="F13339">
        <v>7.1361784934997559</v>
      </c>
    </row>
    <row r="13340" spans="2:6">
      <c r="B13340">
        <v>2006</v>
      </c>
      <c r="C13340" t="s">
        <v>143</v>
      </c>
      <c r="D13340" t="s">
        <v>184</v>
      </c>
      <c r="E13340" t="s">
        <v>9</v>
      </c>
      <c r="F13340">
        <v>0.56135594844818115</v>
      </c>
    </row>
    <row r="13341" spans="2:6">
      <c r="B13341">
        <v>2006</v>
      </c>
      <c r="C13341" t="s">
        <v>143</v>
      </c>
      <c r="D13341" t="s">
        <v>184</v>
      </c>
      <c r="E13341" t="s">
        <v>10</v>
      </c>
      <c r="F13341">
        <v>40.299999237060547</v>
      </c>
    </row>
    <row r="13342" spans="2:6">
      <c r="B13342">
        <v>2006</v>
      </c>
      <c r="C13342" t="s">
        <v>143</v>
      </c>
      <c r="D13342" t="s">
        <v>184</v>
      </c>
      <c r="E13342" t="s">
        <v>11</v>
      </c>
      <c r="F13342">
        <v>0.6790010929107666</v>
      </c>
    </row>
    <row r="13343" spans="2:6">
      <c r="B13343">
        <v>2006</v>
      </c>
      <c r="C13343" t="s">
        <v>143</v>
      </c>
      <c r="D13343" t="s">
        <v>184</v>
      </c>
      <c r="E13343" t="s">
        <v>12</v>
      </c>
      <c r="F13343">
        <v>0.10058067739009857</v>
      </c>
    </row>
    <row r="13344" spans="2:6">
      <c r="B13344">
        <v>2006</v>
      </c>
      <c r="C13344" t="s">
        <v>143</v>
      </c>
      <c r="D13344" t="s">
        <v>184</v>
      </c>
      <c r="E13344" t="s">
        <v>13</v>
      </c>
      <c r="F13344">
        <v>0.83616608381271362</v>
      </c>
    </row>
    <row r="13345" spans="2:6">
      <c r="B13345">
        <v>2006</v>
      </c>
      <c r="C13345" t="s">
        <v>143</v>
      </c>
      <c r="D13345" t="s">
        <v>184</v>
      </c>
      <c r="E13345" t="s">
        <v>14</v>
      </c>
      <c r="F13345">
        <v>0.50507229566574097</v>
      </c>
    </row>
    <row r="13346" spans="2:6">
      <c r="B13346">
        <v>2006</v>
      </c>
      <c r="C13346" t="s">
        <v>143</v>
      </c>
      <c r="D13346" t="s">
        <v>184</v>
      </c>
      <c r="E13346" t="s">
        <v>15</v>
      </c>
      <c r="F13346">
        <v>0.38065457344055176</v>
      </c>
    </row>
    <row r="13347" spans="2:6">
      <c r="B13347">
        <v>2007</v>
      </c>
      <c r="C13347" t="s">
        <v>143</v>
      </c>
      <c r="D13347" t="s">
        <v>184</v>
      </c>
      <c r="E13347" t="s">
        <v>7</v>
      </c>
      <c r="F13347">
        <v>3.5851273536682129</v>
      </c>
    </row>
    <row r="13348" spans="2:6">
      <c r="B13348">
        <v>2007</v>
      </c>
      <c r="C13348" t="s">
        <v>143</v>
      </c>
      <c r="D13348" t="s">
        <v>184</v>
      </c>
      <c r="E13348" t="s">
        <v>8</v>
      </c>
      <c r="F13348">
        <v>7.1865339279174805</v>
      </c>
    </row>
    <row r="13349" spans="2:6">
      <c r="B13349">
        <v>2007</v>
      </c>
      <c r="C13349" t="s">
        <v>143</v>
      </c>
      <c r="D13349" t="s">
        <v>184</v>
      </c>
      <c r="E13349" t="s">
        <v>9</v>
      </c>
      <c r="F13349">
        <v>0.68647092580795288</v>
      </c>
    </row>
    <row r="13350" spans="2:6">
      <c r="B13350">
        <v>2007</v>
      </c>
      <c r="C13350" t="s">
        <v>143</v>
      </c>
      <c r="D13350" t="s">
        <v>184</v>
      </c>
      <c r="E13350" t="s">
        <v>10</v>
      </c>
      <c r="F13350">
        <v>41.200000762939453</v>
      </c>
    </row>
    <row r="13351" spans="2:6">
      <c r="B13351">
        <v>2007</v>
      </c>
      <c r="C13351" t="s">
        <v>143</v>
      </c>
      <c r="D13351" t="s">
        <v>184</v>
      </c>
      <c r="E13351" t="s">
        <v>11</v>
      </c>
      <c r="F13351">
        <v>0.72037339210510254</v>
      </c>
    </row>
    <row r="13352" spans="2:6">
      <c r="B13352">
        <v>2007</v>
      </c>
      <c r="C13352" t="s">
        <v>143</v>
      </c>
      <c r="D13352" t="s">
        <v>184</v>
      </c>
      <c r="E13352" t="s">
        <v>12</v>
      </c>
      <c r="F13352">
        <v>0.24770912528038025</v>
      </c>
    </row>
    <row r="13353" spans="2:6">
      <c r="B13353">
        <v>2007</v>
      </c>
      <c r="C13353" t="s">
        <v>143</v>
      </c>
      <c r="D13353" t="s">
        <v>184</v>
      </c>
      <c r="E13353" t="s">
        <v>13</v>
      </c>
      <c r="F13353">
        <v>0.83048290014266968</v>
      </c>
    </row>
    <row r="13354" spans="2:6">
      <c r="B13354">
        <v>2007</v>
      </c>
      <c r="C13354" t="s">
        <v>143</v>
      </c>
      <c r="D13354" t="s">
        <v>184</v>
      </c>
      <c r="E13354" t="s">
        <v>14</v>
      </c>
      <c r="F13354">
        <v>0.58178055286407471</v>
      </c>
    </row>
    <row r="13355" spans="2:6">
      <c r="B13355">
        <v>2007</v>
      </c>
      <c r="C13355" t="s">
        <v>143</v>
      </c>
      <c r="D13355" t="s">
        <v>184</v>
      </c>
      <c r="E13355" t="s">
        <v>15</v>
      </c>
      <c r="F13355">
        <v>0.28984156250953674</v>
      </c>
    </row>
    <row r="13356" spans="2:6">
      <c r="B13356">
        <v>2008</v>
      </c>
      <c r="C13356" t="s">
        <v>143</v>
      </c>
      <c r="D13356" t="s">
        <v>184</v>
      </c>
      <c r="E13356" t="s">
        <v>7</v>
      </c>
      <c r="F13356">
        <v>2.997251033782959</v>
      </c>
    </row>
    <row r="13357" spans="2:6">
      <c r="B13357">
        <v>2008</v>
      </c>
      <c r="C13357" t="s">
        <v>143</v>
      </c>
      <c r="D13357" t="s">
        <v>184</v>
      </c>
      <c r="E13357" t="s">
        <v>8</v>
      </c>
      <c r="F13357">
        <v>7.215357780456543</v>
      </c>
    </row>
    <row r="13358" spans="2:6">
      <c r="B13358">
        <v>2008</v>
      </c>
      <c r="C13358" t="s">
        <v>143</v>
      </c>
      <c r="D13358" t="s">
        <v>184</v>
      </c>
      <c r="E13358" t="s">
        <v>9</v>
      </c>
      <c r="F13358">
        <v>0.59073722362518311</v>
      </c>
    </row>
    <row r="13359" spans="2:6">
      <c r="B13359">
        <v>2008</v>
      </c>
      <c r="C13359" t="s">
        <v>143</v>
      </c>
      <c r="D13359" t="s">
        <v>184</v>
      </c>
      <c r="E13359" t="s">
        <v>10</v>
      </c>
      <c r="F13359">
        <v>42.099998474121094</v>
      </c>
    </row>
    <row r="13360" spans="2:6">
      <c r="B13360">
        <v>2008</v>
      </c>
      <c r="C13360" t="s">
        <v>143</v>
      </c>
      <c r="D13360" t="s">
        <v>184</v>
      </c>
      <c r="E13360" t="s">
        <v>11</v>
      </c>
      <c r="F13360">
        <v>0.71639633178710938</v>
      </c>
    </row>
    <row r="13361" spans="2:6">
      <c r="B13361">
        <v>2008</v>
      </c>
      <c r="C13361" t="s">
        <v>143</v>
      </c>
      <c r="D13361" t="s">
        <v>184</v>
      </c>
      <c r="E13361" t="s">
        <v>12</v>
      </c>
      <c r="F13361">
        <v>0.1480126827955246</v>
      </c>
    </row>
    <row r="13362" spans="2:6">
      <c r="B13362">
        <v>2008</v>
      </c>
      <c r="C13362" t="s">
        <v>143</v>
      </c>
      <c r="D13362" t="s">
        <v>184</v>
      </c>
      <c r="E13362" t="s">
        <v>13</v>
      </c>
      <c r="F13362">
        <v>0.92490142583847046</v>
      </c>
    </row>
    <row r="13363" spans="2:6">
      <c r="B13363">
        <v>2008</v>
      </c>
      <c r="C13363" t="s">
        <v>143</v>
      </c>
      <c r="D13363" t="s">
        <v>184</v>
      </c>
      <c r="E13363" t="s">
        <v>14</v>
      </c>
      <c r="F13363">
        <v>0.5336037278175354</v>
      </c>
    </row>
    <row r="13364" spans="2:6">
      <c r="B13364">
        <v>2008</v>
      </c>
      <c r="C13364" t="s">
        <v>143</v>
      </c>
      <c r="D13364" t="s">
        <v>184</v>
      </c>
      <c r="E13364" t="s">
        <v>15</v>
      </c>
      <c r="F13364">
        <v>0.36960142850875854</v>
      </c>
    </row>
    <row r="13365" spans="2:6">
      <c r="B13365">
        <v>2010</v>
      </c>
      <c r="C13365" t="s">
        <v>143</v>
      </c>
      <c r="D13365" t="s">
        <v>184</v>
      </c>
      <c r="E13365" t="s">
        <v>7</v>
      </c>
      <c r="F13365">
        <v>4.1339559555053711</v>
      </c>
    </row>
    <row r="13366" spans="2:6">
      <c r="B13366">
        <v>2010</v>
      </c>
      <c r="C13366" t="s">
        <v>143</v>
      </c>
      <c r="D13366" t="s">
        <v>184</v>
      </c>
      <c r="E13366" t="s">
        <v>8</v>
      </c>
      <c r="F13366">
        <v>7.2538695335388184</v>
      </c>
    </row>
    <row r="13367" spans="2:6">
      <c r="B13367">
        <v>2010</v>
      </c>
      <c r="C13367" t="s">
        <v>143</v>
      </c>
      <c r="D13367" t="s">
        <v>184</v>
      </c>
      <c r="E13367" t="s">
        <v>9</v>
      </c>
      <c r="F13367">
        <v>0.81187295913696289</v>
      </c>
    </row>
    <row r="13368" spans="2:6">
      <c r="B13368">
        <v>2010</v>
      </c>
      <c r="C13368" t="s">
        <v>143</v>
      </c>
      <c r="D13368" t="s">
        <v>184</v>
      </c>
      <c r="E13368" t="s">
        <v>10</v>
      </c>
      <c r="F13368">
        <v>43.900001525878906</v>
      </c>
    </row>
    <row r="13369" spans="2:6">
      <c r="B13369">
        <v>2010</v>
      </c>
      <c r="C13369" t="s">
        <v>143</v>
      </c>
      <c r="D13369" t="s">
        <v>184</v>
      </c>
      <c r="E13369" t="s">
        <v>11</v>
      </c>
      <c r="F13369">
        <v>0.72626882791519165</v>
      </c>
    </row>
    <row r="13370" spans="2:6">
      <c r="B13370">
        <v>2010</v>
      </c>
      <c r="C13370" t="s">
        <v>143</v>
      </c>
      <c r="D13370" t="s">
        <v>184</v>
      </c>
      <c r="E13370" t="s">
        <v>12</v>
      </c>
      <c r="F13370">
        <v>1.1957618407905102E-2</v>
      </c>
    </row>
    <row r="13371" spans="2:6">
      <c r="B13371">
        <v>2010</v>
      </c>
      <c r="C13371" t="s">
        <v>143</v>
      </c>
      <c r="D13371" t="s">
        <v>184</v>
      </c>
      <c r="E13371" t="s">
        <v>13</v>
      </c>
      <c r="F13371">
        <v>0.91044062376022339</v>
      </c>
    </row>
    <row r="13372" spans="2:6">
      <c r="B13372">
        <v>2010</v>
      </c>
      <c r="C13372" t="s">
        <v>143</v>
      </c>
      <c r="D13372" t="s">
        <v>184</v>
      </c>
      <c r="E13372" t="s">
        <v>14</v>
      </c>
      <c r="F13372">
        <v>0.51353180408477783</v>
      </c>
    </row>
    <row r="13373" spans="2:6">
      <c r="B13373">
        <v>2010</v>
      </c>
      <c r="C13373" t="s">
        <v>143</v>
      </c>
      <c r="D13373" t="s">
        <v>184</v>
      </c>
      <c r="E13373" t="s">
        <v>15</v>
      </c>
      <c r="F13373">
        <v>0.29046922922134399</v>
      </c>
    </row>
    <row r="13374" spans="2:6">
      <c r="B13374">
        <v>2011</v>
      </c>
      <c r="C13374" t="s">
        <v>143</v>
      </c>
      <c r="D13374" t="s">
        <v>184</v>
      </c>
      <c r="E13374" t="s">
        <v>7</v>
      </c>
      <c r="F13374">
        <v>4.5016436576843262</v>
      </c>
    </row>
    <row r="13375" spans="2:6">
      <c r="B13375">
        <v>2011</v>
      </c>
      <c r="C13375" t="s">
        <v>143</v>
      </c>
      <c r="D13375" t="s">
        <v>184</v>
      </c>
      <c r="E13375" t="s">
        <v>8</v>
      </c>
      <c r="F13375">
        <v>7.2923598289489746</v>
      </c>
    </row>
    <row r="13376" spans="2:6">
      <c r="B13376">
        <v>2011</v>
      </c>
      <c r="C13376" t="s">
        <v>143</v>
      </c>
      <c r="D13376" t="s">
        <v>184</v>
      </c>
      <c r="E13376" t="s">
        <v>9</v>
      </c>
      <c r="F13376">
        <v>0.78158098459243774</v>
      </c>
    </row>
    <row r="13377" spans="2:6">
      <c r="B13377">
        <v>2011</v>
      </c>
      <c r="C13377" t="s">
        <v>143</v>
      </c>
      <c r="D13377" t="s">
        <v>184</v>
      </c>
      <c r="E13377" t="s">
        <v>10</v>
      </c>
      <c r="F13377">
        <v>44.319999694824219</v>
      </c>
    </row>
    <row r="13378" spans="2:6">
      <c r="B13378">
        <v>2011</v>
      </c>
      <c r="C13378" t="s">
        <v>143</v>
      </c>
      <c r="D13378" t="s">
        <v>184</v>
      </c>
      <c r="E13378" t="s">
        <v>11</v>
      </c>
      <c r="F13378">
        <v>0.76973813772201538</v>
      </c>
    </row>
    <row r="13379" spans="2:6">
      <c r="B13379">
        <v>2011</v>
      </c>
      <c r="C13379" t="s">
        <v>143</v>
      </c>
      <c r="D13379" t="s">
        <v>184</v>
      </c>
      <c r="E13379" t="s">
        <v>12</v>
      </c>
      <c r="F13379">
        <v>4.5221089385449886E-3</v>
      </c>
    </row>
    <row r="13380" spans="2:6">
      <c r="B13380">
        <v>2011</v>
      </c>
      <c r="C13380" t="s">
        <v>143</v>
      </c>
      <c r="D13380" t="s">
        <v>184</v>
      </c>
      <c r="E13380" t="s">
        <v>13</v>
      </c>
      <c r="F13380">
        <v>0.85464662313461304</v>
      </c>
    </row>
    <row r="13381" spans="2:6">
      <c r="B13381">
        <v>2011</v>
      </c>
      <c r="C13381" t="s">
        <v>143</v>
      </c>
      <c r="D13381" t="s">
        <v>184</v>
      </c>
      <c r="E13381" t="s">
        <v>14</v>
      </c>
      <c r="F13381">
        <v>0.4458039402961731</v>
      </c>
    </row>
    <row r="13382" spans="2:6">
      <c r="B13382">
        <v>2011</v>
      </c>
      <c r="C13382" t="s">
        <v>143</v>
      </c>
      <c r="D13382" t="s">
        <v>184</v>
      </c>
      <c r="E13382" t="s">
        <v>15</v>
      </c>
      <c r="F13382">
        <v>0.29952758550643921</v>
      </c>
    </row>
    <row r="13383" spans="2:6">
      <c r="B13383">
        <v>2013</v>
      </c>
      <c r="C13383" t="s">
        <v>143</v>
      </c>
      <c r="D13383" t="s">
        <v>184</v>
      </c>
      <c r="E13383" t="s">
        <v>7</v>
      </c>
      <c r="F13383">
        <v>4.5142912864685059</v>
      </c>
    </row>
    <row r="13384" spans="2:6">
      <c r="B13384">
        <v>2013</v>
      </c>
      <c r="C13384" t="s">
        <v>143</v>
      </c>
      <c r="D13384" t="s">
        <v>184</v>
      </c>
      <c r="E13384" t="s">
        <v>8</v>
      </c>
      <c r="F13384">
        <v>7.5771665573120117</v>
      </c>
    </row>
    <row r="13385" spans="2:6">
      <c r="B13385">
        <v>2013</v>
      </c>
      <c r="C13385" t="s">
        <v>143</v>
      </c>
      <c r="D13385" t="s">
        <v>184</v>
      </c>
      <c r="E13385" t="s">
        <v>9</v>
      </c>
      <c r="F13385">
        <v>0.708426833152771</v>
      </c>
    </row>
    <row r="13386" spans="2:6">
      <c r="B13386">
        <v>2013</v>
      </c>
      <c r="C13386" t="s">
        <v>143</v>
      </c>
      <c r="D13386" t="s">
        <v>184</v>
      </c>
      <c r="E13386" t="s">
        <v>10</v>
      </c>
      <c r="F13386">
        <v>45.159999847412109</v>
      </c>
    </row>
    <row r="13387" spans="2:6">
      <c r="B13387">
        <v>2013</v>
      </c>
      <c r="C13387" t="s">
        <v>143</v>
      </c>
      <c r="D13387" t="s">
        <v>184</v>
      </c>
      <c r="E13387" t="s">
        <v>11</v>
      </c>
      <c r="F13387">
        <v>0.71951067447662354</v>
      </c>
    </row>
    <row r="13388" spans="2:6">
      <c r="B13388">
        <v>2013</v>
      </c>
      <c r="C13388" t="s">
        <v>143</v>
      </c>
      <c r="D13388" t="s">
        <v>184</v>
      </c>
      <c r="E13388" t="s">
        <v>12</v>
      </c>
      <c r="F13388">
        <v>-7.1459829807281494E-2</v>
      </c>
    </row>
    <row r="13389" spans="2:6">
      <c r="B13389">
        <v>2013</v>
      </c>
      <c r="C13389" t="s">
        <v>143</v>
      </c>
      <c r="D13389" t="s">
        <v>184</v>
      </c>
      <c r="E13389" t="s">
        <v>13</v>
      </c>
      <c r="F13389">
        <v>0.85586267709732056</v>
      </c>
    </row>
    <row r="13390" spans="2:6">
      <c r="B13390">
        <v>2013</v>
      </c>
      <c r="C13390" t="s">
        <v>143</v>
      </c>
      <c r="D13390" t="s">
        <v>184</v>
      </c>
      <c r="E13390" t="s">
        <v>14</v>
      </c>
      <c r="F13390">
        <v>0.52090179920196533</v>
      </c>
    </row>
    <row r="13391" spans="2:6">
      <c r="B13391">
        <v>2013</v>
      </c>
      <c r="C13391" t="s">
        <v>143</v>
      </c>
      <c r="D13391" t="s">
        <v>184</v>
      </c>
      <c r="E13391" t="s">
        <v>15</v>
      </c>
      <c r="F13391">
        <v>0.42283347249031067</v>
      </c>
    </row>
    <row r="13392" spans="2:6">
      <c r="B13392">
        <v>2014</v>
      </c>
      <c r="C13392" t="s">
        <v>143</v>
      </c>
      <c r="D13392" t="s">
        <v>184</v>
      </c>
      <c r="E13392" t="s">
        <v>7</v>
      </c>
      <c r="F13392">
        <v>4.4999704360961914</v>
      </c>
    </row>
    <row r="13393" spans="2:6">
      <c r="B13393">
        <v>2014</v>
      </c>
      <c r="C13393" t="s">
        <v>143</v>
      </c>
      <c r="D13393" t="s">
        <v>184</v>
      </c>
      <c r="E13393" t="s">
        <v>8</v>
      </c>
      <c r="F13393">
        <v>7.5996575355529785</v>
      </c>
    </row>
    <row r="13394" spans="2:6">
      <c r="B13394">
        <v>2014</v>
      </c>
      <c r="C13394" t="s">
        <v>143</v>
      </c>
      <c r="D13394" t="s">
        <v>184</v>
      </c>
      <c r="E13394" t="s">
        <v>9</v>
      </c>
      <c r="F13394">
        <v>0.86855649948120117</v>
      </c>
    </row>
    <row r="13395" spans="2:6">
      <c r="B13395">
        <v>2014</v>
      </c>
      <c r="C13395" t="s">
        <v>143</v>
      </c>
      <c r="D13395" t="s">
        <v>184</v>
      </c>
      <c r="E13395" t="s">
        <v>10</v>
      </c>
      <c r="F13395">
        <v>45.580001831054688</v>
      </c>
    </row>
    <row r="13396" spans="2:6">
      <c r="B13396">
        <v>2014</v>
      </c>
      <c r="C13396" t="s">
        <v>143</v>
      </c>
      <c r="D13396" t="s">
        <v>184</v>
      </c>
      <c r="E13396" t="s">
        <v>11</v>
      </c>
      <c r="F13396">
        <v>0.68149763345718384</v>
      </c>
    </row>
    <row r="13397" spans="2:6">
      <c r="B13397">
        <v>2014</v>
      </c>
      <c r="C13397" t="s">
        <v>143</v>
      </c>
      <c r="D13397" t="s">
        <v>184</v>
      </c>
      <c r="E13397" t="s">
        <v>12</v>
      </c>
      <c r="F13397">
        <v>3.3514790236949921E-2</v>
      </c>
    </row>
    <row r="13398" spans="2:6">
      <c r="B13398">
        <v>2014</v>
      </c>
      <c r="C13398" t="s">
        <v>143</v>
      </c>
      <c r="D13398" t="s">
        <v>184</v>
      </c>
      <c r="E13398" t="s">
        <v>13</v>
      </c>
      <c r="F13398">
        <v>0.7861320972442627</v>
      </c>
    </row>
    <row r="13399" spans="2:6">
      <c r="B13399">
        <v>2014</v>
      </c>
      <c r="C13399" t="s">
        <v>143</v>
      </c>
      <c r="D13399" t="s">
        <v>184</v>
      </c>
      <c r="E13399" t="s">
        <v>14</v>
      </c>
      <c r="F13399">
        <v>0.57026684284210205</v>
      </c>
    </row>
    <row r="13400" spans="2:6">
      <c r="B13400">
        <v>2014</v>
      </c>
      <c r="C13400" t="s">
        <v>143</v>
      </c>
      <c r="D13400" t="s">
        <v>184</v>
      </c>
      <c r="E13400" t="s">
        <v>15</v>
      </c>
      <c r="F13400">
        <v>0.3342134952545166</v>
      </c>
    </row>
    <row r="13401" spans="2:6">
      <c r="B13401">
        <v>2015</v>
      </c>
      <c r="C13401" t="s">
        <v>143</v>
      </c>
      <c r="D13401" t="s">
        <v>184</v>
      </c>
      <c r="E13401" t="s">
        <v>7</v>
      </c>
      <c r="F13401">
        <v>4.9086179733276367</v>
      </c>
    </row>
    <row r="13402" spans="2:6">
      <c r="B13402">
        <v>2015</v>
      </c>
      <c r="C13402" t="s">
        <v>143</v>
      </c>
      <c r="D13402" t="s">
        <v>184</v>
      </c>
      <c r="E13402" t="s">
        <v>8</v>
      </c>
      <c r="F13402">
        <v>7.3471851348876953</v>
      </c>
    </row>
    <row r="13403" spans="2:6">
      <c r="B13403">
        <v>2015</v>
      </c>
      <c r="C13403" t="s">
        <v>143</v>
      </c>
      <c r="D13403" t="s">
        <v>184</v>
      </c>
      <c r="E13403" t="s">
        <v>9</v>
      </c>
      <c r="F13403">
        <v>0.61059373617172241</v>
      </c>
    </row>
    <row r="13404" spans="2:6">
      <c r="B13404">
        <v>2015</v>
      </c>
      <c r="C13404" t="s">
        <v>143</v>
      </c>
      <c r="D13404" t="s">
        <v>184</v>
      </c>
      <c r="E13404" t="s">
        <v>10</v>
      </c>
      <c r="F13404">
        <v>46</v>
      </c>
    </row>
    <row r="13405" spans="2:6">
      <c r="B13405">
        <v>2015</v>
      </c>
      <c r="C13405" t="s">
        <v>143</v>
      </c>
      <c r="D13405" t="s">
        <v>184</v>
      </c>
      <c r="E13405" t="s">
        <v>11</v>
      </c>
      <c r="F13405">
        <v>0.62429612874984741</v>
      </c>
    </row>
    <row r="13406" spans="2:6">
      <c r="B13406">
        <v>2015</v>
      </c>
      <c r="C13406" t="s">
        <v>143</v>
      </c>
      <c r="D13406" t="s">
        <v>184</v>
      </c>
      <c r="E13406" t="s">
        <v>12</v>
      </c>
      <c r="F13406">
        <v>5.0446469336748123E-2</v>
      </c>
    </row>
    <row r="13407" spans="2:6">
      <c r="B13407">
        <v>2015</v>
      </c>
      <c r="C13407" t="s">
        <v>143</v>
      </c>
      <c r="D13407" t="s">
        <v>184</v>
      </c>
      <c r="E13407" t="s">
        <v>13</v>
      </c>
      <c r="F13407">
        <v>0.82482802867889404</v>
      </c>
    </row>
    <row r="13408" spans="2:6">
      <c r="B13408">
        <v>2015</v>
      </c>
      <c r="C13408" t="s">
        <v>143</v>
      </c>
      <c r="D13408" t="s">
        <v>184</v>
      </c>
      <c r="E13408" t="s">
        <v>14</v>
      </c>
      <c r="F13408">
        <v>0.62510561943054199</v>
      </c>
    </row>
    <row r="13409" spans="2:6">
      <c r="B13409">
        <v>2015</v>
      </c>
      <c r="C13409" t="s">
        <v>143</v>
      </c>
      <c r="D13409" t="s">
        <v>184</v>
      </c>
      <c r="E13409" t="s">
        <v>15</v>
      </c>
      <c r="F13409">
        <v>0.41442644596099854</v>
      </c>
    </row>
    <row r="13410" spans="2:6">
      <c r="B13410">
        <v>2016</v>
      </c>
      <c r="C13410" t="s">
        <v>143</v>
      </c>
      <c r="D13410" t="s">
        <v>184</v>
      </c>
      <c r="E13410" t="s">
        <v>7</v>
      </c>
      <c r="F13410">
        <v>4.7329530715942383</v>
      </c>
    </row>
    <row r="13411" spans="2:6">
      <c r="B13411">
        <v>2016</v>
      </c>
      <c r="C13411" t="s">
        <v>143</v>
      </c>
      <c r="D13411" t="s">
        <v>184</v>
      </c>
      <c r="E13411" t="s">
        <v>8</v>
      </c>
      <c r="F13411">
        <v>7.3843326568603516</v>
      </c>
    </row>
    <row r="13412" spans="2:6">
      <c r="B13412">
        <v>2016</v>
      </c>
      <c r="C13412" t="s">
        <v>143</v>
      </c>
      <c r="D13412" t="s">
        <v>184</v>
      </c>
      <c r="E13412" t="s">
        <v>9</v>
      </c>
      <c r="F13412">
        <v>0.6567234992980957</v>
      </c>
    </row>
    <row r="13413" spans="2:6">
      <c r="B13413">
        <v>2016</v>
      </c>
      <c r="C13413" t="s">
        <v>143</v>
      </c>
      <c r="D13413" t="s">
        <v>184</v>
      </c>
      <c r="E13413" t="s">
        <v>10</v>
      </c>
      <c r="F13413">
        <v>47.599998474121094</v>
      </c>
    </row>
    <row r="13414" spans="2:6">
      <c r="B13414">
        <v>2016</v>
      </c>
      <c r="C13414" t="s">
        <v>143</v>
      </c>
      <c r="D13414" t="s">
        <v>184</v>
      </c>
      <c r="E13414" t="s">
        <v>11</v>
      </c>
      <c r="F13414">
        <v>0.68120211362838745</v>
      </c>
    </row>
    <row r="13415" spans="2:6">
      <c r="B13415">
        <v>2016</v>
      </c>
      <c r="C13415" t="s">
        <v>143</v>
      </c>
      <c r="D13415" t="s">
        <v>184</v>
      </c>
      <c r="E13415" t="s">
        <v>12</v>
      </c>
      <c r="F13415">
        <v>0.10607273876667023</v>
      </c>
    </row>
    <row r="13416" spans="2:6">
      <c r="B13416">
        <v>2016</v>
      </c>
      <c r="C13416" t="s">
        <v>143</v>
      </c>
      <c r="D13416" t="s">
        <v>184</v>
      </c>
      <c r="E13416" t="s">
        <v>13</v>
      </c>
      <c r="F13416">
        <v>0.86326485872268677</v>
      </c>
    </row>
    <row r="13417" spans="2:6">
      <c r="B13417">
        <v>2016</v>
      </c>
      <c r="C13417" t="s">
        <v>143</v>
      </c>
      <c r="D13417" t="s">
        <v>184</v>
      </c>
      <c r="E13417" t="s">
        <v>14</v>
      </c>
      <c r="F13417">
        <v>0.58393913507461548</v>
      </c>
    </row>
    <row r="13418" spans="2:6">
      <c r="B13418">
        <v>2016</v>
      </c>
      <c r="C13418" t="s">
        <v>143</v>
      </c>
      <c r="D13418" t="s">
        <v>184</v>
      </c>
      <c r="E13418" t="s">
        <v>15</v>
      </c>
      <c r="F13418">
        <v>0.45618069171905518</v>
      </c>
    </row>
    <row r="13419" spans="2:6">
      <c r="B13419">
        <v>2017</v>
      </c>
      <c r="C13419" t="s">
        <v>143</v>
      </c>
      <c r="D13419" t="s">
        <v>184</v>
      </c>
      <c r="E13419" t="s">
        <v>7</v>
      </c>
      <c r="F13419">
        <v>4.0895624160766602</v>
      </c>
    </row>
    <row r="13420" spans="2:6">
      <c r="B13420">
        <v>2017</v>
      </c>
      <c r="C13420" t="s">
        <v>143</v>
      </c>
      <c r="D13420" t="s">
        <v>184</v>
      </c>
      <c r="E13420" t="s">
        <v>8</v>
      </c>
      <c r="F13420">
        <v>7.4040398597717285</v>
      </c>
    </row>
    <row r="13421" spans="2:6">
      <c r="B13421">
        <v>2017</v>
      </c>
      <c r="C13421" t="s">
        <v>143</v>
      </c>
      <c r="D13421" t="s">
        <v>184</v>
      </c>
      <c r="E13421" t="s">
        <v>9</v>
      </c>
      <c r="F13421">
        <v>0.65228712558746338</v>
      </c>
    </row>
    <row r="13422" spans="2:6">
      <c r="B13422">
        <v>2017</v>
      </c>
      <c r="C13422" t="s">
        <v>143</v>
      </c>
      <c r="D13422" t="s">
        <v>184</v>
      </c>
      <c r="E13422" t="s">
        <v>10</v>
      </c>
      <c r="F13422">
        <v>49.200000762939453</v>
      </c>
    </row>
    <row r="13423" spans="2:6">
      <c r="B13423">
        <v>2017</v>
      </c>
      <c r="C13423" t="s">
        <v>143</v>
      </c>
      <c r="D13423" t="s">
        <v>184</v>
      </c>
      <c r="E13423" t="s">
        <v>11</v>
      </c>
      <c r="F13423">
        <v>0.71061354875564575</v>
      </c>
    </row>
    <row r="13424" spans="2:6">
      <c r="B13424">
        <v>2017</v>
      </c>
      <c r="C13424" t="s">
        <v>143</v>
      </c>
      <c r="D13424" t="s">
        <v>184</v>
      </c>
      <c r="E13424" t="s">
        <v>12</v>
      </c>
      <c r="F13424">
        <v>7.9155847430229187E-2</v>
      </c>
    </row>
    <row r="13425" spans="2:6">
      <c r="B13425">
        <v>2017</v>
      </c>
      <c r="C13425" t="s">
        <v>143</v>
      </c>
      <c r="D13425" t="s">
        <v>184</v>
      </c>
      <c r="E13425" t="s">
        <v>13</v>
      </c>
      <c r="F13425">
        <v>0.84839832782745361</v>
      </c>
    </row>
    <row r="13426" spans="2:6">
      <c r="B13426">
        <v>2017</v>
      </c>
      <c r="C13426" t="s">
        <v>143</v>
      </c>
      <c r="D13426" t="s">
        <v>184</v>
      </c>
      <c r="E13426" t="s">
        <v>14</v>
      </c>
      <c r="F13426">
        <v>0.6003682017326355</v>
      </c>
    </row>
    <row r="13427" spans="2:6">
      <c r="B13427">
        <v>2017</v>
      </c>
      <c r="C13427" t="s">
        <v>143</v>
      </c>
      <c r="D13427" t="s">
        <v>184</v>
      </c>
      <c r="E13427" t="s">
        <v>15</v>
      </c>
      <c r="F13427">
        <v>0.49504002928733826</v>
      </c>
    </row>
    <row r="13428" spans="2:6">
      <c r="B13428">
        <v>2018</v>
      </c>
      <c r="C13428" t="s">
        <v>143</v>
      </c>
      <c r="D13428" t="s">
        <v>184</v>
      </c>
      <c r="E13428" t="s">
        <v>7</v>
      </c>
      <c r="F13428">
        <v>4.3056831359863281</v>
      </c>
    </row>
    <row r="13429" spans="2:6">
      <c r="B13429">
        <v>2018</v>
      </c>
      <c r="C13429" t="s">
        <v>143</v>
      </c>
      <c r="D13429" t="s">
        <v>184</v>
      </c>
      <c r="E13429" t="s">
        <v>8</v>
      </c>
      <c r="F13429">
        <v>7.4165544509887695</v>
      </c>
    </row>
    <row r="13430" spans="2:6">
      <c r="B13430">
        <v>2018</v>
      </c>
      <c r="C13430" t="s">
        <v>143</v>
      </c>
      <c r="D13430" t="s">
        <v>184</v>
      </c>
      <c r="E13430" t="s">
        <v>9</v>
      </c>
      <c r="F13430">
        <v>0.64963835477828979</v>
      </c>
    </row>
    <row r="13431" spans="2:6">
      <c r="B13431">
        <v>2018</v>
      </c>
      <c r="C13431" t="s">
        <v>143</v>
      </c>
      <c r="D13431" t="s">
        <v>184</v>
      </c>
      <c r="E13431" t="s">
        <v>10</v>
      </c>
      <c r="F13431">
        <v>50.799999237060547</v>
      </c>
    </row>
    <row r="13432" spans="2:6">
      <c r="B13432">
        <v>2018</v>
      </c>
      <c r="C13432" t="s">
        <v>143</v>
      </c>
      <c r="D13432" t="s">
        <v>184</v>
      </c>
      <c r="E13432" t="s">
        <v>11</v>
      </c>
      <c r="F13432">
        <v>0.71648448705673218</v>
      </c>
    </row>
    <row r="13433" spans="2:6">
      <c r="B13433">
        <v>2018</v>
      </c>
      <c r="C13433" t="s">
        <v>143</v>
      </c>
      <c r="D13433" t="s">
        <v>184</v>
      </c>
      <c r="E13433" t="s">
        <v>12</v>
      </c>
      <c r="F13433">
        <v>9.527481347322464E-2</v>
      </c>
    </row>
    <row r="13434" spans="2:6">
      <c r="B13434">
        <v>2018</v>
      </c>
      <c r="C13434" t="s">
        <v>143</v>
      </c>
      <c r="D13434" t="s">
        <v>184</v>
      </c>
      <c r="E13434" t="s">
        <v>13</v>
      </c>
      <c r="F13434">
        <v>0.85573321580886841</v>
      </c>
    </row>
    <row r="13435" spans="2:6">
      <c r="B13435">
        <v>2018</v>
      </c>
      <c r="C13435" t="s">
        <v>143</v>
      </c>
      <c r="D13435" t="s">
        <v>184</v>
      </c>
      <c r="E13435" t="s">
        <v>14</v>
      </c>
      <c r="F13435">
        <v>0.55162805318832397</v>
      </c>
    </row>
    <row r="13436" spans="2:6">
      <c r="B13436">
        <v>2018</v>
      </c>
      <c r="C13436" t="s">
        <v>143</v>
      </c>
      <c r="D13436" t="s">
        <v>184</v>
      </c>
      <c r="E13436" t="s">
        <v>15</v>
      </c>
      <c r="F13436">
        <v>0.46626666188240051</v>
      </c>
    </row>
    <row r="13437" spans="2:6">
      <c r="B13437">
        <v>2019</v>
      </c>
      <c r="C13437" t="s">
        <v>143</v>
      </c>
      <c r="D13437" t="s">
        <v>184</v>
      </c>
      <c r="E13437" t="s">
        <v>7</v>
      </c>
      <c r="F13437">
        <v>3.4473814964294434</v>
      </c>
    </row>
    <row r="13438" spans="2:6">
      <c r="B13438">
        <v>2019</v>
      </c>
      <c r="C13438" t="s">
        <v>143</v>
      </c>
      <c r="D13438" t="s">
        <v>184</v>
      </c>
      <c r="E13438" t="s">
        <v>8</v>
      </c>
      <c r="F13438">
        <v>7.449131965637207</v>
      </c>
    </row>
    <row r="13439" spans="2:6">
      <c r="B13439">
        <v>2019</v>
      </c>
      <c r="C13439" t="s">
        <v>143</v>
      </c>
      <c r="D13439" t="s">
        <v>184</v>
      </c>
      <c r="E13439" t="s">
        <v>9</v>
      </c>
      <c r="F13439">
        <v>0.61077976226806641</v>
      </c>
    </row>
    <row r="13440" spans="2:6">
      <c r="B13440">
        <v>2019</v>
      </c>
      <c r="C13440" t="s">
        <v>143</v>
      </c>
      <c r="D13440" t="s">
        <v>184</v>
      </c>
      <c r="E13440" t="s">
        <v>10</v>
      </c>
      <c r="F13440">
        <v>52.400001525878906</v>
      </c>
    </row>
    <row r="13441" spans="2:6">
      <c r="B13441">
        <v>2019</v>
      </c>
      <c r="C13441" t="s">
        <v>143</v>
      </c>
      <c r="D13441" t="s">
        <v>184</v>
      </c>
      <c r="E13441" t="s">
        <v>11</v>
      </c>
      <c r="F13441">
        <v>0.7177695631980896</v>
      </c>
    </row>
    <row r="13442" spans="2:6">
      <c r="B13442">
        <v>2019</v>
      </c>
      <c r="C13442" t="s">
        <v>143</v>
      </c>
      <c r="D13442" t="s">
        <v>184</v>
      </c>
      <c r="E13442" t="s">
        <v>12</v>
      </c>
      <c r="F13442">
        <v>7.4055701494216919E-2</v>
      </c>
    </row>
    <row r="13443" spans="2:6">
      <c r="B13443">
        <v>2019</v>
      </c>
      <c r="C13443" t="s">
        <v>143</v>
      </c>
      <c r="D13443" t="s">
        <v>184</v>
      </c>
      <c r="E13443" t="s">
        <v>13</v>
      </c>
      <c r="F13443">
        <v>0.87386143207550049</v>
      </c>
    </row>
    <row r="13444" spans="2:6">
      <c r="B13444">
        <v>2019</v>
      </c>
      <c r="C13444" t="s">
        <v>143</v>
      </c>
      <c r="D13444" t="s">
        <v>184</v>
      </c>
      <c r="E13444" t="s">
        <v>14</v>
      </c>
      <c r="F13444">
        <v>0.51337522268295288</v>
      </c>
    </row>
    <row r="13445" spans="2:6">
      <c r="B13445">
        <v>2019</v>
      </c>
      <c r="C13445" t="s">
        <v>143</v>
      </c>
      <c r="D13445" t="s">
        <v>184</v>
      </c>
      <c r="E13445" t="s">
        <v>15</v>
      </c>
      <c r="F13445">
        <v>0.43813446164131165</v>
      </c>
    </row>
    <row r="13446" spans="2:6">
      <c r="B13446">
        <v>2006</v>
      </c>
      <c r="C13446" t="s">
        <v>144</v>
      </c>
      <c r="D13446" t="s">
        <v>182</v>
      </c>
      <c r="E13446" t="s">
        <v>7</v>
      </c>
      <c r="F13446">
        <v>6.462702751159668</v>
      </c>
    </row>
    <row r="13447" spans="2:6">
      <c r="B13447">
        <v>2006</v>
      </c>
      <c r="C13447" t="s">
        <v>144</v>
      </c>
      <c r="D13447" t="s">
        <v>182</v>
      </c>
      <c r="E13447" t="s">
        <v>8</v>
      </c>
      <c r="F13447">
        <v>11.167535781860352</v>
      </c>
    </row>
    <row r="13448" spans="2:6">
      <c r="B13448">
        <v>2006</v>
      </c>
      <c r="C13448" t="s">
        <v>144</v>
      </c>
      <c r="D13448" t="s">
        <v>182</v>
      </c>
      <c r="E13448" t="s">
        <v>9</v>
      </c>
      <c r="F13448">
        <v>0.90432888269424438</v>
      </c>
    </row>
    <row r="13449" spans="2:6">
      <c r="B13449">
        <v>2006</v>
      </c>
      <c r="C13449" t="s">
        <v>144</v>
      </c>
      <c r="D13449" t="s">
        <v>182</v>
      </c>
      <c r="E13449" t="s">
        <v>10</v>
      </c>
      <c r="F13449">
        <v>73.599998474121094</v>
      </c>
    </row>
    <row r="13450" spans="2:6">
      <c r="B13450">
        <v>2006</v>
      </c>
      <c r="C13450" t="s">
        <v>144</v>
      </c>
      <c r="D13450" t="s">
        <v>182</v>
      </c>
      <c r="E13450" t="s">
        <v>11</v>
      </c>
      <c r="F13450">
        <v>0.75687354803085327</v>
      </c>
    </row>
    <row r="13451" spans="2:6">
      <c r="B13451">
        <v>2006</v>
      </c>
      <c r="C13451" t="s">
        <v>144</v>
      </c>
      <c r="D13451" t="s">
        <v>182</v>
      </c>
      <c r="E13451" t="s">
        <v>12</v>
      </c>
      <c r="F13451">
        <v>0.13825422525405884</v>
      </c>
    </row>
    <row r="13452" spans="2:6">
      <c r="B13452">
        <v>2006</v>
      </c>
      <c r="C13452" t="s">
        <v>144</v>
      </c>
      <c r="D13452" t="s">
        <v>182</v>
      </c>
      <c r="E13452" t="s">
        <v>14</v>
      </c>
      <c r="F13452">
        <v>0.75079846382141113</v>
      </c>
    </row>
    <row r="13453" spans="2:6">
      <c r="B13453">
        <v>2006</v>
      </c>
      <c r="C13453" t="s">
        <v>144</v>
      </c>
      <c r="D13453" t="s">
        <v>182</v>
      </c>
      <c r="E13453" t="s">
        <v>15</v>
      </c>
      <c r="F13453">
        <v>0.26672077178955078</v>
      </c>
    </row>
    <row r="13454" spans="2:6">
      <c r="B13454">
        <v>2007</v>
      </c>
      <c r="C13454" t="s">
        <v>144</v>
      </c>
      <c r="D13454" t="s">
        <v>182</v>
      </c>
      <c r="E13454" t="s">
        <v>7</v>
      </c>
      <c r="F13454">
        <v>6.8337545394897461</v>
      </c>
    </row>
    <row r="13455" spans="2:6">
      <c r="B13455">
        <v>2007</v>
      </c>
      <c r="C13455" t="s">
        <v>144</v>
      </c>
      <c r="D13455" t="s">
        <v>182</v>
      </c>
      <c r="E13455" t="s">
        <v>8</v>
      </c>
      <c r="F13455">
        <v>11.21225643157959</v>
      </c>
    </row>
    <row r="13456" spans="2:6">
      <c r="B13456">
        <v>2007</v>
      </c>
      <c r="C13456" t="s">
        <v>144</v>
      </c>
      <c r="D13456" t="s">
        <v>182</v>
      </c>
      <c r="E13456" t="s">
        <v>9</v>
      </c>
      <c r="F13456">
        <v>0.92063206434249878</v>
      </c>
    </row>
    <row r="13457" spans="2:6">
      <c r="B13457">
        <v>2007</v>
      </c>
      <c r="C13457" t="s">
        <v>144</v>
      </c>
      <c r="D13457" t="s">
        <v>182</v>
      </c>
      <c r="E13457" t="s">
        <v>10</v>
      </c>
      <c r="F13457">
        <v>73.900001525878906</v>
      </c>
    </row>
    <row r="13458" spans="2:6">
      <c r="B13458">
        <v>2007</v>
      </c>
      <c r="C13458" t="s">
        <v>144</v>
      </c>
      <c r="D13458" t="s">
        <v>182</v>
      </c>
      <c r="E13458" t="s">
        <v>11</v>
      </c>
      <c r="F13458">
        <v>0.86689227819442749</v>
      </c>
    </row>
    <row r="13459" spans="2:6">
      <c r="B13459">
        <v>2007</v>
      </c>
      <c r="C13459" t="s">
        <v>144</v>
      </c>
      <c r="D13459" t="s">
        <v>182</v>
      </c>
      <c r="E13459" t="s">
        <v>12</v>
      </c>
      <c r="F13459">
        <v>0.29330193996429443</v>
      </c>
    </row>
    <row r="13460" spans="2:6">
      <c r="B13460">
        <v>2007</v>
      </c>
      <c r="C13460" t="s">
        <v>144</v>
      </c>
      <c r="D13460" t="s">
        <v>182</v>
      </c>
      <c r="E13460" t="s">
        <v>13</v>
      </c>
      <c r="F13460">
        <v>6.3614882528781891E-2</v>
      </c>
    </row>
    <row r="13461" spans="2:6">
      <c r="B13461">
        <v>2007</v>
      </c>
      <c r="C13461" t="s">
        <v>144</v>
      </c>
      <c r="D13461" t="s">
        <v>182</v>
      </c>
      <c r="E13461" t="s">
        <v>14</v>
      </c>
      <c r="F13461">
        <v>0.70018839836120605</v>
      </c>
    </row>
    <row r="13462" spans="2:6">
      <c r="B13462">
        <v>2007</v>
      </c>
      <c r="C13462" t="s">
        <v>144</v>
      </c>
      <c r="D13462" t="s">
        <v>182</v>
      </c>
      <c r="E13462" t="s">
        <v>15</v>
      </c>
      <c r="F13462">
        <v>0.11440658569335938</v>
      </c>
    </row>
    <row r="13463" spans="2:6">
      <c r="B13463">
        <v>2008</v>
      </c>
      <c r="C13463" t="s">
        <v>144</v>
      </c>
      <c r="D13463" t="s">
        <v>182</v>
      </c>
      <c r="E13463" t="s">
        <v>7</v>
      </c>
      <c r="F13463">
        <v>6.6419568061828613</v>
      </c>
    </row>
    <row r="13464" spans="2:6">
      <c r="B13464">
        <v>2008</v>
      </c>
      <c r="C13464" t="s">
        <v>144</v>
      </c>
      <c r="D13464" t="s">
        <v>182</v>
      </c>
      <c r="E13464" t="s">
        <v>8</v>
      </c>
      <c r="F13464">
        <v>11.17755126953125</v>
      </c>
    </row>
    <row r="13465" spans="2:6">
      <c r="B13465">
        <v>2008</v>
      </c>
      <c r="C13465" t="s">
        <v>144</v>
      </c>
      <c r="D13465" t="s">
        <v>182</v>
      </c>
      <c r="E13465" t="s">
        <v>9</v>
      </c>
      <c r="F13465">
        <v>0.84525859355926514</v>
      </c>
    </row>
    <row r="13466" spans="2:6">
      <c r="B13466">
        <v>2008</v>
      </c>
      <c r="C13466" t="s">
        <v>144</v>
      </c>
      <c r="D13466" t="s">
        <v>182</v>
      </c>
      <c r="E13466" t="s">
        <v>10</v>
      </c>
      <c r="F13466">
        <v>74.199996948242188</v>
      </c>
    </row>
    <row r="13467" spans="2:6">
      <c r="B13467">
        <v>2008</v>
      </c>
      <c r="C13467" t="s">
        <v>144</v>
      </c>
      <c r="D13467" t="s">
        <v>182</v>
      </c>
      <c r="E13467" t="s">
        <v>11</v>
      </c>
      <c r="F13467">
        <v>0.66065901517868042</v>
      </c>
    </row>
    <row r="13468" spans="2:6">
      <c r="B13468">
        <v>2008</v>
      </c>
      <c r="C13468" t="s">
        <v>144</v>
      </c>
      <c r="D13468" t="s">
        <v>182</v>
      </c>
      <c r="E13468" t="s">
        <v>12</v>
      </c>
      <c r="F13468">
        <v>4.5723129063844681E-2</v>
      </c>
    </row>
    <row r="13469" spans="2:6">
      <c r="B13469">
        <v>2008</v>
      </c>
      <c r="C13469" t="s">
        <v>144</v>
      </c>
      <c r="D13469" t="s">
        <v>182</v>
      </c>
      <c r="E13469" t="s">
        <v>13</v>
      </c>
      <c r="F13469">
        <v>6.5775275230407715E-2</v>
      </c>
    </row>
    <row r="13470" spans="2:6">
      <c r="B13470">
        <v>2008</v>
      </c>
      <c r="C13470" t="s">
        <v>144</v>
      </c>
      <c r="D13470" t="s">
        <v>182</v>
      </c>
      <c r="E13470" t="s">
        <v>14</v>
      </c>
      <c r="F13470">
        <v>0.72084206342697144</v>
      </c>
    </row>
    <row r="13471" spans="2:6">
      <c r="B13471">
        <v>2008</v>
      </c>
      <c r="C13471" t="s">
        <v>144</v>
      </c>
      <c r="D13471" t="s">
        <v>182</v>
      </c>
      <c r="E13471" t="s">
        <v>15</v>
      </c>
      <c r="F13471">
        <v>0.25608670711517334</v>
      </c>
    </row>
    <row r="13472" spans="2:6">
      <c r="B13472">
        <v>2009</v>
      </c>
      <c r="C13472" t="s">
        <v>144</v>
      </c>
      <c r="D13472" t="s">
        <v>182</v>
      </c>
      <c r="E13472" t="s">
        <v>7</v>
      </c>
      <c r="F13472">
        <v>6.144676685333252</v>
      </c>
    </row>
    <row r="13473" spans="2:6">
      <c r="B13473">
        <v>2009</v>
      </c>
      <c r="C13473" t="s">
        <v>144</v>
      </c>
      <c r="D13473" t="s">
        <v>182</v>
      </c>
      <c r="E13473" t="s">
        <v>8</v>
      </c>
      <c r="F13473">
        <v>11.148600578308105</v>
      </c>
    </row>
    <row r="13474" spans="2:6">
      <c r="B13474">
        <v>2009</v>
      </c>
      <c r="C13474" t="s">
        <v>144</v>
      </c>
      <c r="D13474" t="s">
        <v>182</v>
      </c>
      <c r="E13474" t="s">
        <v>9</v>
      </c>
      <c r="F13474">
        <v>0.86625528335571289</v>
      </c>
    </row>
    <row r="13475" spans="2:6">
      <c r="B13475">
        <v>2009</v>
      </c>
      <c r="C13475" t="s">
        <v>144</v>
      </c>
      <c r="D13475" t="s">
        <v>182</v>
      </c>
      <c r="E13475" t="s">
        <v>10</v>
      </c>
      <c r="F13475">
        <v>74.5</v>
      </c>
    </row>
    <row r="13476" spans="2:6">
      <c r="B13476">
        <v>2009</v>
      </c>
      <c r="C13476" t="s">
        <v>144</v>
      </c>
      <c r="D13476" t="s">
        <v>182</v>
      </c>
      <c r="E13476" t="s">
        <v>11</v>
      </c>
      <c r="F13476">
        <v>0.77638185024261475</v>
      </c>
    </row>
    <row r="13477" spans="2:6">
      <c r="B13477">
        <v>2009</v>
      </c>
      <c r="C13477" t="s">
        <v>144</v>
      </c>
      <c r="D13477" t="s">
        <v>182</v>
      </c>
      <c r="E13477" t="s">
        <v>12</v>
      </c>
      <c r="F13477">
        <v>-7.4926078319549561E-2</v>
      </c>
    </row>
    <row r="13478" spans="2:6">
      <c r="B13478">
        <v>2009</v>
      </c>
      <c r="C13478" t="s">
        <v>144</v>
      </c>
      <c r="D13478" t="s">
        <v>182</v>
      </c>
      <c r="E13478" t="s">
        <v>13</v>
      </c>
      <c r="F13478">
        <v>3.5197988152503967E-2</v>
      </c>
    </row>
    <row r="13479" spans="2:6">
      <c r="B13479">
        <v>2009</v>
      </c>
      <c r="C13479" t="s">
        <v>144</v>
      </c>
      <c r="D13479" t="s">
        <v>182</v>
      </c>
      <c r="E13479" t="s">
        <v>14</v>
      </c>
      <c r="F13479">
        <v>0.4995993971824646</v>
      </c>
    </row>
    <row r="13480" spans="2:6">
      <c r="B13480">
        <v>2009</v>
      </c>
      <c r="C13480" t="s">
        <v>144</v>
      </c>
      <c r="D13480" t="s">
        <v>182</v>
      </c>
      <c r="E13480" t="s">
        <v>15</v>
      </c>
      <c r="F13480">
        <v>0.20754829049110413</v>
      </c>
    </row>
    <row r="13481" spans="2:6">
      <c r="B13481">
        <v>2010</v>
      </c>
      <c r="C13481" t="s">
        <v>144</v>
      </c>
      <c r="D13481" t="s">
        <v>182</v>
      </c>
      <c r="E13481" t="s">
        <v>7</v>
      </c>
      <c r="F13481">
        <v>6.5314016342163086</v>
      </c>
    </row>
    <row r="13482" spans="2:6">
      <c r="B13482">
        <v>2010</v>
      </c>
      <c r="C13482" t="s">
        <v>144</v>
      </c>
      <c r="D13482" t="s">
        <v>182</v>
      </c>
      <c r="E13482" t="s">
        <v>8</v>
      </c>
      <c r="F13482">
        <v>11.266510963439941</v>
      </c>
    </row>
    <row r="13483" spans="2:6">
      <c r="B13483">
        <v>2010</v>
      </c>
      <c r="C13483" t="s">
        <v>144</v>
      </c>
      <c r="D13483" t="s">
        <v>182</v>
      </c>
      <c r="E13483" t="s">
        <v>9</v>
      </c>
      <c r="F13483">
        <v>0.8641621470451355</v>
      </c>
    </row>
    <row r="13484" spans="2:6">
      <c r="B13484">
        <v>2010</v>
      </c>
      <c r="C13484" t="s">
        <v>144</v>
      </c>
      <c r="D13484" t="s">
        <v>182</v>
      </c>
      <c r="E13484" t="s">
        <v>10</v>
      </c>
      <c r="F13484">
        <v>74.800003051757813</v>
      </c>
    </row>
    <row r="13485" spans="2:6">
      <c r="B13485">
        <v>2010</v>
      </c>
      <c r="C13485" t="s">
        <v>144</v>
      </c>
      <c r="D13485" t="s">
        <v>182</v>
      </c>
      <c r="E13485" t="s">
        <v>11</v>
      </c>
      <c r="F13485">
        <v>0.84618461132049561</v>
      </c>
    </row>
    <row r="13486" spans="2:6">
      <c r="B13486">
        <v>2010</v>
      </c>
      <c r="C13486" t="s">
        <v>144</v>
      </c>
      <c r="D13486" t="s">
        <v>182</v>
      </c>
      <c r="E13486" t="s">
        <v>12</v>
      </c>
      <c r="F13486">
        <v>-1.8003460019826889E-2</v>
      </c>
    </row>
    <row r="13487" spans="2:6">
      <c r="B13487">
        <v>2010</v>
      </c>
      <c r="C13487" t="s">
        <v>144</v>
      </c>
      <c r="D13487" t="s">
        <v>182</v>
      </c>
      <c r="E13487" t="s">
        <v>13</v>
      </c>
      <c r="F13487">
        <v>6.0282066464424133E-2</v>
      </c>
    </row>
    <row r="13488" spans="2:6">
      <c r="B13488">
        <v>2010</v>
      </c>
      <c r="C13488" t="s">
        <v>144</v>
      </c>
      <c r="D13488" t="s">
        <v>182</v>
      </c>
      <c r="E13488" t="s">
        <v>14</v>
      </c>
      <c r="F13488">
        <v>0.60247594118118286</v>
      </c>
    </row>
    <row r="13489" spans="2:6">
      <c r="B13489">
        <v>2010</v>
      </c>
      <c r="C13489" t="s">
        <v>144</v>
      </c>
      <c r="D13489" t="s">
        <v>182</v>
      </c>
      <c r="E13489" t="s">
        <v>15</v>
      </c>
      <c r="F13489">
        <v>0.13134343922138214</v>
      </c>
    </row>
    <row r="13490" spans="2:6">
      <c r="B13490">
        <v>2011</v>
      </c>
      <c r="C13490" t="s">
        <v>144</v>
      </c>
      <c r="D13490" t="s">
        <v>182</v>
      </c>
      <c r="E13490" t="s">
        <v>7</v>
      </c>
      <c r="F13490">
        <v>6.5610418319702148</v>
      </c>
    </row>
    <row r="13491" spans="2:6">
      <c r="B13491">
        <v>2011</v>
      </c>
      <c r="C13491" t="s">
        <v>144</v>
      </c>
      <c r="D13491" t="s">
        <v>182</v>
      </c>
      <c r="E13491" t="s">
        <v>8</v>
      </c>
      <c r="F13491">
        <v>11.307113647460938</v>
      </c>
    </row>
    <row r="13492" spans="2:6">
      <c r="B13492">
        <v>2011</v>
      </c>
      <c r="C13492" t="s">
        <v>144</v>
      </c>
      <c r="D13492" t="s">
        <v>182</v>
      </c>
      <c r="E13492" t="s">
        <v>9</v>
      </c>
      <c r="F13492">
        <v>0.90447390079498291</v>
      </c>
    </row>
    <row r="13493" spans="2:6">
      <c r="B13493">
        <v>2011</v>
      </c>
      <c r="C13493" t="s">
        <v>144</v>
      </c>
      <c r="D13493" t="s">
        <v>182</v>
      </c>
      <c r="E13493" t="s">
        <v>10</v>
      </c>
      <c r="F13493">
        <v>75.019996643066406</v>
      </c>
    </row>
    <row r="13494" spans="2:6">
      <c r="B13494">
        <v>2011</v>
      </c>
      <c r="C13494" t="s">
        <v>144</v>
      </c>
      <c r="D13494" t="s">
        <v>182</v>
      </c>
      <c r="E13494" t="s">
        <v>11</v>
      </c>
      <c r="F13494">
        <v>0.82181632518768311</v>
      </c>
    </row>
    <row r="13495" spans="2:6">
      <c r="B13495">
        <v>2011</v>
      </c>
      <c r="C13495" t="s">
        <v>144</v>
      </c>
      <c r="D13495" t="s">
        <v>182</v>
      </c>
      <c r="E13495" t="s">
        <v>12</v>
      </c>
      <c r="F13495">
        <v>-0.1486736387014389</v>
      </c>
    </row>
    <row r="13496" spans="2:6">
      <c r="B13496">
        <v>2011</v>
      </c>
      <c r="C13496" t="s">
        <v>144</v>
      </c>
      <c r="D13496" t="s">
        <v>182</v>
      </c>
      <c r="E13496" t="s">
        <v>13</v>
      </c>
      <c r="F13496">
        <v>9.8924450576305389E-2</v>
      </c>
    </row>
    <row r="13497" spans="2:6">
      <c r="B13497">
        <v>2011</v>
      </c>
      <c r="C13497" t="s">
        <v>144</v>
      </c>
      <c r="D13497" t="s">
        <v>182</v>
      </c>
      <c r="E13497" t="s">
        <v>14</v>
      </c>
      <c r="F13497">
        <v>0.48275423049926758</v>
      </c>
    </row>
    <row r="13498" spans="2:6">
      <c r="B13498">
        <v>2011</v>
      </c>
      <c r="C13498" t="s">
        <v>144</v>
      </c>
      <c r="D13498" t="s">
        <v>182</v>
      </c>
      <c r="E13498" t="s">
        <v>15</v>
      </c>
      <c r="F13498">
        <v>0.14362892508506775</v>
      </c>
    </row>
    <row r="13499" spans="2:6">
      <c r="B13499">
        <v>2013</v>
      </c>
      <c r="C13499" t="s">
        <v>144</v>
      </c>
      <c r="D13499" t="s">
        <v>182</v>
      </c>
      <c r="E13499" t="s">
        <v>7</v>
      </c>
      <c r="F13499">
        <v>6.5332069396972656</v>
      </c>
    </row>
    <row r="13500" spans="2:6">
      <c r="B13500">
        <v>2013</v>
      </c>
      <c r="C13500" t="s">
        <v>144</v>
      </c>
      <c r="D13500" t="s">
        <v>182</v>
      </c>
      <c r="E13500" t="s">
        <v>8</v>
      </c>
      <c r="F13500">
        <v>11.357275009155273</v>
      </c>
    </row>
    <row r="13501" spans="2:6">
      <c r="B13501">
        <v>2013</v>
      </c>
      <c r="C13501" t="s">
        <v>144</v>
      </c>
      <c r="D13501" t="s">
        <v>182</v>
      </c>
      <c r="E13501" t="s">
        <v>9</v>
      </c>
      <c r="F13501">
        <v>0.80791056156158447</v>
      </c>
    </row>
    <row r="13502" spans="2:6">
      <c r="B13502">
        <v>2013</v>
      </c>
      <c r="C13502" t="s">
        <v>144</v>
      </c>
      <c r="D13502" t="s">
        <v>182</v>
      </c>
      <c r="E13502" t="s">
        <v>10</v>
      </c>
      <c r="F13502">
        <v>75.459999084472656</v>
      </c>
    </row>
    <row r="13503" spans="2:6">
      <c r="B13503">
        <v>2013</v>
      </c>
      <c r="C13503" t="s">
        <v>144</v>
      </c>
      <c r="D13503" t="s">
        <v>182</v>
      </c>
      <c r="E13503" t="s">
        <v>11</v>
      </c>
      <c r="F13503">
        <v>0.82710254192352295</v>
      </c>
    </row>
    <row r="13504" spans="2:6">
      <c r="B13504">
        <v>2013</v>
      </c>
      <c r="C13504" t="s">
        <v>144</v>
      </c>
      <c r="D13504" t="s">
        <v>182</v>
      </c>
      <c r="E13504" t="s">
        <v>12</v>
      </c>
      <c r="F13504">
        <v>0.11494891345500946</v>
      </c>
    </row>
    <row r="13505" spans="2:6">
      <c r="B13505">
        <v>2013</v>
      </c>
      <c r="C13505" t="s">
        <v>144</v>
      </c>
      <c r="D13505" t="s">
        <v>182</v>
      </c>
      <c r="E13505" t="s">
        <v>13</v>
      </c>
      <c r="F13505">
        <v>0.24239805340766907</v>
      </c>
    </row>
    <row r="13506" spans="2:6">
      <c r="B13506">
        <v>2013</v>
      </c>
      <c r="C13506" t="s">
        <v>144</v>
      </c>
      <c r="D13506" t="s">
        <v>182</v>
      </c>
      <c r="E13506" t="s">
        <v>14</v>
      </c>
      <c r="F13506">
        <v>0.76963281631469727</v>
      </c>
    </row>
    <row r="13507" spans="2:6">
      <c r="B13507">
        <v>2013</v>
      </c>
      <c r="C13507" t="s">
        <v>144</v>
      </c>
      <c r="D13507" t="s">
        <v>182</v>
      </c>
      <c r="E13507" t="s">
        <v>15</v>
      </c>
      <c r="F13507">
        <v>0.14768755435943604</v>
      </c>
    </row>
    <row r="13508" spans="2:6">
      <c r="B13508">
        <v>2014</v>
      </c>
      <c r="C13508" t="s">
        <v>144</v>
      </c>
      <c r="D13508" t="s">
        <v>182</v>
      </c>
      <c r="E13508" t="s">
        <v>7</v>
      </c>
      <c r="F13508">
        <v>7.0623645782470703</v>
      </c>
    </row>
    <row r="13509" spans="2:6">
      <c r="B13509">
        <v>2014</v>
      </c>
      <c r="C13509" t="s">
        <v>144</v>
      </c>
      <c r="D13509" t="s">
        <v>182</v>
      </c>
      <c r="E13509" t="s">
        <v>8</v>
      </c>
      <c r="F13509">
        <v>11.382915496826172</v>
      </c>
    </row>
    <row r="13510" spans="2:6">
      <c r="B13510">
        <v>2014</v>
      </c>
      <c r="C13510" t="s">
        <v>144</v>
      </c>
      <c r="D13510" t="s">
        <v>182</v>
      </c>
      <c r="E13510" t="s">
        <v>9</v>
      </c>
      <c r="F13510">
        <v>0.82203304767608643</v>
      </c>
    </row>
    <row r="13511" spans="2:6">
      <c r="B13511">
        <v>2014</v>
      </c>
      <c r="C13511" t="s">
        <v>144</v>
      </c>
      <c r="D13511" t="s">
        <v>182</v>
      </c>
      <c r="E13511" t="s">
        <v>10</v>
      </c>
      <c r="F13511">
        <v>75.680000305175781</v>
      </c>
    </row>
    <row r="13512" spans="2:6">
      <c r="B13512">
        <v>2014</v>
      </c>
      <c r="C13512" t="s">
        <v>144</v>
      </c>
      <c r="D13512" t="s">
        <v>182</v>
      </c>
      <c r="E13512" t="s">
        <v>11</v>
      </c>
      <c r="F13512">
        <v>0.83488762378692627</v>
      </c>
    </row>
    <row r="13513" spans="2:6">
      <c r="B13513">
        <v>2014</v>
      </c>
      <c r="C13513" t="s">
        <v>144</v>
      </c>
      <c r="D13513" t="s">
        <v>182</v>
      </c>
      <c r="E13513" t="s">
        <v>12</v>
      </c>
      <c r="F13513">
        <v>0.15408028662204742</v>
      </c>
    </row>
    <row r="13514" spans="2:6">
      <c r="B13514">
        <v>2014</v>
      </c>
      <c r="C13514" t="s">
        <v>144</v>
      </c>
      <c r="D13514" t="s">
        <v>182</v>
      </c>
      <c r="E13514" t="s">
        <v>13</v>
      </c>
      <c r="F13514">
        <v>0.13260315358638763</v>
      </c>
    </row>
    <row r="13515" spans="2:6">
      <c r="B13515">
        <v>2014</v>
      </c>
      <c r="C13515" t="s">
        <v>144</v>
      </c>
      <c r="D13515" t="s">
        <v>182</v>
      </c>
      <c r="E13515" t="s">
        <v>14</v>
      </c>
      <c r="F13515">
        <v>0.84101760387420654</v>
      </c>
    </row>
    <row r="13516" spans="2:6">
      <c r="B13516">
        <v>2014</v>
      </c>
      <c r="C13516" t="s">
        <v>144</v>
      </c>
      <c r="D13516" t="s">
        <v>182</v>
      </c>
      <c r="E13516" t="s">
        <v>15</v>
      </c>
      <c r="F13516">
        <v>0.18023276329040527</v>
      </c>
    </row>
    <row r="13517" spans="2:6">
      <c r="B13517">
        <v>2015</v>
      </c>
      <c r="C13517" t="s">
        <v>144</v>
      </c>
      <c r="D13517" t="s">
        <v>182</v>
      </c>
      <c r="E13517" t="s">
        <v>7</v>
      </c>
      <c r="F13517">
        <v>6.6195249557495117</v>
      </c>
    </row>
    <row r="13518" spans="2:6">
      <c r="B13518">
        <v>2015</v>
      </c>
      <c r="C13518" t="s">
        <v>144</v>
      </c>
      <c r="D13518" t="s">
        <v>182</v>
      </c>
      <c r="E13518" t="s">
        <v>8</v>
      </c>
      <c r="F13518">
        <v>11.40049934387207</v>
      </c>
    </row>
    <row r="13519" spans="2:6">
      <c r="B13519">
        <v>2015</v>
      </c>
      <c r="C13519" t="s">
        <v>144</v>
      </c>
      <c r="D13519" t="s">
        <v>182</v>
      </c>
      <c r="E13519" t="s">
        <v>9</v>
      </c>
      <c r="F13519">
        <v>0.8664366602897644</v>
      </c>
    </row>
    <row r="13520" spans="2:6">
      <c r="B13520">
        <v>2015</v>
      </c>
      <c r="C13520" t="s">
        <v>144</v>
      </c>
      <c r="D13520" t="s">
        <v>182</v>
      </c>
      <c r="E13520" t="s">
        <v>10</v>
      </c>
      <c r="F13520">
        <v>75.900001525878906</v>
      </c>
    </row>
    <row r="13521" spans="2:6">
      <c r="B13521">
        <v>2015</v>
      </c>
      <c r="C13521" t="s">
        <v>144</v>
      </c>
      <c r="D13521" t="s">
        <v>182</v>
      </c>
      <c r="E13521" t="s">
        <v>11</v>
      </c>
      <c r="F13521">
        <v>0.88689088821411133</v>
      </c>
    </row>
    <row r="13522" spans="2:6">
      <c r="B13522">
        <v>2015</v>
      </c>
      <c r="C13522" t="s">
        <v>144</v>
      </c>
      <c r="D13522" t="s">
        <v>182</v>
      </c>
      <c r="E13522" t="s">
        <v>12</v>
      </c>
      <c r="F13522">
        <v>0.14967015385627747</v>
      </c>
    </row>
    <row r="13523" spans="2:6">
      <c r="B13523">
        <v>2015</v>
      </c>
      <c r="C13523" t="s">
        <v>144</v>
      </c>
      <c r="D13523" t="s">
        <v>182</v>
      </c>
      <c r="E13523" t="s">
        <v>13</v>
      </c>
      <c r="F13523">
        <v>9.8943881690502167E-2</v>
      </c>
    </row>
    <row r="13524" spans="2:6">
      <c r="B13524">
        <v>2015</v>
      </c>
      <c r="C13524" t="s">
        <v>144</v>
      </c>
      <c r="D13524" t="s">
        <v>182</v>
      </c>
      <c r="E13524" t="s">
        <v>14</v>
      </c>
      <c r="F13524">
        <v>0.80312377214431763</v>
      </c>
    </row>
    <row r="13525" spans="2:6">
      <c r="B13525">
        <v>2015</v>
      </c>
      <c r="C13525" t="s">
        <v>144</v>
      </c>
      <c r="D13525" t="s">
        <v>182</v>
      </c>
      <c r="E13525" t="s">
        <v>15</v>
      </c>
      <c r="F13525">
        <v>0.14158517122268677</v>
      </c>
    </row>
    <row r="13526" spans="2:6">
      <c r="B13526">
        <v>2016</v>
      </c>
      <c r="C13526" t="s">
        <v>144</v>
      </c>
      <c r="D13526" t="s">
        <v>182</v>
      </c>
      <c r="E13526" t="s">
        <v>7</v>
      </c>
      <c r="F13526">
        <v>6.0334806442260742</v>
      </c>
    </row>
    <row r="13527" spans="2:6">
      <c r="B13527">
        <v>2016</v>
      </c>
      <c r="C13527" t="s">
        <v>144</v>
      </c>
      <c r="D13527" t="s">
        <v>182</v>
      </c>
      <c r="E13527" t="s">
        <v>8</v>
      </c>
      <c r="F13527">
        <v>11.41944408416748</v>
      </c>
    </row>
    <row r="13528" spans="2:6">
      <c r="B13528">
        <v>2016</v>
      </c>
      <c r="C13528" t="s">
        <v>144</v>
      </c>
      <c r="D13528" t="s">
        <v>182</v>
      </c>
      <c r="E13528" t="s">
        <v>9</v>
      </c>
      <c r="F13528">
        <v>0.92512822151184082</v>
      </c>
    </row>
    <row r="13529" spans="2:6">
      <c r="B13529">
        <v>2016</v>
      </c>
      <c r="C13529" t="s">
        <v>144</v>
      </c>
      <c r="D13529" t="s">
        <v>182</v>
      </c>
      <c r="E13529" t="s">
        <v>10</v>
      </c>
      <c r="F13529">
        <v>76.199996948242188</v>
      </c>
    </row>
    <row r="13530" spans="2:6">
      <c r="B13530">
        <v>2016</v>
      </c>
      <c r="C13530" t="s">
        <v>144</v>
      </c>
      <c r="D13530" t="s">
        <v>182</v>
      </c>
      <c r="E13530" t="s">
        <v>11</v>
      </c>
      <c r="F13530">
        <v>0.90373563766479492</v>
      </c>
    </row>
    <row r="13531" spans="2:6">
      <c r="B13531">
        <v>2016</v>
      </c>
      <c r="C13531" t="s">
        <v>144</v>
      </c>
      <c r="D13531" t="s">
        <v>182</v>
      </c>
      <c r="E13531" t="s">
        <v>12</v>
      </c>
      <c r="F13531">
        <v>0.14290750026702881</v>
      </c>
    </row>
    <row r="13532" spans="2:6">
      <c r="B13532">
        <v>2016</v>
      </c>
      <c r="C13532" t="s">
        <v>144</v>
      </c>
      <c r="D13532" t="s">
        <v>182</v>
      </c>
      <c r="E13532" t="s">
        <v>13</v>
      </c>
      <c r="F13532">
        <v>4.7311153262853622E-2</v>
      </c>
    </row>
    <row r="13533" spans="2:6">
      <c r="B13533">
        <v>2016</v>
      </c>
      <c r="C13533" t="s">
        <v>144</v>
      </c>
      <c r="D13533" t="s">
        <v>182</v>
      </c>
      <c r="E13533" t="s">
        <v>14</v>
      </c>
      <c r="F13533">
        <v>0.82398873567581177</v>
      </c>
    </row>
    <row r="13534" spans="2:6">
      <c r="B13534">
        <v>2016</v>
      </c>
      <c r="C13534" t="s">
        <v>144</v>
      </c>
      <c r="D13534" t="s">
        <v>182</v>
      </c>
      <c r="E13534" t="s">
        <v>15</v>
      </c>
      <c r="F13534">
        <v>0.11094246804714203</v>
      </c>
    </row>
    <row r="13535" spans="2:6">
      <c r="B13535">
        <v>2017</v>
      </c>
      <c r="C13535" t="s">
        <v>144</v>
      </c>
      <c r="D13535" t="s">
        <v>182</v>
      </c>
      <c r="E13535" t="s">
        <v>7</v>
      </c>
      <c r="F13535">
        <v>6.3784379959106445</v>
      </c>
    </row>
    <row r="13536" spans="2:6">
      <c r="B13536">
        <v>2017</v>
      </c>
      <c r="C13536" t="s">
        <v>144</v>
      </c>
      <c r="D13536" t="s">
        <v>182</v>
      </c>
      <c r="E13536" t="s">
        <v>8</v>
      </c>
      <c r="F13536">
        <v>11.461010932922363</v>
      </c>
    </row>
    <row r="13537" spans="2:6">
      <c r="B13537">
        <v>2017</v>
      </c>
      <c r="C13537" t="s">
        <v>144</v>
      </c>
      <c r="D13537" t="s">
        <v>182</v>
      </c>
      <c r="E13537" t="s">
        <v>9</v>
      </c>
      <c r="F13537">
        <v>0.89734989404678345</v>
      </c>
    </row>
    <row r="13538" spans="2:6">
      <c r="B13538">
        <v>2017</v>
      </c>
      <c r="C13538" t="s">
        <v>144</v>
      </c>
      <c r="D13538" t="s">
        <v>182</v>
      </c>
      <c r="E13538" t="s">
        <v>10</v>
      </c>
      <c r="F13538">
        <v>76.5</v>
      </c>
    </row>
    <row r="13539" spans="2:6">
      <c r="B13539">
        <v>2017</v>
      </c>
      <c r="C13539" t="s">
        <v>144</v>
      </c>
      <c r="D13539" t="s">
        <v>182</v>
      </c>
      <c r="E13539" t="s">
        <v>11</v>
      </c>
      <c r="F13539">
        <v>0.9261278510093689</v>
      </c>
    </row>
    <row r="13540" spans="2:6">
      <c r="B13540">
        <v>2017</v>
      </c>
      <c r="C13540" t="s">
        <v>144</v>
      </c>
      <c r="D13540" t="s">
        <v>182</v>
      </c>
      <c r="E13540" t="s">
        <v>12</v>
      </c>
      <c r="F13540">
        <v>0.13558158278465271</v>
      </c>
    </row>
    <row r="13541" spans="2:6">
      <c r="B13541">
        <v>2017</v>
      </c>
      <c r="C13541" t="s">
        <v>144</v>
      </c>
      <c r="D13541" t="s">
        <v>182</v>
      </c>
      <c r="E13541" t="s">
        <v>13</v>
      </c>
      <c r="F13541">
        <v>0.16179068386554718</v>
      </c>
    </row>
    <row r="13542" spans="2:6">
      <c r="B13542">
        <v>2017</v>
      </c>
      <c r="C13542" t="s">
        <v>144</v>
      </c>
      <c r="D13542" t="s">
        <v>182</v>
      </c>
      <c r="E13542" t="s">
        <v>14</v>
      </c>
      <c r="F13542">
        <v>0.80011439323425293</v>
      </c>
    </row>
    <row r="13543" spans="2:6">
      <c r="B13543">
        <v>2017</v>
      </c>
      <c r="C13543" t="s">
        <v>144</v>
      </c>
      <c r="D13543" t="s">
        <v>182</v>
      </c>
      <c r="E13543" t="s">
        <v>15</v>
      </c>
      <c r="F13543">
        <v>0.17932455241680145</v>
      </c>
    </row>
    <row r="13544" spans="2:6">
      <c r="B13544">
        <v>2018</v>
      </c>
      <c r="C13544" t="s">
        <v>144</v>
      </c>
      <c r="D13544" t="s">
        <v>182</v>
      </c>
      <c r="E13544" t="s">
        <v>7</v>
      </c>
      <c r="F13544">
        <v>6.3745641708374023</v>
      </c>
    </row>
    <row r="13545" spans="2:6">
      <c r="B13545">
        <v>2018</v>
      </c>
      <c r="C13545" t="s">
        <v>144</v>
      </c>
      <c r="D13545" t="s">
        <v>182</v>
      </c>
      <c r="E13545" t="s">
        <v>8</v>
      </c>
      <c r="F13545">
        <v>11.490117073059082</v>
      </c>
    </row>
    <row r="13546" spans="2:6">
      <c r="B13546">
        <v>2018</v>
      </c>
      <c r="C13546" t="s">
        <v>144</v>
      </c>
      <c r="D13546" t="s">
        <v>182</v>
      </c>
      <c r="E13546" t="s">
        <v>9</v>
      </c>
      <c r="F13546">
        <v>0.90284067392349243</v>
      </c>
    </row>
    <row r="13547" spans="2:6">
      <c r="B13547">
        <v>2018</v>
      </c>
      <c r="C13547" t="s">
        <v>144</v>
      </c>
      <c r="D13547" t="s">
        <v>182</v>
      </c>
      <c r="E13547" t="s">
        <v>10</v>
      </c>
      <c r="F13547">
        <v>76.800003051757813</v>
      </c>
    </row>
    <row r="13548" spans="2:6">
      <c r="B13548">
        <v>2018</v>
      </c>
      <c r="C13548" t="s">
        <v>144</v>
      </c>
      <c r="D13548" t="s">
        <v>182</v>
      </c>
      <c r="E13548" t="s">
        <v>11</v>
      </c>
      <c r="F13548">
        <v>0.91607820987701416</v>
      </c>
    </row>
    <row r="13549" spans="2:6">
      <c r="B13549">
        <v>2018</v>
      </c>
      <c r="C13549" t="s">
        <v>144</v>
      </c>
      <c r="D13549" t="s">
        <v>182</v>
      </c>
      <c r="E13549" t="s">
        <v>12</v>
      </c>
      <c r="F13549">
        <v>-6.5855816006660461E-2</v>
      </c>
    </row>
    <row r="13550" spans="2:6">
      <c r="B13550">
        <v>2018</v>
      </c>
      <c r="C13550" t="s">
        <v>144</v>
      </c>
      <c r="D13550" t="s">
        <v>182</v>
      </c>
      <c r="E13550" t="s">
        <v>13</v>
      </c>
      <c r="F13550">
        <v>9.6562929451465607E-2</v>
      </c>
    </row>
    <row r="13551" spans="2:6">
      <c r="B13551">
        <v>2018</v>
      </c>
      <c r="C13551" t="s">
        <v>144</v>
      </c>
      <c r="D13551" t="s">
        <v>182</v>
      </c>
      <c r="E13551" t="s">
        <v>14</v>
      </c>
      <c r="F13551">
        <v>0.78709298372268677</v>
      </c>
    </row>
    <row r="13552" spans="2:6">
      <c r="B13552">
        <v>2018</v>
      </c>
      <c r="C13552" t="s">
        <v>144</v>
      </c>
      <c r="D13552" t="s">
        <v>182</v>
      </c>
      <c r="E13552" t="s">
        <v>15</v>
      </c>
      <c r="F13552">
        <v>0.10687077790498734</v>
      </c>
    </row>
    <row r="13553" spans="2:6">
      <c r="B13553">
        <v>2019</v>
      </c>
      <c r="C13553" t="s">
        <v>144</v>
      </c>
      <c r="D13553" t="s">
        <v>182</v>
      </c>
      <c r="E13553" t="s">
        <v>7</v>
      </c>
      <c r="F13553">
        <v>6.3783597946166992</v>
      </c>
    </row>
    <row r="13554" spans="2:6">
      <c r="B13554">
        <v>2019</v>
      </c>
      <c r="C13554" t="s">
        <v>144</v>
      </c>
      <c r="D13554" t="s">
        <v>182</v>
      </c>
      <c r="E13554" t="s">
        <v>8</v>
      </c>
      <c r="F13554">
        <v>11.485980033874512</v>
      </c>
    </row>
    <row r="13555" spans="2:6">
      <c r="B13555">
        <v>2019</v>
      </c>
      <c r="C13555" t="s">
        <v>144</v>
      </c>
      <c r="D13555" t="s">
        <v>182</v>
      </c>
      <c r="E13555" t="s">
        <v>9</v>
      </c>
      <c r="F13555">
        <v>0.92491835355758667</v>
      </c>
    </row>
    <row r="13556" spans="2:6">
      <c r="B13556">
        <v>2019</v>
      </c>
      <c r="C13556" t="s">
        <v>144</v>
      </c>
      <c r="D13556" t="s">
        <v>182</v>
      </c>
      <c r="E13556" t="s">
        <v>10</v>
      </c>
      <c r="F13556">
        <v>77.099998474121094</v>
      </c>
    </row>
    <row r="13557" spans="2:6">
      <c r="B13557">
        <v>2019</v>
      </c>
      <c r="C13557" t="s">
        <v>144</v>
      </c>
      <c r="D13557" t="s">
        <v>182</v>
      </c>
      <c r="E13557" t="s">
        <v>11</v>
      </c>
      <c r="F13557">
        <v>0.93804174661636353</v>
      </c>
    </row>
    <row r="13558" spans="2:6">
      <c r="B13558">
        <v>2019</v>
      </c>
      <c r="C13558" t="s">
        <v>144</v>
      </c>
      <c r="D13558" t="s">
        <v>182</v>
      </c>
      <c r="E13558" t="s">
        <v>12</v>
      </c>
      <c r="F13558">
        <v>2.7229677885770798E-2</v>
      </c>
    </row>
    <row r="13559" spans="2:6">
      <c r="B13559">
        <v>2019</v>
      </c>
      <c r="C13559" t="s">
        <v>144</v>
      </c>
      <c r="D13559" t="s">
        <v>182</v>
      </c>
      <c r="E13559" t="s">
        <v>13</v>
      </c>
      <c r="F13559">
        <v>6.9619603455066681E-2</v>
      </c>
    </row>
    <row r="13560" spans="2:6">
      <c r="B13560">
        <v>2019</v>
      </c>
      <c r="C13560" t="s">
        <v>144</v>
      </c>
      <c r="D13560" t="s">
        <v>182</v>
      </c>
      <c r="E13560" t="s">
        <v>14</v>
      </c>
      <c r="F13560">
        <v>0.72259801626205444</v>
      </c>
    </row>
    <row r="13561" spans="2:6">
      <c r="B13561">
        <v>2019</v>
      </c>
      <c r="C13561" t="s">
        <v>144</v>
      </c>
      <c r="D13561" t="s">
        <v>182</v>
      </c>
      <c r="E13561" t="s">
        <v>15</v>
      </c>
      <c r="F13561">
        <v>0.13806915283203125</v>
      </c>
    </row>
    <row r="13562" spans="2:6">
      <c r="B13562">
        <v>2006</v>
      </c>
      <c r="C13562" t="s">
        <v>145</v>
      </c>
      <c r="D13562" t="s">
        <v>183</v>
      </c>
      <c r="E13562" t="s">
        <v>7</v>
      </c>
      <c r="F13562">
        <v>5.264676570892334</v>
      </c>
    </row>
    <row r="13563" spans="2:6">
      <c r="B13563">
        <v>2006</v>
      </c>
      <c r="C13563" t="s">
        <v>145</v>
      </c>
      <c r="D13563" t="s">
        <v>183</v>
      </c>
      <c r="E13563" t="s">
        <v>8</v>
      </c>
      <c r="F13563">
        <v>10.015392303466797</v>
      </c>
    </row>
    <row r="13564" spans="2:6">
      <c r="B13564">
        <v>2006</v>
      </c>
      <c r="C13564" t="s">
        <v>145</v>
      </c>
      <c r="D13564" t="s">
        <v>183</v>
      </c>
      <c r="E13564" t="s">
        <v>9</v>
      </c>
      <c r="F13564">
        <v>0.95357924699783325</v>
      </c>
    </row>
    <row r="13565" spans="2:6">
      <c r="B13565">
        <v>2006</v>
      </c>
      <c r="C13565" t="s">
        <v>145</v>
      </c>
      <c r="D13565" t="s">
        <v>183</v>
      </c>
      <c r="E13565" t="s">
        <v>10</v>
      </c>
      <c r="F13565">
        <v>66</v>
      </c>
    </row>
    <row r="13566" spans="2:6">
      <c r="B13566">
        <v>2006</v>
      </c>
      <c r="C13566" t="s">
        <v>145</v>
      </c>
      <c r="D13566" t="s">
        <v>183</v>
      </c>
      <c r="E13566" t="s">
        <v>11</v>
      </c>
      <c r="F13566">
        <v>0.54247969388961792</v>
      </c>
    </row>
    <row r="13567" spans="2:6">
      <c r="B13567">
        <v>2006</v>
      </c>
      <c r="C13567" t="s">
        <v>145</v>
      </c>
      <c r="D13567" t="s">
        <v>183</v>
      </c>
      <c r="E13567" t="s">
        <v>12</v>
      </c>
      <c r="F13567">
        <v>-4.9709279090166092E-2</v>
      </c>
    </row>
    <row r="13568" spans="2:6">
      <c r="B13568">
        <v>2006</v>
      </c>
      <c r="C13568" t="s">
        <v>145</v>
      </c>
      <c r="D13568" t="s">
        <v>183</v>
      </c>
      <c r="E13568" t="s">
        <v>13</v>
      </c>
      <c r="F13568">
        <v>0.94573128223419189</v>
      </c>
    </row>
    <row r="13569" spans="2:6">
      <c r="B13569">
        <v>2006</v>
      </c>
      <c r="C13569" t="s">
        <v>145</v>
      </c>
      <c r="D13569" t="s">
        <v>183</v>
      </c>
      <c r="E13569" t="s">
        <v>14</v>
      </c>
      <c r="F13569">
        <v>0.67811411619186401</v>
      </c>
    </row>
    <row r="13570" spans="2:6">
      <c r="B13570">
        <v>2006</v>
      </c>
      <c r="C13570" t="s">
        <v>145</v>
      </c>
      <c r="D13570" t="s">
        <v>183</v>
      </c>
      <c r="E13570" t="s">
        <v>15</v>
      </c>
      <c r="F13570">
        <v>0.30785909295082092</v>
      </c>
    </row>
    <row r="13571" spans="2:6">
      <c r="B13571">
        <v>2010</v>
      </c>
      <c r="C13571" t="s">
        <v>145</v>
      </c>
      <c r="D13571" t="s">
        <v>183</v>
      </c>
      <c r="E13571" t="s">
        <v>7</v>
      </c>
      <c r="F13571">
        <v>6.0522232055664063</v>
      </c>
    </row>
    <row r="13572" spans="2:6">
      <c r="B13572">
        <v>2010</v>
      </c>
      <c r="C13572" t="s">
        <v>145</v>
      </c>
      <c r="D13572" t="s">
        <v>183</v>
      </c>
      <c r="E13572" t="s">
        <v>8</v>
      </c>
      <c r="F13572">
        <v>10.168605804443359</v>
      </c>
    </row>
    <row r="13573" spans="2:6">
      <c r="B13573">
        <v>2010</v>
      </c>
      <c r="C13573" t="s">
        <v>145</v>
      </c>
      <c r="D13573" t="s">
        <v>183</v>
      </c>
      <c r="E13573" t="s">
        <v>9</v>
      </c>
      <c r="F13573">
        <v>0.91964000463485718</v>
      </c>
    </row>
    <row r="13574" spans="2:6">
      <c r="B13574">
        <v>2010</v>
      </c>
      <c r="C13574" t="s">
        <v>145</v>
      </c>
      <c r="D13574" t="s">
        <v>183</v>
      </c>
      <c r="E13574" t="s">
        <v>10</v>
      </c>
      <c r="F13574">
        <v>66.800003051757813</v>
      </c>
    </row>
    <row r="13575" spans="2:6">
      <c r="B13575">
        <v>2010</v>
      </c>
      <c r="C13575" t="s">
        <v>145</v>
      </c>
      <c r="D13575" t="s">
        <v>183</v>
      </c>
      <c r="E13575" t="s">
        <v>11</v>
      </c>
      <c r="F13575">
        <v>0.6357576847076416</v>
      </c>
    </row>
    <row r="13576" spans="2:6">
      <c r="B13576">
        <v>2010</v>
      </c>
      <c r="C13576" t="s">
        <v>145</v>
      </c>
      <c r="D13576" t="s">
        <v>183</v>
      </c>
      <c r="E13576" t="s">
        <v>12</v>
      </c>
      <c r="F13576">
        <v>-0.1011645570397377</v>
      </c>
    </row>
    <row r="13577" spans="2:6">
      <c r="B13577">
        <v>2010</v>
      </c>
      <c r="C13577" t="s">
        <v>145</v>
      </c>
      <c r="D13577" t="s">
        <v>183</v>
      </c>
      <c r="E13577" t="s">
        <v>13</v>
      </c>
      <c r="F13577">
        <v>0.90713602304458618</v>
      </c>
    </row>
    <row r="13578" spans="2:6">
      <c r="B13578">
        <v>2010</v>
      </c>
      <c r="C13578" t="s">
        <v>145</v>
      </c>
      <c r="D13578" t="s">
        <v>183</v>
      </c>
      <c r="E13578" t="s">
        <v>14</v>
      </c>
      <c r="F13578">
        <v>0.66645795106887817</v>
      </c>
    </row>
    <row r="13579" spans="2:6">
      <c r="B13579">
        <v>2010</v>
      </c>
      <c r="C13579" t="s">
        <v>145</v>
      </c>
      <c r="D13579" t="s">
        <v>183</v>
      </c>
      <c r="E13579" t="s">
        <v>15</v>
      </c>
      <c r="F13579">
        <v>0.27720674872398376</v>
      </c>
    </row>
    <row r="13580" spans="2:6">
      <c r="B13580">
        <v>2011</v>
      </c>
      <c r="C13580" t="s">
        <v>145</v>
      </c>
      <c r="D13580" t="s">
        <v>183</v>
      </c>
      <c r="E13580" t="s">
        <v>7</v>
      </c>
      <c r="F13580">
        <v>5.9450483322143555</v>
      </c>
    </row>
    <row r="13581" spans="2:6">
      <c r="B13581">
        <v>2011</v>
      </c>
      <c r="C13581" t="s">
        <v>145</v>
      </c>
      <c r="D13581" t="s">
        <v>183</v>
      </c>
      <c r="E13581" t="s">
        <v>8</v>
      </c>
      <c r="F13581">
        <v>10.195558547973633</v>
      </c>
    </row>
    <row r="13582" spans="2:6">
      <c r="B13582">
        <v>2011</v>
      </c>
      <c r="C13582" t="s">
        <v>145</v>
      </c>
      <c r="D13582" t="s">
        <v>183</v>
      </c>
      <c r="E13582" t="s">
        <v>9</v>
      </c>
      <c r="F13582">
        <v>0.91729342937469482</v>
      </c>
    </row>
    <row r="13583" spans="2:6">
      <c r="B13583">
        <v>2011</v>
      </c>
      <c r="C13583" t="s">
        <v>145</v>
      </c>
      <c r="D13583" t="s">
        <v>183</v>
      </c>
      <c r="E13583" t="s">
        <v>10</v>
      </c>
      <c r="F13583">
        <v>67.040000915527344</v>
      </c>
    </row>
    <row r="13584" spans="2:6">
      <c r="B13584">
        <v>2011</v>
      </c>
      <c r="C13584" t="s">
        <v>145</v>
      </c>
      <c r="D13584" t="s">
        <v>183</v>
      </c>
      <c r="E13584" t="s">
        <v>11</v>
      </c>
      <c r="F13584">
        <v>0.72716313600540161</v>
      </c>
    </row>
    <row r="13585" spans="2:6">
      <c r="B13585">
        <v>2011</v>
      </c>
      <c r="C13585" t="s">
        <v>145</v>
      </c>
      <c r="D13585" t="s">
        <v>183</v>
      </c>
      <c r="E13585" t="s">
        <v>12</v>
      </c>
      <c r="F13585">
        <v>1.0068872012197971E-2</v>
      </c>
    </row>
    <row r="13586" spans="2:6">
      <c r="B13586">
        <v>2011</v>
      </c>
      <c r="C13586" t="s">
        <v>145</v>
      </c>
      <c r="D13586" t="s">
        <v>183</v>
      </c>
      <c r="E13586" t="s">
        <v>13</v>
      </c>
      <c r="F13586">
        <v>0.90713232755661011</v>
      </c>
    </row>
    <row r="13587" spans="2:6">
      <c r="B13587">
        <v>2011</v>
      </c>
      <c r="C13587" t="s">
        <v>145</v>
      </c>
      <c r="D13587" t="s">
        <v>183</v>
      </c>
      <c r="E13587" t="s">
        <v>14</v>
      </c>
      <c r="F13587">
        <v>0.63658320903778076</v>
      </c>
    </row>
    <row r="13588" spans="2:6">
      <c r="B13588">
        <v>2011</v>
      </c>
      <c r="C13588" t="s">
        <v>145</v>
      </c>
      <c r="D13588" t="s">
        <v>183</v>
      </c>
      <c r="E13588" t="s">
        <v>15</v>
      </c>
      <c r="F13588">
        <v>0.28740957379341125</v>
      </c>
    </row>
    <row r="13589" spans="2:6">
      <c r="B13589">
        <v>2012</v>
      </c>
      <c r="C13589" t="s">
        <v>145</v>
      </c>
      <c r="D13589" t="s">
        <v>183</v>
      </c>
      <c r="E13589" t="s">
        <v>7</v>
      </c>
      <c r="F13589">
        <v>5.9110593795776367</v>
      </c>
    </row>
    <row r="13590" spans="2:6">
      <c r="B13590">
        <v>2012</v>
      </c>
      <c r="C13590" t="s">
        <v>145</v>
      </c>
      <c r="D13590" t="s">
        <v>183</v>
      </c>
      <c r="E13590" t="s">
        <v>8</v>
      </c>
      <c r="F13590">
        <v>10.212637901306152</v>
      </c>
    </row>
    <row r="13591" spans="2:6">
      <c r="B13591">
        <v>2012</v>
      </c>
      <c r="C13591" t="s">
        <v>145</v>
      </c>
      <c r="D13591" t="s">
        <v>183</v>
      </c>
      <c r="E13591" t="s">
        <v>9</v>
      </c>
      <c r="F13591">
        <v>0.9257514476776123</v>
      </c>
    </row>
    <row r="13592" spans="2:6">
      <c r="B13592">
        <v>2012</v>
      </c>
      <c r="C13592" t="s">
        <v>145</v>
      </c>
      <c r="D13592" t="s">
        <v>183</v>
      </c>
      <c r="E13592" t="s">
        <v>10</v>
      </c>
      <c r="F13592">
        <v>67.279998779296875</v>
      </c>
    </row>
    <row r="13593" spans="2:6">
      <c r="B13593">
        <v>2012</v>
      </c>
      <c r="C13593" t="s">
        <v>145</v>
      </c>
      <c r="D13593" t="s">
        <v>183</v>
      </c>
      <c r="E13593" t="s">
        <v>11</v>
      </c>
      <c r="F13593">
        <v>0.62000429630279541</v>
      </c>
    </row>
    <row r="13594" spans="2:6">
      <c r="B13594">
        <v>2012</v>
      </c>
      <c r="C13594" t="s">
        <v>145</v>
      </c>
      <c r="D13594" t="s">
        <v>183</v>
      </c>
      <c r="E13594" t="s">
        <v>12</v>
      </c>
      <c r="F13594">
        <v>-2.8052337467670441E-2</v>
      </c>
    </row>
    <row r="13595" spans="2:6">
      <c r="B13595">
        <v>2012</v>
      </c>
      <c r="C13595" t="s">
        <v>145</v>
      </c>
      <c r="D13595" t="s">
        <v>183</v>
      </c>
      <c r="E13595" t="s">
        <v>13</v>
      </c>
      <c r="F13595">
        <v>0.9065321683883667</v>
      </c>
    </row>
    <row r="13596" spans="2:6">
      <c r="B13596">
        <v>2012</v>
      </c>
      <c r="C13596" t="s">
        <v>145</v>
      </c>
      <c r="D13596" t="s">
        <v>183</v>
      </c>
      <c r="E13596" t="s">
        <v>14</v>
      </c>
      <c r="F13596">
        <v>0.65618842840194702</v>
      </c>
    </row>
    <row r="13597" spans="2:6">
      <c r="B13597">
        <v>2012</v>
      </c>
      <c r="C13597" t="s">
        <v>145</v>
      </c>
      <c r="D13597" t="s">
        <v>183</v>
      </c>
      <c r="E13597" t="s">
        <v>15</v>
      </c>
      <c r="F13597">
        <v>0.30226081609725952</v>
      </c>
    </row>
    <row r="13598" spans="2:6">
      <c r="B13598">
        <v>2013</v>
      </c>
      <c r="C13598" t="s">
        <v>145</v>
      </c>
      <c r="D13598" t="s">
        <v>183</v>
      </c>
      <c r="E13598" t="s">
        <v>7</v>
      </c>
      <c r="F13598">
        <v>5.9365272521972656</v>
      </c>
    </row>
    <row r="13599" spans="2:6">
      <c r="B13599">
        <v>2013</v>
      </c>
      <c r="C13599" t="s">
        <v>145</v>
      </c>
      <c r="D13599" t="s">
        <v>183</v>
      </c>
      <c r="E13599" t="s">
        <v>8</v>
      </c>
      <c r="F13599">
        <v>10.218249320983887</v>
      </c>
    </row>
    <row r="13600" spans="2:6">
      <c r="B13600">
        <v>2013</v>
      </c>
      <c r="C13600" t="s">
        <v>145</v>
      </c>
      <c r="D13600" t="s">
        <v>183</v>
      </c>
      <c r="E13600" t="s">
        <v>9</v>
      </c>
      <c r="F13600">
        <v>0.9093785285949707</v>
      </c>
    </row>
    <row r="13601" spans="2:6">
      <c r="B13601">
        <v>2013</v>
      </c>
      <c r="C13601" t="s">
        <v>145</v>
      </c>
      <c r="D13601" t="s">
        <v>183</v>
      </c>
      <c r="E13601" t="s">
        <v>10</v>
      </c>
      <c r="F13601">
        <v>67.519996643066406</v>
      </c>
    </row>
    <row r="13602" spans="2:6">
      <c r="B13602">
        <v>2013</v>
      </c>
      <c r="C13602" t="s">
        <v>145</v>
      </c>
      <c r="D13602" t="s">
        <v>183</v>
      </c>
      <c r="E13602" t="s">
        <v>11</v>
      </c>
      <c r="F13602">
        <v>0.59793579578399658</v>
      </c>
    </row>
    <row r="13603" spans="2:6">
      <c r="B13603">
        <v>2013</v>
      </c>
      <c r="C13603" t="s">
        <v>145</v>
      </c>
      <c r="D13603" t="s">
        <v>183</v>
      </c>
      <c r="E13603" t="s">
        <v>12</v>
      </c>
      <c r="F13603">
        <v>-5.0909940153360367E-2</v>
      </c>
    </row>
    <row r="13604" spans="2:6">
      <c r="B13604">
        <v>2013</v>
      </c>
      <c r="C13604" t="s">
        <v>145</v>
      </c>
      <c r="D13604" t="s">
        <v>183</v>
      </c>
      <c r="E13604" t="s">
        <v>13</v>
      </c>
      <c r="F13604">
        <v>0.91453993320465088</v>
      </c>
    </row>
    <row r="13605" spans="2:6">
      <c r="B13605">
        <v>2013</v>
      </c>
      <c r="C13605" t="s">
        <v>145</v>
      </c>
      <c r="D13605" t="s">
        <v>183</v>
      </c>
      <c r="E13605" t="s">
        <v>14</v>
      </c>
      <c r="F13605">
        <v>0.69757604598999023</v>
      </c>
    </row>
    <row r="13606" spans="2:6">
      <c r="B13606">
        <v>2013</v>
      </c>
      <c r="C13606" t="s">
        <v>145</v>
      </c>
      <c r="D13606" t="s">
        <v>183</v>
      </c>
      <c r="E13606" t="s">
        <v>15</v>
      </c>
      <c r="F13606">
        <v>0.27650955319404602</v>
      </c>
    </row>
    <row r="13607" spans="2:6">
      <c r="B13607">
        <v>2014</v>
      </c>
      <c r="C13607" t="s">
        <v>145</v>
      </c>
      <c r="D13607" t="s">
        <v>183</v>
      </c>
      <c r="E13607" t="s">
        <v>7</v>
      </c>
      <c r="F13607">
        <v>6.1388731002807617</v>
      </c>
    </row>
    <row r="13608" spans="2:6">
      <c r="B13608">
        <v>2014</v>
      </c>
      <c r="C13608" t="s">
        <v>145</v>
      </c>
      <c r="D13608" t="s">
        <v>183</v>
      </c>
      <c r="E13608" t="s">
        <v>8</v>
      </c>
      <c r="F13608">
        <v>10.244430541992188</v>
      </c>
    </row>
    <row r="13609" spans="2:6">
      <c r="B13609">
        <v>2014</v>
      </c>
      <c r="C13609" t="s">
        <v>145</v>
      </c>
      <c r="D13609" t="s">
        <v>183</v>
      </c>
      <c r="E13609" t="s">
        <v>9</v>
      </c>
      <c r="F13609">
        <v>0.92424267530441284</v>
      </c>
    </row>
    <row r="13610" spans="2:6">
      <c r="B13610">
        <v>2014</v>
      </c>
      <c r="C13610" t="s">
        <v>145</v>
      </c>
      <c r="D13610" t="s">
        <v>183</v>
      </c>
      <c r="E13610" t="s">
        <v>10</v>
      </c>
      <c r="F13610">
        <v>67.760002136230469</v>
      </c>
    </row>
    <row r="13611" spans="2:6">
      <c r="B13611">
        <v>2014</v>
      </c>
      <c r="C13611" t="s">
        <v>145</v>
      </c>
      <c r="D13611" t="s">
        <v>183</v>
      </c>
      <c r="E13611" t="s">
        <v>11</v>
      </c>
      <c r="F13611">
        <v>0.63479173183441162</v>
      </c>
    </row>
    <row r="13612" spans="2:6">
      <c r="B13612">
        <v>2014</v>
      </c>
      <c r="C13612" t="s">
        <v>145</v>
      </c>
      <c r="D13612" t="s">
        <v>183</v>
      </c>
      <c r="E13612" t="s">
        <v>12</v>
      </c>
      <c r="F13612">
        <v>-0.1256384402513504</v>
      </c>
    </row>
    <row r="13613" spans="2:6">
      <c r="B13613">
        <v>2014</v>
      </c>
      <c r="C13613" t="s">
        <v>145</v>
      </c>
      <c r="D13613" t="s">
        <v>183</v>
      </c>
      <c r="E13613" t="s">
        <v>13</v>
      </c>
      <c r="F13613">
        <v>0.91387021541595459</v>
      </c>
    </row>
    <row r="13614" spans="2:6">
      <c r="B13614">
        <v>2014</v>
      </c>
      <c r="C13614" t="s">
        <v>145</v>
      </c>
      <c r="D13614" t="s">
        <v>183</v>
      </c>
      <c r="E13614" t="s">
        <v>14</v>
      </c>
      <c r="F13614">
        <v>0.70348471403121948</v>
      </c>
    </row>
    <row r="13615" spans="2:6">
      <c r="B13615">
        <v>2014</v>
      </c>
      <c r="C13615" t="s">
        <v>145</v>
      </c>
      <c r="D13615" t="s">
        <v>183</v>
      </c>
      <c r="E13615" t="s">
        <v>15</v>
      </c>
      <c r="F13615">
        <v>0.26678460836410522</v>
      </c>
    </row>
    <row r="13616" spans="2:6">
      <c r="B13616">
        <v>2015</v>
      </c>
      <c r="C13616" t="s">
        <v>145</v>
      </c>
      <c r="D13616" t="s">
        <v>183</v>
      </c>
      <c r="E13616" t="s">
        <v>7</v>
      </c>
      <c r="F13616">
        <v>6.1620044708251953</v>
      </c>
    </row>
    <row r="13617" spans="2:6">
      <c r="B13617">
        <v>2015</v>
      </c>
      <c r="C13617" t="s">
        <v>145</v>
      </c>
      <c r="D13617" t="s">
        <v>183</v>
      </c>
      <c r="E13617" t="s">
        <v>8</v>
      </c>
      <c r="F13617">
        <v>10.290573120117188</v>
      </c>
    </row>
    <row r="13618" spans="2:6">
      <c r="B13618">
        <v>2015</v>
      </c>
      <c r="C13618" t="s">
        <v>145</v>
      </c>
      <c r="D13618" t="s">
        <v>183</v>
      </c>
      <c r="E13618" t="s">
        <v>9</v>
      </c>
      <c r="F13618">
        <v>0.94345366954803467</v>
      </c>
    </row>
    <row r="13619" spans="2:6">
      <c r="B13619">
        <v>2015</v>
      </c>
      <c r="C13619" t="s">
        <v>145</v>
      </c>
      <c r="D13619" t="s">
        <v>183</v>
      </c>
      <c r="E13619" t="s">
        <v>10</v>
      </c>
      <c r="F13619">
        <v>68</v>
      </c>
    </row>
    <row r="13620" spans="2:6">
      <c r="B13620">
        <v>2015</v>
      </c>
      <c r="C13620" t="s">
        <v>145</v>
      </c>
      <c r="D13620" t="s">
        <v>183</v>
      </c>
      <c r="E13620" t="s">
        <v>11</v>
      </c>
      <c r="F13620">
        <v>0.58715766668319702</v>
      </c>
    </row>
    <row r="13621" spans="2:6">
      <c r="B13621">
        <v>2015</v>
      </c>
      <c r="C13621" t="s">
        <v>145</v>
      </c>
      <c r="D13621" t="s">
        <v>183</v>
      </c>
      <c r="E13621" t="s">
        <v>12</v>
      </c>
      <c r="F13621">
        <v>-0.12785226106643677</v>
      </c>
    </row>
    <row r="13622" spans="2:6">
      <c r="B13622">
        <v>2015</v>
      </c>
      <c r="C13622" t="s">
        <v>145</v>
      </c>
      <c r="D13622" t="s">
        <v>183</v>
      </c>
      <c r="E13622" t="s">
        <v>13</v>
      </c>
      <c r="F13622">
        <v>0.92754513025283813</v>
      </c>
    </row>
    <row r="13623" spans="2:6">
      <c r="B13623">
        <v>2015</v>
      </c>
      <c r="C13623" t="s">
        <v>145</v>
      </c>
      <c r="D13623" t="s">
        <v>183</v>
      </c>
      <c r="E13623" t="s">
        <v>14</v>
      </c>
      <c r="F13623">
        <v>0.71370792388916016</v>
      </c>
    </row>
    <row r="13624" spans="2:6">
      <c r="B13624">
        <v>2015</v>
      </c>
      <c r="C13624" t="s">
        <v>145</v>
      </c>
      <c r="D13624" t="s">
        <v>183</v>
      </c>
      <c r="E13624" t="s">
        <v>15</v>
      </c>
      <c r="F13624">
        <v>0.2692464292049408</v>
      </c>
    </row>
    <row r="13625" spans="2:6">
      <c r="B13625">
        <v>2016</v>
      </c>
      <c r="C13625" t="s">
        <v>145</v>
      </c>
      <c r="D13625" t="s">
        <v>183</v>
      </c>
      <c r="E13625" t="s">
        <v>7</v>
      </c>
      <c r="F13625">
        <v>5.9931631088256836</v>
      </c>
    </row>
    <row r="13626" spans="2:6">
      <c r="B13626">
        <v>2016</v>
      </c>
      <c r="C13626" t="s">
        <v>145</v>
      </c>
      <c r="D13626" t="s">
        <v>183</v>
      </c>
      <c r="E13626" t="s">
        <v>8</v>
      </c>
      <c r="F13626">
        <v>10.310295104980469</v>
      </c>
    </row>
    <row r="13627" spans="2:6">
      <c r="B13627">
        <v>2016</v>
      </c>
      <c r="C13627" t="s">
        <v>145</v>
      </c>
      <c r="D13627" t="s">
        <v>183</v>
      </c>
      <c r="E13627" t="s">
        <v>9</v>
      </c>
      <c r="F13627">
        <v>0.94517910480499268</v>
      </c>
    </row>
    <row r="13628" spans="2:6">
      <c r="B13628">
        <v>2016</v>
      </c>
      <c r="C13628" t="s">
        <v>145</v>
      </c>
      <c r="D13628" t="s">
        <v>183</v>
      </c>
      <c r="E13628" t="s">
        <v>10</v>
      </c>
      <c r="F13628">
        <v>68.300003051757813</v>
      </c>
    </row>
    <row r="13629" spans="2:6">
      <c r="B13629">
        <v>2016</v>
      </c>
      <c r="C13629" t="s">
        <v>145</v>
      </c>
      <c r="D13629" t="s">
        <v>183</v>
      </c>
      <c r="E13629" t="s">
        <v>11</v>
      </c>
      <c r="F13629">
        <v>0.70009851455688477</v>
      </c>
    </row>
    <row r="13630" spans="2:6">
      <c r="B13630">
        <v>2016</v>
      </c>
      <c r="C13630" t="s">
        <v>145</v>
      </c>
      <c r="D13630" t="s">
        <v>183</v>
      </c>
      <c r="E13630" t="s">
        <v>12</v>
      </c>
      <c r="F13630">
        <v>-6.063176691532135E-2</v>
      </c>
    </row>
    <row r="13631" spans="2:6">
      <c r="B13631">
        <v>2016</v>
      </c>
      <c r="C13631" t="s">
        <v>145</v>
      </c>
      <c r="D13631" t="s">
        <v>183</v>
      </c>
      <c r="E13631" t="s">
        <v>13</v>
      </c>
      <c r="F13631">
        <v>0.91660916805267334</v>
      </c>
    </row>
    <row r="13632" spans="2:6">
      <c r="B13632">
        <v>2016</v>
      </c>
      <c r="C13632" t="s">
        <v>145</v>
      </c>
      <c r="D13632" t="s">
        <v>183</v>
      </c>
      <c r="E13632" t="s">
        <v>14</v>
      </c>
      <c r="F13632">
        <v>0.77441608905792236</v>
      </c>
    </row>
    <row r="13633" spans="2:6">
      <c r="B13633">
        <v>2016</v>
      </c>
      <c r="C13633" t="s">
        <v>145</v>
      </c>
      <c r="D13633" t="s">
        <v>183</v>
      </c>
      <c r="E13633" t="s">
        <v>15</v>
      </c>
      <c r="F13633">
        <v>0.23209157586097717</v>
      </c>
    </row>
    <row r="13634" spans="2:6">
      <c r="B13634">
        <v>2017</v>
      </c>
      <c r="C13634" t="s">
        <v>145</v>
      </c>
      <c r="D13634" t="s">
        <v>183</v>
      </c>
      <c r="E13634" t="s">
        <v>7</v>
      </c>
      <c r="F13634">
        <v>6.365509033203125</v>
      </c>
    </row>
    <row r="13635" spans="2:6">
      <c r="B13635">
        <v>2017</v>
      </c>
      <c r="C13635" t="s">
        <v>145</v>
      </c>
      <c r="D13635" t="s">
        <v>183</v>
      </c>
      <c r="E13635" t="s">
        <v>8</v>
      </c>
      <c r="F13635">
        <v>10.338751792907715</v>
      </c>
    </row>
    <row r="13636" spans="2:6">
      <c r="B13636">
        <v>2017</v>
      </c>
      <c r="C13636" t="s">
        <v>145</v>
      </c>
      <c r="D13636" t="s">
        <v>183</v>
      </c>
      <c r="E13636" t="s">
        <v>9</v>
      </c>
      <c r="F13636">
        <v>0.91338664293289185</v>
      </c>
    </row>
    <row r="13637" spans="2:6">
      <c r="B13637">
        <v>2017</v>
      </c>
      <c r="C13637" t="s">
        <v>145</v>
      </c>
      <c r="D13637" t="s">
        <v>183</v>
      </c>
      <c r="E13637" t="s">
        <v>10</v>
      </c>
      <c r="F13637">
        <v>68.599998474121094</v>
      </c>
    </row>
    <row r="13638" spans="2:6">
      <c r="B13638">
        <v>2017</v>
      </c>
      <c r="C13638" t="s">
        <v>145</v>
      </c>
      <c r="D13638" t="s">
        <v>183</v>
      </c>
      <c r="E13638" t="s">
        <v>11</v>
      </c>
      <c r="F13638">
        <v>0.71422469615936279</v>
      </c>
    </row>
    <row r="13639" spans="2:6">
      <c r="B13639">
        <v>2017</v>
      </c>
      <c r="C13639" t="s">
        <v>145</v>
      </c>
      <c r="D13639" t="s">
        <v>183</v>
      </c>
      <c r="E13639" t="s">
        <v>12</v>
      </c>
      <c r="F13639">
        <v>-5.4507993161678314E-2</v>
      </c>
    </row>
    <row r="13640" spans="2:6">
      <c r="B13640">
        <v>2017</v>
      </c>
      <c r="C13640" t="s">
        <v>145</v>
      </c>
      <c r="D13640" t="s">
        <v>183</v>
      </c>
      <c r="E13640" t="s">
        <v>13</v>
      </c>
      <c r="F13640">
        <v>0.92042267322540283</v>
      </c>
    </row>
    <row r="13641" spans="2:6">
      <c r="B13641">
        <v>2017</v>
      </c>
      <c r="C13641" t="s">
        <v>145</v>
      </c>
      <c r="D13641" t="s">
        <v>183</v>
      </c>
      <c r="E13641" t="s">
        <v>14</v>
      </c>
      <c r="F13641">
        <v>0.78802043199539185</v>
      </c>
    </row>
    <row r="13642" spans="2:6">
      <c r="B13642">
        <v>2017</v>
      </c>
      <c r="C13642" t="s">
        <v>145</v>
      </c>
      <c r="D13642" t="s">
        <v>183</v>
      </c>
      <c r="E13642" t="s">
        <v>15</v>
      </c>
      <c r="F13642">
        <v>0.21272248029708862</v>
      </c>
    </row>
    <row r="13643" spans="2:6">
      <c r="B13643">
        <v>2018</v>
      </c>
      <c r="C13643" t="s">
        <v>145</v>
      </c>
      <c r="D13643" t="s">
        <v>183</v>
      </c>
      <c r="E13643" t="s">
        <v>7</v>
      </c>
      <c r="F13643">
        <v>6.2351107597351074</v>
      </c>
    </row>
    <row r="13644" spans="2:6">
      <c r="B13644">
        <v>2018</v>
      </c>
      <c r="C13644" t="s">
        <v>145</v>
      </c>
      <c r="D13644" t="s">
        <v>183</v>
      </c>
      <c r="E13644" t="s">
        <v>8</v>
      </c>
      <c r="F13644">
        <v>10.375594139099121</v>
      </c>
    </row>
    <row r="13645" spans="2:6">
      <c r="B13645">
        <v>2018</v>
      </c>
      <c r="C13645" t="s">
        <v>145</v>
      </c>
      <c r="D13645" t="s">
        <v>183</v>
      </c>
      <c r="E13645" t="s">
        <v>9</v>
      </c>
      <c r="F13645">
        <v>0.92237871885299683</v>
      </c>
    </row>
    <row r="13646" spans="2:6">
      <c r="B13646">
        <v>2018</v>
      </c>
      <c r="C13646" t="s">
        <v>145</v>
      </c>
      <c r="D13646" t="s">
        <v>183</v>
      </c>
      <c r="E13646" t="s">
        <v>10</v>
      </c>
      <c r="F13646">
        <v>68.900001525878906</v>
      </c>
    </row>
    <row r="13647" spans="2:6">
      <c r="B13647">
        <v>2018</v>
      </c>
      <c r="C13647" t="s">
        <v>145</v>
      </c>
      <c r="D13647" t="s">
        <v>183</v>
      </c>
      <c r="E13647" t="s">
        <v>11</v>
      </c>
      <c r="F13647">
        <v>0.75763404369354248</v>
      </c>
    </row>
    <row r="13648" spans="2:6">
      <c r="B13648">
        <v>2018</v>
      </c>
      <c r="C13648" t="s">
        <v>145</v>
      </c>
      <c r="D13648" t="s">
        <v>183</v>
      </c>
      <c r="E13648" t="s">
        <v>12</v>
      </c>
      <c r="F13648">
        <v>-0.16739816963672638</v>
      </c>
    </row>
    <row r="13649" spans="2:6">
      <c r="B13649">
        <v>2018</v>
      </c>
      <c r="C13649" t="s">
        <v>145</v>
      </c>
      <c r="D13649" t="s">
        <v>183</v>
      </c>
      <c r="E13649" t="s">
        <v>13</v>
      </c>
      <c r="F13649">
        <v>0.90994465351104736</v>
      </c>
    </row>
    <row r="13650" spans="2:6">
      <c r="B13650">
        <v>2018</v>
      </c>
      <c r="C13650" t="s">
        <v>145</v>
      </c>
      <c r="D13650" t="s">
        <v>183</v>
      </c>
      <c r="E13650" t="s">
        <v>14</v>
      </c>
      <c r="F13650">
        <v>0.75410521030426025</v>
      </c>
    </row>
    <row r="13651" spans="2:6">
      <c r="B13651">
        <v>2018</v>
      </c>
      <c r="C13651" t="s">
        <v>145</v>
      </c>
      <c r="D13651" t="s">
        <v>183</v>
      </c>
      <c r="E13651" t="s">
        <v>15</v>
      </c>
      <c r="F13651">
        <v>0.25319004058837891</v>
      </c>
    </row>
    <row r="13652" spans="2:6">
      <c r="B13652">
        <v>2019</v>
      </c>
      <c r="C13652" t="s">
        <v>145</v>
      </c>
      <c r="D13652" t="s">
        <v>183</v>
      </c>
      <c r="E13652" t="s">
        <v>7</v>
      </c>
      <c r="F13652">
        <v>6.2434287071228027</v>
      </c>
    </row>
    <row r="13653" spans="2:6">
      <c r="B13653">
        <v>2019</v>
      </c>
      <c r="C13653" t="s">
        <v>145</v>
      </c>
      <c r="D13653" t="s">
        <v>183</v>
      </c>
      <c r="E13653" t="s">
        <v>8</v>
      </c>
      <c r="F13653">
        <v>10.397956848144531</v>
      </c>
    </row>
    <row r="13654" spans="2:6">
      <c r="B13654">
        <v>2019</v>
      </c>
      <c r="C13654" t="s">
        <v>145</v>
      </c>
      <c r="D13654" t="s">
        <v>183</v>
      </c>
      <c r="E13654" t="s">
        <v>9</v>
      </c>
      <c r="F13654">
        <v>0.93308830261230469</v>
      </c>
    </row>
    <row r="13655" spans="2:6">
      <c r="B13655">
        <v>2019</v>
      </c>
      <c r="C13655" t="s">
        <v>145</v>
      </c>
      <c r="D13655" t="s">
        <v>183</v>
      </c>
      <c r="E13655" t="s">
        <v>10</v>
      </c>
      <c r="F13655">
        <v>69.199996948242188</v>
      </c>
    </row>
    <row r="13656" spans="2:6">
      <c r="B13656">
        <v>2019</v>
      </c>
      <c r="C13656" t="s">
        <v>145</v>
      </c>
      <c r="D13656" t="s">
        <v>183</v>
      </c>
      <c r="E13656" t="s">
        <v>11</v>
      </c>
      <c r="F13656">
        <v>0.7711215615272522</v>
      </c>
    </row>
    <row r="13657" spans="2:6">
      <c r="B13657">
        <v>2019</v>
      </c>
      <c r="C13657" t="s">
        <v>145</v>
      </c>
      <c r="D13657" t="s">
        <v>183</v>
      </c>
      <c r="E13657" t="s">
        <v>12</v>
      </c>
      <c r="F13657">
        <v>-0.12901543080806732</v>
      </c>
    </row>
    <row r="13658" spans="2:6">
      <c r="B13658">
        <v>2019</v>
      </c>
      <c r="C13658" t="s">
        <v>145</v>
      </c>
      <c r="D13658" t="s">
        <v>183</v>
      </c>
      <c r="E13658" t="s">
        <v>13</v>
      </c>
      <c r="F13658">
        <v>0.92584669589996338</v>
      </c>
    </row>
    <row r="13659" spans="2:6">
      <c r="B13659">
        <v>2019</v>
      </c>
      <c r="C13659" t="s">
        <v>145</v>
      </c>
      <c r="D13659" t="s">
        <v>183</v>
      </c>
      <c r="E13659" t="s">
        <v>14</v>
      </c>
      <c r="F13659">
        <v>0.75037950277328491</v>
      </c>
    </row>
    <row r="13660" spans="2:6">
      <c r="B13660">
        <v>2019</v>
      </c>
      <c r="C13660" t="s">
        <v>145</v>
      </c>
      <c r="D13660" t="s">
        <v>183</v>
      </c>
      <c r="E13660" t="s">
        <v>15</v>
      </c>
      <c r="F13660">
        <v>0.25180631875991821</v>
      </c>
    </row>
    <row r="13661" spans="2:6">
      <c r="B13661">
        <v>2020</v>
      </c>
      <c r="C13661" t="s">
        <v>145</v>
      </c>
      <c r="D13661" t="s">
        <v>183</v>
      </c>
      <c r="E13661" t="s">
        <v>7</v>
      </c>
      <c r="F13661">
        <v>6.5190982818603516</v>
      </c>
    </row>
    <row r="13662" spans="2:6">
      <c r="B13662">
        <v>2020</v>
      </c>
      <c r="C13662" t="s">
        <v>145</v>
      </c>
      <c r="D13662" t="s">
        <v>183</v>
      </c>
      <c r="E13662" t="s">
        <v>8</v>
      </c>
      <c r="F13662">
        <v>10.331512451171875</v>
      </c>
    </row>
    <row r="13663" spans="2:6">
      <c r="B13663">
        <v>2020</v>
      </c>
      <c r="C13663" t="s">
        <v>145</v>
      </c>
      <c r="D13663" t="s">
        <v>183</v>
      </c>
      <c r="E13663" t="s">
        <v>9</v>
      </c>
      <c r="F13663">
        <v>0.95415997505187988</v>
      </c>
    </row>
    <row r="13664" spans="2:6">
      <c r="B13664">
        <v>2020</v>
      </c>
      <c r="C13664" t="s">
        <v>145</v>
      </c>
      <c r="D13664" t="s">
        <v>183</v>
      </c>
      <c r="E13664" t="s">
        <v>10</v>
      </c>
      <c r="F13664">
        <v>69.5</v>
      </c>
    </row>
    <row r="13665" spans="2:6">
      <c r="B13665">
        <v>2020</v>
      </c>
      <c r="C13665" t="s">
        <v>145</v>
      </c>
      <c r="D13665" t="s">
        <v>183</v>
      </c>
      <c r="E13665" t="s">
        <v>11</v>
      </c>
      <c r="F13665">
        <v>0.76189661026000977</v>
      </c>
    </row>
    <row r="13666" spans="2:6">
      <c r="B13666">
        <v>2020</v>
      </c>
      <c r="C13666" t="s">
        <v>145</v>
      </c>
      <c r="D13666" t="s">
        <v>183</v>
      </c>
      <c r="E13666" t="s">
        <v>12</v>
      </c>
      <c r="F13666">
        <v>-7.4873514473438263E-2</v>
      </c>
    </row>
    <row r="13667" spans="2:6">
      <c r="B13667">
        <v>2020</v>
      </c>
      <c r="C13667" t="s">
        <v>145</v>
      </c>
      <c r="D13667" t="s">
        <v>183</v>
      </c>
      <c r="E13667" t="s">
        <v>13</v>
      </c>
      <c r="F13667">
        <v>0.90053367614746094</v>
      </c>
    </row>
    <row r="13668" spans="2:6">
      <c r="B13668">
        <v>2020</v>
      </c>
      <c r="C13668" t="s">
        <v>145</v>
      </c>
      <c r="D13668" t="s">
        <v>183</v>
      </c>
      <c r="E13668" t="s">
        <v>14</v>
      </c>
      <c r="F13668">
        <v>0.76358288526535034</v>
      </c>
    </row>
    <row r="13669" spans="2:6">
      <c r="B13669">
        <v>2020</v>
      </c>
      <c r="C13669" t="s">
        <v>145</v>
      </c>
      <c r="D13669" t="s">
        <v>183</v>
      </c>
      <c r="E13669" t="s">
        <v>15</v>
      </c>
      <c r="F13669">
        <v>0.27444788813591003</v>
      </c>
    </row>
    <row r="13670" spans="2:6">
      <c r="B13670">
        <v>2006</v>
      </c>
      <c r="C13670" t="s">
        <v>146</v>
      </c>
      <c r="D13670" t="s">
        <v>183</v>
      </c>
      <c r="E13670" t="s">
        <v>7</v>
      </c>
      <c r="F13670">
        <v>5.8112645149230957</v>
      </c>
    </row>
    <row r="13671" spans="2:6">
      <c r="B13671">
        <v>2006</v>
      </c>
      <c r="C13671" t="s">
        <v>146</v>
      </c>
      <c r="D13671" t="s">
        <v>183</v>
      </c>
      <c r="E13671" t="s">
        <v>8</v>
      </c>
      <c r="F13671">
        <v>10.402996063232422</v>
      </c>
    </row>
    <row r="13672" spans="2:6">
      <c r="B13672">
        <v>2006</v>
      </c>
      <c r="C13672" t="s">
        <v>146</v>
      </c>
      <c r="D13672" t="s">
        <v>183</v>
      </c>
      <c r="E13672" t="s">
        <v>9</v>
      </c>
      <c r="F13672">
        <v>0.93607521057128906</v>
      </c>
    </row>
    <row r="13673" spans="2:6">
      <c r="B13673">
        <v>2006</v>
      </c>
      <c r="C13673" t="s">
        <v>146</v>
      </c>
      <c r="D13673" t="s">
        <v>183</v>
      </c>
      <c r="E13673" t="s">
        <v>10</v>
      </c>
      <c r="F13673">
        <v>68</v>
      </c>
    </row>
    <row r="13674" spans="2:6">
      <c r="B13674">
        <v>2006</v>
      </c>
      <c r="C13674" t="s">
        <v>146</v>
      </c>
      <c r="D13674" t="s">
        <v>183</v>
      </c>
      <c r="E13674" t="s">
        <v>11</v>
      </c>
      <c r="F13674">
        <v>0.93582421541213989</v>
      </c>
    </row>
    <row r="13675" spans="2:6">
      <c r="B13675">
        <v>2006</v>
      </c>
      <c r="C13675" t="s">
        <v>146</v>
      </c>
      <c r="D13675" t="s">
        <v>183</v>
      </c>
      <c r="E13675" t="s">
        <v>12</v>
      </c>
      <c r="F13675">
        <v>4.2651593685150146E-2</v>
      </c>
    </row>
    <row r="13676" spans="2:6">
      <c r="B13676">
        <v>2006</v>
      </c>
      <c r="C13676" t="s">
        <v>146</v>
      </c>
      <c r="D13676" t="s">
        <v>183</v>
      </c>
      <c r="E13676" t="s">
        <v>13</v>
      </c>
      <c r="F13676">
        <v>0.70779788494110107</v>
      </c>
    </row>
    <row r="13677" spans="2:6">
      <c r="B13677">
        <v>2006</v>
      </c>
      <c r="C13677" t="s">
        <v>146</v>
      </c>
      <c r="D13677" t="s">
        <v>183</v>
      </c>
      <c r="E13677" t="s">
        <v>14</v>
      </c>
      <c r="F13677">
        <v>0.65222245454788208</v>
      </c>
    </row>
    <row r="13678" spans="2:6">
      <c r="B13678">
        <v>2006</v>
      </c>
      <c r="C13678" t="s">
        <v>146</v>
      </c>
      <c r="D13678" t="s">
        <v>183</v>
      </c>
      <c r="E13678" t="s">
        <v>15</v>
      </c>
      <c r="F13678">
        <v>0.30720487236976624</v>
      </c>
    </row>
    <row r="13679" spans="2:6">
      <c r="B13679">
        <v>2009</v>
      </c>
      <c r="C13679" t="s">
        <v>146</v>
      </c>
      <c r="D13679" t="s">
        <v>183</v>
      </c>
      <c r="E13679" t="s">
        <v>7</v>
      </c>
      <c r="F13679">
        <v>5.8301606178283691</v>
      </c>
    </row>
    <row r="13680" spans="2:6">
      <c r="B13680">
        <v>2009</v>
      </c>
      <c r="C13680" t="s">
        <v>146</v>
      </c>
      <c r="D13680" t="s">
        <v>183</v>
      </c>
      <c r="E13680" t="s">
        <v>8</v>
      </c>
      <c r="F13680">
        <v>10.410268783569336</v>
      </c>
    </row>
    <row r="13681" spans="2:6">
      <c r="B13681">
        <v>2009</v>
      </c>
      <c r="C13681" t="s">
        <v>146</v>
      </c>
      <c r="D13681" t="s">
        <v>183</v>
      </c>
      <c r="E13681" t="s">
        <v>9</v>
      </c>
      <c r="F13681">
        <v>0.91869664192199707</v>
      </c>
    </row>
    <row r="13682" spans="2:6">
      <c r="B13682">
        <v>2009</v>
      </c>
      <c r="C13682" t="s">
        <v>146</v>
      </c>
      <c r="D13682" t="s">
        <v>183</v>
      </c>
      <c r="E13682" t="s">
        <v>10</v>
      </c>
      <c r="F13682">
        <v>68.900001525878906</v>
      </c>
    </row>
    <row r="13683" spans="2:6">
      <c r="B13683">
        <v>2009</v>
      </c>
      <c r="C13683" t="s">
        <v>146</v>
      </c>
      <c r="D13683" t="s">
        <v>183</v>
      </c>
      <c r="E13683" t="s">
        <v>11</v>
      </c>
      <c r="F13683">
        <v>0.89595663547515869</v>
      </c>
    </row>
    <row r="13684" spans="2:6">
      <c r="B13684">
        <v>2009</v>
      </c>
      <c r="C13684" t="s">
        <v>146</v>
      </c>
      <c r="D13684" t="s">
        <v>183</v>
      </c>
      <c r="E13684" t="s">
        <v>12</v>
      </c>
      <c r="F13684">
        <v>-1.8933460116386414E-2</v>
      </c>
    </row>
    <row r="13685" spans="2:6">
      <c r="B13685">
        <v>2009</v>
      </c>
      <c r="C13685" t="s">
        <v>146</v>
      </c>
      <c r="D13685" t="s">
        <v>183</v>
      </c>
      <c r="E13685" t="s">
        <v>13</v>
      </c>
      <c r="F13685">
        <v>0.8036341667175293</v>
      </c>
    </row>
    <row r="13686" spans="2:6">
      <c r="B13686">
        <v>2009</v>
      </c>
      <c r="C13686" t="s">
        <v>146</v>
      </c>
      <c r="D13686" t="s">
        <v>183</v>
      </c>
      <c r="E13686" t="s">
        <v>14</v>
      </c>
      <c r="F13686">
        <v>0.64071327447891235</v>
      </c>
    </row>
    <row r="13687" spans="2:6">
      <c r="B13687">
        <v>2009</v>
      </c>
      <c r="C13687" t="s">
        <v>146</v>
      </c>
      <c r="D13687" t="s">
        <v>183</v>
      </c>
      <c r="E13687" t="s">
        <v>15</v>
      </c>
      <c r="F13687">
        <v>0.30311745405197144</v>
      </c>
    </row>
    <row r="13688" spans="2:6">
      <c r="B13688">
        <v>2010</v>
      </c>
      <c r="C13688" t="s">
        <v>146</v>
      </c>
      <c r="D13688" t="s">
        <v>183</v>
      </c>
      <c r="E13688" t="s">
        <v>7</v>
      </c>
      <c r="F13688">
        <v>6.0825552940368652</v>
      </c>
    </row>
    <row r="13689" spans="2:6">
      <c r="B13689">
        <v>2010</v>
      </c>
      <c r="C13689" t="s">
        <v>146</v>
      </c>
      <c r="D13689" t="s">
        <v>183</v>
      </c>
      <c r="E13689" t="s">
        <v>8</v>
      </c>
      <c r="F13689">
        <v>10.419256210327148</v>
      </c>
    </row>
    <row r="13690" spans="2:6">
      <c r="B13690">
        <v>2010</v>
      </c>
      <c r="C13690" t="s">
        <v>146</v>
      </c>
      <c r="D13690" t="s">
        <v>183</v>
      </c>
      <c r="E13690" t="s">
        <v>9</v>
      </c>
      <c r="F13690">
        <v>0.91720336675643921</v>
      </c>
    </row>
    <row r="13691" spans="2:6">
      <c r="B13691">
        <v>2010</v>
      </c>
      <c r="C13691" t="s">
        <v>146</v>
      </c>
      <c r="D13691" t="s">
        <v>183</v>
      </c>
      <c r="E13691" t="s">
        <v>10</v>
      </c>
      <c r="F13691">
        <v>69.199996948242188</v>
      </c>
    </row>
    <row r="13692" spans="2:6">
      <c r="B13692">
        <v>2010</v>
      </c>
      <c r="C13692" t="s">
        <v>146</v>
      </c>
      <c r="D13692" t="s">
        <v>183</v>
      </c>
      <c r="E13692" t="s">
        <v>11</v>
      </c>
      <c r="F13692">
        <v>0.89552241563796997</v>
      </c>
    </row>
    <row r="13693" spans="2:6">
      <c r="B13693">
        <v>2010</v>
      </c>
      <c r="C13693" t="s">
        <v>146</v>
      </c>
      <c r="D13693" t="s">
        <v>183</v>
      </c>
      <c r="E13693" t="s">
        <v>12</v>
      </c>
      <c r="F13693">
        <v>2.9249949380755424E-2</v>
      </c>
    </row>
    <row r="13694" spans="2:6">
      <c r="B13694">
        <v>2010</v>
      </c>
      <c r="C13694" t="s">
        <v>146</v>
      </c>
      <c r="D13694" t="s">
        <v>183</v>
      </c>
      <c r="E13694" t="s">
        <v>13</v>
      </c>
      <c r="F13694">
        <v>0.84479069709777832</v>
      </c>
    </row>
    <row r="13695" spans="2:6">
      <c r="B13695">
        <v>2010</v>
      </c>
      <c r="C13695" t="s">
        <v>146</v>
      </c>
      <c r="D13695" t="s">
        <v>183</v>
      </c>
      <c r="E13695" t="s">
        <v>14</v>
      </c>
      <c r="F13695">
        <v>0.67081367969512939</v>
      </c>
    </row>
    <row r="13696" spans="2:6">
      <c r="B13696">
        <v>2010</v>
      </c>
      <c r="C13696" t="s">
        <v>146</v>
      </c>
      <c r="D13696" t="s">
        <v>183</v>
      </c>
      <c r="E13696" t="s">
        <v>15</v>
      </c>
      <c r="F13696">
        <v>0.29536613821983337</v>
      </c>
    </row>
    <row r="13697" spans="2:6">
      <c r="B13697">
        <v>2011</v>
      </c>
      <c r="C13697" t="s">
        <v>146</v>
      </c>
      <c r="D13697" t="s">
        <v>183</v>
      </c>
      <c r="E13697" t="s">
        <v>7</v>
      </c>
      <c r="F13697">
        <v>6.0359640121459961</v>
      </c>
    </row>
    <row r="13698" spans="2:6">
      <c r="B13698">
        <v>2011</v>
      </c>
      <c r="C13698" t="s">
        <v>146</v>
      </c>
      <c r="D13698" t="s">
        <v>183</v>
      </c>
      <c r="E13698" t="s">
        <v>8</v>
      </c>
      <c r="F13698">
        <v>10.425754547119141</v>
      </c>
    </row>
    <row r="13699" spans="2:6">
      <c r="B13699">
        <v>2011</v>
      </c>
      <c r="C13699" t="s">
        <v>146</v>
      </c>
      <c r="D13699" t="s">
        <v>183</v>
      </c>
      <c r="E13699" t="s">
        <v>9</v>
      </c>
      <c r="F13699">
        <v>0.93116605281829834</v>
      </c>
    </row>
    <row r="13700" spans="2:6">
      <c r="B13700">
        <v>2011</v>
      </c>
      <c r="C13700" t="s">
        <v>146</v>
      </c>
      <c r="D13700" t="s">
        <v>183</v>
      </c>
      <c r="E13700" t="s">
        <v>10</v>
      </c>
      <c r="F13700">
        <v>69.400001525878906</v>
      </c>
    </row>
    <row r="13701" spans="2:6">
      <c r="B13701">
        <v>2011</v>
      </c>
      <c r="C13701" t="s">
        <v>146</v>
      </c>
      <c r="D13701" t="s">
        <v>183</v>
      </c>
      <c r="E13701" t="s">
        <v>11</v>
      </c>
      <c r="F13701">
        <v>0.9074409008026123</v>
      </c>
    </row>
    <row r="13702" spans="2:6">
      <c r="B13702">
        <v>2011</v>
      </c>
      <c r="C13702" t="s">
        <v>146</v>
      </c>
      <c r="D13702" t="s">
        <v>183</v>
      </c>
      <c r="E13702" t="s">
        <v>12</v>
      </c>
      <c r="F13702">
        <v>-2.5104328989982605E-2</v>
      </c>
    </row>
    <row r="13703" spans="2:6">
      <c r="B13703">
        <v>2011</v>
      </c>
      <c r="C13703" t="s">
        <v>146</v>
      </c>
      <c r="D13703" t="s">
        <v>183</v>
      </c>
      <c r="E13703" t="s">
        <v>13</v>
      </c>
      <c r="F13703">
        <v>0.89313381910324097</v>
      </c>
    </row>
    <row r="13704" spans="2:6">
      <c r="B13704">
        <v>2011</v>
      </c>
      <c r="C13704" t="s">
        <v>146</v>
      </c>
      <c r="D13704" t="s">
        <v>183</v>
      </c>
      <c r="E13704" t="s">
        <v>14</v>
      </c>
      <c r="F13704">
        <v>0.65152072906494141</v>
      </c>
    </row>
    <row r="13705" spans="2:6">
      <c r="B13705">
        <v>2011</v>
      </c>
      <c r="C13705" t="s">
        <v>146</v>
      </c>
      <c r="D13705" t="s">
        <v>183</v>
      </c>
      <c r="E13705" t="s">
        <v>15</v>
      </c>
      <c r="F13705">
        <v>0.2853209376335144</v>
      </c>
    </row>
    <row r="13706" spans="2:6">
      <c r="B13706">
        <v>2012</v>
      </c>
      <c r="C13706" t="s">
        <v>146</v>
      </c>
      <c r="D13706" t="s">
        <v>183</v>
      </c>
      <c r="E13706" t="s">
        <v>7</v>
      </c>
      <c r="F13706">
        <v>6.0628910064697266</v>
      </c>
    </row>
    <row r="13707" spans="2:6">
      <c r="B13707">
        <v>2012</v>
      </c>
      <c r="C13707" t="s">
        <v>146</v>
      </c>
      <c r="D13707" t="s">
        <v>183</v>
      </c>
      <c r="E13707" t="s">
        <v>8</v>
      </c>
      <c r="F13707">
        <v>10.396905899047852</v>
      </c>
    </row>
    <row r="13708" spans="2:6">
      <c r="B13708">
        <v>2012</v>
      </c>
      <c r="C13708" t="s">
        <v>146</v>
      </c>
      <c r="D13708" t="s">
        <v>183</v>
      </c>
      <c r="E13708" t="s">
        <v>9</v>
      </c>
      <c r="F13708">
        <v>0.92475378513336182</v>
      </c>
    </row>
    <row r="13709" spans="2:6">
      <c r="B13709">
        <v>2012</v>
      </c>
      <c r="C13709" t="s">
        <v>146</v>
      </c>
      <c r="D13709" t="s">
        <v>183</v>
      </c>
      <c r="E13709" t="s">
        <v>10</v>
      </c>
      <c r="F13709">
        <v>69.599998474121094</v>
      </c>
    </row>
    <row r="13710" spans="2:6">
      <c r="B13710">
        <v>2012</v>
      </c>
      <c r="C13710" t="s">
        <v>146</v>
      </c>
      <c r="D13710" t="s">
        <v>183</v>
      </c>
      <c r="E13710" t="s">
        <v>11</v>
      </c>
      <c r="F13710">
        <v>0.90438628196716309</v>
      </c>
    </row>
    <row r="13711" spans="2:6">
      <c r="B13711">
        <v>2012</v>
      </c>
      <c r="C13711" t="s">
        <v>146</v>
      </c>
      <c r="D13711" t="s">
        <v>183</v>
      </c>
      <c r="E13711" t="s">
        <v>12</v>
      </c>
      <c r="F13711">
        <v>-1.9660847261548042E-2</v>
      </c>
    </row>
    <row r="13712" spans="2:6">
      <c r="B13712">
        <v>2012</v>
      </c>
      <c r="C13712" t="s">
        <v>146</v>
      </c>
      <c r="D13712" t="s">
        <v>183</v>
      </c>
      <c r="E13712" t="s">
        <v>13</v>
      </c>
      <c r="F13712">
        <v>0.8907541036605835</v>
      </c>
    </row>
    <row r="13713" spans="2:6">
      <c r="B13713">
        <v>2012</v>
      </c>
      <c r="C13713" t="s">
        <v>146</v>
      </c>
      <c r="D13713" t="s">
        <v>183</v>
      </c>
      <c r="E13713" t="s">
        <v>14</v>
      </c>
      <c r="F13713">
        <v>0.65637636184692383</v>
      </c>
    </row>
    <row r="13714" spans="2:6">
      <c r="B13714">
        <v>2012</v>
      </c>
      <c r="C13714" t="s">
        <v>146</v>
      </c>
      <c r="D13714" t="s">
        <v>183</v>
      </c>
      <c r="E13714" t="s">
        <v>15</v>
      </c>
      <c r="F13714">
        <v>0.28398984670639038</v>
      </c>
    </row>
    <row r="13715" spans="2:6">
      <c r="B13715">
        <v>2013</v>
      </c>
      <c r="C13715" t="s">
        <v>146</v>
      </c>
      <c r="D13715" t="s">
        <v>183</v>
      </c>
      <c r="E13715" t="s">
        <v>7</v>
      </c>
      <c r="F13715">
        <v>5.974888801574707</v>
      </c>
    </row>
    <row r="13716" spans="2:6">
      <c r="B13716">
        <v>2013</v>
      </c>
      <c r="C13716" t="s">
        <v>146</v>
      </c>
      <c r="D13716" t="s">
        <v>183</v>
      </c>
      <c r="E13716" t="s">
        <v>8</v>
      </c>
      <c r="F13716">
        <v>10.385202407836914</v>
      </c>
    </row>
    <row r="13717" spans="2:6">
      <c r="B13717">
        <v>2013</v>
      </c>
      <c r="C13717" t="s">
        <v>146</v>
      </c>
      <c r="D13717" t="s">
        <v>183</v>
      </c>
      <c r="E13717" t="s">
        <v>9</v>
      </c>
      <c r="F13717">
        <v>0.93211972713470459</v>
      </c>
    </row>
    <row r="13718" spans="2:6">
      <c r="B13718">
        <v>2013</v>
      </c>
      <c r="C13718" t="s">
        <v>146</v>
      </c>
      <c r="D13718" t="s">
        <v>183</v>
      </c>
      <c r="E13718" t="s">
        <v>10</v>
      </c>
      <c r="F13718">
        <v>69.800003051757813</v>
      </c>
    </row>
    <row r="13719" spans="2:6">
      <c r="B13719">
        <v>2013</v>
      </c>
      <c r="C13719" t="s">
        <v>146</v>
      </c>
      <c r="D13719" t="s">
        <v>183</v>
      </c>
      <c r="E13719" t="s">
        <v>11</v>
      </c>
      <c r="F13719">
        <v>0.89005982875823975</v>
      </c>
    </row>
    <row r="13720" spans="2:6">
      <c r="B13720">
        <v>2013</v>
      </c>
      <c r="C13720" t="s">
        <v>146</v>
      </c>
      <c r="D13720" t="s">
        <v>183</v>
      </c>
      <c r="E13720" t="s">
        <v>12</v>
      </c>
      <c r="F13720">
        <v>3.5709477961063385E-2</v>
      </c>
    </row>
    <row r="13721" spans="2:6">
      <c r="B13721">
        <v>2013</v>
      </c>
      <c r="C13721" t="s">
        <v>146</v>
      </c>
      <c r="D13721" t="s">
        <v>183</v>
      </c>
      <c r="E13721" t="s">
        <v>13</v>
      </c>
      <c r="F13721">
        <v>0.91783958673477173</v>
      </c>
    </row>
    <row r="13722" spans="2:6">
      <c r="B13722">
        <v>2013</v>
      </c>
      <c r="C13722" t="s">
        <v>146</v>
      </c>
      <c r="D13722" t="s">
        <v>183</v>
      </c>
      <c r="E13722" t="s">
        <v>14</v>
      </c>
      <c r="F13722">
        <v>0.63509964942932129</v>
      </c>
    </row>
    <row r="13723" spans="2:6">
      <c r="B13723">
        <v>2013</v>
      </c>
      <c r="C13723" t="s">
        <v>146</v>
      </c>
      <c r="D13723" t="s">
        <v>183</v>
      </c>
      <c r="E13723" t="s">
        <v>15</v>
      </c>
      <c r="F13723">
        <v>0.27426928281784058</v>
      </c>
    </row>
    <row r="13724" spans="2:6">
      <c r="B13724">
        <v>2014</v>
      </c>
      <c r="C13724" t="s">
        <v>146</v>
      </c>
      <c r="D13724" t="s">
        <v>183</v>
      </c>
      <c r="E13724" t="s">
        <v>7</v>
      </c>
      <c r="F13724">
        <v>5.6783952713012695</v>
      </c>
    </row>
    <row r="13725" spans="2:6">
      <c r="B13725">
        <v>2014</v>
      </c>
      <c r="C13725" t="s">
        <v>146</v>
      </c>
      <c r="D13725" t="s">
        <v>183</v>
      </c>
      <c r="E13725" t="s">
        <v>8</v>
      </c>
      <c r="F13725">
        <v>10.411523818969727</v>
      </c>
    </row>
    <row r="13726" spans="2:6">
      <c r="B13726">
        <v>2014</v>
      </c>
      <c r="C13726" t="s">
        <v>146</v>
      </c>
      <c r="D13726" t="s">
        <v>183</v>
      </c>
      <c r="E13726" t="s">
        <v>9</v>
      </c>
      <c r="F13726">
        <v>0.90834754705429077</v>
      </c>
    </row>
    <row r="13727" spans="2:6">
      <c r="B13727">
        <v>2014</v>
      </c>
      <c r="C13727" t="s">
        <v>146</v>
      </c>
      <c r="D13727" t="s">
        <v>183</v>
      </c>
      <c r="E13727" t="s">
        <v>10</v>
      </c>
      <c r="F13727">
        <v>70</v>
      </c>
    </row>
    <row r="13728" spans="2:6">
      <c r="B13728">
        <v>2014</v>
      </c>
      <c r="C13728" t="s">
        <v>146</v>
      </c>
      <c r="D13728" t="s">
        <v>183</v>
      </c>
      <c r="E13728" t="s">
        <v>11</v>
      </c>
      <c r="F13728">
        <v>0.88774770498275757</v>
      </c>
    </row>
    <row r="13729" spans="2:6">
      <c r="B13729">
        <v>2014</v>
      </c>
      <c r="C13729" t="s">
        <v>146</v>
      </c>
      <c r="D13729" t="s">
        <v>183</v>
      </c>
      <c r="E13729" t="s">
        <v>12</v>
      </c>
      <c r="F13729">
        <v>5.2348189055919647E-2</v>
      </c>
    </row>
    <row r="13730" spans="2:6">
      <c r="B13730">
        <v>2014</v>
      </c>
      <c r="C13730" t="s">
        <v>146</v>
      </c>
      <c r="D13730" t="s">
        <v>183</v>
      </c>
      <c r="E13730" t="s">
        <v>13</v>
      </c>
      <c r="F13730">
        <v>0.90911829471588135</v>
      </c>
    </row>
    <row r="13731" spans="2:6">
      <c r="B13731">
        <v>2014</v>
      </c>
      <c r="C13731" t="s">
        <v>146</v>
      </c>
      <c r="D13731" t="s">
        <v>183</v>
      </c>
      <c r="E13731" t="s">
        <v>14</v>
      </c>
      <c r="F13731">
        <v>0.61981779336929321</v>
      </c>
    </row>
    <row r="13732" spans="2:6">
      <c r="B13732">
        <v>2014</v>
      </c>
      <c r="C13732" t="s">
        <v>146</v>
      </c>
      <c r="D13732" t="s">
        <v>183</v>
      </c>
      <c r="E13732" t="s">
        <v>15</v>
      </c>
      <c r="F13732">
        <v>0.29081240296363831</v>
      </c>
    </row>
    <row r="13733" spans="2:6">
      <c r="B13733">
        <v>2015</v>
      </c>
      <c r="C13733" t="s">
        <v>146</v>
      </c>
      <c r="D13733" t="s">
        <v>183</v>
      </c>
      <c r="E13733" t="s">
        <v>7</v>
      </c>
      <c r="F13733">
        <v>5.7406420707702637</v>
      </c>
    </row>
    <row r="13734" spans="2:6">
      <c r="B13734">
        <v>2015</v>
      </c>
      <c r="C13734" t="s">
        <v>146</v>
      </c>
      <c r="D13734" t="s">
        <v>183</v>
      </c>
      <c r="E13734" t="s">
        <v>8</v>
      </c>
      <c r="F13734">
        <v>10.432632446289063</v>
      </c>
    </row>
    <row r="13735" spans="2:6">
      <c r="B13735">
        <v>2015</v>
      </c>
      <c r="C13735" t="s">
        <v>146</v>
      </c>
      <c r="D13735" t="s">
        <v>183</v>
      </c>
      <c r="E13735" t="s">
        <v>9</v>
      </c>
      <c r="F13735">
        <v>0.90116375684738159</v>
      </c>
    </row>
    <row r="13736" spans="2:6">
      <c r="B13736">
        <v>2015</v>
      </c>
      <c r="C13736" t="s">
        <v>146</v>
      </c>
      <c r="D13736" t="s">
        <v>183</v>
      </c>
      <c r="E13736" t="s">
        <v>10</v>
      </c>
      <c r="F13736">
        <v>70.199996948242188</v>
      </c>
    </row>
    <row r="13737" spans="2:6">
      <c r="B13737">
        <v>2015</v>
      </c>
      <c r="C13737" t="s">
        <v>146</v>
      </c>
      <c r="D13737" t="s">
        <v>183</v>
      </c>
      <c r="E13737" t="s">
        <v>11</v>
      </c>
      <c r="F13737">
        <v>0.89600729942321777</v>
      </c>
    </row>
    <row r="13738" spans="2:6">
      <c r="B13738">
        <v>2015</v>
      </c>
      <c r="C13738" t="s">
        <v>146</v>
      </c>
      <c r="D13738" t="s">
        <v>183</v>
      </c>
      <c r="E13738" t="s">
        <v>12</v>
      </c>
      <c r="F13738">
        <v>7.825181819498539E-3</v>
      </c>
    </row>
    <row r="13739" spans="2:6">
      <c r="B13739">
        <v>2015</v>
      </c>
      <c r="C13739" t="s">
        <v>146</v>
      </c>
      <c r="D13739" t="s">
        <v>183</v>
      </c>
      <c r="E13739" t="s">
        <v>13</v>
      </c>
      <c r="F13739">
        <v>0.89219790697097778</v>
      </c>
    </row>
    <row r="13740" spans="2:6">
      <c r="B13740">
        <v>2015</v>
      </c>
      <c r="C13740" t="s">
        <v>146</v>
      </c>
      <c r="D13740" t="s">
        <v>183</v>
      </c>
      <c r="E13740" t="s">
        <v>14</v>
      </c>
      <c r="F13740">
        <v>0.65908503532409668</v>
      </c>
    </row>
    <row r="13741" spans="2:6">
      <c r="B13741">
        <v>2015</v>
      </c>
      <c r="C13741" t="s">
        <v>146</v>
      </c>
      <c r="D13741" t="s">
        <v>183</v>
      </c>
      <c r="E13741" t="s">
        <v>15</v>
      </c>
      <c r="F13741">
        <v>0.26141873002052307</v>
      </c>
    </row>
    <row r="13742" spans="2:6">
      <c r="B13742">
        <v>2016</v>
      </c>
      <c r="C13742" t="s">
        <v>146</v>
      </c>
      <c r="D13742" t="s">
        <v>183</v>
      </c>
      <c r="E13742" t="s">
        <v>7</v>
      </c>
      <c r="F13742">
        <v>5.936821460723877</v>
      </c>
    </row>
    <row r="13743" spans="2:6">
      <c r="B13743">
        <v>2016</v>
      </c>
      <c r="C13743" t="s">
        <v>146</v>
      </c>
      <c r="D13743" t="s">
        <v>183</v>
      </c>
      <c r="E13743" t="s">
        <v>8</v>
      </c>
      <c r="F13743">
        <v>10.462639808654785</v>
      </c>
    </row>
    <row r="13744" spans="2:6">
      <c r="B13744">
        <v>2016</v>
      </c>
      <c r="C13744" t="s">
        <v>146</v>
      </c>
      <c r="D13744" t="s">
        <v>183</v>
      </c>
      <c r="E13744" t="s">
        <v>9</v>
      </c>
      <c r="F13744">
        <v>0.93448734283447266</v>
      </c>
    </row>
    <row r="13745" spans="2:6">
      <c r="B13745">
        <v>2016</v>
      </c>
      <c r="C13745" t="s">
        <v>146</v>
      </c>
      <c r="D13745" t="s">
        <v>183</v>
      </c>
      <c r="E13745" t="s">
        <v>10</v>
      </c>
      <c r="F13745">
        <v>70.5</v>
      </c>
    </row>
    <row r="13746" spans="2:6">
      <c r="B13746">
        <v>2016</v>
      </c>
      <c r="C13746" t="s">
        <v>146</v>
      </c>
      <c r="D13746" t="s">
        <v>183</v>
      </c>
      <c r="E13746" t="s">
        <v>11</v>
      </c>
      <c r="F13746">
        <v>0.90355110168457031</v>
      </c>
    </row>
    <row r="13747" spans="2:6">
      <c r="B13747">
        <v>2016</v>
      </c>
      <c r="C13747" t="s">
        <v>146</v>
      </c>
      <c r="D13747" t="s">
        <v>183</v>
      </c>
      <c r="E13747" t="s">
        <v>12</v>
      </c>
      <c r="F13747">
        <v>-5.4714005440473557E-2</v>
      </c>
    </row>
    <row r="13748" spans="2:6">
      <c r="B13748">
        <v>2016</v>
      </c>
      <c r="C13748" t="s">
        <v>146</v>
      </c>
      <c r="D13748" t="s">
        <v>183</v>
      </c>
      <c r="E13748" t="s">
        <v>13</v>
      </c>
      <c r="F13748">
        <v>0.83847439289093018</v>
      </c>
    </row>
    <row r="13749" spans="2:6">
      <c r="B13749">
        <v>2016</v>
      </c>
      <c r="C13749" t="s">
        <v>146</v>
      </c>
      <c r="D13749" t="s">
        <v>183</v>
      </c>
      <c r="E13749" t="s">
        <v>14</v>
      </c>
      <c r="F13749">
        <v>0.62620556354522705</v>
      </c>
    </row>
    <row r="13750" spans="2:6">
      <c r="B13750">
        <v>2016</v>
      </c>
      <c r="C13750" t="s">
        <v>146</v>
      </c>
      <c r="D13750" t="s">
        <v>183</v>
      </c>
      <c r="E13750" t="s">
        <v>15</v>
      </c>
      <c r="F13750">
        <v>0.27162417769432068</v>
      </c>
    </row>
    <row r="13751" spans="2:6">
      <c r="B13751">
        <v>2017</v>
      </c>
      <c r="C13751" t="s">
        <v>146</v>
      </c>
      <c r="D13751" t="s">
        <v>183</v>
      </c>
      <c r="E13751" t="s">
        <v>7</v>
      </c>
      <c r="F13751">
        <v>6.1668376922607422</v>
      </c>
    </row>
    <row r="13752" spans="2:6">
      <c r="B13752">
        <v>2017</v>
      </c>
      <c r="C13752" t="s">
        <v>146</v>
      </c>
      <c r="D13752" t="s">
        <v>183</v>
      </c>
      <c r="E13752" t="s">
        <v>8</v>
      </c>
      <c r="F13752">
        <v>10.509190559387207</v>
      </c>
    </row>
    <row r="13753" spans="2:6">
      <c r="B13753">
        <v>2017</v>
      </c>
      <c r="C13753" t="s">
        <v>146</v>
      </c>
      <c r="D13753" t="s">
        <v>183</v>
      </c>
      <c r="E13753" t="s">
        <v>9</v>
      </c>
      <c r="F13753">
        <v>0.92818784713745117</v>
      </c>
    </row>
    <row r="13754" spans="2:6">
      <c r="B13754">
        <v>2017</v>
      </c>
      <c r="C13754" t="s">
        <v>146</v>
      </c>
      <c r="D13754" t="s">
        <v>183</v>
      </c>
      <c r="E13754" t="s">
        <v>10</v>
      </c>
      <c r="F13754">
        <v>70.800003051757813</v>
      </c>
    </row>
    <row r="13755" spans="2:6">
      <c r="B13755">
        <v>2017</v>
      </c>
      <c r="C13755" t="s">
        <v>146</v>
      </c>
      <c r="D13755" t="s">
        <v>183</v>
      </c>
      <c r="E13755" t="s">
        <v>11</v>
      </c>
      <c r="F13755">
        <v>0.92086267471313477</v>
      </c>
    </row>
    <row r="13756" spans="2:6">
      <c r="B13756">
        <v>2017</v>
      </c>
      <c r="C13756" t="s">
        <v>146</v>
      </c>
      <c r="D13756" t="s">
        <v>183</v>
      </c>
      <c r="E13756" t="s">
        <v>12</v>
      </c>
      <c r="F13756">
        <v>-2.5005677714943886E-2</v>
      </c>
    </row>
    <row r="13757" spans="2:6">
      <c r="B13757">
        <v>2017</v>
      </c>
      <c r="C13757" t="s">
        <v>146</v>
      </c>
      <c r="D13757" t="s">
        <v>183</v>
      </c>
      <c r="E13757" t="s">
        <v>13</v>
      </c>
      <c r="F13757">
        <v>0.82879471778869629</v>
      </c>
    </row>
    <row r="13758" spans="2:6">
      <c r="B13758">
        <v>2017</v>
      </c>
      <c r="C13758" t="s">
        <v>146</v>
      </c>
      <c r="D13758" t="s">
        <v>183</v>
      </c>
      <c r="E13758" t="s">
        <v>14</v>
      </c>
      <c r="F13758">
        <v>0.61510968208312988</v>
      </c>
    </row>
    <row r="13759" spans="2:6">
      <c r="B13759">
        <v>2017</v>
      </c>
      <c r="C13759" t="s">
        <v>146</v>
      </c>
      <c r="D13759" t="s">
        <v>183</v>
      </c>
      <c r="E13759" t="s">
        <v>15</v>
      </c>
      <c r="F13759">
        <v>0.28560143709182739</v>
      </c>
    </row>
    <row r="13760" spans="2:6">
      <c r="B13760">
        <v>2018</v>
      </c>
      <c r="C13760" t="s">
        <v>146</v>
      </c>
      <c r="D13760" t="s">
        <v>183</v>
      </c>
      <c r="E13760" t="s">
        <v>7</v>
      </c>
      <c r="F13760">
        <v>6.2494192123413086</v>
      </c>
    </row>
    <row r="13761" spans="2:6">
      <c r="B13761">
        <v>2018</v>
      </c>
      <c r="C13761" t="s">
        <v>146</v>
      </c>
      <c r="D13761" t="s">
        <v>183</v>
      </c>
      <c r="E13761" t="s">
        <v>8</v>
      </c>
      <c r="F13761">
        <v>10.545921325683594</v>
      </c>
    </row>
    <row r="13762" spans="2:6">
      <c r="B13762">
        <v>2018</v>
      </c>
      <c r="C13762" t="s">
        <v>146</v>
      </c>
      <c r="D13762" t="s">
        <v>183</v>
      </c>
      <c r="E13762" t="s">
        <v>9</v>
      </c>
      <c r="F13762">
        <v>0.94097119569778442</v>
      </c>
    </row>
    <row r="13763" spans="2:6">
      <c r="B13763">
        <v>2018</v>
      </c>
      <c r="C13763" t="s">
        <v>146</v>
      </c>
      <c r="D13763" t="s">
        <v>183</v>
      </c>
      <c r="E13763" t="s">
        <v>10</v>
      </c>
      <c r="F13763">
        <v>71.099998474121094</v>
      </c>
    </row>
    <row r="13764" spans="2:6">
      <c r="B13764">
        <v>2018</v>
      </c>
      <c r="C13764" t="s">
        <v>146</v>
      </c>
      <c r="D13764" t="s">
        <v>183</v>
      </c>
      <c r="E13764" t="s">
        <v>11</v>
      </c>
      <c r="F13764">
        <v>0.94204586744308472</v>
      </c>
    </row>
    <row r="13765" spans="2:6">
      <c r="B13765">
        <v>2018</v>
      </c>
      <c r="C13765" t="s">
        <v>146</v>
      </c>
      <c r="D13765" t="s">
        <v>183</v>
      </c>
      <c r="E13765" t="s">
        <v>12</v>
      </c>
      <c r="F13765">
        <v>-0.11891058832406998</v>
      </c>
    </row>
    <row r="13766" spans="2:6">
      <c r="B13766">
        <v>2018</v>
      </c>
      <c r="C13766" t="s">
        <v>146</v>
      </c>
      <c r="D13766" t="s">
        <v>183</v>
      </c>
      <c r="E13766" t="s">
        <v>13</v>
      </c>
      <c r="F13766">
        <v>0.8392525315284729</v>
      </c>
    </row>
    <row r="13767" spans="2:6">
      <c r="B13767">
        <v>2018</v>
      </c>
      <c r="C13767" t="s">
        <v>146</v>
      </c>
      <c r="D13767" t="s">
        <v>183</v>
      </c>
      <c r="E13767" t="s">
        <v>14</v>
      </c>
      <c r="F13767">
        <v>0.64397162199020386</v>
      </c>
    </row>
    <row r="13768" spans="2:6">
      <c r="B13768">
        <v>2018</v>
      </c>
      <c r="C13768" t="s">
        <v>146</v>
      </c>
      <c r="D13768" t="s">
        <v>183</v>
      </c>
      <c r="E13768" t="s">
        <v>15</v>
      </c>
      <c r="F13768">
        <v>0.27548485994338989</v>
      </c>
    </row>
    <row r="13769" spans="2:6">
      <c r="B13769">
        <v>2019</v>
      </c>
      <c r="C13769" t="s">
        <v>146</v>
      </c>
      <c r="D13769" t="s">
        <v>183</v>
      </c>
      <c r="E13769" t="s">
        <v>7</v>
      </c>
      <c r="F13769">
        <v>6.6652736663818359</v>
      </c>
    </row>
    <row r="13770" spans="2:6">
      <c r="B13770">
        <v>2019</v>
      </c>
      <c r="C13770" t="s">
        <v>146</v>
      </c>
      <c r="D13770" t="s">
        <v>183</v>
      </c>
      <c r="E13770" t="s">
        <v>8</v>
      </c>
      <c r="F13770">
        <v>10.563304901123047</v>
      </c>
    </row>
    <row r="13771" spans="2:6">
      <c r="B13771">
        <v>2019</v>
      </c>
      <c r="C13771" t="s">
        <v>146</v>
      </c>
      <c r="D13771" t="s">
        <v>183</v>
      </c>
      <c r="E13771" t="s">
        <v>9</v>
      </c>
      <c r="F13771">
        <v>0.94940227270126343</v>
      </c>
    </row>
    <row r="13772" spans="2:6">
      <c r="B13772">
        <v>2019</v>
      </c>
      <c r="C13772" t="s">
        <v>146</v>
      </c>
      <c r="D13772" t="s">
        <v>183</v>
      </c>
      <c r="E13772" t="s">
        <v>10</v>
      </c>
      <c r="F13772">
        <v>71.400001525878906</v>
      </c>
    </row>
    <row r="13773" spans="2:6">
      <c r="B13773">
        <v>2019</v>
      </c>
      <c r="C13773" t="s">
        <v>146</v>
      </c>
      <c r="D13773" t="s">
        <v>183</v>
      </c>
      <c r="E13773" t="s">
        <v>11</v>
      </c>
      <c r="F13773">
        <v>0.94543051719665527</v>
      </c>
    </row>
    <row r="13774" spans="2:6">
      <c r="B13774">
        <v>2019</v>
      </c>
      <c r="C13774" t="s">
        <v>146</v>
      </c>
      <c r="D13774" t="s">
        <v>183</v>
      </c>
      <c r="E13774" t="s">
        <v>12</v>
      </c>
      <c r="F13774">
        <v>-0.10169173032045364</v>
      </c>
    </row>
    <row r="13775" spans="2:6">
      <c r="B13775">
        <v>2019</v>
      </c>
      <c r="C13775" t="s">
        <v>146</v>
      </c>
      <c r="D13775" t="s">
        <v>183</v>
      </c>
      <c r="E13775" t="s">
        <v>13</v>
      </c>
      <c r="F13775">
        <v>0.7854418158531189</v>
      </c>
    </row>
    <row r="13776" spans="2:6">
      <c r="B13776">
        <v>2019</v>
      </c>
      <c r="C13776" t="s">
        <v>146</v>
      </c>
      <c r="D13776" t="s">
        <v>183</v>
      </c>
      <c r="E13776" t="s">
        <v>14</v>
      </c>
      <c r="F13776">
        <v>0.67869466543197632</v>
      </c>
    </row>
    <row r="13777" spans="2:6">
      <c r="B13777">
        <v>2019</v>
      </c>
      <c r="C13777" t="s">
        <v>146</v>
      </c>
      <c r="D13777" t="s">
        <v>183</v>
      </c>
      <c r="E13777" t="s">
        <v>15</v>
      </c>
      <c r="F13777">
        <v>0.22783845663070679</v>
      </c>
    </row>
    <row r="13778" spans="2:6">
      <c r="B13778">
        <v>2020</v>
      </c>
      <c r="C13778" t="s">
        <v>146</v>
      </c>
      <c r="D13778" t="s">
        <v>183</v>
      </c>
      <c r="E13778" t="s">
        <v>7</v>
      </c>
      <c r="F13778">
        <v>6.4620761871337891</v>
      </c>
    </row>
    <row r="13779" spans="2:6">
      <c r="B13779">
        <v>2020</v>
      </c>
      <c r="C13779" t="s">
        <v>146</v>
      </c>
      <c r="D13779" t="s">
        <v>183</v>
      </c>
      <c r="E13779" t="s">
        <v>8</v>
      </c>
      <c r="F13779">
        <v>10.477869987487793</v>
      </c>
    </row>
    <row r="13780" spans="2:6">
      <c r="B13780">
        <v>2020</v>
      </c>
      <c r="C13780" t="s">
        <v>146</v>
      </c>
      <c r="D13780" t="s">
        <v>183</v>
      </c>
      <c r="E13780" t="s">
        <v>9</v>
      </c>
      <c r="F13780">
        <v>0.95343750715255737</v>
      </c>
    </row>
    <row r="13781" spans="2:6">
      <c r="B13781">
        <v>2020</v>
      </c>
      <c r="C13781" t="s">
        <v>146</v>
      </c>
      <c r="D13781" t="s">
        <v>183</v>
      </c>
      <c r="E13781" t="s">
        <v>10</v>
      </c>
      <c r="F13781">
        <v>71.699996948242188</v>
      </c>
    </row>
    <row r="13782" spans="2:6">
      <c r="B13782">
        <v>2020</v>
      </c>
      <c r="C13782" t="s">
        <v>146</v>
      </c>
      <c r="D13782" t="s">
        <v>183</v>
      </c>
      <c r="E13782" t="s">
        <v>11</v>
      </c>
      <c r="F13782">
        <v>0.9584425687789917</v>
      </c>
    </row>
    <row r="13783" spans="2:6">
      <c r="B13783">
        <v>2020</v>
      </c>
      <c r="C13783" t="s">
        <v>146</v>
      </c>
      <c r="D13783" t="s">
        <v>183</v>
      </c>
      <c r="E13783" t="s">
        <v>12</v>
      </c>
      <c r="F13783">
        <v>-8.1356890499591827E-2</v>
      </c>
    </row>
    <row r="13784" spans="2:6">
      <c r="B13784">
        <v>2020</v>
      </c>
      <c r="C13784" t="s">
        <v>146</v>
      </c>
      <c r="D13784" t="s">
        <v>183</v>
      </c>
      <c r="E13784" t="s">
        <v>13</v>
      </c>
      <c r="F13784">
        <v>0.79655748605728149</v>
      </c>
    </row>
    <row r="13785" spans="2:6">
      <c r="B13785">
        <v>2020</v>
      </c>
      <c r="C13785" t="s">
        <v>146</v>
      </c>
      <c r="D13785" t="s">
        <v>183</v>
      </c>
      <c r="E13785" t="s">
        <v>14</v>
      </c>
      <c r="F13785">
        <v>0.60994923114776611</v>
      </c>
    </row>
    <row r="13786" spans="2:6">
      <c r="B13786">
        <v>2020</v>
      </c>
      <c r="C13786" t="s">
        <v>146</v>
      </c>
      <c r="D13786" t="s">
        <v>183</v>
      </c>
      <c r="E13786" t="s">
        <v>15</v>
      </c>
      <c r="F13786">
        <v>0.31385251879692078</v>
      </c>
    </row>
    <row r="13787" spans="2:6">
      <c r="B13787">
        <v>2014</v>
      </c>
      <c r="C13787" t="s">
        <v>147</v>
      </c>
      <c r="D13787" t="s">
        <v>184</v>
      </c>
      <c r="E13787" t="s">
        <v>7</v>
      </c>
      <c r="F13787">
        <v>5.5282726287841797</v>
      </c>
    </row>
    <row r="13788" spans="2:6">
      <c r="B13788">
        <v>2014</v>
      </c>
      <c r="C13788" t="s">
        <v>147</v>
      </c>
      <c r="D13788" t="s">
        <v>184</v>
      </c>
      <c r="E13788" t="s">
        <v>9</v>
      </c>
      <c r="F13788">
        <v>0.61083555221557617</v>
      </c>
    </row>
    <row r="13789" spans="2:6">
      <c r="B13789">
        <v>2014</v>
      </c>
      <c r="C13789" t="s">
        <v>147</v>
      </c>
      <c r="D13789" t="s">
        <v>184</v>
      </c>
      <c r="E13789" t="s">
        <v>10</v>
      </c>
      <c r="F13789">
        <v>49.599998474121094</v>
      </c>
    </row>
    <row r="13790" spans="2:6">
      <c r="B13790">
        <v>2014</v>
      </c>
      <c r="C13790" t="s">
        <v>147</v>
      </c>
      <c r="D13790" t="s">
        <v>184</v>
      </c>
      <c r="E13790" t="s">
        <v>11</v>
      </c>
      <c r="F13790">
        <v>0.8738788366317749</v>
      </c>
    </row>
    <row r="13791" spans="2:6">
      <c r="B13791">
        <v>2014</v>
      </c>
      <c r="C13791" t="s">
        <v>147</v>
      </c>
      <c r="D13791" t="s">
        <v>184</v>
      </c>
      <c r="E13791" t="s">
        <v>13</v>
      </c>
      <c r="F13791">
        <v>0.45647001266479492</v>
      </c>
    </row>
    <row r="13792" spans="2:6">
      <c r="B13792">
        <v>2014</v>
      </c>
      <c r="C13792" t="s">
        <v>147</v>
      </c>
      <c r="D13792" t="s">
        <v>184</v>
      </c>
      <c r="E13792" t="s">
        <v>14</v>
      </c>
      <c r="F13792">
        <v>0.83445370197296143</v>
      </c>
    </row>
    <row r="13793" spans="2:6">
      <c r="B13793">
        <v>2014</v>
      </c>
      <c r="C13793" t="s">
        <v>147</v>
      </c>
      <c r="D13793" t="s">
        <v>184</v>
      </c>
      <c r="E13793" t="s">
        <v>15</v>
      </c>
      <c r="F13793">
        <v>0.20721520483493805</v>
      </c>
    </row>
    <row r="13794" spans="2:6">
      <c r="B13794">
        <v>2015</v>
      </c>
      <c r="C13794" t="s">
        <v>147</v>
      </c>
      <c r="D13794" t="s">
        <v>184</v>
      </c>
      <c r="E13794" t="s">
        <v>7</v>
      </c>
      <c r="F13794">
        <v>5.353644847869873</v>
      </c>
    </row>
    <row r="13795" spans="2:6">
      <c r="B13795">
        <v>2015</v>
      </c>
      <c r="C13795" t="s">
        <v>147</v>
      </c>
      <c r="D13795" t="s">
        <v>184</v>
      </c>
      <c r="E13795" t="s">
        <v>9</v>
      </c>
      <c r="F13795">
        <v>0.59928107261657715</v>
      </c>
    </row>
    <row r="13796" spans="2:6">
      <c r="B13796">
        <v>2015</v>
      </c>
      <c r="C13796" t="s">
        <v>147</v>
      </c>
      <c r="D13796" t="s">
        <v>184</v>
      </c>
      <c r="E13796" t="s">
        <v>10</v>
      </c>
      <c r="F13796">
        <v>50.099998474121094</v>
      </c>
    </row>
    <row r="13797" spans="2:6">
      <c r="B13797">
        <v>2015</v>
      </c>
      <c r="C13797" t="s">
        <v>147</v>
      </c>
      <c r="D13797" t="s">
        <v>184</v>
      </c>
      <c r="E13797" t="s">
        <v>11</v>
      </c>
      <c r="F13797">
        <v>0.96786928176879883</v>
      </c>
    </row>
    <row r="13798" spans="2:6">
      <c r="B13798">
        <v>2015</v>
      </c>
      <c r="C13798" t="s">
        <v>147</v>
      </c>
      <c r="D13798" t="s">
        <v>184</v>
      </c>
      <c r="E13798" t="s">
        <v>13</v>
      </c>
      <c r="F13798">
        <v>0.41023576259613037</v>
      </c>
    </row>
    <row r="13799" spans="2:6">
      <c r="B13799">
        <v>2015</v>
      </c>
      <c r="C13799" t="s">
        <v>147</v>
      </c>
      <c r="D13799" t="s">
        <v>184</v>
      </c>
      <c r="E13799" t="s">
        <v>14</v>
      </c>
      <c r="F13799">
        <v>0.90066766738891602</v>
      </c>
    </row>
    <row r="13800" spans="2:6">
      <c r="B13800">
        <v>2015</v>
      </c>
      <c r="C13800" t="s">
        <v>147</v>
      </c>
      <c r="D13800" t="s">
        <v>184</v>
      </c>
      <c r="E13800" t="s">
        <v>15</v>
      </c>
      <c r="F13800">
        <v>0.18673615157604218</v>
      </c>
    </row>
    <row r="13801" spans="2:6">
      <c r="B13801">
        <v>2016</v>
      </c>
      <c r="C13801" t="s">
        <v>147</v>
      </c>
      <c r="D13801" t="s">
        <v>184</v>
      </c>
      <c r="E13801" t="s">
        <v>7</v>
      </c>
      <c r="F13801">
        <v>4.6679410934448242</v>
      </c>
    </row>
    <row r="13802" spans="2:6">
      <c r="B13802">
        <v>2016</v>
      </c>
      <c r="C13802" t="s">
        <v>147</v>
      </c>
      <c r="D13802" t="s">
        <v>184</v>
      </c>
      <c r="E13802" t="s">
        <v>9</v>
      </c>
      <c r="F13802">
        <v>0.59441655874252319</v>
      </c>
    </row>
    <row r="13803" spans="2:6">
      <c r="B13803">
        <v>2016</v>
      </c>
      <c r="C13803" t="s">
        <v>147</v>
      </c>
      <c r="D13803" t="s">
        <v>184</v>
      </c>
      <c r="E13803" t="s">
        <v>10</v>
      </c>
      <c r="F13803">
        <v>50</v>
      </c>
    </row>
    <row r="13804" spans="2:6">
      <c r="B13804">
        <v>2016</v>
      </c>
      <c r="C13804" t="s">
        <v>147</v>
      </c>
      <c r="D13804" t="s">
        <v>184</v>
      </c>
      <c r="E13804" t="s">
        <v>11</v>
      </c>
      <c r="F13804">
        <v>0.91732281446456909</v>
      </c>
    </row>
    <row r="13805" spans="2:6">
      <c r="B13805">
        <v>2016</v>
      </c>
      <c r="C13805" t="s">
        <v>147</v>
      </c>
      <c r="D13805" t="s">
        <v>184</v>
      </c>
      <c r="E13805" t="s">
        <v>13</v>
      </c>
      <c r="F13805">
        <v>0.44080173969268799</v>
      </c>
    </row>
    <row r="13806" spans="2:6">
      <c r="B13806">
        <v>2016</v>
      </c>
      <c r="C13806" t="s">
        <v>147</v>
      </c>
      <c r="D13806" t="s">
        <v>184</v>
      </c>
      <c r="E13806" t="s">
        <v>14</v>
      </c>
      <c r="F13806">
        <v>0.89142316579818726</v>
      </c>
    </row>
    <row r="13807" spans="2:6">
      <c r="B13807">
        <v>2016</v>
      </c>
      <c r="C13807" t="s">
        <v>147</v>
      </c>
      <c r="D13807" t="s">
        <v>184</v>
      </c>
      <c r="E13807" t="s">
        <v>15</v>
      </c>
      <c r="F13807">
        <v>0.19328223168849945</v>
      </c>
    </row>
    <row r="13808" spans="2:6">
      <c r="B13808">
        <v>2009</v>
      </c>
      <c r="C13808" t="s">
        <v>148</v>
      </c>
      <c r="D13808" t="s">
        <v>184</v>
      </c>
      <c r="E13808" t="s">
        <v>7</v>
      </c>
      <c r="F13808">
        <v>4.9913997650146484</v>
      </c>
    </row>
    <row r="13809" spans="2:6">
      <c r="B13809">
        <v>2009</v>
      </c>
      <c r="C13809" t="s">
        <v>148</v>
      </c>
      <c r="D13809" t="s">
        <v>184</v>
      </c>
      <c r="E13809" t="s">
        <v>9</v>
      </c>
      <c r="F13809">
        <v>0.8795667290687561</v>
      </c>
    </row>
    <row r="13810" spans="2:6">
      <c r="B13810">
        <v>2009</v>
      </c>
      <c r="C13810" t="s">
        <v>148</v>
      </c>
      <c r="D13810" t="s">
        <v>184</v>
      </c>
      <c r="E13810" t="s">
        <v>11</v>
      </c>
      <c r="F13810">
        <v>0.7463039755821228</v>
      </c>
    </row>
    <row r="13811" spans="2:6">
      <c r="B13811">
        <v>2009</v>
      </c>
      <c r="C13811" t="s">
        <v>148</v>
      </c>
      <c r="D13811" t="s">
        <v>184</v>
      </c>
      <c r="E13811" t="s">
        <v>13</v>
      </c>
      <c r="F13811">
        <v>0.51337176561355591</v>
      </c>
    </row>
    <row r="13812" spans="2:6">
      <c r="B13812">
        <v>2009</v>
      </c>
      <c r="C13812" t="s">
        <v>148</v>
      </c>
      <c r="D13812" t="s">
        <v>184</v>
      </c>
      <c r="E13812" t="s">
        <v>14</v>
      </c>
      <c r="F13812">
        <v>0.81887871026992798</v>
      </c>
    </row>
    <row r="13813" spans="2:6">
      <c r="B13813">
        <v>2009</v>
      </c>
      <c r="C13813" t="s">
        <v>148</v>
      </c>
      <c r="D13813" t="s">
        <v>184</v>
      </c>
      <c r="E13813" t="s">
        <v>15</v>
      </c>
      <c r="F13813">
        <v>0.11201217770576477</v>
      </c>
    </row>
    <row r="13814" spans="2:6">
      <c r="B13814">
        <v>2010</v>
      </c>
      <c r="C13814" t="s">
        <v>148</v>
      </c>
      <c r="D13814" t="s">
        <v>184</v>
      </c>
      <c r="E13814" t="s">
        <v>7</v>
      </c>
      <c r="F13814">
        <v>4.6573634147644043</v>
      </c>
    </row>
    <row r="13815" spans="2:6">
      <c r="B13815">
        <v>2010</v>
      </c>
      <c r="C13815" t="s">
        <v>148</v>
      </c>
      <c r="D13815" t="s">
        <v>184</v>
      </c>
      <c r="E13815" t="s">
        <v>9</v>
      </c>
      <c r="F13815">
        <v>0.82900452613830566</v>
      </c>
    </row>
    <row r="13816" spans="2:6">
      <c r="B13816">
        <v>2010</v>
      </c>
      <c r="C13816" t="s">
        <v>148</v>
      </c>
      <c r="D13816" t="s">
        <v>184</v>
      </c>
      <c r="E13816" t="s">
        <v>11</v>
      </c>
      <c r="F13816">
        <v>0.82018190622329712</v>
      </c>
    </row>
    <row r="13817" spans="2:6">
      <c r="B13817">
        <v>2010</v>
      </c>
      <c r="C13817" t="s">
        <v>148</v>
      </c>
      <c r="D13817" t="s">
        <v>184</v>
      </c>
      <c r="E13817" t="s">
        <v>13</v>
      </c>
      <c r="F13817">
        <v>0.47109448909759521</v>
      </c>
    </row>
    <row r="13818" spans="2:6">
      <c r="B13818">
        <v>2010</v>
      </c>
      <c r="C13818" t="s">
        <v>148</v>
      </c>
      <c r="D13818" t="s">
        <v>184</v>
      </c>
      <c r="E13818" t="s">
        <v>14</v>
      </c>
      <c r="F13818">
        <v>0.76937484741210938</v>
      </c>
    </row>
    <row r="13819" spans="2:6">
      <c r="B13819">
        <v>2010</v>
      </c>
      <c r="C13819" t="s">
        <v>148</v>
      </c>
      <c r="D13819" t="s">
        <v>184</v>
      </c>
      <c r="E13819" t="s">
        <v>15</v>
      </c>
      <c r="F13819">
        <v>8.3425760269165039E-2</v>
      </c>
    </row>
    <row r="13820" spans="2:6">
      <c r="B13820">
        <v>2011</v>
      </c>
      <c r="C13820" t="s">
        <v>148</v>
      </c>
      <c r="D13820" t="s">
        <v>184</v>
      </c>
      <c r="E13820" t="s">
        <v>7</v>
      </c>
      <c r="F13820">
        <v>4.9305715560913086</v>
      </c>
    </row>
    <row r="13821" spans="2:6">
      <c r="B13821">
        <v>2011</v>
      </c>
      <c r="C13821" t="s">
        <v>148</v>
      </c>
      <c r="D13821" t="s">
        <v>184</v>
      </c>
      <c r="E13821" t="s">
        <v>9</v>
      </c>
      <c r="F13821">
        <v>0.78796166181564331</v>
      </c>
    </row>
    <row r="13822" spans="2:6">
      <c r="B13822">
        <v>2011</v>
      </c>
      <c r="C13822" t="s">
        <v>148</v>
      </c>
      <c r="D13822" t="s">
        <v>184</v>
      </c>
      <c r="E13822" t="s">
        <v>11</v>
      </c>
      <c r="F13822">
        <v>0.85810446739196777</v>
      </c>
    </row>
    <row r="13823" spans="2:6">
      <c r="B13823">
        <v>2011</v>
      </c>
      <c r="C13823" t="s">
        <v>148</v>
      </c>
      <c r="D13823" t="s">
        <v>184</v>
      </c>
      <c r="E13823" t="s">
        <v>13</v>
      </c>
      <c r="F13823">
        <v>0.35734090209007263</v>
      </c>
    </row>
    <row r="13824" spans="2:6">
      <c r="B13824">
        <v>2011</v>
      </c>
      <c r="C13824" t="s">
        <v>148</v>
      </c>
      <c r="D13824" t="s">
        <v>184</v>
      </c>
      <c r="E13824" t="s">
        <v>14</v>
      </c>
      <c r="F13824">
        <v>0.74868607521057129</v>
      </c>
    </row>
    <row r="13825" spans="2:6">
      <c r="B13825">
        <v>2011</v>
      </c>
      <c r="C13825" t="s">
        <v>148</v>
      </c>
      <c r="D13825" t="s">
        <v>184</v>
      </c>
      <c r="E13825" t="s">
        <v>15</v>
      </c>
      <c r="F13825">
        <v>0.12224420160055161</v>
      </c>
    </row>
    <row r="13826" spans="2:6">
      <c r="B13826">
        <v>2012</v>
      </c>
      <c r="C13826" t="s">
        <v>148</v>
      </c>
      <c r="D13826" t="s">
        <v>184</v>
      </c>
      <c r="E13826" t="s">
        <v>7</v>
      </c>
      <c r="F13826">
        <v>5.057314395904541</v>
      </c>
    </row>
    <row r="13827" spans="2:6">
      <c r="B13827">
        <v>2012</v>
      </c>
      <c r="C13827" t="s">
        <v>148</v>
      </c>
      <c r="D13827" t="s">
        <v>184</v>
      </c>
      <c r="E13827" t="s">
        <v>9</v>
      </c>
      <c r="F13827">
        <v>0.78629124164581299</v>
      </c>
    </row>
    <row r="13828" spans="2:6">
      <c r="B13828">
        <v>2012</v>
      </c>
      <c r="C13828" t="s">
        <v>148</v>
      </c>
      <c r="D13828" t="s">
        <v>184</v>
      </c>
      <c r="E13828" t="s">
        <v>11</v>
      </c>
      <c r="F13828">
        <v>0.75821900367736816</v>
      </c>
    </row>
    <row r="13829" spans="2:6">
      <c r="B13829">
        <v>2012</v>
      </c>
      <c r="C13829" t="s">
        <v>148</v>
      </c>
      <c r="D13829" t="s">
        <v>184</v>
      </c>
      <c r="E13829" t="s">
        <v>13</v>
      </c>
      <c r="F13829">
        <v>0.33383172750473022</v>
      </c>
    </row>
    <row r="13830" spans="2:6">
      <c r="B13830">
        <v>2012</v>
      </c>
      <c r="C13830" t="s">
        <v>148</v>
      </c>
      <c r="D13830" t="s">
        <v>184</v>
      </c>
      <c r="E13830" t="s">
        <v>14</v>
      </c>
      <c r="F13830">
        <v>0.73518913984298706</v>
      </c>
    </row>
    <row r="13831" spans="2:6">
      <c r="B13831">
        <v>2012</v>
      </c>
      <c r="C13831" t="s">
        <v>148</v>
      </c>
      <c r="D13831" t="s">
        <v>184</v>
      </c>
      <c r="E13831" t="s">
        <v>15</v>
      </c>
      <c r="F13831">
        <v>0.15242822468280792</v>
      </c>
    </row>
    <row r="13832" spans="2:6">
      <c r="B13832">
        <v>2006</v>
      </c>
      <c r="C13832" t="s">
        <v>149</v>
      </c>
      <c r="D13832" t="s">
        <v>184</v>
      </c>
      <c r="E13832" t="s">
        <v>7</v>
      </c>
      <c r="F13832">
        <v>5.083986759185791</v>
      </c>
    </row>
    <row r="13833" spans="2:6">
      <c r="B13833">
        <v>2006</v>
      </c>
      <c r="C13833" t="s">
        <v>149</v>
      </c>
      <c r="D13833" t="s">
        <v>184</v>
      </c>
      <c r="E13833" t="s">
        <v>8</v>
      </c>
      <c r="F13833">
        <v>9.3863143920898438</v>
      </c>
    </row>
    <row r="13834" spans="2:6">
      <c r="B13834">
        <v>2006</v>
      </c>
      <c r="C13834" t="s">
        <v>149</v>
      </c>
      <c r="D13834" t="s">
        <v>184</v>
      </c>
      <c r="E13834" t="s">
        <v>9</v>
      </c>
      <c r="F13834">
        <v>0.91303020715713501</v>
      </c>
    </row>
    <row r="13835" spans="2:6">
      <c r="B13835">
        <v>2006</v>
      </c>
      <c r="C13835" t="s">
        <v>149</v>
      </c>
      <c r="D13835" t="s">
        <v>184</v>
      </c>
      <c r="E13835" t="s">
        <v>10</v>
      </c>
      <c r="F13835">
        <v>48.020000457763672</v>
      </c>
    </row>
    <row r="13836" spans="2:6">
      <c r="B13836">
        <v>2006</v>
      </c>
      <c r="C13836" t="s">
        <v>149</v>
      </c>
      <c r="D13836" t="s">
        <v>184</v>
      </c>
      <c r="E13836" t="s">
        <v>11</v>
      </c>
      <c r="F13836">
        <v>0.64876288175582886</v>
      </c>
    </row>
    <row r="13837" spans="2:6">
      <c r="B13837">
        <v>2006</v>
      </c>
      <c r="C13837" t="s">
        <v>149</v>
      </c>
      <c r="D13837" t="s">
        <v>184</v>
      </c>
      <c r="E13837" t="s">
        <v>12</v>
      </c>
      <c r="F13837">
        <v>-8.378969132900238E-2</v>
      </c>
    </row>
    <row r="13838" spans="2:6">
      <c r="B13838">
        <v>2006</v>
      </c>
      <c r="C13838" t="s">
        <v>149</v>
      </c>
      <c r="D13838" t="s">
        <v>184</v>
      </c>
      <c r="E13838" t="s">
        <v>14</v>
      </c>
      <c r="F13838">
        <v>0.80243992805480957</v>
      </c>
    </row>
    <row r="13839" spans="2:6">
      <c r="B13839">
        <v>2006</v>
      </c>
      <c r="C13839" t="s">
        <v>149</v>
      </c>
      <c r="D13839" t="s">
        <v>184</v>
      </c>
      <c r="E13839" t="s">
        <v>15</v>
      </c>
      <c r="F13839">
        <v>0.2227313369512558</v>
      </c>
    </row>
    <row r="13840" spans="2:6">
      <c r="B13840">
        <v>2007</v>
      </c>
      <c r="C13840" t="s">
        <v>149</v>
      </c>
      <c r="D13840" t="s">
        <v>184</v>
      </c>
      <c r="E13840" t="s">
        <v>7</v>
      </c>
      <c r="F13840">
        <v>5.2044544219970703</v>
      </c>
    </row>
    <row r="13841" spans="2:6">
      <c r="B13841">
        <v>2007</v>
      </c>
      <c r="C13841" t="s">
        <v>149</v>
      </c>
      <c r="D13841" t="s">
        <v>184</v>
      </c>
      <c r="E13841" t="s">
        <v>8</v>
      </c>
      <c r="F13841">
        <v>9.4256172180175781</v>
      </c>
    </row>
    <row r="13842" spans="2:6">
      <c r="B13842">
        <v>2007</v>
      </c>
      <c r="C13842" t="s">
        <v>149</v>
      </c>
      <c r="D13842" t="s">
        <v>184</v>
      </c>
      <c r="E13842" t="s">
        <v>9</v>
      </c>
      <c r="F13842">
        <v>0.78830760717391968</v>
      </c>
    </row>
    <row r="13843" spans="2:6">
      <c r="B13843">
        <v>2007</v>
      </c>
      <c r="C13843" t="s">
        <v>149</v>
      </c>
      <c r="D13843" t="s">
        <v>184</v>
      </c>
      <c r="E13843" t="s">
        <v>10</v>
      </c>
      <c r="F13843">
        <v>48.639999389648438</v>
      </c>
    </row>
    <row r="13844" spans="2:6">
      <c r="B13844">
        <v>2007</v>
      </c>
      <c r="C13844" t="s">
        <v>149</v>
      </c>
      <c r="D13844" t="s">
        <v>184</v>
      </c>
      <c r="E13844" t="s">
        <v>11</v>
      </c>
      <c r="F13844">
        <v>0.68998754024505615</v>
      </c>
    </row>
    <row r="13845" spans="2:6">
      <c r="B13845">
        <v>2007</v>
      </c>
      <c r="C13845" t="s">
        <v>149</v>
      </c>
      <c r="D13845" t="s">
        <v>184</v>
      </c>
      <c r="E13845" t="s">
        <v>12</v>
      </c>
      <c r="F13845">
        <v>-0.15779033303260803</v>
      </c>
    </row>
    <row r="13846" spans="2:6">
      <c r="B13846">
        <v>2007</v>
      </c>
      <c r="C13846" t="s">
        <v>149</v>
      </c>
      <c r="D13846" t="s">
        <v>184</v>
      </c>
      <c r="E13846" t="s">
        <v>13</v>
      </c>
      <c r="F13846">
        <v>0.85865104198455811</v>
      </c>
    </row>
    <row r="13847" spans="2:6">
      <c r="B13847">
        <v>2007</v>
      </c>
      <c r="C13847" t="s">
        <v>149</v>
      </c>
      <c r="D13847" t="s">
        <v>184</v>
      </c>
      <c r="E13847" t="s">
        <v>14</v>
      </c>
      <c r="F13847">
        <v>0.73537969589233398</v>
      </c>
    </row>
    <row r="13848" spans="2:6">
      <c r="B13848">
        <v>2007</v>
      </c>
      <c r="C13848" t="s">
        <v>149</v>
      </c>
      <c r="D13848" t="s">
        <v>184</v>
      </c>
      <c r="E13848" t="s">
        <v>15</v>
      </c>
      <c r="F13848">
        <v>0.21018505096435547</v>
      </c>
    </row>
    <row r="13849" spans="2:6">
      <c r="B13849">
        <v>2008</v>
      </c>
      <c r="C13849" t="s">
        <v>149</v>
      </c>
      <c r="D13849" t="s">
        <v>184</v>
      </c>
      <c r="E13849" t="s">
        <v>7</v>
      </c>
      <c r="F13849">
        <v>5.3463068008422852</v>
      </c>
    </row>
    <row r="13850" spans="2:6">
      <c r="B13850">
        <v>2008</v>
      </c>
      <c r="C13850" t="s">
        <v>149</v>
      </c>
      <c r="D13850" t="s">
        <v>184</v>
      </c>
      <c r="E13850" t="s">
        <v>8</v>
      </c>
      <c r="F13850">
        <v>9.4436874389648438</v>
      </c>
    </row>
    <row r="13851" spans="2:6">
      <c r="B13851">
        <v>2008</v>
      </c>
      <c r="C13851" t="s">
        <v>149</v>
      </c>
      <c r="D13851" t="s">
        <v>184</v>
      </c>
      <c r="E13851" t="s">
        <v>9</v>
      </c>
      <c r="F13851">
        <v>0.80954217910766602</v>
      </c>
    </row>
    <row r="13852" spans="2:6">
      <c r="B13852">
        <v>2008</v>
      </c>
      <c r="C13852" t="s">
        <v>149</v>
      </c>
      <c r="D13852" t="s">
        <v>184</v>
      </c>
      <c r="E13852" t="s">
        <v>10</v>
      </c>
      <c r="F13852">
        <v>49.259998321533203</v>
      </c>
    </row>
    <row r="13853" spans="2:6">
      <c r="B13853">
        <v>2008</v>
      </c>
      <c r="C13853" t="s">
        <v>149</v>
      </c>
      <c r="D13853" t="s">
        <v>184</v>
      </c>
      <c r="E13853" t="s">
        <v>11</v>
      </c>
      <c r="F13853">
        <v>0.74884647130966187</v>
      </c>
    </row>
    <row r="13854" spans="2:6">
      <c r="B13854">
        <v>2008</v>
      </c>
      <c r="C13854" t="s">
        <v>149</v>
      </c>
      <c r="D13854" t="s">
        <v>184</v>
      </c>
      <c r="E13854" t="s">
        <v>12</v>
      </c>
      <c r="F13854">
        <v>-9.5481745898723602E-2</v>
      </c>
    </row>
    <row r="13855" spans="2:6">
      <c r="B13855">
        <v>2008</v>
      </c>
      <c r="C13855" t="s">
        <v>149</v>
      </c>
      <c r="D13855" t="s">
        <v>184</v>
      </c>
      <c r="E13855" t="s">
        <v>13</v>
      </c>
      <c r="F13855">
        <v>0.86579102277755737</v>
      </c>
    </row>
    <row r="13856" spans="2:6">
      <c r="B13856">
        <v>2008</v>
      </c>
      <c r="C13856" t="s">
        <v>149</v>
      </c>
      <c r="D13856" t="s">
        <v>184</v>
      </c>
      <c r="E13856" t="s">
        <v>14</v>
      </c>
      <c r="F13856">
        <v>0.77283519506454468</v>
      </c>
    </row>
    <row r="13857" spans="2:6">
      <c r="B13857">
        <v>2008</v>
      </c>
      <c r="C13857" t="s">
        <v>149</v>
      </c>
      <c r="D13857" t="s">
        <v>184</v>
      </c>
      <c r="E13857" t="s">
        <v>15</v>
      </c>
      <c r="F13857">
        <v>0.20624284446239471</v>
      </c>
    </row>
    <row r="13858" spans="2:6">
      <c r="B13858">
        <v>2009</v>
      </c>
      <c r="C13858" t="s">
        <v>149</v>
      </c>
      <c r="D13858" t="s">
        <v>184</v>
      </c>
      <c r="E13858" t="s">
        <v>7</v>
      </c>
      <c r="F13858">
        <v>5.2184309959411621</v>
      </c>
    </row>
    <row r="13859" spans="2:6">
      <c r="B13859">
        <v>2009</v>
      </c>
      <c r="C13859" t="s">
        <v>149</v>
      </c>
      <c r="D13859" t="s">
        <v>184</v>
      </c>
      <c r="E13859" t="s">
        <v>8</v>
      </c>
      <c r="F13859">
        <v>9.4142723083496094</v>
      </c>
    </row>
    <row r="13860" spans="2:6">
      <c r="B13860">
        <v>2009</v>
      </c>
      <c r="C13860" t="s">
        <v>149</v>
      </c>
      <c r="D13860" t="s">
        <v>184</v>
      </c>
      <c r="E13860" t="s">
        <v>9</v>
      </c>
      <c r="F13860">
        <v>0.87735944986343384</v>
      </c>
    </row>
    <row r="13861" spans="2:6">
      <c r="B13861">
        <v>2009</v>
      </c>
      <c r="C13861" t="s">
        <v>149</v>
      </c>
      <c r="D13861" t="s">
        <v>184</v>
      </c>
      <c r="E13861" t="s">
        <v>10</v>
      </c>
      <c r="F13861">
        <v>49.880001068115234</v>
      </c>
    </row>
    <row r="13862" spans="2:6">
      <c r="B13862">
        <v>2009</v>
      </c>
      <c r="C13862" t="s">
        <v>149</v>
      </c>
      <c r="D13862" t="s">
        <v>184</v>
      </c>
      <c r="E13862" t="s">
        <v>11</v>
      </c>
      <c r="F13862">
        <v>0.73940998315811157</v>
      </c>
    </row>
    <row r="13863" spans="2:6">
      <c r="B13863">
        <v>2009</v>
      </c>
      <c r="C13863" t="s">
        <v>149</v>
      </c>
      <c r="D13863" t="s">
        <v>184</v>
      </c>
      <c r="E13863" t="s">
        <v>12</v>
      </c>
      <c r="F13863">
        <v>-0.15386201441287994</v>
      </c>
    </row>
    <row r="13864" spans="2:6">
      <c r="B13864">
        <v>2009</v>
      </c>
      <c r="C13864" t="s">
        <v>149</v>
      </c>
      <c r="D13864" t="s">
        <v>184</v>
      </c>
      <c r="E13864" t="s">
        <v>13</v>
      </c>
      <c r="F13864">
        <v>0.90434235334396362</v>
      </c>
    </row>
    <row r="13865" spans="2:6">
      <c r="B13865">
        <v>2009</v>
      </c>
      <c r="C13865" t="s">
        <v>149</v>
      </c>
      <c r="D13865" t="s">
        <v>184</v>
      </c>
      <c r="E13865" t="s">
        <v>14</v>
      </c>
      <c r="F13865">
        <v>0.72746866941452026</v>
      </c>
    </row>
    <row r="13866" spans="2:6">
      <c r="B13866">
        <v>2009</v>
      </c>
      <c r="C13866" t="s">
        <v>149</v>
      </c>
      <c r="D13866" t="s">
        <v>184</v>
      </c>
      <c r="E13866" t="s">
        <v>15</v>
      </c>
      <c r="F13866">
        <v>0.23089598119258881</v>
      </c>
    </row>
    <row r="13867" spans="2:6">
      <c r="B13867">
        <v>2010</v>
      </c>
      <c r="C13867" t="s">
        <v>149</v>
      </c>
      <c r="D13867" t="s">
        <v>184</v>
      </c>
      <c r="E13867" t="s">
        <v>7</v>
      </c>
      <c r="F13867">
        <v>4.6524286270141602</v>
      </c>
    </row>
    <row r="13868" spans="2:6">
      <c r="B13868">
        <v>2010</v>
      </c>
      <c r="C13868" t="s">
        <v>149</v>
      </c>
      <c r="D13868" t="s">
        <v>184</v>
      </c>
      <c r="E13868" t="s">
        <v>8</v>
      </c>
      <c r="F13868">
        <v>9.4296636581420898</v>
      </c>
    </row>
    <row r="13869" spans="2:6">
      <c r="B13869">
        <v>2010</v>
      </c>
      <c r="C13869" t="s">
        <v>149</v>
      </c>
      <c r="D13869" t="s">
        <v>184</v>
      </c>
      <c r="E13869" t="s">
        <v>9</v>
      </c>
      <c r="F13869">
        <v>0.91705602407455444</v>
      </c>
    </row>
    <row r="13870" spans="2:6">
      <c r="B13870">
        <v>2010</v>
      </c>
      <c r="C13870" t="s">
        <v>149</v>
      </c>
      <c r="D13870" t="s">
        <v>184</v>
      </c>
      <c r="E13870" t="s">
        <v>10</v>
      </c>
      <c r="F13870">
        <v>50.5</v>
      </c>
    </row>
    <row r="13871" spans="2:6">
      <c r="B13871">
        <v>2010</v>
      </c>
      <c r="C13871" t="s">
        <v>149</v>
      </c>
      <c r="D13871" t="s">
        <v>184</v>
      </c>
      <c r="E13871" t="s">
        <v>11</v>
      </c>
      <c r="F13871">
        <v>0.73890596628189087</v>
      </c>
    </row>
    <row r="13872" spans="2:6">
      <c r="B13872">
        <v>2010</v>
      </c>
      <c r="C13872" t="s">
        <v>149</v>
      </c>
      <c r="D13872" t="s">
        <v>184</v>
      </c>
      <c r="E13872" t="s">
        <v>12</v>
      </c>
      <c r="F13872">
        <v>-0.20223142206668854</v>
      </c>
    </row>
    <row r="13873" spans="2:6">
      <c r="B13873">
        <v>2010</v>
      </c>
      <c r="C13873" t="s">
        <v>149</v>
      </c>
      <c r="D13873" t="s">
        <v>184</v>
      </c>
      <c r="E13873" t="s">
        <v>13</v>
      </c>
      <c r="F13873">
        <v>0.79062891006469727</v>
      </c>
    </row>
    <row r="13874" spans="2:6">
      <c r="B13874">
        <v>2010</v>
      </c>
      <c r="C13874" t="s">
        <v>149</v>
      </c>
      <c r="D13874" t="s">
        <v>184</v>
      </c>
      <c r="E13874" t="s">
        <v>14</v>
      </c>
      <c r="F13874">
        <v>0.79374009370803833</v>
      </c>
    </row>
    <row r="13875" spans="2:6">
      <c r="B13875">
        <v>2010</v>
      </c>
      <c r="C13875" t="s">
        <v>149</v>
      </c>
      <c r="D13875" t="s">
        <v>184</v>
      </c>
      <c r="E13875" t="s">
        <v>15</v>
      </c>
      <c r="F13875">
        <v>0.1237533763051033</v>
      </c>
    </row>
    <row r="13876" spans="2:6">
      <c r="B13876">
        <v>2011</v>
      </c>
      <c r="C13876" t="s">
        <v>149</v>
      </c>
      <c r="D13876" t="s">
        <v>184</v>
      </c>
      <c r="E13876" t="s">
        <v>7</v>
      </c>
      <c r="F13876">
        <v>4.930511474609375</v>
      </c>
    </row>
    <row r="13877" spans="2:6">
      <c r="B13877">
        <v>2011</v>
      </c>
      <c r="C13877" t="s">
        <v>149</v>
      </c>
      <c r="D13877" t="s">
        <v>184</v>
      </c>
      <c r="E13877" t="s">
        <v>8</v>
      </c>
      <c r="F13877">
        <v>9.4467248916625977</v>
      </c>
    </row>
    <row r="13878" spans="2:6">
      <c r="B13878">
        <v>2011</v>
      </c>
      <c r="C13878" t="s">
        <v>149</v>
      </c>
      <c r="D13878" t="s">
        <v>184</v>
      </c>
      <c r="E13878" t="s">
        <v>9</v>
      </c>
      <c r="F13878">
        <v>0.85770314931869507</v>
      </c>
    </row>
    <row r="13879" spans="2:6">
      <c r="B13879">
        <v>2011</v>
      </c>
      <c r="C13879" t="s">
        <v>149</v>
      </c>
      <c r="D13879" t="s">
        <v>184</v>
      </c>
      <c r="E13879" t="s">
        <v>10</v>
      </c>
      <c r="F13879">
        <v>51.459999084472656</v>
      </c>
    </row>
    <row r="13880" spans="2:6">
      <c r="B13880">
        <v>2011</v>
      </c>
      <c r="C13880" t="s">
        <v>149</v>
      </c>
      <c r="D13880" t="s">
        <v>184</v>
      </c>
      <c r="E13880" t="s">
        <v>11</v>
      </c>
      <c r="F13880">
        <v>0.83544802665710449</v>
      </c>
    </row>
    <row r="13881" spans="2:6">
      <c r="B13881">
        <v>2011</v>
      </c>
      <c r="C13881" t="s">
        <v>149</v>
      </c>
      <c r="D13881" t="s">
        <v>184</v>
      </c>
      <c r="E13881" t="s">
        <v>12</v>
      </c>
      <c r="F13881">
        <v>-0.15424640476703644</v>
      </c>
    </row>
    <row r="13882" spans="2:6">
      <c r="B13882">
        <v>2011</v>
      </c>
      <c r="C13882" t="s">
        <v>149</v>
      </c>
      <c r="D13882" t="s">
        <v>184</v>
      </c>
      <c r="E13882" t="s">
        <v>13</v>
      </c>
      <c r="F13882">
        <v>0.81918191909790039</v>
      </c>
    </row>
    <row r="13883" spans="2:6">
      <c r="B13883">
        <v>2011</v>
      </c>
      <c r="C13883" t="s">
        <v>149</v>
      </c>
      <c r="D13883" t="s">
        <v>184</v>
      </c>
      <c r="E13883" t="s">
        <v>14</v>
      </c>
      <c r="F13883">
        <v>0.76307123899459839</v>
      </c>
    </row>
    <row r="13884" spans="2:6">
      <c r="B13884">
        <v>2011</v>
      </c>
      <c r="C13884" t="s">
        <v>149</v>
      </c>
      <c r="D13884" t="s">
        <v>184</v>
      </c>
      <c r="E13884" t="s">
        <v>15</v>
      </c>
      <c r="F13884">
        <v>0.23021352291107178</v>
      </c>
    </row>
    <row r="13885" spans="2:6">
      <c r="B13885">
        <v>2012</v>
      </c>
      <c r="C13885" t="s">
        <v>149</v>
      </c>
      <c r="D13885" t="s">
        <v>184</v>
      </c>
      <c r="E13885" t="s">
        <v>7</v>
      </c>
      <c r="F13885">
        <v>5.133887767791748</v>
      </c>
    </row>
    <row r="13886" spans="2:6">
      <c r="B13886">
        <v>2012</v>
      </c>
      <c r="C13886" t="s">
        <v>149</v>
      </c>
      <c r="D13886" t="s">
        <v>184</v>
      </c>
      <c r="E13886" t="s">
        <v>8</v>
      </c>
      <c r="F13886">
        <v>9.4527854919433594</v>
      </c>
    </row>
    <row r="13887" spans="2:6">
      <c r="B13887">
        <v>2012</v>
      </c>
      <c r="C13887" t="s">
        <v>149</v>
      </c>
      <c r="D13887" t="s">
        <v>184</v>
      </c>
      <c r="E13887" t="s">
        <v>9</v>
      </c>
      <c r="F13887">
        <v>0.90659511089324951</v>
      </c>
    </row>
    <row r="13888" spans="2:6">
      <c r="B13888">
        <v>2012</v>
      </c>
      <c r="C13888" t="s">
        <v>149</v>
      </c>
      <c r="D13888" t="s">
        <v>184</v>
      </c>
      <c r="E13888" t="s">
        <v>10</v>
      </c>
      <c r="F13888">
        <v>52.419998168945313</v>
      </c>
    </row>
    <row r="13889" spans="2:6">
      <c r="B13889">
        <v>2012</v>
      </c>
      <c r="C13889" t="s">
        <v>149</v>
      </c>
      <c r="D13889" t="s">
        <v>184</v>
      </c>
      <c r="E13889" t="s">
        <v>11</v>
      </c>
      <c r="F13889">
        <v>0.59014499187469482</v>
      </c>
    </row>
    <row r="13890" spans="2:6">
      <c r="B13890">
        <v>2012</v>
      </c>
      <c r="C13890" t="s">
        <v>149</v>
      </c>
      <c r="D13890" t="s">
        <v>184</v>
      </c>
      <c r="E13890" t="s">
        <v>12</v>
      </c>
      <c r="F13890">
        <v>-0.16290941834449768</v>
      </c>
    </row>
    <row r="13891" spans="2:6">
      <c r="B13891">
        <v>2012</v>
      </c>
      <c r="C13891" t="s">
        <v>149</v>
      </c>
      <c r="D13891" t="s">
        <v>184</v>
      </c>
      <c r="E13891" t="s">
        <v>13</v>
      </c>
      <c r="F13891">
        <v>0.83821678161621094</v>
      </c>
    </row>
    <row r="13892" spans="2:6">
      <c r="B13892">
        <v>2012</v>
      </c>
      <c r="C13892" t="s">
        <v>149</v>
      </c>
      <c r="D13892" t="s">
        <v>184</v>
      </c>
      <c r="E13892" t="s">
        <v>14</v>
      </c>
      <c r="F13892">
        <v>0.76136654615402222</v>
      </c>
    </row>
    <row r="13893" spans="2:6">
      <c r="B13893">
        <v>2012</v>
      </c>
      <c r="C13893" t="s">
        <v>149</v>
      </c>
      <c r="D13893" t="s">
        <v>184</v>
      </c>
      <c r="E13893" t="s">
        <v>15</v>
      </c>
      <c r="F13893">
        <v>0.17818324267864227</v>
      </c>
    </row>
    <row r="13894" spans="2:6">
      <c r="B13894">
        <v>2013</v>
      </c>
      <c r="C13894" t="s">
        <v>149</v>
      </c>
      <c r="D13894" t="s">
        <v>184</v>
      </c>
      <c r="E13894" t="s">
        <v>7</v>
      </c>
      <c r="F13894">
        <v>3.6607272624969482</v>
      </c>
    </row>
    <row r="13895" spans="2:6">
      <c r="B13895">
        <v>2013</v>
      </c>
      <c r="C13895" t="s">
        <v>149</v>
      </c>
      <c r="D13895" t="s">
        <v>184</v>
      </c>
      <c r="E13895" t="s">
        <v>8</v>
      </c>
      <c r="F13895">
        <v>9.4612760543823242</v>
      </c>
    </row>
    <row r="13896" spans="2:6">
      <c r="B13896">
        <v>2013</v>
      </c>
      <c r="C13896" t="s">
        <v>149</v>
      </c>
      <c r="D13896" t="s">
        <v>184</v>
      </c>
      <c r="E13896" t="s">
        <v>9</v>
      </c>
      <c r="F13896">
        <v>0.8394244909286499</v>
      </c>
    </row>
    <row r="13897" spans="2:6">
      <c r="B13897">
        <v>2013</v>
      </c>
      <c r="C13897" t="s">
        <v>149</v>
      </c>
      <c r="D13897" t="s">
        <v>184</v>
      </c>
      <c r="E13897" t="s">
        <v>10</v>
      </c>
      <c r="F13897">
        <v>53.380001068115234</v>
      </c>
    </row>
    <row r="13898" spans="2:6">
      <c r="B13898">
        <v>2013</v>
      </c>
      <c r="C13898" t="s">
        <v>149</v>
      </c>
      <c r="D13898" t="s">
        <v>184</v>
      </c>
      <c r="E13898" t="s">
        <v>11</v>
      </c>
      <c r="F13898">
        <v>0.71416902542114258</v>
      </c>
    </row>
    <row r="13899" spans="2:6">
      <c r="B13899">
        <v>2013</v>
      </c>
      <c r="C13899" t="s">
        <v>149</v>
      </c>
      <c r="D13899" t="s">
        <v>184</v>
      </c>
      <c r="E13899" t="s">
        <v>12</v>
      </c>
      <c r="F13899">
        <v>-7.6852813363075256E-2</v>
      </c>
    </row>
    <row r="13900" spans="2:6">
      <c r="B13900">
        <v>2013</v>
      </c>
      <c r="C13900" t="s">
        <v>149</v>
      </c>
      <c r="D13900" t="s">
        <v>184</v>
      </c>
      <c r="E13900" t="s">
        <v>13</v>
      </c>
      <c r="F13900">
        <v>0.79954302310943604</v>
      </c>
    </row>
    <row r="13901" spans="2:6">
      <c r="B13901">
        <v>2013</v>
      </c>
      <c r="C13901" t="s">
        <v>149</v>
      </c>
      <c r="D13901" t="s">
        <v>184</v>
      </c>
      <c r="E13901" t="s">
        <v>14</v>
      </c>
      <c r="F13901">
        <v>0.77251768112182617</v>
      </c>
    </row>
    <row r="13902" spans="2:6">
      <c r="B13902">
        <v>2013</v>
      </c>
      <c r="C13902" t="s">
        <v>149</v>
      </c>
      <c r="D13902" t="s">
        <v>184</v>
      </c>
      <c r="E13902" t="s">
        <v>15</v>
      </c>
      <c r="F13902">
        <v>0.16654908657073975</v>
      </c>
    </row>
    <row r="13903" spans="2:6">
      <c r="B13903">
        <v>2014</v>
      </c>
      <c r="C13903" t="s">
        <v>149</v>
      </c>
      <c r="D13903" t="s">
        <v>184</v>
      </c>
      <c r="E13903" t="s">
        <v>7</v>
      </c>
      <c r="F13903">
        <v>4.8284564018249512</v>
      </c>
    </row>
    <row r="13904" spans="2:6">
      <c r="B13904">
        <v>2014</v>
      </c>
      <c r="C13904" t="s">
        <v>149</v>
      </c>
      <c r="D13904" t="s">
        <v>184</v>
      </c>
      <c r="E13904" t="s">
        <v>8</v>
      </c>
      <c r="F13904">
        <v>9.4637460708618164</v>
      </c>
    </row>
    <row r="13905" spans="2:6">
      <c r="B13905">
        <v>2014</v>
      </c>
      <c r="C13905" t="s">
        <v>149</v>
      </c>
      <c r="D13905" t="s">
        <v>184</v>
      </c>
      <c r="E13905" t="s">
        <v>9</v>
      </c>
      <c r="F13905">
        <v>0.88115221261978149</v>
      </c>
    </row>
    <row r="13906" spans="2:6">
      <c r="B13906">
        <v>2014</v>
      </c>
      <c r="C13906" t="s">
        <v>149</v>
      </c>
      <c r="D13906" t="s">
        <v>184</v>
      </c>
      <c r="E13906" t="s">
        <v>10</v>
      </c>
      <c r="F13906">
        <v>54.340000152587891</v>
      </c>
    </row>
    <row r="13907" spans="2:6">
      <c r="B13907">
        <v>2014</v>
      </c>
      <c r="C13907" t="s">
        <v>149</v>
      </c>
      <c r="D13907" t="s">
        <v>184</v>
      </c>
      <c r="E13907" t="s">
        <v>11</v>
      </c>
      <c r="F13907">
        <v>0.79403096437454224</v>
      </c>
    </row>
    <row r="13908" spans="2:6">
      <c r="B13908">
        <v>2014</v>
      </c>
      <c r="C13908" t="s">
        <v>149</v>
      </c>
      <c r="D13908" t="s">
        <v>184</v>
      </c>
      <c r="E13908" t="s">
        <v>12</v>
      </c>
      <c r="F13908">
        <v>-0.11690614372491837</v>
      </c>
    </row>
    <row r="13909" spans="2:6">
      <c r="B13909">
        <v>2014</v>
      </c>
      <c r="C13909" t="s">
        <v>149</v>
      </c>
      <c r="D13909" t="s">
        <v>184</v>
      </c>
      <c r="E13909" t="s">
        <v>13</v>
      </c>
      <c r="F13909">
        <v>0.82025802135467529</v>
      </c>
    </row>
    <row r="13910" spans="2:6">
      <c r="B13910">
        <v>2014</v>
      </c>
      <c r="C13910" t="s">
        <v>149</v>
      </c>
      <c r="D13910" t="s">
        <v>184</v>
      </c>
      <c r="E13910" t="s">
        <v>14</v>
      </c>
      <c r="F13910">
        <v>0.79762381315231323</v>
      </c>
    </row>
    <row r="13911" spans="2:6">
      <c r="B13911">
        <v>2014</v>
      </c>
      <c r="C13911" t="s">
        <v>149</v>
      </c>
      <c r="D13911" t="s">
        <v>184</v>
      </c>
      <c r="E13911" t="s">
        <v>15</v>
      </c>
      <c r="F13911">
        <v>0.24335815012454987</v>
      </c>
    </row>
    <row r="13912" spans="2:6">
      <c r="B13912">
        <v>2015</v>
      </c>
      <c r="C13912" t="s">
        <v>149</v>
      </c>
      <c r="D13912" t="s">
        <v>184</v>
      </c>
      <c r="E13912" t="s">
        <v>7</v>
      </c>
      <c r="F13912">
        <v>4.8873257637023926</v>
      </c>
    </row>
    <row r="13913" spans="2:6">
      <c r="B13913">
        <v>2015</v>
      </c>
      <c r="C13913" t="s">
        <v>149</v>
      </c>
      <c r="D13913" t="s">
        <v>184</v>
      </c>
      <c r="E13913" t="s">
        <v>8</v>
      </c>
      <c r="F13913">
        <v>9.4603233337402344</v>
      </c>
    </row>
    <row r="13914" spans="2:6">
      <c r="B13914">
        <v>2015</v>
      </c>
      <c r="C13914" t="s">
        <v>149</v>
      </c>
      <c r="D13914" t="s">
        <v>184</v>
      </c>
      <c r="E13914" t="s">
        <v>9</v>
      </c>
      <c r="F13914">
        <v>0.89809626340866089</v>
      </c>
    </row>
    <row r="13915" spans="2:6">
      <c r="B13915">
        <v>2015</v>
      </c>
      <c r="C13915" t="s">
        <v>149</v>
      </c>
      <c r="D13915" t="s">
        <v>184</v>
      </c>
      <c r="E13915" t="s">
        <v>10</v>
      </c>
      <c r="F13915">
        <v>55.299999237060547</v>
      </c>
    </row>
    <row r="13916" spans="2:6">
      <c r="B13916">
        <v>2015</v>
      </c>
      <c r="C13916" t="s">
        <v>149</v>
      </c>
      <c r="D13916" t="s">
        <v>184</v>
      </c>
      <c r="E13916" t="s">
        <v>11</v>
      </c>
      <c r="F13916">
        <v>0.86244940757751465</v>
      </c>
    </row>
    <row r="13917" spans="2:6">
      <c r="B13917">
        <v>2015</v>
      </c>
      <c r="C13917" t="s">
        <v>149</v>
      </c>
      <c r="D13917" t="s">
        <v>184</v>
      </c>
      <c r="E13917" t="s">
        <v>12</v>
      </c>
      <c r="F13917">
        <v>-0.12704870104789734</v>
      </c>
    </row>
    <row r="13918" spans="2:6">
      <c r="B13918">
        <v>2015</v>
      </c>
      <c r="C13918" t="s">
        <v>149</v>
      </c>
      <c r="D13918" t="s">
        <v>184</v>
      </c>
      <c r="E13918" t="s">
        <v>13</v>
      </c>
      <c r="F13918">
        <v>0.85269474983215332</v>
      </c>
    </row>
    <row r="13919" spans="2:6">
      <c r="B13919">
        <v>2015</v>
      </c>
      <c r="C13919" t="s">
        <v>149</v>
      </c>
      <c r="D13919" t="s">
        <v>184</v>
      </c>
      <c r="E13919" t="s">
        <v>14</v>
      </c>
      <c r="F13919">
        <v>0.78075921535491943</v>
      </c>
    </row>
    <row r="13920" spans="2:6">
      <c r="B13920">
        <v>2015</v>
      </c>
      <c r="C13920" t="s">
        <v>149</v>
      </c>
      <c r="D13920" t="s">
        <v>184</v>
      </c>
      <c r="E13920" t="s">
        <v>15</v>
      </c>
      <c r="F13920">
        <v>0.16078765690326691</v>
      </c>
    </row>
    <row r="13921" spans="2:6">
      <c r="B13921">
        <v>2016</v>
      </c>
      <c r="C13921" t="s">
        <v>149</v>
      </c>
      <c r="D13921" t="s">
        <v>184</v>
      </c>
      <c r="E13921" t="s">
        <v>7</v>
      </c>
      <c r="F13921">
        <v>4.7697396278381348</v>
      </c>
    </row>
    <row r="13922" spans="2:6">
      <c r="B13922">
        <v>2016</v>
      </c>
      <c r="C13922" t="s">
        <v>149</v>
      </c>
      <c r="D13922" t="s">
        <v>184</v>
      </c>
      <c r="E13922" t="s">
        <v>8</v>
      </c>
      <c r="F13922">
        <v>9.4496583938598633</v>
      </c>
    </row>
    <row r="13923" spans="2:6">
      <c r="B13923">
        <v>2016</v>
      </c>
      <c r="C13923" t="s">
        <v>149</v>
      </c>
      <c r="D13923" t="s">
        <v>184</v>
      </c>
      <c r="E13923" t="s">
        <v>9</v>
      </c>
      <c r="F13923">
        <v>0.87538975477218628</v>
      </c>
    </row>
    <row r="13924" spans="2:6">
      <c r="B13924">
        <v>2016</v>
      </c>
      <c r="C13924" t="s">
        <v>149</v>
      </c>
      <c r="D13924" t="s">
        <v>184</v>
      </c>
      <c r="E13924" t="s">
        <v>10</v>
      </c>
      <c r="F13924">
        <v>55.700000762939453</v>
      </c>
    </row>
    <row r="13925" spans="2:6">
      <c r="B13925">
        <v>2016</v>
      </c>
      <c r="C13925" t="s">
        <v>149</v>
      </c>
      <c r="D13925" t="s">
        <v>184</v>
      </c>
      <c r="E13925" t="s">
        <v>11</v>
      </c>
      <c r="F13925">
        <v>0.77413642406463623</v>
      </c>
    </row>
    <row r="13926" spans="2:6">
      <c r="B13926">
        <v>2016</v>
      </c>
      <c r="C13926" t="s">
        <v>149</v>
      </c>
      <c r="D13926" t="s">
        <v>184</v>
      </c>
      <c r="E13926" t="s">
        <v>12</v>
      </c>
      <c r="F13926">
        <v>-7.0200070738792419E-2</v>
      </c>
    </row>
    <row r="13927" spans="2:6">
      <c r="B13927">
        <v>2016</v>
      </c>
      <c r="C13927" t="s">
        <v>149</v>
      </c>
      <c r="D13927" t="s">
        <v>184</v>
      </c>
      <c r="E13927" t="s">
        <v>13</v>
      </c>
      <c r="F13927">
        <v>0.81285899877548218</v>
      </c>
    </row>
    <row r="13928" spans="2:6">
      <c r="B13928">
        <v>2016</v>
      </c>
      <c r="C13928" t="s">
        <v>149</v>
      </c>
      <c r="D13928" t="s">
        <v>184</v>
      </c>
      <c r="E13928" t="s">
        <v>14</v>
      </c>
      <c r="F13928">
        <v>0.78572362661361694</v>
      </c>
    </row>
    <row r="13929" spans="2:6">
      <c r="B13929">
        <v>2016</v>
      </c>
      <c r="C13929" t="s">
        <v>149</v>
      </c>
      <c r="D13929" t="s">
        <v>184</v>
      </c>
      <c r="E13929" t="s">
        <v>15</v>
      </c>
      <c r="F13929">
        <v>0.30132776498794556</v>
      </c>
    </row>
    <row r="13930" spans="2:6">
      <c r="B13930">
        <v>2017</v>
      </c>
      <c r="C13930" t="s">
        <v>149</v>
      </c>
      <c r="D13930" t="s">
        <v>184</v>
      </c>
      <c r="E13930" t="s">
        <v>7</v>
      </c>
      <c r="F13930">
        <v>4.5136551856994629</v>
      </c>
    </row>
    <row r="13931" spans="2:6">
      <c r="B13931">
        <v>2017</v>
      </c>
      <c r="C13931" t="s">
        <v>149</v>
      </c>
      <c r="D13931" t="s">
        <v>184</v>
      </c>
      <c r="E13931" t="s">
        <v>8</v>
      </c>
      <c r="F13931">
        <v>9.4496269226074219</v>
      </c>
    </row>
    <row r="13932" spans="2:6">
      <c r="B13932">
        <v>2017</v>
      </c>
      <c r="C13932" t="s">
        <v>149</v>
      </c>
      <c r="D13932" t="s">
        <v>184</v>
      </c>
      <c r="E13932" t="s">
        <v>9</v>
      </c>
      <c r="F13932">
        <v>0.87031328678131104</v>
      </c>
    </row>
    <row r="13933" spans="2:6">
      <c r="B13933">
        <v>2017</v>
      </c>
      <c r="C13933" t="s">
        <v>149</v>
      </c>
      <c r="D13933" t="s">
        <v>184</v>
      </c>
      <c r="E13933" t="s">
        <v>10</v>
      </c>
      <c r="F13933">
        <v>56.099998474121094</v>
      </c>
    </row>
    <row r="13934" spans="2:6">
      <c r="B13934">
        <v>2017</v>
      </c>
      <c r="C13934" t="s">
        <v>149</v>
      </c>
      <c r="D13934" t="s">
        <v>184</v>
      </c>
      <c r="E13934" t="s">
        <v>11</v>
      </c>
      <c r="F13934">
        <v>0.78742790222167969</v>
      </c>
    </row>
    <row r="13935" spans="2:6">
      <c r="B13935">
        <v>2017</v>
      </c>
      <c r="C13935" t="s">
        <v>149</v>
      </c>
      <c r="D13935" t="s">
        <v>184</v>
      </c>
      <c r="E13935" t="s">
        <v>12</v>
      </c>
      <c r="F13935">
        <v>-0.12861840426921844</v>
      </c>
    </row>
    <row r="13936" spans="2:6">
      <c r="B13936">
        <v>2017</v>
      </c>
      <c r="C13936" t="s">
        <v>149</v>
      </c>
      <c r="D13936" t="s">
        <v>184</v>
      </c>
      <c r="E13936" t="s">
        <v>13</v>
      </c>
      <c r="F13936">
        <v>0.86478191614151001</v>
      </c>
    </row>
    <row r="13937" spans="2:6">
      <c r="B13937">
        <v>2017</v>
      </c>
      <c r="C13937" t="s">
        <v>149</v>
      </c>
      <c r="D13937" t="s">
        <v>184</v>
      </c>
      <c r="E13937" t="s">
        <v>14</v>
      </c>
      <c r="F13937">
        <v>0.78480070829391479</v>
      </c>
    </row>
    <row r="13938" spans="2:6">
      <c r="B13938">
        <v>2017</v>
      </c>
      <c r="C13938" t="s">
        <v>149</v>
      </c>
      <c r="D13938" t="s">
        <v>184</v>
      </c>
      <c r="E13938" t="s">
        <v>15</v>
      </c>
      <c r="F13938">
        <v>0.26817524433135986</v>
      </c>
    </row>
    <row r="13939" spans="2:6">
      <c r="B13939">
        <v>2018</v>
      </c>
      <c r="C13939" t="s">
        <v>149</v>
      </c>
      <c r="D13939" t="s">
        <v>184</v>
      </c>
      <c r="E13939" t="s">
        <v>7</v>
      </c>
      <c r="F13939">
        <v>4.8839221000671387</v>
      </c>
    </row>
    <row r="13940" spans="2:6">
      <c r="B13940">
        <v>2018</v>
      </c>
      <c r="C13940" t="s">
        <v>149</v>
      </c>
      <c r="D13940" t="s">
        <v>184</v>
      </c>
      <c r="E13940" t="s">
        <v>8</v>
      </c>
      <c r="F13940">
        <v>9.4438896179199219</v>
      </c>
    </row>
    <row r="13941" spans="2:6">
      <c r="B13941">
        <v>2018</v>
      </c>
      <c r="C13941" t="s">
        <v>149</v>
      </c>
      <c r="D13941" t="s">
        <v>184</v>
      </c>
      <c r="E13941" t="s">
        <v>9</v>
      </c>
      <c r="F13941">
        <v>0.84134399890899658</v>
      </c>
    </row>
    <row r="13942" spans="2:6">
      <c r="B13942">
        <v>2018</v>
      </c>
      <c r="C13942" t="s">
        <v>149</v>
      </c>
      <c r="D13942" t="s">
        <v>184</v>
      </c>
      <c r="E13942" t="s">
        <v>10</v>
      </c>
      <c r="F13942">
        <v>56.5</v>
      </c>
    </row>
    <row r="13943" spans="2:6">
      <c r="B13943">
        <v>2018</v>
      </c>
      <c r="C13943" t="s">
        <v>149</v>
      </c>
      <c r="D13943" t="s">
        <v>184</v>
      </c>
      <c r="E13943" t="s">
        <v>11</v>
      </c>
      <c r="F13943">
        <v>0.7527313232421875</v>
      </c>
    </row>
    <row r="13944" spans="2:6">
      <c r="B13944">
        <v>2018</v>
      </c>
      <c r="C13944" t="s">
        <v>149</v>
      </c>
      <c r="D13944" t="s">
        <v>184</v>
      </c>
      <c r="E13944" t="s">
        <v>12</v>
      </c>
      <c r="F13944">
        <v>-5.0273414701223373E-2</v>
      </c>
    </row>
    <row r="13945" spans="2:6">
      <c r="B13945">
        <v>2018</v>
      </c>
      <c r="C13945" t="s">
        <v>149</v>
      </c>
      <c r="D13945" t="s">
        <v>184</v>
      </c>
      <c r="E13945" t="s">
        <v>13</v>
      </c>
      <c r="F13945">
        <v>0.84119260311126709</v>
      </c>
    </row>
    <row r="13946" spans="2:6">
      <c r="B13946">
        <v>2018</v>
      </c>
      <c r="C13946" t="s">
        <v>149</v>
      </c>
      <c r="D13946" t="s">
        <v>184</v>
      </c>
      <c r="E13946" t="s">
        <v>14</v>
      </c>
      <c r="F13946">
        <v>0.81216657161712646</v>
      </c>
    </row>
    <row r="13947" spans="2:6">
      <c r="B13947">
        <v>2018</v>
      </c>
      <c r="C13947" t="s">
        <v>149</v>
      </c>
      <c r="D13947" t="s">
        <v>184</v>
      </c>
      <c r="E13947" t="s">
        <v>15</v>
      </c>
      <c r="F13947">
        <v>0.28270849585533142</v>
      </c>
    </row>
    <row r="13948" spans="2:6">
      <c r="B13948">
        <v>2019</v>
      </c>
      <c r="C13948" t="s">
        <v>149</v>
      </c>
      <c r="D13948" t="s">
        <v>184</v>
      </c>
      <c r="E13948" t="s">
        <v>7</v>
      </c>
      <c r="F13948">
        <v>5.0348634719848633</v>
      </c>
    </row>
    <row r="13949" spans="2:6">
      <c r="B13949">
        <v>2019</v>
      </c>
      <c r="C13949" t="s">
        <v>149</v>
      </c>
      <c r="D13949" t="s">
        <v>184</v>
      </c>
      <c r="E13949" t="s">
        <v>8</v>
      </c>
      <c r="F13949">
        <v>9.4320278167724609</v>
      </c>
    </row>
    <row r="13950" spans="2:6">
      <c r="B13950">
        <v>2019</v>
      </c>
      <c r="C13950" t="s">
        <v>149</v>
      </c>
      <c r="D13950" t="s">
        <v>184</v>
      </c>
      <c r="E13950" t="s">
        <v>9</v>
      </c>
      <c r="F13950">
        <v>0.84771972894668579</v>
      </c>
    </row>
    <row r="13951" spans="2:6">
      <c r="B13951">
        <v>2019</v>
      </c>
      <c r="C13951" t="s">
        <v>149</v>
      </c>
      <c r="D13951" t="s">
        <v>184</v>
      </c>
      <c r="E13951" t="s">
        <v>10</v>
      </c>
      <c r="F13951">
        <v>56.900001525878906</v>
      </c>
    </row>
    <row r="13952" spans="2:6">
      <c r="B13952">
        <v>2019</v>
      </c>
      <c r="C13952" t="s">
        <v>149</v>
      </c>
      <c r="D13952" t="s">
        <v>184</v>
      </c>
      <c r="E13952" t="s">
        <v>11</v>
      </c>
      <c r="F13952">
        <v>0.73833853006362915</v>
      </c>
    </row>
    <row r="13953" spans="2:6">
      <c r="B13953">
        <v>2019</v>
      </c>
      <c r="C13953" t="s">
        <v>149</v>
      </c>
      <c r="D13953" t="s">
        <v>184</v>
      </c>
      <c r="E13953" t="s">
        <v>12</v>
      </c>
      <c r="F13953">
        <v>-0.1339699774980545</v>
      </c>
    </row>
    <row r="13954" spans="2:6">
      <c r="B13954">
        <v>2019</v>
      </c>
      <c r="C13954" t="s">
        <v>149</v>
      </c>
      <c r="D13954" t="s">
        <v>184</v>
      </c>
      <c r="E13954" t="s">
        <v>13</v>
      </c>
      <c r="F13954">
        <v>0.81982362270355225</v>
      </c>
    </row>
    <row r="13955" spans="2:6">
      <c r="B13955">
        <v>2019</v>
      </c>
      <c r="C13955" t="s">
        <v>149</v>
      </c>
      <c r="D13955" t="s">
        <v>184</v>
      </c>
      <c r="E13955" t="s">
        <v>14</v>
      </c>
      <c r="F13955">
        <v>0.8005836009979248</v>
      </c>
    </row>
    <row r="13956" spans="2:6">
      <c r="B13956">
        <v>2019</v>
      </c>
      <c r="C13956" t="s">
        <v>149</v>
      </c>
      <c r="D13956" t="s">
        <v>184</v>
      </c>
      <c r="E13956" t="s">
        <v>15</v>
      </c>
      <c r="F13956">
        <v>0.26845622062683105</v>
      </c>
    </row>
    <row r="13957" spans="2:6">
      <c r="B13957">
        <v>2020</v>
      </c>
      <c r="C13957" t="s">
        <v>149</v>
      </c>
      <c r="D13957" t="s">
        <v>184</v>
      </c>
      <c r="E13957" t="s">
        <v>7</v>
      </c>
      <c r="F13957">
        <v>4.946800708770752</v>
      </c>
    </row>
    <row r="13958" spans="2:6">
      <c r="B13958">
        <v>2020</v>
      </c>
      <c r="C13958" t="s">
        <v>149</v>
      </c>
      <c r="D13958" t="s">
        <v>184</v>
      </c>
      <c r="E13958" t="s">
        <v>8</v>
      </c>
      <c r="F13958">
        <v>9.332463264465332</v>
      </c>
    </row>
    <row r="13959" spans="2:6">
      <c r="B13959">
        <v>2020</v>
      </c>
      <c r="C13959" t="s">
        <v>149</v>
      </c>
      <c r="D13959" t="s">
        <v>184</v>
      </c>
      <c r="E13959" t="s">
        <v>9</v>
      </c>
      <c r="F13959">
        <v>0.89105033874511719</v>
      </c>
    </row>
    <row r="13960" spans="2:6">
      <c r="B13960">
        <v>2020</v>
      </c>
      <c r="C13960" t="s">
        <v>149</v>
      </c>
      <c r="D13960" t="s">
        <v>184</v>
      </c>
      <c r="E13960" t="s">
        <v>10</v>
      </c>
      <c r="F13960">
        <v>57.299999237060547</v>
      </c>
    </row>
    <row r="13961" spans="2:6">
      <c r="B13961">
        <v>2020</v>
      </c>
      <c r="C13961" t="s">
        <v>149</v>
      </c>
      <c r="D13961" t="s">
        <v>184</v>
      </c>
      <c r="E13961" t="s">
        <v>11</v>
      </c>
      <c r="F13961">
        <v>0.75694626569747925</v>
      </c>
    </row>
    <row r="13962" spans="2:6">
      <c r="B13962">
        <v>2020</v>
      </c>
      <c r="C13962" t="s">
        <v>149</v>
      </c>
      <c r="D13962" t="s">
        <v>184</v>
      </c>
      <c r="E13962" t="s">
        <v>12</v>
      </c>
      <c r="F13962">
        <v>-1.4951311983168125E-2</v>
      </c>
    </row>
    <row r="13963" spans="2:6">
      <c r="B13963">
        <v>2020</v>
      </c>
      <c r="C13963" t="s">
        <v>149</v>
      </c>
      <c r="D13963" t="s">
        <v>184</v>
      </c>
      <c r="E13963" t="s">
        <v>13</v>
      </c>
      <c r="F13963">
        <v>0.91240721940994263</v>
      </c>
    </row>
    <row r="13964" spans="2:6">
      <c r="B13964">
        <v>2020</v>
      </c>
      <c r="C13964" t="s">
        <v>149</v>
      </c>
      <c r="D13964" t="s">
        <v>184</v>
      </c>
      <c r="E13964" t="s">
        <v>14</v>
      </c>
      <c r="F13964">
        <v>0.82033777236938477</v>
      </c>
    </row>
    <row r="13965" spans="2:6">
      <c r="B13965">
        <v>2020</v>
      </c>
      <c r="C13965" t="s">
        <v>149</v>
      </c>
      <c r="D13965" t="s">
        <v>184</v>
      </c>
      <c r="E13965" t="s">
        <v>15</v>
      </c>
      <c r="F13965">
        <v>0.29427647590637207</v>
      </c>
    </row>
    <row r="13966" spans="2:6">
      <c r="B13966">
        <v>2006</v>
      </c>
      <c r="C13966" t="s">
        <v>150</v>
      </c>
      <c r="D13966" t="s">
        <v>182</v>
      </c>
      <c r="E13966" t="s">
        <v>7</v>
      </c>
      <c r="F13966">
        <v>5.3321776390075684</v>
      </c>
    </row>
    <row r="13967" spans="2:6">
      <c r="B13967">
        <v>2006</v>
      </c>
      <c r="C13967" t="s">
        <v>150</v>
      </c>
      <c r="D13967" t="s">
        <v>182</v>
      </c>
      <c r="E13967" t="s">
        <v>8</v>
      </c>
      <c r="F13967">
        <v>10.309701919555664</v>
      </c>
    </row>
    <row r="13968" spans="2:6">
      <c r="B13968">
        <v>2006</v>
      </c>
      <c r="C13968" t="s">
        <v>150</v>
      </c>
      <c r="D13968" t="s">
        <v>182</v>
      </c>
      <c r="E13968" t="s">
        <v>9</v>
      </c>
      <c r="F13968">
        <v>0.77549892663955688</v>
      </c>
    </row>
    <row r="13969" spans="2:6">
      <c r="B13969">
        <v>2006</v>
      </c>
      <c r="C13969" t="s">
        <v>150</v>
      </c>
      <c r="D13969" t="s">
        <v>182</v>
      </c>
      <c r="E13969" t="s">
        <v>10</v>
      </c>
      <c r="F13969">
        <v>70.199996948242188</v>
      </c>
    </row>
    <row r="13970" spans="2:6">
      <c r="B13970">
        <v>2006</v>
      </c>
      <c r="C13970" t="s">
        <v>150</v>
      </c>
      <c r="D13970" t="s">
        <v>182</v>
      </c>
      <c r="E13970" t="s">
        <v>11</v>
      </c>
      <c r="F13970">
        <v>0.71524173021316528</v>
      </c>
    </row>
    <row r="13971" spans="2:6">
      <c r="B13971">
        <v>2006</v>
      </c>
      <c r="C13971" t="s">
        <v>150</v>
      </c>
      <c r="D13971" t="s">
        <v>182</v>
      </c>
      <c r="E13971" t="s">
        <v>12</v>
      </c>
      <c r="F13971">
        <v>-5.2023258060216904E-2</v>
      </c>
    </row>
    <row r="13972" spans="2:6">
      <c r="B13972">
        <v>2006</v>
      </c>
      <c r="C13972" t="s">
        <v>150</v>
      </c>
      <c r="D13972" t="s">
        <v>182</v>
      </c>
      <c r="E13972" t="s">
        <v>13</v>
      </c>
      <c r="F13972">
        <v>0.79861515760421753</v>
      </c>
    </row>
    <row r="13973" spans="2:6">
      <c r="B13973">
        <v>2006</v>
      </c>
      <c r="C13973" t="s">
        <v>150</v>
      </c>
      <c r="D13973" t="s">
        <v>182</v>
      </c>
      <c r="E13973" t="s">
        <v>14</v>
      </c>
      <c r="F13973">
        <v>0.65054851770401001</v>
      </c>
    </row>
    <row r="13974" spans="2:6">
      <c r="B13974">
        <v>2006</v>
      </c>
      <c r="C13974" t="s">
        <v>150</v>
      </c>
      <c r="D13974" t="s">
        <v>182</v>
      </c>
      <c r="E13974" t="s">
        <v>15</v>
      </c>
      <c r="F13974">
        <v>0.33815217018127441</v>
      </c>
    </row>
    <row r="13975" spans="2:6">
      <c r="B13975">
        <v>2007</v>
      </c>
      <c r="C13975" t="s">
        <v>150</v>
      </c>
      <c r="D13975" t="s">
        <v>182</v>
      </c>
      <c r="E13975" t="s">
        <v>7</v>
      </c>
      <c r="F13975">
        <v>5.7672758102416992</v>
      </c>
    </row>
    <row r="13976" spans="2:6">
      <c r="B13976">
        <v>2007</v>
      </c>
      <c r="C13976" t="s">
        <v>150</v>
      </c>
      <c r="D13976" t="s">
        <v>182</v>
      </c>
      <c r="E13976" t="s">
        <v>8</v>
      </c>
      <c r="F13976">
        <v>10.361025810241699</v>
      </c>
    </row>
    <row r="13977" spans="2:6">
      <c r="B13977">
        <v>2007</v>
      </c>
      <c r="C13977" t="s">
        <v>150</v>
      </c>
      <c r="D13977" t="s">
        <v>182</v>
      </c>
      <c r="E13977" t="s">
        <v>9</v>
      </c>
      <c r="F13977">
        <v>0.82671231031417847</v>
      </c>
    </row>
    <row r="13978" spans="2:6">
      <c r="B13978">
        <v>2007</v>
      </c>
      <c r="C13978" t="s">
        <v>150</v>
      </c>
      <c r="D13978" t="s">
        <v>182</v>
      </c>
      <c r="E13978" t="s">
        <v>10</v>
      </c>
      <c r="F13978">
        <v>70.5</v>
      </c>
    </row>
    <row r="13979" spans="2:6">
      <c r="B13979">
        <v>2007</v>
      </c>
      <c r="C13979" t="s">
        <v>150</v>
      </c>
      <c r="D13979" t="s">
        <v>182</v>
      </c>
      <c r="E13979" t="s">
        <v>11</v>
      </c>
      <c r="F13979">
        <v>0.65582799911499023</v>
      </c>
    </row>
    <row r="13980" spans="2:6">
      <c r="B13980">
        <v>2007</v>
      </c>
      <c r="C13980" t="s">
        <v>150</v>
      </c>
      <c r="D13980" t="s">
        <v>182</v>
      </c>
      <c r="E13980" t="s">
        <v>12</v>
      </c>
      <c r="F13980">
        <v>-5.9287726879119873E-2</v>
      </c>
    </row>
    <row r="13981" spans="2:6">
      <c r="B13981">
        <v>2007</v>
      </c>
      <c r="C13981" t="s">
        <v>150</v>
      </c>
      <c r="D13981" t="s">
        <v>182</v>
      </c>
      <c r="E13981" t="s">
        <v>13</v>
      </c>
      <c r="F13981">
        <v>0.80275315046310425</v>
      </c>
    </row>
    <row r="13982" spans="2:6">
      <c r="B13982">
        <v>2007</v>
      </c>
      <c r="C13982" t="s">
        <v>150</v>
      </c>
      <c r="D13982" t="s">
        <v>182</v>
      </c>
      <c r="E13982" t="s">
        <v>14</v>
      </c>
      <c r="F13982">
        <v>0.68978792428970337</v>
      </c>
    </row>
    <row r="13983" spans="2:6">
      <c r="B13983">
        <v>2007</v>
      </c>
      <c r="C13983" t="s">
        <v>150</v>
      </c>
      <c r="D13983" t="s">
        <v>182</v>
      </c>
      <c r="E13983" t="s">
        <v>15</v>
      </c>
      <c r="F13983">
        <v>0.22640208899974823</v>
      </c>
    </row>
    <row r="13984" spans="2:6">
      <c r="B13984">
        <v>2008</v>
      </c>
      <c r="C13984" t="s">
        <v>150</v>
      </c>
      <c r="D13984" t="s">
        <v>182</v>
      </c>
      <c r="E13984" t="s">
        <v>7</v>
      </c>
      <c r="F13984">
        <v>5.3896245956420898</v>
      </c>
    </row>
    <row r="13985" spans="2:6">
      <c r="B13985">
        <v>2008</v>
      </c>
      <c r="C13985" t="s">
        <v>150</v>
      </c>
      <c r="D13985" t="s">
        <v>182</v>
      </c>
      <c r="E13985" t="s">
        <v>8</v>
      </c>
      <c r="F13985">
        <v>10.38311767578125</v>
      </c>
    </row>
    <row r="13986" spans="2:6">
      <c r="B13986">
        <v>2008</v>
      </c>
      <c r="C13986" t="s">
        <v>150</v>
      </c>
      <c r="D13986" t="s">
        <v>182</v>
      </c>
      <c r="E13986" t="s">
        <v>9</v>
      </c>
      <c r="F13986">
        <v>0.75360983610153198</v>
      </c>
    </row>
    <row r="13987" spans="2:6">
      <c r="B13987">
        <v>2008</v>
      </c>
      <c r="C13987" t="s">
        <v>150</v>
      </c>
      <c r="D13987" t="s">
        <v>182</v>
      </c>
      <c r="E13987" t="s">
        <v>10</v>
      </c>
      <c r="F13987">
        <v>70.800003051757813</v>
      </c>
    </row>
    <row r="13988" spans="2:6">
      <c r="B13988">
        <v>2008</v>
      </c>
      <c r="C13988" t="s">
        <v>150</v>
      </c>
      <c r="D13988" t="s">
        <v>182</v>
      </c>
      <c r="E13988" t="s">
        <v>11</v>
      </c>
      <c r="F13988">
        <v>0.52367877960205078</v>
      </c>
    </row>
    <row r="13989" spans="2:6">
      <c r="B13989">
        <v>2008</v>
      </c>
      <c r="C13989" t="s">
        <v>150</v>
      </c>
      <c r="D13989" t="s">
        <v>182</v>
      </c>
      <c r="E13989" t="s">
        <v>12</v>
      </c>
      <c r="F13989">
        <v>-0.1022142767906189</v>
      </c>
    </row>
    <row r="13990" spans="2:6">
      <c r="B13990">
        <v>2008</v>
      </c>
      <c r="C13990" t="s">
        <v>150</v>
      </c>
      <c r="D13990" t="s">
        <v>182</v>
      </c>
      <c r="E13990" t="s">
        <v>13</v>
      </c>
      <c r="F13990">
        <v>0.77095955610275269</v>
      </c>
    </row>
    <row r="13991" spans="2:6">
      <c r="B13991">
        <v>2008</v>
      </c>
      <c r="C13991" t="s">
        <v>150</v>
      </c>
      <c r="D13991" t="s">
        <v>182</v>
      </c>
      <c r="E13991" t="s">
        <v>14</v>
      </c>
      <c r="F13991">
        <v>0.64273852109909058</v>
      </c>
    </row>
    <row r="13992" spans="2:6">
      <c r="B13992">
        <v>2008</v>
      </c>
      <c r="C13992" t="s">
        <v>150</v>
      </c>
      <c r="D13992" t="s">
        <v>182</v>
      </c>
      <c r="E13992" t="s">
        <v>15</v>
      </c>
      <c r="F13992">
        <v>0.2390572726726532</v>
      </c>
    </row>
    <row r="13993" spans="2:6">
      <c r="B13993">
        <v>2009</v>
      </c>
      <c r="C13993" t="s">
        <v>150</v>
      </c>
      <c r="D13993" t="s">
        <v>182</v>
      </c>
      <c r="E13993" t="s">
        <v>7</v>
      </c>
      <c r="F13993">
        <v>5.6476898193359375</v>
      </c>
    </row>
    <row r="13994" spans="2:6">
      <c r="B13994">
        <v>2009</v>
      </c>
      <c r="C13994" t="s">
        <v>150</v>
      </c>
      <c r="D13994" t="s">
        <v>182</v>
      </c>
      <c r="E13994" t="s">
        <v>8</v>
      </c>
      <c r="F13994">
        <v>10.385866165161133</v>
      </c>
    </row>
    <row r="13995" spans="2:6">
      <c r="B13995">
        <v>2009</v>
      </c>
      <c r="C13995" t="s">
        <v>150</v>
      </c>
      <c r="D13995" t="s">
        <v>182</v>
      </c>
      <c r="E13995" t="s">
        <v>9</v>
      </c>
      <c r="F13995">
        <v>0.81090271472930908</v>
      </c>
    </row>
    <row r="13996" spans="2:6">
      <c r="B13996">
        <v>2009</v>
      </c>
      <c r="C13996" t="s">
        <v>150</v>
      </c>
      <c r="D13996" t="s">
        <v>182</v>
      </c>
      <c r="E13996" t="s">
        <v>10</v>
      </c>
      <c r="F13996">
        <v>71.099998474121094</v>
      </c>
    </row>
    <row r="13997" spans="2:6">
      <c r="B13997">
        <v>2009</v>
      </c>
      <c r="C13997" t="s">
        <v>150</v>
      </c>
      <c r="D13997" t="s">
        <v>182</v>
      </c>
      <c r="E13997" t="s">
        <v>11</v>
      </c>
      <c r="F13997">
        <v>0.60016566514968872</v>
      </c>
    </row>
    <row r="13998" spans="2:6">
      <c r="B13998">
        <v>2009</v>
      </c>
      <c r="C13998" t="s">
        <v>150</v>
      </c>
      <c r="D13998" t="s">
        <v>182</v>
      </c>
      <c r="E13998" t="s">
        <v>12</v>
      </c>
      <c r="F13998">
        <v>-9.5941916108131409E-2</v>
      </c>
    </row>
    <row r="13999" spans="2:6">
      <c r="B13999">
        <v>2009</v>
      </c>
      <c r="C13999" t="s">
        <v>150</v>
      </c>
      <c r="D13999" t="s">
        <v>182</v>
      </c>
      <c r="E13999" t="s">
        <v>13</v>
      </c>
      <c r="F13999">
        <v>0.78749734163284302</v>
      </c>
    </row>
    <row r="14000" spans="2:6">
      <c r="B14000">
        <v>2009</v>
      </c>
      <c r="C14000" t="s">
        <v>150</v>
      </c>
      <c r="D14000" t="s">
        <v>182</v>
      </c>
      <c r="E14000" t="s">
        <v>14</v>
      </c>
      <c r="F14000">
        <v>0.69701755046844482</v>
      </c>
    </row>
    <row r="14001" spans="2:6">
      <c r="B14001">
        <v>2009</v>
      </c>
      <c r="C14001" t="s">
        <v>150</v>
      </c>
      <c r="D14001" t="s">
        <v>182</v>
      </c>
      <c r="E14001" t="s">
        <v>15</v>
      </c>
      <c r="F14001">
        <v>0.20852100849151611</v>
      </c>
    </row>
    <row r="14002" spans="2:6">
      <c r="B14002">
        <v>2010</v>
      </c>
      <c r="C14002" t="s">
        <v>150</v>
      </c>
      <c r="D14002" t="s">
        <v>182</v>
      </c>
      <c r="E14002" t="s">
        <v>7</v>
      </c>
      <c r="F14002">
        <v>6.1160244941711426</v>
      </c>
    </row>
    <row r="14003" spans="2:6">
      <c r="B14003">
        <v>2010</v>
      </c>
      <c r="C14003" t="s">
        <v>150</v>
      </c>
      <c r="D14003" t="s">
        <v>182</v>
      </c>
      <c r="E14003" t="s">
        <v>8</v>
      </c>
      <c r="F14003">
        <v>10.446717262268066</v>
      </c>
    </row>
    <row r="14004" spans="2:6">
      <c r="B14004">
        <v>2010</v>
      </c>
      <c r="C14004" t="s">
        <v>150</v>
      </c>
      <c r="D14004" t="s">
        <v>182</v>
      </c>
      <c r="E14004" t="s">
        <v>9</v>
      </c>
      <c r="F14004">
        <v>0.81551665067672729</v>
      </c>
    </row>
    <row r="14005" spans="2:6">
      <c r="B14005">
        <v>2010</v>
      </c>
      <c r="C14005" t="s">
        <v>150</v>
      </c>
      <c r="D14005" t="s">
        <v>182</v>
      </c>
      <c r="E14005" t="s">
        <v>10</v>
      </c>
      <c r="F14005">
        <v>71.400001525878906</v>
      </c>
    </row>
    <row r="14006" spans="2:6">
      <c r="B14006">
        <v>2010</v>
      </c>
      <c r="C14006" t="s">
        <v>150</v>
      </c>
      <c r="D14006" t="s">
        <v>182</v>
      </c>
      <c r="E14006" t="s">
        <v>11</v>
      </c>
      <c r="F14006">
        <v>0.67665296792984009</v>
      </c>
    </row>
    <row r="14007" spans="2:6">
      <c r="B14007">
        <v>2010</v>
      </c>
      <c r="C14007" t="s">
        <v>150</v>
      </c>
      <c r="D14007" t="s">
        <v>182</v>
      </c>
      <c r="E14007" t="s">
        <v>12</v>
      </c>
      <c r="F14007">
        <v>-3.32343690097332E-2</v>
      </c>
    </row>
    <row r="14008" spans="2:6">
      <c r="B14008">
        <v>2010</v>
      </c>
      <c r="C14008" t="s">
        <v>150</v>
      </c>
      <c r="D14008" t="s">
        <v>182</v>
      </c>
      <c r="E14008" t="s">
        <v>13</v>
      </c>
      <c r="F14008">
        <v>0.75162112712860107</v>
      </c>
    </row>
    <row r="14009" spans="2:6">
      <c r="B14009">
        <v>2010</v>
      </c>
      <c r="C14009" t="s">
        <v>150</v>
      </c>
      <c r="D14009" t="s">
        <v>182</v>
      </c>
      <c r="E14009" t="s">
        <v>14</v>
      </c>
      <c r="F14009">
        <v>0.66197061538696289</v>
      </c>
    </row>
    <row r="14010" spans="2:6">
      <c r="B14010">
        <v>2010</v>
      </c>
      <c r="C14010" t="s">
        <v>150</v>
      </c>
      <c r="D14010" t="s">
        <v>182</v>
      </c>
      <c r="E14010" t="s">
        <v>15</v>
      </c>
      <c r="F14010">
        <v>0.13033711910247803</v>
      </c>
    </row>
    <row r="14011" spans="2:6">
      <c r="B14011">
        <v>2011</v>
      </c>
      <c r="C14011" t="s">
        <v>150</v>
      </c>
      <c r="D14011" t="s">
        <v>182</v>
      </c>
      <c r="E14011" t="s">
        <v>7</v>
      </c>
      <c r="F14011">
        <v>6.946599006652832</v>
      </c>
    </row>
    <row r="14012" spans="2:6">
      <c r="B14012">
        <v>2011</v>
      </c>
      <c r="C14012" t="s">
        <v>150</v>
      </c>
      <c r="D14012" t="s">
        <v>182</v>
      </c>
      <c r="E14012" t="s">
        <v>8</v>
      </c>
      <c r="F14012">
        <v>10.475220680236816</v>
      </c>
    </row>
    <row r="14013" spans="2:6">
      <c r="B14013">
        <v>2011</v>
      </c>
      <c r="C14013" t="s">
        <v>150</v>
      </c>
      <c r="D14013" t="s">
        <v>182</v>
      </c>
      <c r="E14013" t="s">
        <v>9</v>
      </c>
      <c r="F14013">
        <v>0.80910438299179077</v>
      </c>
    </row>
    <row r="14014" spans="2:6">
      <c r="B14014">
        <v>2011</v>
      </c>
      <c r="C14014" t="s">
        <v>150</v>
      </c>
      <c r="D14014" t="s">
        <v>182</v>
      </c>
      <c r="E14014" t="s">
        <v>10</v>
      </c>
      <c r="F14014">
        <v>71.660003662109375</v>
      </c>
    </row>
    <row r="14015" spans="2:6">
      <c r="B14015">
        <v>2011</v>
      </c>
      <c r="C14015" t="s">
        <v>150</v>
      </c>
      <c r="D14015" t="s">
        <v>182</v>
      </c>
      <c r="E14015" t="s">
        <v>11</v>
      </c>
      <c r="F14015">
        <v>0.68235605955123901</v>
      </c>
    </row>
    <row r="14016" spans="2:6">
      <c r="B14016">
        <v>2011</v>
      </c>
      <c r="C14016" t="s">
        <v>150</v>
      </c>
      <c r="D14016" t="s">
        <v>182</v>
      </c>
      <c r="E14016" t="s">
        <v>12</v>
      </c>
      <c r="F14016">
        <v>-4.8490479588508606E-2</v>
      </c>
    </row>
    <row r="14017" spans="2:6">
      <c r="B14017">
        <v>2011</v>
      </c>
      <c r="C14017" t="s">
        <v>150</v>
      </c>
      <c r="D14017" t="s">
        <v>182</v>
      </c>
      <c r="E14017" t="s">
        <v>13</v>
      </c>
      <c r="F14017">
        <v>0.82730090618133545</v>
      </c>
    </row>
    <row r="14018" spans="2:6">
      <c r="B14018">
        <v>2011</v>
      </c>
      <c r="C14018" t="s">
        <v>150</v>
      </c>
      <c r="D14018" t="s">
        <v>182</v>
      </c>
      <c r="E14018" t="s">
        <v>14</v>
      </c>
      <c r="F14018">
        <v>0.65581172704696655</v>
      </c>
    </row>
    <row r="14019" spans="2:6">
      <c r="B14019">
        <v>2011</v>
      </c>
      <c r="C14019" t="s">
        <v>150</v>
      </c>
      <c r="D14019" t="s">
        <v>182</v>
      </c>
      <c r="E14019" t="s">
        <v>15</v>
      </c>
      <c r="F14019">
        <v>0.16783261299133301</v>
      </c>
    </row>
    <row r="14020" spans="2:6">
      <c r="B14020">
        <v>2012</v>
      </c>
      <c r="C14020" t="s">
        <v>150</v>
      </c>
      <c r="D14020" t="s">
        <v>182</v>
      </c>
      <c r="E14020" t="s">
        <v>7</v>
      </c>
      <c r="F14020">
        <v>6.0032868385314941</v>
      </c>
    </row>
    <row r="14021" spans="2:6">
      <c r="B14021">
        <v>2012</v>
      </c>
      <c r="C14021" t="s">
        <v>150</v>
      </c>
      <c r="D14021" t="s">
        <v>182</v>
      </c>
      <c r="E14021" t="s">
        <v>8</v>
      </c>
      <c r="F14021">
        <v>10.493704795837402</v>
      </c>
    </row>
    <row r="14022" spans="2:6">
      <c r="B14022">
        <v>2012</v>
      </c>
      <c r="C14022" t="s">
        <v>150</v>
      </c>
      <c r="D14022" t="s">
        <v>182</v>
      </c>
      <c r="E14022" t="s">
        <v>9</v>
      </c>
      <c r="F14022">
        <v>0.77539736032485962</v>
      </c>
    </row>
    <row r="14023" spans="2:6">
      <c r="B14023">
        <v>2012</v>
      </c>
      <c r="C14023" t="s">
        <v>150</v>
      </c>
      <c r="D14023" t="s">
        <v>182</v>
      </c>
      <c r="E14023" t="s">
        <v>10</v>
      </c>
      <c r="F14023">
        <v>71.919998168945313</v>
      </c>
    </row>
    <row r="14024" spans="2:6">
      <c r="B14024">
        <v>2012</v>
      </c>
      <c r="C14024" t="s">
        <v>150</v>
      </c>
      <c r="D14024" t="s">
        <v>182</v>
      </c>
      <c r="E14024" t="s">
        <v>11</v>
      </c>
      <c r="F14024">
        <v>0.61839807033538818</v>
      </c>
    </row>
    <row r="14025" spans="2:6">
      <c r="B14025">
        <v>2012</v>
      </c>
      <c r="C14025" t="s">
        <v>150</v>
      </c>
      <c r="D14025" t="s">
        <v>182</v>
      </c>
      <c r="E14025" t="s">
        <v>13</v>
      </c>
      <c r="F14025">
        <v>0.84371942281723022</v>
      </c>
    </row>
    <row r="14026" spans="2:6">
      <c r="B14026">
        <v>2012</v>
      </c>
      <c r="C14026" t="s">
        <v>150</v>
      </c>
      <c r="D14026" t="s">
        <v>182</v>
      </c>
      <c r="E14026" t="s">
        <v>14</v>
      </c>
      <c r="F14026">
        <v>0.6638147234916687</v>
      </c>
    </row>
    <row r="14027" spans="2:6">
      <c r="B14027">
        <v>2012</v>
      </c>
      <c r="C14027" t="s">
        <v>150</v>
      </c>
      <c r="D14027" t="s">
        <v>182</v>
      </c>
      <c r="E14027" t="s">
        <v>15</v>
      </c>
      <c r="F14027">
        <v>0.20636466145515442</v>
      </c>
    </row>
    <row r="14028" spans="2:6">
      <c r="B14028">
        <v>2013</v>
      </c>
      <c r="C14028" t="s">
        <v>150</v>
      </c>
      <c r="D14028" t="s">
        <v>182</v>
      </c>
      <c r="E14028" t="s">
        <v>7</v>
      </c>
      <c r="F14028">
        <v>5.9588098526000977</v>
      </c>
    </row>
    <row r="14029" spans="2:6">
      <c r="B14029">
        <v>2013</v>
      </c>
      <c r="C14029" t="s">
        <v>150</v>
      </c>
      <c r="D14029" t="s">
        <v>182</v>
      </c>
      <c r="E14029" t="s">
        <v>8</v>
      </c>
      <c r="F14029">
        <v>10.520309448242188</v>
      </c>
    </row>
    <row r="14030" spans="2:6">
      <c r="B14030">
        <v>2013</v>
      </c>
      <c r="C14030" t="s">
        <v>150</v>
      </c>
      <c r="D14030" t="s">
        <v>182</v>
      </c>
      <c r="E14030" t="s">
        <v>9</v>
      </c>
      <c r="F14030">
        <v>0.79669415950775146</v>
      </c>
    </row>
    <row r="14031" spans="2:6">
      <c r="B14031">
        <v>2013</v>
      </c>
      <c r="C14031" t="s">
        <v>150</v>
      </c>
      <c r="D14031" t="s">
        <v>182</v>
      </c>
      <c r="E14031" t="s">
        <v>10</v>
      </c>
      <c r="F14031">
        <v>72.180000305175781</v>
      </c>
    </row>
    <row r="14032" spans="2:6">
      <c r="B14032">
        <v>2013</v>
      </c>
      <c r="C14032" t="s">
        <v>150</v>
      </c>
      <c r="D14032" t="s">
        <v>182</v>
      </c>
      <c r="E14032" t="s">
        <v>11</v>
      </c>
      <c r="F14032">
        <v>0.64188426733016968</v>
      </c>
    </row>
    <row r="14033" spans="2:6">
      <c r="B14033">
        <v>2013</v>
      </c>
      <c r="C14033" t="s">
        <v>150</v>
      </c>
      <c r="D14033" t="s">
        <v>182</v>
      </c>
      <c r="E14033" t="s">
        <v>12</v>
      </c>
      <c r="F14033">
        <v>-4.9806147813796997E-2</v>
      </c>
    </row>
    <row r="14034" spans="2:6">
      <c r="B14034">
        <v>2013</v>
      </c>
      <c r="C14034" t="s">
        <v>150</v>
      </c>
      <c r="D14034" t="s">
        <v>182</v>
      </c>
      <c r="E14034" t="s">
        <v>13</v>
      </c>
      <c r="F14034">
        <v>0.83186322450637817</v>
      </c>
    </row>
    <row r="14035" spans="2:6">
      <c r="B14035">
        <v>2013</v>
      </c>
      <c r="C14035" t="s">
        <v>150</v>
      </c>
      <c r="D14035" t="s">
        <v>182</v>
      </c>
      <c r="E14035" t="s">
        <v>14</v>
      </c>
      <c r="F14035">
        <v>0.67629492282867432</v>
      </c>
    </row>
    <row r="14036" spans="2:6">
      <c r="B14036">
        <v>2013</v>
      </c>
      <c r="C14036" t="s">
        <v>150</v>
      </c>
      <c r="D14036" t="s">
        <v>182</v>
      </c>
      <c r="E14036" t="s">
        <v>15</v>
      </c>
      <c r="F14036">
        <v>0.1887655109167099</v>
      </c>
    </row>
    <row r="14037" spans="2:6">
      <c r="B14037">
        <v>2014</v>
      </c>
      <c r="C14037" t="s">
        <v>150</v>
      </c>
      <c r="D14037" t="s">
        <v>182</v>
      </c>
      <c r="E14037" t="s">
        <v>7</v>
      </c>
      <c r="F14037">
        <v>5.8013253211975098</v>
      </c>
    </row>
    <row r="14038" spans="2:6">
      <c r="B14038">
        <v>2014</v>
      </c>
      <c r="C14038" t="s">
        <v>150</v>
      </c>
      <c r="D14038" t="s">
        <v>182</v>
      </c>
      <c r="E14038" t="s">
        <v>8</v>
      </c>
      <c r="F14038">
        <v>10.545550346374512</v>
      </c>
    </row>
    <row r="14039" spans="2:6">
      <c r="B14039">
        <v>2014</v>
      </c>
      <c r="C14039" t="s">
        <v>150</v>
      </c>
      <c r="D14039" t="s">
        <v>182</v>
      </c>
      <c r="E14039" t="s">
        <v>9</v>
      </c>
      <c r="F14039">
        <v>0.73775410652160645</v>
      </c>
    </row>
    <row r="14040" spans="2:6">
      <c r="B14040">
        <v>2014</v>
      </c>
      <c r="C14040" t="s">
        <v>150</v>
      </c>
      <c r="D14040" t="s">
        <v>182</v>
      </c>
      <c r="E14040" t="s">
        <v>10</v>
      </c>
      <c r="F14040">
        <v>72.44000244140625</v>
      </c>
    </row>
    <row r="14041" spans="2:6">
      <c r="B14041">
        <v>2014</v>
      </c>
      <c r="C14041" t="s">
        <v>150</v>
      </c>
      <c r="D14041" t="s">
        <v>182</v>
      </c>
      <c r="E14041" t="s">
        <v>11</v>
      </c>
      <c r="F14041">
        <v>0.62319362163543701</v>
      </c>
    </row>
    <row r="14042" spans="2:6">
      <c r="B14042">
        <v>2014</v>
      </c>
      <c r="C14042" t="s">
        <v>150</v>
      </c>
      <c r="D14042" t="s">
        <v>182</v>
      </c>
      <c r="E14042" t="s">
        <v>12</v>
      </c>
      <c r="F14042">
        <v>-4.291640967130661E-2</v>
      </c>
    </row>
    <row r="14043" spans="2:6">
      <c r="B14043">
        <v>2014</v>
      </c>
      <c r="C14043" t="s">
        <v>150</v>
      </c>
      <c r="D14043" t="s">
        <v>182</v>
      </c>
      <c r="E14043" t="s">
        <v>13</v>
      </c>
      <c r="F14043">
        <v>0.83406835794448853</v>
      </c>
    </row>
    <row r="14044" spans="2:6">
      <c r="B14044">
        <v>2014</v>
      </c>
      <c r="C14044" t="s">
        <v>150</v>
      </c>
      <c r="D14044" t="s">
        <v>182</v>
      </c>
      <c r="E14044" t="s">
        <v>14</v>
      </c>
      <c r="F14044">
        <v>0.65294885635375977</v>
      </c>
    </row>
    <row r="14045" spans="2:6">
      <c r="B14045">
        <v>2014</v>
      </c>
      <c r="C14045" t="s">
        <v>150</v>
      </c>
      <c r="D14045" t="s">
        <v>182</v>
      </c>
      <c r="E14045" t="s">
        <v>15</v>
      </c>
      <c r="F14045">
        <v>0.28280770778656006</v>
      </c>
    </row>
    <row r="14046" spans="2:6">
      <c r="B14046">
        <v>2015</v>
      </c>
      <c r="C14046" t="s">
        <v>150</v>
      </c>
      <c r="D14046" t="s">
        <v>182</v>
      </c>
      <c r="E14046" t="s">
        <v>7</v>
      </c>
      <c r="F14046">
        <v>5.7802114486694336</v>
      </c>
    </row>
    <row r="14047" spans="2:6">
      <c r="B14047">
        <v>2015</v>
      </c>
      <c r="C14047" t="s">
        <v>150</v>
      </c>
      <c r="D14047" t="s">
        <v>182</v>
      </c>
      <c r="E14047" t="s">
        <v>8</v>
      </c>
      <c r="F14047">
        <v>10.567980766296387</v>
      </c>
    </row>
    <row r="14048" spans="2:6">
      <c r="B14048">
        <v>2015</v>
      </c>
      <c r="C14048" t="s">
        <v>150</v>
      </c>
      <c r="D14048" t="s">
        <v>182</v>
      </c>
      <c r="E14048" t="s">
        <v>9</v>
      </c>
      <c r="F14048">
        <v>0.76835060119628906</v>
      </c>
    </row>
    <row r="14049" spans="2:6">
      <c r="B14049">
        <v>2015</v>
      </c>
      <c r="C14049" t="s">
        <v>150</v>
      </c>
      <c r="D14049" t="s">
        <v>182</v>
      </c>
      <c r="E14049" t="s">
        <v>10</v>
      </c>
      <c r="F14049">
        <v>72.699996948242188</v>
      </c>
    </row>
    <row r="14050" spans="2:6">
      <c r="B14050">
        <v>2015</v>
      </c>
      <c r="C14050" t="s">
        <v>150</v>
      </c>
      <c r="D14050" t="s">
        <v>182</v>
      </c>
      <c r="E14050" t="s">
        <v>11</v>
      </c>
      <c r="F14050">
        <v>0.61584877967834473</v>
      </c>
    </row>
    <row r="14051" spans="2:6">
      <c r="B14051">
        <v>2015</v>
      </c>
      <c r="C14051" t="s">
        <v>150</v>
      </c>
      <c r="D14051" t="s">
        <v>182</v>
      </c>
      <c r="E14051" t="s">
        <v>12</v>
      </c>
      <c r="F14051">
        <v>-3.5574067384004593E-2</v>
      </c>
    </row>
    <row r="14052" spans="2:6">
      <c r="B14052">
        <v>2015</v>
      </c>
      <c r="C14052" t="s">
        <v>150</v>
      </c>
      <c r="D14052" t="s">
        <v>182</v>
      </c>
      <c r="E14052" t="s">
        <v>13</v>
      </c>
      <c r="F14052">
        <v>0.84072160720825195</v>
      </c>
    </row>
    <row r="14053" spans="2:6">
      <c r="B14053">
        <v>2015</v>
      </c>
      <c r="C14053" t="s">
        <v>150</v>
      </c>
      <c r="D14053" t="s">
        <v>182</v>
      </c>
      <c r="E14053" t="s">
        <v>14</v>
      </c>
      <c r="F14053">
        <v>0.64994823932647705</v>
      </c>
    </row>
    <row r="14054" spans="2:6">
      <c r="B14054">
        <v>2015</v>
      </c>
      <c r="C14054" t="s">
        <v>150</v>
      </c>
      <c r="D14054" t="s">
        <v>182</v>
      </c>
      <c r="E14054" t="s">
        <v>15</v>
      </c>
      <c r="F14054">
        <v>0.24432371556758881</v>
      </c>
    </row>
    <row r="14055" spans="2:6">
      <c r="B14055">
        <v>2016</v>
      </c>
      <c r="C14055" t="s">
        <v>150</v>
      </c>
      <c r="D14055" t="s">
        <v>182</v>
      </c>
      <c r="E14055" t="s">
        <v>7</v>
      </c>
      <c r="F14055">
        <v>5.9705643653869629</v>
      </c>
    </row>
    <row r="14056" spans="2:6">
      <c r="B14056">
        <v>2016</v>
      </c>
      <c r="C14056" t="s">
        <v>150</v>
      </c>
      <c r="D14056" t="s">
        <v>182</v>
      </c>
      <c r="E14056" t="s">
        <v>8</v>
      </c>
      <c r="F14056">
        <v>10.593055725097656</v>
      </c>
    </row>
    <row r="14057" spans="2:6">
      <c r="B14057">
        <v>2016</v>
      </c>
      <c r="C14057" t="s">
        <v>150</v>
      </c>
      <c r="D14057" t="s">
        <v>182</v>
      </c>
      <c r="E14057" t="s">
        <v>9</v>
      </c>
      <c r="F14057">
        <v>0.81116348505020142</v>
      </c>
    </row>
    <row r="14058" spans="2:6">
      <c r="B14058">
        <v>2016</v>
      </c>
      <c r="C14058" t="s">
        <v>150</v>
      </c>
      <c r="D14058" t="s">
        <v>182</v>
      </c>
      <c r="E14058" t="s">
        <v>10</v>
      </c>
      <c r="F14058">
        <v>73</v>
      </c>
    </row>
    <row r="14059" spans="2:6">
      <c r="B14059">
        <v>2016</v>
      </c>
      <c r="C14059" t="s">
        <v>150</v>
      </c>
      <c r="D14059" t="s">
        <v>182</v>
      </c>
      <c r="E14059" t="s">
        <v>11</v>
      </c>
      <c r="F14059">
        <v>0.59095603227615356</v>
      </c>
    </row>
    <row r="14060" spans="2:6">
      <c r="B14060">
        <v>2016</v>
      </c>
      <c r="C14060" t="s">
        <v>150</v>
      </c>
      <c r="D14060" t="s">
        <v>182</v>
      </c>
      <c r="E14060" t="s">
        <v>12</v>
      </c>
      <c r="F14060">
        <v>2.6375923305749893E-2</v>
      </c>
    </row>
    <row r="14061" spans="2:6">
      <c r="B14061">
        <v>2016</v>
      </c>
      <c r="C14061" t="s">
        <v>150</v>
      </c>
      <c r="D14061" t="s">
        <v>182</v>
      </c>
      <c r="E14061" t="s">
        <v>13</v>
      </c>
      <c r="F14061">
        <v>0.86181634664535522</v>
      </c>
    </row>
    <row r="14062" spans="2:6">
      <c r="B14062">
        <v>2016</v>
      </c>
      <c r="C14062" t="s">
        <v>150</v>
      </c>
      <c r="D14062" t="s">
        <v>182</v>
      </c>
      <c r="E14062" t="s">
        <v>14</v>
      </c>
      <c r="F14062">
        <v>0.67622339725494385</v>
      </c>
    </row>
    <row r="14063" spans="2:6">
      <c r="B14063">
        <v>2016</v>
      </c>
      <c r="C14063" t="s">
        <v>150</v>
      </c>
      <c r="D14063" t="s">
        <v>182</v>
      </c>
      <c r="E14063" t="s">
        <v>15</v>
      </c>
      <c r="F14063">
        <v>0.23273268342018127</v>
      </c>
    </row>
    <row r="14064" spans="2:6">
      <c r="B14064">
        <v>2017</v>
      </c>
      <c r="C14064" t="s">
        <v>150</v>
      </c>
      <c r="D14064" t="s">
        <v>182</v>
      </c>
      <c r="E14064" t="s">
        <v>7</v>
      </c>
      <c r="F14064">
        <v>5.8738870620727539</v>
      </c>
    </row>
    <row r="14065" spans="2:6">
      <c r="B14065">
        <v>2017</v>
      </c>
      <c r="C14065" t="s">
        <v>150</v>
      </c>
      <c r="D14065" t="s">
        <v>182</v>
      </c>
      <c r="E14065" t="s">
        <v>8</v>
      </c>
      <c r="F14065">
        <v>10.621353149414063</v>
      </c>
    </row>
    <row r="14066" spans="2:6">
      <c r="B14066">
        <v>2017</v>
      </c>
      <c r="C14066" t="s">
        <v>150</v>
      </c>
      <c r="D14066" t="s">
        <v>182</v>
      </c>
      <c r="E14066" t="s">
        <v>9</v>
      </c>
      <c r="F14066">
        <v>0.80692994594573975</v>
      </c>
    </row>
    <row r="14067" spans="2:6">
      <c r="B14067">
        <v>2017</v>
      </c>
      <c r="C14067" t="s">
        <v>150</v>
      </c>
      <c r="D14067" t="s">
        <v>182</v>
      </c>
      <c r="E14067" t="s">
        <v>10</v>
      </c>
      <c r="F14067">
        <v>73.300003051757813</v>
      </c>
    </row>
    <row r="14068" spans="2:6">
      <c r="B14068">
        <v>2017</v>
      </c>
      <c r="C14068" t="s">
        <v>150</v>
      </c>
      <c r="D14068" t="s">
        <v>182</v>
      </c>
      <c r="E14068" t="s">
        <v>11</v>
      </c>
      <c r="F14068">
        <v>0.53811371326446533</v>
      </c>
    </row>
    <row r="14069" spans="2:6">
      <c r="B14069">
        <v>2017</v>
      </c>
      <c r="C14069" t="s">
        <v>150</v>
      </c>
      <c r="D14069" t="s">
        <v>182</v>
      </c>
      <c r="E14069" t="s">
        <v>12</v>
      </c>
      <c r="F14069">
        <v>1.4370064251124859E-2</v>
      </c>
    </row>
    <row r="14070" spans="2:6">
      <c r="B14070">
        <v>2017</v>
      </c>
      <c r="C14070" t="s">
        <v>150</v>
      </c>
      <c r="D14070" t="s">
        <v>182</v>
      </c>
      <c r="E14070" t="s">
        <v>13</v>
      </c>
      <c r="F14070">
        <v>0.85069042444229126</v>
      </c>
    </row>
    <row r="14071" spans="2:6">
      <c r="B14071">
        <v>2017</v>
      </c>
      <c r="C14071" t="s">
        <v>150</v>
      </c>
      <c r="D14071" t="s">
        <v>182</v>
      </c>
      <c r="E14071" t="s">
        <v>14</v>
      </c>
      <c r="F14071">
        <v>0.62337756156921387</v>
      </c>
    </row>
    <row r="14072" spans="2:6">
      <c r="B14072">
        <v>2017</v>
      </c>
      <c r="C14072" t="s">
        <v>150</v>
      </c>
      <c r="D14072" t="s">
        <v>182</v>
      </c>
      <c r="E14072" t="s">
        <v>15</v>
      </c>
      <c r="F14072">
        <v>0.23482562601566315</v>
      </c>
    </row>
    <row r="14073" spans="2:6">
      <c r="B14073">
        <v>2018</v>
      </c>
      <c r="C14073" t="s">
        <v>150</v>
      </c>
      <c r="D14073" t="s">
        <v>182</v>
      </c>
      <c r="E14073" t="s">
        <v>7</v>
      </c>
      <c r="F14073">
        <v>5.8402314186096191</v>
      </c>
    </row>
    <row r="14074" spans="2:6">
      <c r="B14074">
        <v>2018</v>
      </c>
      <c r="C14074" t="s">
        <v>150</v>
      </c>
      <c r="D14074" t="s">
        <v>182</v>
      </c>
      <c r="E14074" t="s">
        <v>8</v>
      </c>
      <c r="F14074">
        <v>10.642900466918945</v>
      </c>
    </row>
    <row r="14075" spans="2:6">
      <c r="B14075">
        <v>2018</v>
      </c>
      <c r="C14075" t="s">
        <v>150</v>
      </c>
      <c r="D14075" t="s">
        <v>182</v>
      </c>
      <c r="E14075" t="s">
        <v>9</v>
      </c>
      <c r="F14075">
        <v>0.79772382974624634</v>
      </c>
    </row>
    <row r="14076" spans="2:6">
      <c r="B14076">
        <v>2018</v>
      </c>
      <c r="C14076" t="s">
        <v>150</v>
      </c>
      <c r="D14076" t="s">
        <v>182</v>
      </c>
      <c r="E14076" t="s">
        <v>10</v>
      </c>
      <c r="F14076">
        <v>73.599998474121094</v>
      </c>
    </row>
    <row r="14077" spans="2:6">
      <c r="B14077">
        <v>2018</v>
      </c>
      <c r="C14077" t="s">
        <v>150</v>
      </c>
      <c r="D14077" t="s">
        <v>182</v>
      </c>
      <c r="E14077" t="s">
        <v>11</v>
      </c>
      <c r="F14077">
        <v>0.60016167163848877</v>
      </c>
    </row>
    <row r="14078" spans="2:6">
      <c r="B14078">
        <v>2018</v>
      </c>
      <c r="C14078" t="s">
        <v>150</v>
      </c>
      <c r="D14078" t="s">
        <v>182</v>
      </c>
      <c r="E14078" t="s">
        <v>12</v>
      </c>
      <c r="F14078">
        <v>-8.8885143399238586E-2</v>
      </c>
    </row>
    <row r="14079" spans="2:6">
      <c r="B14079">
        <v>2018</v>
      </c>
      <c r="C14079" t="s">
        <v>150</v>
      </c>
      <c r="D14079" t="s">
        <v>182</v>
      </c>
      <c r="E14079" t="s">
        <v>13</v>
      </c>
      <c r="F14079">
        <v>0.79682588577270508</v>
      </c>
    </row>
    <row r="14080" spans="2:6">
      <c r="B14080">
        <v>2018</v>
      </c>
      <c r="C14080" t="s">
        <v>150</v>
      </c>
      <c r="D14080" t="s">
        <v>182</v>
      </c>
      <c r="E14080" t="s">
        <v>14</v>
      </c>
      <c r="F14080">
        <v>0.66120857000350952</v>
      </c>
    </row>
    <row r="14081" spans="2:6">
      <c r="B14081">
        <v>2018</v>
      </c>
      <c r="C14081" t="s">
        <v>150</v>
      </c>
      <c r="D14081" t="s">
        <v>182</v>
      </c>
      <c r="E14081" t="s">
        <v>15</v>
      </c>
      <c r="F14081">
        <v>0.21714572608470917</v>
      </c>
    </row>
    <row r="14082" spans="2:6">
      <c r="B14082">
        <v>2019</v>
      </c>
      <c r="C14082" t="s">
        <v>150</v>
      </c>
      <c r="D14082" t="s">
        <v>182</v>
      </c>
      <c r="E14082" t="s">
        <v>7</v>
      </c>
      <c r="F14082">
        <v>5.9028167724609375</v>
      </c>
    </row>
    <row r="14083" spans="2:6">
      <c r="B14083">
        <v>2019</v>
      </c>
      <c r="C14083" t="s">
        <v>150</v>
      </c>
      <c r="D14083" t="s">
        <v>182</v>
      </c>
      <c r="E14083" t="s">
        <v>8</v>
      </c>
      <c r="F14083">
        <v>10.661044120788574</v>
      </c>
    </row>
    <row r="14084" spans="2:6">
      <c r="B14084">
        <v>2019</v>
      </c>
      <c r="C14084" t="s">
        <v>150</v>
      </c>
      <c r="D14084" t="s">
        <v>182</v>
      </c>
      <c r="E14084" t="s">
        <v>9</v>
      </c>
      <c r="F14084">
        <v>0.78316086530685425</v>
      </c>
    </row>
    <row r="14085" spans="2:6">
      <c r="B14085">
        <v>2019</v>
      </c>
      <c r="C14085" t="s">
        <v>150</v>
      </c>
      <c r="D14085" t="s">
        <v>182</v>
      </c>
      <c r="E14085" t="s">
        <v>10</v>
      </c>
      <c r="F14085">
        <v>73.900001525878906</v>
      </c>
    </row>
    <row r="14086" spans="2:6">
      <c r="B14086">
        <v>2019</v>
      </c>
      <c r="C14086" t="s">
        <v>150</v>
      </c>
      <c r="D14086" t="s">
        <v>182</v>
      </c>
      <c r="E14086" t="s">
        <v>11</v>
      </c>
      <c r="F14086">
        <v>0.706032395362854</v>
      </c>
    </row>
    <row r="14087" spans="2:6">
      <c r="B14087">
        <v>2019</v>
      </c>
      <c r="C14087" t="s">
        <v>150</v>
      </c>
      <c r="D14087" t="s">
        <v>182</v>
      </c>
      <c r="E14087" t="s">
        <v>12</v>
      </c>
      <c r="F14087">
        <v>-5.5295020341873169E-2</v>
      </c>
    </row>
    <row r="14088" spans="2:6">
      <c r="B14088">
        <v>2019</v>
      </c>
      <c r="C14088" t="s">
        <v>150</v>
      </c>
      <c r="D14088" t="s">
        <v>182</v>
      </c>
      <c r="E14088" t="s">
        <v>13</v>
      </c>
      <c r="F14088">
        <v>0.71769613027572632</v>
      </c>
    </row>
    <row r="14089" spans="2:6">
      <c r="B14089">
        <v>2019</v>
      </c>
      <c r="C14089" t="s">
        <v>150</v>
      </c>
      <c r="D14089" t="s">
        <v>182</v>
      </c>
      <c r="E14089" t="s">
        <v>14</v>
      </c>
      <c r="F14089">
        <v>0.68440711498260498</v>
      </c>
    </row>
    <row r="14090" spans="2:6">
      <c r="B14090">
        <v>2019</v>
      </c>
      <c r="C14090" t="s">
        <v>150</v>
      </c>
      <c r="D14090" t="s">
        <v>182</v>
      </c>
      <c r="E14090" t="s">
        <v>15</v>
      </c>
      <c r="F14090">
        <v>0.2359665185213089</v>
      </c>
    </row>
    <row r="14091" spans="2:6">
      <c r="B14091">
        <v>2020</v>
      </c>
      <c r="C14091" t="s">
        <v>150</v>
      </c>
      <c r="D14091" t="s">
        <v>182</v>
      </c>
      <c r="E14091" t="s">
        <v>7</v>
      </c>
      <c r="F14091">
        <v>5.7926955223083496</v>
      </c>
    </row>
    <row r="14092" spans="2:6">
      <c r="B14092">
        <v>2020</v>
      </c>
      <c r="C14092" t="s">
        <v>150</v>
      </c>
      <c r="D14092" t="s">
        <v>182</v>
      </c>
      <c r="E14092" t="s">
        <v>8</v>
      </c>
      <c r="F14092">
        <v>10.648074150085449</v>
      </c>
    </row>
    <row r="14093" spans="2:6">
      <c r="B14093">
        <v>2020</v>
      </c>
      <c r="C14093" t="s">
        <v>150</v>
      </c>
      <c r="D14093" t="s">
        <v>182</v>
      </c>
      <c r="E14093" t="s">
        <v>9</v>
      </c>
      <c r="F14093">
        <v>0.80795228481292725</v>
      </c>
    </row>
    <row r="14094" spans="2:6">
      <c r="B14094">
        <v>2020</v>
      </c>
      <c r="C14094" t="s">
        <v>150</v>
      </c>
      <c r="D14094" t="s">
        <v>182</v>
      </c>
      <c r="E14094" t="s">
        <v>10</v>
      </c>
      <c r="F14094">
        <v>74.199996948242188</v>
      </c>
    </row>
    <row r="14095" spans="2:6">
      <c r="B14095">
        <v>2020</v>
      </c>
      <c r="C14095" t="s">
        <v>150</v>
      </c>
      <c r="D14095" t="s">
        <v>182</v>
      </c>
      <c r="E14095" t="s">
        <v>11</v>
      </c>
      <c r="F14095">
        <v>0.71148043870925903</v>
      </c>
    </row>
    <row r="14096" spans="2:6">
      <c r="B14096">
        <v>2020</v>
      </c>
      <c r="C14096" t="s">
        <v>150</v>
      </c>
      <c r="D14096" t="s">
        <v>182</v>
      </c>
      <c r="E14096" t="s">
        <v>12</v>
      </c>
      <c r="F14096">
        <v>-0.1058678925037384</v>
      </c>
    </row>
    <row r="14097" spans="2:6">
      <c r="B14097">
        <v>2020</v>
      </c>
      <c r="C14097" t="s">
        <v>150</v>
      </c>
      <c r="D14097" t="s">
        <v>182</v>
      </c>
      <c r="E14097" t="s">
        <v>13</v>
      </c>
      <c r="F14097">
        <v>0.66469401121139526</v>
      </c>
    </row>
    <row r="14098" spans="2:6">
      <c r="B14098">
        <v>2020</v>
      </c>
      <c r="C14098" t="s">
        <v>150</v>
      </c>
      <c r="D14098" t="s">
        <v>182</v>
      </c>
      <c r="E14098" t="s">
        <v>14</v>
      </c>
      <c r="F14098">
        <v>0.63955569267272949</v>
      </c>
    </row>
    <row r="14099" spans="2:6">
      <c r="B14099">
        <v>2020</v>
      </c>
      <c r="C14099" t="s">
        <v>150</v>
      </c>
      <c r="D14099" t="s">
        <v>182</v>
      </c>
      <c r="E14099" t="s">
        <v>15</v>
      </c>
      <c r="F14099">
        <v>0.2470596581697464</v>
      </c>
    </row>
    <row r="14100" spans="2:6">
      <c r="B14100">
        <v>2014</v>
      </c>
      <c r="C14100" t="s">
        <v>151</v>
      </c>
      <c r="D14100" t="s">
        <v>184</v>
      </c>
      <c r="E14100" t="s">
        <v>7</v>
      </c>
      <c r="F14100">
        <v>3.8319923877716064</v>
      </c>
    </row>
    <row r="14101" spans="2:6">
      <c r="B14101">
        <v>2014</v>
      </c>
      <c r="C14101" t="s">
        <v>151</v>
      </c>
      <c r="D14101" t="s">
        <v>184</v>
      </c>
      <c r="E14101" t="s">
        <v>9</v>
      </c>
      <c r="F14101">
        <v>0.54511845111846924</v>
      </c>
    </row>
    <row r="14102" spans="2:6">
      <c r="B14102">
        <v>2014</v>
      </c>
      <c r="C14102" t="s">
        <v>151</v>
      </c>
      <c r="D14102" t="s">
        <v>184</v>
      </c>
      <c r="E14102" t="s">
        <v>10</v>
      </c>
      <c r="F14102">
        <v>49.840000152587891</v>
      </c>
    </row>
    <row r="14103" spans="2:6">
      <c r="B14103">
        <v>2014</v>
      </c>
      <c r="C14103" t="s">
        <v>151</v>
      </c>
      <c r="D14103" t="s">
        <v>184</v>
      </c>
      <c r="E14103" t="s">
        <v>11</v>
      </c>
      <c r="F14103">
        <v>0.56725931167602539</v>
      </c>
    </row>
    <row r="14104" spans="2:6">
      <c r="B14104">
        <v>2014</v>
      </c>
      <c r="C14104" t="s">
        <v>151</v>
      </c>
      <c r="D14104" t="s">
        <v>184</v>
      </c>
      <c r="E14104" t="s">
        <v>13</v>
      </c>
      <c r="F14104">
        <v>0.74154055118560791</v>
      </c>
    </row>
    <row r="14105" spans="2:6">
      <c r="B14105">
        <v>2014</v>
      </c>
      <c r="C14105" t="s">
        <v>151</v>
      </c>
      <c r="D14105" t="s">
        <v>184</v>
      </c>
      <c r="E14105" t="s">
        <v>14</v>
      </c>
      <c r="F14105">
        <v>0.61402398347854614</v>
      </c>
    </row>
    <row r="14106" spans="2:6">
      <c r="B14106">
        <v>2014</v>
      </c>
      <c r="C14106" t="s">
        <v>151</v>
      </c>
      <c r="D14106" t="s">
        <v>184</v>
      </c>
      <c r="E14106" t="s">
        <v>15</v>
      </c>
      <c r="F14106">
        <v>0.42831966280937195</v>
      </c>
    </row>
    <row r="14107" spans="2:6">
      <c r="B14107">
        <v>2015</v>
      </c>
      <c r="C14107" t="s">
        <v>151</v>
      </c>
      <c r="D14107" t="s">
        <v>184</v>
      </c>
      <c r="E14107" t="s">
        <v>7</v>
      </c>
      <c r="F14107">
        <v>4.0707712173461914</v>
      </c>
    </row>
    <row r="14108" spans="2:6">
      <c r="B14108">
        <v>2015</v>
      </c>
      <c r="C14108" t="s">
        <v>151</v>
      </c>
      <c r="D14108" t="s">
        <v>184</v>
      </c>
      <c r="E14108" t="s">
        <v>9</v>
      </c>
      <c r="F14108">
        <v>0.58478134870529175</v>
      </c>
    </row>
    <row r="14109" spans="2:6">
      <c r="B14109">
        <v>2015</v>
      </c>
      <c r="C14109" t="s">
        <v>151</v>
      </c>
      <c r="D14109" t="s">
        <v>184</v>
      </c>
      <c r="E14109" t="s">
        <v>10</v>
      </c>
      <c r="F14109">
        <v>50.200000762939453</v>
      </c>
    </row>
    <row r="14110" spans="2:6">
      <c r="B14110">
        <v>2015</v>
      </c>
      <c r="C14110" t="s">
        <v>151</v>
      </c>
      <c r="D14110" t="s">
        <v>184</v>
      </c>
      <c r="E14110" t="s">
        <v>11</v>
      </c>
      <c r="F14110">
        <v>0.51163101196289063</v>
      </c>
    </row>
    <row r="14111" spans="2:6">
      <c r="B14111">
        <v>2015</v>
      </c>
      <c r="C14111" t="s">
        <v>151</v>
      </c>
      <c r="D14111" t="s">
        <v>184</v>
      </c>
      <c r="E14111" t="s">
        <v>13</v>
      </c>
      <c r="F14111">
        <v>0.70960593223571777</v>
      </c>
    </row>
    <row r="14112" spans="2:6">
      <c r="B14112">
        <v>2015</v>
      </c>
      <c r="C14112" t="s">
        <v>151</v>
      </c>
      <c r="D14112" t="s">
        <v>184</v>
      </c>
      <c r="E14112" t="s">
        <v>14</v>
      </c>
      <c r="F14112">
        <v>0.58627808094024658</v>
      </c>
    </row>
    <row r="14113" spans="2:6">
      <c r="B14113">
        <v>2015</v>
      </c>
      <c r="C14113" t="s">
        <v>151</v>
      </c>
      <c r="D14113" t="s">
        <v>184</v>
      </c>
      <c r="E14113" t="s">
        <v>15</v>
      </c>
      <c r="F14113">
        <v>0.44979509711265564</v>
      </c>
    </row>
    <row r="14114" spans="2:6">
      <c r="B14114">
        <v>2016</v>
      </c>
      <c r="C14114" t="s">
        <v>151</v>
      </c>
      <c r="D14114" t="s">
        <v>184</v>
      </c>
      <c r="E14114" t="s">
        <v>7</v>
      </c>
      <c r="F14114">
        <v>2.8881123065948486</v>
      </c>
    </row>
    <row r="14115" spans="2:6">
      <c r="B14115">
        <v>2016</v>
      </c>
      <c r="C14115" t="s">
        <v>151</v>
      </c>
      <c r="D14115" t="s">
        <v>184</v>
      </c>
      <c r="E14115" t="s">
        <v>9</v>
      </c>
      <c r="F14115">
        <v>0.53215181827545166</v>
      </c>
    </row>
    <row r="14116" spans="2:6">
      <c r="B14116">
        <v>2016</v>
      </c>
      <c r="C14116" t="s">
        <v>151</v>
      </c>
      <c r="D14116" t="s">
        <v>184</v>
      </c>
      <c r="E14116" t="s">
        <v>10</v>
      </c>
      <c r="F14116">
        <v>50.599998474121094</v>
      </c>
    </row>
    <row r="14117" spans="2:6">
      <c r="B14117">
        <v>2016</v>
      </c>
      <c r="C14117" t="s">
        <v>151</v>
      </c>
      <c r="D14117" t="s">
        <v>184</v>
      </c>
      <c r="E14117" t="s">
        <v>11</v>
      </c>
      <c r="F14117">
        <v>0.43991902470588684</v>
      </c>
    </row>
    <row r="14118" spans="2:6">
      <c r="B14118">
        <v>2016</v>
      </c>
      <c r="C14118" t="s">
        <v>151</v>
      </c>
      <c r="D14118" t="s">
        <v>184</v>
      </c>
      <c r="E14118" t="s">
        <v>13</v>
      </c>
      <c r="F14118">
        <v>0.78531777858734131</v>
      </c>
    </row>
    <row r="14119" spans="2:6">
      <c r="B14119">
        <v>2016</v>
      </c>
      <c r="C14119" t="s">
        <v>151</v>
      </c>
      <c r="D14119" t="s">
        <v>184</v>
      </c>
      <c r="E14119" t="s">
        <v>14</v>
      </c>
      <c r="F14119">
        <v>0.61477065086364746</v>
      </c>
    </row>
    <row r="14120" spans="2:6">
      <c r="B14120">
        <v>2016</v>
      </c>
      <c r="C14120" t="s">
        <v>151</v>
      </c>
      <c r="D14120" t="s">
        <v>184</v>
      </c>
      <c r="E14120" t="s">
        <v>15</v>
      </c>
      <c r="F14120">
        <v>0.54925692081451416</v>
      </c>
    </row>
    <row r="14121" spans="2:6">
      <c r="B14121">
        <v>2017</v>
      </c>
      <c r="C14121" t="s">
        <v>151</v>
      </c>
      <c r="D14121" t="s">
        <v>184</v>
      </c>
      <c r="E14121" t="s">
        <v>7</v>
      </c>
      <c r="F14121">
        <v>2.8166224956512451</v>
      </c>
    </row>
    <row r="14122" spans="2:6">
      <c r="B14122">
        <v>2017</v>
      </c>
      <c r="C14122" t="s">
        <v>151</v>
      </c>
      <c r="D14122" t="s">
        <v>184</v>
      </c>
      <c r="E14122" t="s">
        <v>9</v>
      </c>
      <c r="F14122">
        <v>0.55682265758514404</v>
      </c>
    </row>
    <row r="14123" spans="2:6">
      <c r="B14123">
        <v>2017</v>
      </c>
      <c r="C14123" t="s">
        <v>151</v>
      </c>
      <c r="D14123" t="s">
        <v>184</v>
      </c>
      <c r="E14123" t="s">
        <v>10</v>
      </c>
      <c r="F14123">
        <v>51</v>
      </c>
    </row>
    <row r="14124" spans="2:6">
      <c r="B14124">
        <v>2017</v>
      </c>
      <c r="C14124" t="s">
        <v>151</v>
      </c>
      <c r="D14124" t="s">
        <v>184</v>
      </c>
      <c r="E14124" t="s">
        <v>11</v>
      </c>
      <c r="F14124">
        <v>0.4560110867023468</v>
      </c>
    </row>
    <row r="14125" spans="2:6">
      <c r="B14125">
        <v>2017</v>
      </c>
      <c r="C14125" t="s">
        <v>151</v>
      </c>
      <c r="D14125" t="s">
        <v>184</v>
      </c>
      <c r="E14125" t="s">
        <v>13</v>
      </c>
      <c r="F14125">
        <v>0.76126962900161743</v>
      </c>
    </row>
    <row r="14126" spans="2:6">
      <c r="B14126">
        <v>2017</v>
      </c>
      <c r="C14126" t="s">
        <v>151</v>
      </c>
      <c r="D14126" t="s">
        <v>184</v>
      </c>
      <c r="E14126" t="s">
        <v>14</v>
      </c>
      <c r="F14126">
        <v>0.58560216426849365</v>
      </c>
    </row>
    <row r="14127" spans="2:6">
      <c r="B14127">
        <v>2017</v>
      </c>
      <c r="C14127" t="s">
        <v>151</v>
      </c>
      <c r="D14127" t="s">
        <v>184</v>
      </c>
      <c r="E14127" t="s">
        <v>15</v>
      </c>
      <c r="F14127">
        <v>0.5173637866973877</v>
      </c>
    </row>
    <row r="14128" spans="2:6">
      <c r="B14128">
        <v>2005</v>
      </c>
      <c r="C14128" t="s">
        <v>152</v>
      </c>
      <c r="D14128" t="s">
        <v>183</v>
      </c>
      <c r="E14128" t="s">
        <v>7</v>
      </c>
      <c r="F14128">
        <v>7.1527857780456543</v>
      </c>
    </row>
    <row r="14129" spans="2:6">
      <c r="B14129">
        <v>2005</v>
      </c>
      <c r="C14129" t="s">
        <v>152</v>
      </c>
      <c r="D14129" t="s">
        <v>183</v>
      </c>
      <c r="E14129" t="s">
        <v>8</v>
      </c>
      <c r="F14129">
        <v>10.546350479125977</v>
      </c>
    </row>
    <row r="14130" spans="2:6">
      <c r="B14130">
        <v>2005</v>
      </c>
      <c r="C14130" t="s">
        <v>152</v>
      </c>
      <c r="D14130" t="s">
        <v>183</v>
      </c>
      <c r="E14130" t="s">
        <v>9</v>
      </c>
      <c r="F14130">
        <v>0.96104288101196289</v>
      </c>
    </row>
    <row r="14131" spans="2:6">
      <c r="B14131">
        <v>2005</v>
      </c>
      <c r="C14131" t="s">
        <v>152</v>
      </c>
      <c r="D14131" t="s">
        <v>183</v>
      </c>
      <c r="E14131" t="s">
        <v>10</v>
      </c>
      <c r="F14131">
        <v>71.5</v>
      </c>
    </row>
    <row r="14132" spans="2:6">
      <c r="B14132">
        <v>2005</v>
      </c>
      <c r="C14132" t="s">
        <v>152</v>
      </c>
      <c r="D14132" t="s">
        <v>183</v>
      </c>
      <c r="E14132" t="s">
        <v>11</v>
      </c>
      <c r="F14132">
        <v>0.91616469621658325</v>
      </c>
    </row>
    <row r="14133" spans="2:6">
      <c r="B14133">
        <v>2005</v>
      </c>
      <c r="C14133" t="s">
        <v>152</v>
      </c>
      <c r="D14133" t="s">
        <v>183</v>
      </c>
      <c r="E14133" t="s">
        <v>13</v>
      </c>
      <c r="F14133">
        <v>0.77727228403091431</v>
      </c>
    </row>
    <row r="14134" spans="2:6">
      <c r="B14134">
        <v>2005</v>
      </c>
      <c r="C14134" t="s">
        <v>152</v>
      </c>
      <c r="D14134" t="s">
        <v>183</v>
      </c>
      <c r="E14134" t="s">
        <v>14</v>
      </c>
      <c r="F14134">
        <v>0.77578431367874146</v>
      </c>
    </row>
    <row r="14135" spans="2:6">
      <c r="B14135">
        <v>2005</v>
      </c>
      <c r="C14135" t="s">
        <v>152</v>
      </c>
      <c r="D14135" t="s">
        <v>183</v>
      </c>
      <c r="E14135" t="s">
        <v>15</v>
      </c>
      <c r="F14135">
        <v>0.24064257740974426</v>
      </c>
    </row>
    <row r="14136" spans="2:6">
      <c r="B14136">
        <v>2007</v>
      </c>
      <c r="C14136" t="s">
        <v>152</v>
      </c>
      <c r="D14136" t="s">
        <v>183</v>
      </c>
      <c r="E14136" t="s">
        <v>7</v>
      </c>
      <c r="F14136">
        <v>6.9946146011352539</v>
      </c>
    </row>
    <row r="14137" spans="2:6">
      <c r="B14137">
        <v>2007</v>
      </c>
      <c r="C14137" t="s">
        <v>152</v>
      </c>
      <c r="D14137" t="s">
        <v>183</v>
      </c>
      <c r="E14137" t="s">
        <v>8</v>
      </c>
      <c r="F14137">
        <v>10.586556434631348</v>
      </c>
    </row>
    <row r="14138" spans="2:6">
      <c r="B14138">
        <v>2007</v>
      </c>
      <c r="C14138" t="s">
        <v>152</v>
      </c>
      <c r="D14138" t="s">
        <v>183</v>
      </c>
      <c r="E14138" t="s">
        <v>9</v>
      </c>
      <c r="F14138">
        <v>0.95685851573944092</v>
      </c>
    </row>
    <row r="14139" spans="2:6">
      <c r="B14139">
        <v>2007</v>
      </c>
      <c r="C14139" t="s">
        <v>152</v>
      </c>
      <c r="D14139" t="s">
        <v>183</v>
      </c>
      <c r="E14139" t="s">
        <v>10</v>
      </c>
      <c r="F14139">
        <v>72.05999755859375</v>
      </c>
    </row>
    <row r="14140" spans="2:6">
      <c r="B14140">
        <v>2007</v>
      </c>
      <c r="C14140" t="s">
        <v>152</v>
      </c>
      <c r="D14140" t="s">
        <v>183</v>
      </c>
      <c r="E14140" t="s">
        <v>11</v>
      </c>
      <c r="F14140">
        <v>0.78208214044570923</v>
      </c>
    </row>
    <row r="14141" spans="2:6">
      <c r="B14141">
        <v>2007</v>
      </c>
      <c r="C14141" t="s">
        <v>152</v>
      </c>
      <c r="D14141" t="s">
        <v>183</v>
      </c>
      <c r="E14141" t="s">
        <v>12</v>
      </c>
      <c r="F14141">
        <v>-9.3423806130886078E-2</v>
      </c>
    </row>
    <row r="14142" spans="2:6">
      <c r="B14142">
        <v>2007</v>
      </c>
      <c r="C14142" t="s">
        <v>152</v>
      </c>
      <c r="D14142" t="s">
        <v>183</v>
      </c>
      <c r="E14142" t="s">
        <v>13</v>
      </c>
      <c r="F14142">
        <v>0.78371775150299072</v>
      </c>
    </row>
    <row r="14143" spans="2:6">
      <c r="B14143">
        <v>2007</v>
      </c>
      <c r="C14143" t="s">
        <v>152</v>
      </c>
      <c r="D14143" t="s">
        <v>183</v>
      </c>
      <c r="E14143" t="s">
        <v>14</v>
      </c>
      <c r="F14143">
        <v>0.76312500238418579</v>
      </c>
    </row>
    <row r="14144" spans="2:6">
      <c r="B14144">
        <v>2007</v>
      </c>
      <c r="C14144" t="s">
        <v>152</v>
      </c>
      <c r="D14144" t="s">
        <v>183</v>
      </c>
      <c r="E14144" t="s">
        <v>15</v>
      </c>
      <c r="F14144">
        <v>0.26359254121780396</v>
      </c>
    </row>
    <row r="14145" spans="2:6">
      <c r="B14145">
        <v>2008</v>
      </c>
      <c r="C14145" t="s">
        <v>152</v>
      </c>
      <c r="D14145" t="s">
        <v>183</v>
      </c>
      <c r="E14145" t="s">
        <v>7</v>
      </c>
      <c r="F14145">
        <v>7.2944726943969727</v>
      </c>
    </row>
    <row r="14146" spans="2:6">
      <c r="B14146">
        <v>2008</v>
      </c>
      <c r="C14146" t="s">
        <v>152</v>
      </c>
      <c r="D14146" t="s">
        <v>183</v>
      </c>
      <c r="E14146" t="s">
        <v>8</v>
      </c>
      <c r="F14146">
        <v>10.579435348510742</v>
      </c>
    </row>
    <row r="14147" spans="2:6">
      <c r="B14147">
        <v>2008</v>
      </c>
      <c r="C14147" t="s">
        <v>152</v>
      </c>
      <c r="D14147" t="s">
        <v>183</v>
      </c>
      <c r="E14147" t="s">
        <v>9</v>
      </c>
      <c r="F14147">
        <v>0.94827049970626831</v>
      </c>
    </row>
    <row r="14148" spans="2:6">
      <c r="B14148">
        <v>2008</v>
      </c>
      <c r="C14148" t="s">
        <v>152</v>
      </c>
      <c r="D14148" t="s">
        <v>183</v>
      </c>
      <c r="E14148" t="s">
        <v>10</v>
      </c>
      <c r="F14148">
        <v>72.339996337890625</v>
      </c>
    </row>
    <row r="14149" spans="2:6">
      <c r="B14149">
        <v>2008</v>
      </c>
      <c r="C14149" t="s">
        <v>152</v>
      </c>
      <c r="D14149" t="s">
        <v>183</v>
      </c>
      <c r="E14149" t="s">
        <v>11</v>
      </c>
      <c r="F14149">
        <v>0.83378607034683228</v>
      </c>
    </row>
    <row r="14150" spans="2:6">
      <c r="B14150">
        <v>2008</v>
      </c>
      <c r="C14150" t="s">
        <v>152</v>
      </c>
      <c r="D14150" t="s">
        <v>183</v>
      </c>
      <c r="E14150" t="s">
        <v>12</v>
      </c>
      <c r="F14150">
        <v>-0.14956788718700409</v>
      </c>
    </row>
    <row r="14151" spans="2:6">
      <c r="B14151">
        <v>2008</v>
      </c>
      <c r="C14151" t="s">
        <v>152</v>
      </c>
      <c r="D14151" t="s">
        <v>183</v>
      </c>
      <c r="E14151" t="s">
        <v>13</v>
      </c>
      <c r="F14151">
        <v>0.68321019411087036</v>
      </c>
    </row>
    <row r="14152" spans="2:6">
      <c r="B14152">
        <v>2008</v>
      </c>
      <c r="C14152" t="s">
        <v>152</v>
      </c>
      <c r="D14152" t="s">
        <v>183</v>
      </c>
      <c r="E14152" t="s">
        <v>14</v>
      </c>
      <c r="F14152">
        <v>0.77209526300430298</v>
      </c>
    </row>
    <row r="14153" spans="2:6">
      <c r="B14153">
        <v>2008</v>
      </c>
      <c r="C14153" t="s">
        <v>152</v>
      </c>
      <c r="D14153" t="s">
        <v>183</v>
      </c>
      <c r="E14153" t="s">
        <v>15</v>
      </c>
      <c r="F14153">
        <v>0.2596907913684845</v>
      </c>
    </row>
    <row r="14154" spans="2:6">
      <c r="B14154">
        <v>2009</v>
      </c>
      <c r="C14154" t="s">
        <v>152</v>
      </c>
      <c r="D14154" t="s">
        <v>183</v>
      </c>
      <c r="E14154" t="s">
        <v>7</v>
      </c>
      <c r="F14154">
        <v>6.198601245880127</v>
      </c>
    </row>
    <row r="14155" spans="2:6">
      <c r="B14155">
        <v>2009</v>
      </c>
      <c r="C14155" t="s">
        <v>152</v>
      </c>
      <c r="D14155" t="s">
        <v>183</v>
      </c>
      <c r="E14155" t="s">
        <v>8</v>
      </c>
      <c r="F14155">
        <v>10.532219886779785</v>
      </c>
    </row>
    <row r="14156" spans="2:6">
      <c r="B14156">
        <v>2009</v>
      </c>
      <c r="C14156" t="s">
        <v>152</v>
      </c>
      <c r="D14156" t="s">
        <v>183</v>
      </c>
      <c r="E14156" t="s">
        <v>9</v>
      </c>
      <c r="F14156">
        <v>0.92945384979248047</v>
      </c>
    </row>
    <row r="14157" spans="2:6">
      <c r="B14157">
        <v>2009</v>
      </c>
      <c r="C14157" t="s">
        <v>152</v>
      </c>
      <c r="D14157" t="s">
        <v>183</v>
      </c>
      <c r="E14157" t="s">
        <v>10</v>
      </c>
      <c r="F14157">
        <v>72.620002746582031</v>
      </c>
    </row>
    <row r="14158" spans="2:6">
      <c r="B14158">
        <v>2009</v>
      </c>
      <c r="C14158" t="s">
        <v>152</v>
      </c>
      <c r="D14158" t="s">
        <v>183</v>
      </c>
      <c r="E14158" t="s">
        <v>11</v>
      </c>
      <c r="F14158">
        <v>0.74851471185684204</v>
      </c>
    </row>
    <row r="14159" spans="2:6">
      <c r="B14159">
        <v>2009</v>
      </c>
      <c r="C14159" t="s">
        <v>152</v>
      </c>
      <c r="D14159" t="s">
        <v>183</v>
      </c>
      <c r="E14159" t="s">
        <v>12</v>
      </c>
      <c r="F14159">
        <v>-0.12733869254589081</v>
      </c>
    </row>
    <row r="14160" spans="2:6">
      <c r="B14160">
        <v>2009</v>
      </c>
      <c r="C14160" t="s">
        <v>152</v>
      </c>
      <c r="D14160" t="s">
        <v>183</v>
      </c>
      <c r="E14160" t="s">
        <v>13</v>
      </c>
      <c r="F14160">
        <v>0.79770463705062866</v>
      </c>
    </row>
    <row r="14161" spans="2:6">
      <c r="B14161">
        <v>2009</v>
      </c>
      <c r="C14161" t="s">
        <v>152</v>
      </c>
      <c r="D14161" t="s">
        <v>183</v>
      </c>
      <c r="E14161" t="s">
        <v>14</v>
      </c>
      <c r="F14161">
        <v>0.75216472148895264</v>
      </c>
    </row>
    <row r="14162" spans="2:6">
      <c r="B14162">
        <v>2009</v>
      </c>
      <c r="C14162" t="s">
        <v>152</v>
      </c>
      <c r="D14162" t="s">
        <v>183</v>
      </c>
      <c r="E14162" t="s">
        <v>15</v>
      </c>
      <c r="F14162">
        <v>0.33587706089019775</v>
      </c>
    </row>
    <row r="14163" spans="2:6">
      <c r="B14163">
        <v>2010</v>
      </c>
      <c r="C14163" t="s">
        <v>152</v>
      </c>
      <c r="D14163" t="s">
        <v>183</v>
      </c>
      <c r="E14163" t="s">
        <v>7</v>
      </c>
      <c r="F14163">
        <v>6.1882624626159668</v>
      </c>
    </row>
    <row r="14164" spans="2:6">
      <c r="B14164">
        <v>2010</v>
      </c>
      <c r="C14164" t="s">
        <v>152</v>
      </c>
      <c r="D14164" t="s">
        <v>183</v>
      </c>
      <c r="E14164" t="s">
        <v>8</v>
      </c>
      <c r="F14164">
        <v>10.529244422912598</v>
      </c>
    </row>
    <row r="14165" spans="2:6">
      <c r="B14165">
        <v>2010</v>
      </c>
      <c r="C14165" t="s">
        <v>152</v>
      </c>
      <c r="D14165" t="s">
        <v>183</v>
      </c>
      <c r="E14165" t="s">
        <v>9</v>
      </c>
      <c r="F14165">
        <v>0.94994038343429565</v>
      </c>
    </row>
    <row r="14166" spans="2:6">
      <c r="B14166">
        <v>2010</v>
      </c>
      <c r="C14166" t="s">
        <v>152</v>
      </c>
      <c r="D14166" t="s">
        <v>183</v>
      </c>
      <c r="E14166" t="s">
        <v>10</v>
      </c>
      <c r="F14166">
        <v>72.900001525878906</v>
      </c>
    </row>
    <row r="14167" spans="2:6">
      <c r="B14167">
        <v>2010</v>
      </c>
      <c r="C14167" t="s">
        <v>152</v>
      </c>
      <c r="D14167" t="s">
        <v>183</v>
      </c>
      <c r="E14167" t="s">
        <v>11</v>
      </c>
      <c r="F14167">
        <v>0.79649555683135986</v>
      </c>
    </row>
    <row r="14168" spans="2:6">
      <c r="B14168">
        <v>2010</v>
      </c>
      <c r="C14168" t="s">
        <v>152</v>
      </c>
      <c r="D14168" t="s">
        <v>183</v>
      </c>
      <c r="E14168" t="s">
        <v>12</v>
      </c>
      <c r="F14168">
        <v>-0.1379983127117157</v>
      </c>
    </row>
    <row r="14169" spans="2:6">
      <c r="B14169">
        <v>2010</v>
      </c>
      <c r="C14169" t="s">
        <v>152</v>
      </c>
      <c r="D14169" t="s">
        <v>183</v>
      </c>
      <c r="E14169" t="s">
        <v>13</v>
      </c>
      <c r="F14169">
        <v>0.83974629640579224</v>
      </c>
    </row>
    <row r="14170" spans="2:6">
      <c r="B14170">
        <v>2010</v>
      </c>
      <c r="C14170" t="s">
        <v>152</v>
      </c>
      <c r="D14170" t="s">
        <v>183</v>
      </c>
      <c r="E14170" t="s">
        <v>14</v>
      </c>
      <c r="F14170">
        <v>0.72431236505508423</v>
      </c>
    </row>
    <row r="14171" spans="2:6">
      <c r="B14171">
        <v>2010</v>
      </c>
      <c r="C14171" t="s">
        <v>152</v>
      </c>
      <c r="D14171" t="s">
        <v>183</v>
      </c>
      <c r="E14171" t="s">
        <v>15</v>
      </c>
      <c r="F14171">
        <v>0.3218194842338562</v>
      </c>
    </row>
    <row r="14172" spans="2:6">
      <c r="B14172">
        <v>2011</v>
      </c>
      <c r="C14172" t="s">
        <v>152</v>
      </c>
      <c r="D14172" t="s">
        <v>183</v>
      </c>
      <c r="E14172" t="s">
        <v>7</v>
      </c>
      <c r="F14172">
        <v>6.5182490348815918</v>
      </c>
    </row>
    <row r="14173" spans="2:6">
      <c r="B14173">
        <v>2011</v>
      </c>
      <c r="C14173" t="s">
        <v>152</v>
      </c>
      <c r="D14173" t="s">
        <v>183</v>
      </c>
      <c r="E14173" t="s">
        <v>8</v>
      </c>
      <c r="F14173">
        <v>10.517514228820801</v>
      </c>
    </row>
    <row r="14174" spans="2:6">
      <c r="B14174">
        <v>2011</v>
      </c>
      <c r="C14174" t="s">
        <v>152</v>
      </c>
      <c r="D14174" t="s">
        <v>183</v>
      </c>
      <c r="E14174" t="s">
        <v>9</v>
      </c>
      <c r="F14174">
        <v>0.94444370269775391</v>
      </c>
    </row>
    <row r="14175" spans="2:6">
      <c r="B14175">
        <v>2011</v>
      </c>
      <c r="C14175" t="s">
        <v>152</v>
      </c>
      <c r="D14175" t="s">
        <v>183</v>
      </c>
      <c r="E14175" t="s">
        <v>10</v>
      </c>
      <c r="F14175">
        <v>73.019996643066406</v>
      </c>
    </row>
    <row r="14176" spans="2:6">
      <c r="B14176">
        <v>2011</v>
      </c>
      <c r="C14176" t="s">
        <v>152</v>
      </c>
      <c r="D14176" t="s">
        <v>183</v>
      </c>
      <c r="E14176" t="s">
        <v>11</v>
      </c>
      <c r="F14176">
        <v>0.81865090131759644</v>
      </c>
    </row>
    <row r="14177" spans="2:6">
      <c r="B14177">
        <v>2011</v>
      </c>
      <c r="C14177" t="s">
        <v>152</v>
      </c>
      <c r="D14177" t="s">
        <v>183</v>
      </c>
      <c r="E14177" t="s">
        <v>12</v>
      </c>
      <c r="F14177">
        <v>-0.12175389379262924</v>
      </c>
    </row>
    <row r="14178" spans="2:6">
      <c r="B14178">
        <v>2011</v>
      </c>
      <c r="C14178" t="s">
        <v>152</v>
      </c>
      <c r="D14178" t="s">
        <v>183</v>
      </c>
      <c r="E14178" t="s">
        <v>13</v>
      </c>
      <c r="F14178">
        <v>0.84554344415664673</v>
      </c>
    </row>
    <row r="14179" spans="2:6">
      <c r="B14179">
        <v>2011</v>
      </c>
      <c r="C14179" t="s">
        <v>152</v>
      </c>
      <c r="D14179" t="s">
        <v>183</v>
      </c>
      <c r="E14179" t="s">
        <v>14</v>
      </c>
      <c r="F14179">
        <v>0.73726940155029297</v>
      </c>
    </row>
    <row r="14180" spans="2:6">
      <c r="B14180">
        <v>2011</v>
      </c>
      <c r="C14180" t="s">
        <v>152</v>
      </c>
      <c r="D14180" t="s">
        <v>183</v>
      </c>
      <c r="E14180" t="s">
        <v>15</v>
      </c>
      <c r="F14180">
        <v>0.35610154271125793</v>
      </c>
    </row>
    <row r="14181" spans="2:6">
      <c r="B14181">
        <v>2012</v>
      </c>
      <c r="C14181" t="s">
        <v>152</v>
      </c>
      <c r="D14181" t="s">
        <v>183</v>
      </c>
      <c r="E14181" t="s">
        <v>7</v>
      </c>
      <c r="F14181">
        <v>6.2906904220581055</v>
      </c>
    </row>
    <row r="14182" spans="2:6">
      <c r="B14182">
        <v>2012</v>
      </c>
      <c r="C14182" t="s">
        <v>152</v>
      </c>
      <c r="D14182" t="s">
        <v>183</v>
      </c>
      <c r="E14182" t="s">
        <v>8</v>
      </c>
      <c r="F14182">
        <v>10.486824035644531</v>
      </c>
    </row>
    <row r="14183" spans="2:6">
      <c r="B14183">
        <v>2012</v>
      </c>
      <c r="C14183" t="s">
        <v>152</v>
      </c>
      <c r="D14183" t="s">
        <v>183</v>
      </c>
      <c r="E14183" t="s">
        <v>9</v>
      </c>
      <c r="F14183">
        <v>0.9370233416557312</v>
      </c>
    </row>
    <row r="14184" spans="2:6">
      <c r="B14184">
        <v>2012</v>
      </c>
      <c r="C14184" t="s">
        <v>152</v>
      </c>
      <c r="D14184" t="s">
        <v>183</v>
      </c>
      <c r="E14184" t="s">
        <v>10</v>
      </c>
      <c r="F14184">
        <v>73.139999389648438</v>
      </c>
    </row>
    <row r="14185" spans="2:6">
      <c r="B14185">
        <v>2012</v>
      </c>
      <c r="C14185" t="s">
        <v>152</v>
      </c>
      <c r="D14185" t="s">
        <v>183</v>
      </c>
      <c r="E14185" t="s">
        <v>11</v>
      </c>
      <c r="F14185">
        <v>0.75458610057830811</v>
      </c>
    </row>
    <row r="14186" spans="2:6">
      <c r="B14186">
        <v>2012</v>
      </c>
      <c r="C14186" t="s">
        <v>152</v>
      </c>
      <c r="D14186" t="s">
        <v>183</v>
      </c>
      <c r="E14186" t="s">
        <v>12</v>
      </c>
      <c r="F14186">
        <v>-5.943123996257782E-2</v>
      </c>
    </row>
    <row r="14187" spans="2:6">
      <c r="B14187">
        <v>2012</v>
      </c>
      <c r="C14187" t="s">
        <v>152</v>
      </c>
      <c r="D14187" t="s">
        <v>183</v>
      </c>
      <c r="E14187" t="s">
        <v>13</v>
      </c>
      <c r="F14187">
        <v>0.84359300136566162</v>
      </c>
    </row>
    <row r="14188" spans="2:6">
      <c r="B14188">
        <v>2012</v>
      </c>
      <c r="C14188" t="s">
        <v>152</v>
      </c>
      <c r="D14188" t="s">
        <v>183</v>
      </c>
      <c r="E14188" t="s">
        <v>14</v>
      </c>
      <c r="F14188">
        <v>0.74927663803100586</v>
      </c>
    </row>
    <row r="14189" spans="2:6">
      <c r="B14189">
        <v>2012</v>
      </c>
      <c r="C14189" t="s">
        <v>152</v>
      </c>
      <c r="D14189" t="s">
        <v>183</v>
      </c>
      <c r="E14189" t="s">
        <v>15</v>
      </c>
      <c r="F14189">
        <v>0.36647447943687439</v>
      </c>
    </row>
    <row r="14190" spans="2:6">
      <c r="B14190">
        <v>2013</v>
      </c>
      <c r="C14190" t="s">
        <v>152</v>
      </c>
      <c r="D14190" t="s">
        <v>183</v>
      </c>
      <c r="E14190" t="s">
        <v>7</v>
      </c>
      <c r="F14190">
        <v>6.1500272750854492</v>
      </c>
    </row>
    <row r="14191" spans="2:6">
      <c r="B14191">
        <v>2013</v>
      </c>
      <c r="C14191" t="s">
        <v>152</v>
      </c>
      <c r="D14191" t="s">
        <v>183</v>
      </c>
      <c r="E14191" t="s">
        <v>8</v>
      </c>
      <c r="F14191">
        <v>10.475642204284668</v>
      </c>
    </row>
    <row r="14192" spans="2:6">
      <c r="B14192">
        <v>2013</v>
      </c>
      <c r="C14192" t="s">
        <v>152</v>
      </c>
      <c r="D14192" t="s">
        <v>183</v>
      </c>
      <c r="E14192" t="s">
        <v>9</v>
      </c>
      <c r="F14192">
        <v>0.92864048480987549</v>
      </c>
    </row>
    <row r="14193" spans="2:6">
      <c r="B14193">
        <v>2013</v>
      </c>
      <c r="C14193" t="s">
        <v>152</v>
      </c>
      <c r="D14193" t="s">
        <v>183</v>
      </c>
      <c r="E14193" t="s">
        <v>10</v>
      </c>
      <c r="F14193">
        <v>73.260002136230469</v>
      </c>
    </row>
    <row r="14194" spans="2:6">
      <c r="B14194">
        <v>2013</v>
      </c>
      <c r="C14194" t="s">
        <v>152</v>
      </c>
      <c r="D14194" t="s">
        <v>183</v>
      </c>
      <c r="E14194" t="s">
        <v>11</v>
      </c>
      <c r="F14194">
        <v>0.75935643911361694</v>
      </c>
    </row>
    <row r="14195" spans="2:6">
      <c r="B14195">
        <v>2013</v>
      </c>
      <c r="C14195" t="s">
        <v>152</v>
      </c>
      <c r="D14195" t="s">
        <v>183</v>
      </c>
      <c r="E14195" t="s">
        <v>12</v>
      </c>
      <c r="F14195">
        <v>-0.10145390033721924</v>
      </c>
    </row>
    <row r="14196" spans="2:6">
      <c r="B14196">
        <v>2013</v>
      </c>
      <c r="C14196" t="s">
        <v>152</v>
      </c>
      <c r="D14196" t="s">
        <v>183</v>
      </c>
      <c r="E14196" t="s">
        <v>13</v>
      </c>
      <c r="F14196">
        <v>0.91582256555557251</v>
      </c>
    </row>
    <row r="14197" spans="2:6">
      <c r="B14197">
        <v>2013</v>
      </c>
      <c r="C14197" t="s">
        <v>152</v>
      </c>
      <c r="D14197" t="s">
        <v>183</v>
      </c>
      <c r="E14197" t="s">
        <v>14</v>
      </c>
      <c r="F14197">
        <v>0.69629585742950439</v>
      </c>
    </row>
    <row r="14198" spans="2:6">
      <c r="B14198">
        <v>2013</v>
      </c>
      <c r="C14198" t="s">
        <v>152</v>
      </c>
      <c r="D14198" t="s">
        <v>183</v>
      </c>
      <c r="E14198" t="s">
        <v>15</v>
      </c>
      <c r="F14198">
        <v>0.37183937430381775</v>
      </c>
    </row>
    <row r="14199" spans="2:6">
      <c r="B14199">
        <v>2014</v>
      </c>
      <c r="C14199" t="s">
        <v>152</v>
      </c>
      <c r="D14199" t="s">
        <v>183</v>
      </c>
      <c r="E14199" t="s">
        <v>7</v>
      </c>
      <c r="F14199">
        <v>6.4564776420593262</v>
      </c>
    </row>
    <row r="14200" spans="2:6">
      <c r="B14200">
        <v>2014</v>
      </c>
      <c r="C14200" t="s">
        <v>152</v>
      </c>
      <c r="D14200" t="s">
        <v>183</v>
      </c>
      <c r="E14200" t="s">
        <v>8</v>
      </c>
      <c r="F14200">
        <v>10.492376327514648</v>
      </c>
    </row>
    <row r="14201" spans="2:6">
      <c r="B14201">
        <v>2014</v>
      </c>
      <c r="C14201" t="s">
        <v>152</v>
      </c>
      <c r="D14201" t="s">
        <v>183</v>
      </c>
      <c r="E14201" t="s">
        <v>9</v>
      </c>
      <c r="F14201">
        <v>0.94786441326141357</v>
      </c>
    </row>
    <row r="14202" spans="2:6">
      <c r="B14202">
        <v>2014</v>
      </c>
      <c r="C14202" t="s">
        <v>152</v>
      </c>
      <c r="D14202" t="s">
        <v>183</v>
      </c>
      <c r="E14202" t="s">
        <v>10</v>
      </c>
      <c r="F14202">
        <v>73.379997253417969</v>
      </c>
    </row>
    <row r="14203" spans="2:6">
      <c r="B14203">
        <v>2014</v>
      </c>
      <c r="C14203" t="s">
        <v>152</v>
      </c>
      <c r="D14203" t="s">
        <v>183</v>
      </c>
      <c r="E14203" t="s">
        <v>11</v>
      </c>
      <c r="F14203">
        <v>0.7384723424911499</v>
      </c>
    </row>
    <row r="14204" spans="2:6">
      <c r="B14204">
        <v>2014</v>
      </c>
      <c r="C14204" t="s">
        <v>152</v>
      </c>
      <c r="D14204" t="s">
        <v>183</v>
      </c>
      <c r="E14204" t="s">
        <v>12</v>
      </c>
      <c r="F14204">
        <v>-2.8165718540549278E-2</v>
      </c>
    </row>
    <row r="14205" spans="2:6">
      <c r="B14205">
        <v>2014</v>
      </c>
      <c r="C14205" t="s">
        <v>152</v>
      </c>
      <c r="D14205" t="s">
        <v>183</v>
      </c>
      <c r="E14205" t="s">
        <v>13</v>
      </c>
      <c r="F14205">
        <v>0.85388791561126709</v>
      </c>
    </row>
    <row r="14206" spans="2:6">
      <c r="B14206">
        <v>2014</v>
      </c>
      <c r="C14206" t="s">
        <v>152</v>
      </c>
      <c r="D14206" t="s">
        <v>183</v>
      </c>
      <c r="E14206" t="s">
        <v>14</v>
      </c>
      <c r="F14206">
        <v>0.71626591682434082</v>
      </c>
    </row>
    <row r="14207" spans="2:6">
      <c r="B14207">
        <v>2014</v>
      </c>
      <c r="C14207" t="s">
        <v>152</v>
      </c>
      <c r="D14207" t="s">
        <v>183</v>
      </c>
      <c r="E14207" t="s">
        <v>15</v>
      </c>
      <c r="F14207">
        <v>0.33546000719070435</v>
      </c>
    </row>
    <row r="14208" spans="2:6">
      <c r="B14208">
        <v>2015</v>
      </c>
      <c r="C14208" t="s">
        <v>152</v>
      </c>
      <c r="D14208" t="s">
        <v>183</v>
      </c>
      <c r="E14208" t="s">
        <v>7</v>
      </c>
      <c r="F14208">
        <v>6.3806633949279785</v>
      </c>
    </row>
    <row r="14209" spans="2:6">
      <c r="B14209">
        <v>2015</v>
      </c>
      <c r="C14209" t="s">
        <v>152</v>
      </c>
      <c r="D14209" t="s">
        <v>183</v>
      </c>
      <c r="E14209" t="s">
        <v>8</v>
      </c>
      <c r="F14209">
        <v>10.530786514282227</v>
      </c>
    </row>
    <row r="14210" spans="2:6">
      <c r="B14210">
        <v>2015</v>
      </c>
      <c r="C14210" t="s">
        <v>152</v>
      </c>
      <c r="D14210" t="s">
        <v>183</v>
      </c>
      <c r="E14210" t="s">
        <v>9</v>
      </c>
      <c r="F14210">
        <v>0.95647186040878296</v>
      </c>
    </row>
    <row r="14211" spans="2:6">
      <c r="B14211">
        <v>2015</v>
      </c>
      <c r="C14211" t="s">
        <v>152</v>
      </c>
      <c r="D14211" t="s">
        <v>183</v>
      </c>
      <c r="E14211" t="s">
        <v>10</v>
      </c>
      <c r="F14211">
        <v>73.5</v>
      </c>
    </row>
    <row r="14212" spans="2:6">
      <c r="B14212">
        <v>2015</v>
      </c>
      <c r="C14212" t="s">
        <v>152</v>
      </c>
      <c r="D14212" t="s">
        <v>183</v>
      </c>
      <c r="E14212" t="s">
        <v>11</v>
      </c>
      <c r="F14212">
        <v>0.73200047016143799</v>
      </c>
    </row>
    <row r="14213" spans="2:6">
      <c r="B14213">
        <v>2015</v>
      </c>
      <c r="C14213" t="s">
        <v>152</v>
      </c>
      <c r="D14213" t="s">
        <v>183</v>
      </c>
      <c r="E14213" t="s">
        <v>12</v>
      </c>
      <c r="F14213">
        <v>-7.2339259088039398E-2</v>
      </c>
    </row>
    <row r="14214" spans="2:6">
      <c r="B14214">
        <v>2015</v>
      </c>
      <c r="C14214" t="s">
        <v>152</v>
      </c>
      <c r="D14214" t="s">
        <v>183</v>
      </c>
      <c r="E14214" t="s">
        <v>13</v>
      </c>
      <c r="F14214">
        <v>0.82166492938995361</v>
      </c>
    </row>
    <row r="14215" spans="2:6">
      <c r="B14215">
        <v>2015</v>
      </c>
      <c r="C14215" t="s">
        <v>152</v>
      </c>
      <c r="D14215" t="s">
        <v>183</v>
      </c>
      <c r="E14215" t="s">
        <v>14</v>
      </c>
      <c r="F14215">
        <v>0.73226940631866455</v>
      </c>
    </row>
    <row r="14216" spans="2:6">
      <c r="B14216">
        <v>2015</v>
      </c>
      <c r="C14216" t="s">
        <v>152</v>
      </c>
      <c r="D14216" t="s">
        <v>183</v>
      </c>
      <c r="E14216" t="s">
        <v>15</v>
      </c>
      <c r="F14216">
        <v>0.28469368815422058</v>
      </c>
    </row>
    <row r="14217" spans="2:6">
      <c r="B14217">
        <v>2016</v>
      </c>
      <c r="C14217" t="s">
        <v>152</v>
      </c>
      <c r="D14217" t="s">
        <v>183</v>
      </c>
      <c r="E14217" t="s">
        <v>7</v>
      </c>
      <c r="F14217">
        <v>6.3186120986938477</v>
      </c>
    </row>
    <row r="14218" spans="2:6">
      <c r="B14218">
        <v>2016</v>
      </c>
      <c r="C14218" t="s">
        <v>152</v>
      </c>
      <c r="D14218" t="s">
        <v>183</v>
      </c>
      <c r="E14218" t="s">
        <v>8</v>
      </c>
      <c r="F14218">
        <v>10.559804916381836</v>
      </c>
    </row>
    <row r="14219" spans="2:6">
      <c r="B14219">
        <v>2016</v>
      </c>
      <c r="C14219" t="s">
        <v>152</v>
      </c>
      <c r="D14219" t="s">
        <v>183</v>
      </c>
      <c r="E14219" t="s">
        <v>9</v>
      </c>
      <c r="F14219">
        <v>0.94173681735992432</v>
      </c>
    </row>
    <row r="14220" spans="2:6">
      <c r="B14220">
        <v>2016</v>
      </c>
      <c r="C14220" t="s">
        <v>152</v>
      </c>
      <c r="D14220" t="s">
        <v>183</v>
      </c>
      <c r="E14220" t="s">
        <v>10</v>
      </c>
      <c r="F14220">
        <v>73.800003051757813</v>
      </c>
    </row>
    <row r="14221" spans="2:6">
      <c r="B14221">
        <v>2016</v>
      </c>
      <c r="C14221" t="s">
        <v>152</v>
      </c>
      <c r="D14221" t="s">
        <v>183</v>
      </c>
      <c r="E14221" t="s">
        <v>11</v>
      </c>
      <c r="F14221">
        <v>0.76817375421524048</v>
      </c>
    </row>
    <row r="14222" spans="2:6">
      <c r="B14222">
        <v>2016</v>
      </c>
      <c r="C14222" t="s">
        <v>152</v>
      </c>
      <c r="D14222" t="s">
        <v>183</v>
      </c>
      <c r="E14222" t="s">
        <v>12</v>
      </c>
      <c r="F14222">
        <v>-4.8090878874063492E-2</v>
      </c>
    </row>
    <row r="14223" spans="2:6">
      <c r="B14223">
        <v>2016</v>
      </c>
      <c r="C14223" t="s">
        <v>152</v>
      </c>
      <c r="D14223" t="s">
        <v>183</v>
      </c>
      <c r="E14223" t="s">
        <v>13</v>
      </c>
      <c r="F14223">
        <v>0.81855857372283936</v>
      </c>
    </row>
    <row r="14224" spans="2:6">
      <c r="B14224">
        <v>2016</v>
      </c>
      <c r="C14224" t="s">
        <v>152</v>
      </c>
      <c r="D14224" t="s">
        <v>183</v>
      </c>
      <c r="E14224" t="s">
        <v>14</v>
      </c>
      <c r="F14224">
        <v>0.65281611680984497</v>
      </c>
    </row>
    <row r="14225" spans="2:6">
      <c r="B14225">
        <v>2016</v>
      </c>
      <c r="C14225" t="s">
        <v>152</v>
      </c>
      <c r="D14225" t="s">
        <v>183</v>
      </c>
      <c r="E14225" t="s">
        <v>15</v>
      </c>
      <c r="F14225">
        <v>0.30082935094833374</v>
      </c>
    </row>
    <row r="14226" spans="2:6">
      <c r="B14226">
        <v>2017</v>
      </c>
      <c r="C14226" t="s">
        <v>152</v>
      </c>
      <c r="D14226" t="s">
        <v>183</v>
      </c>
      <c r="E14226" t="s">
        <v>7</v>
      </c>
      <c r="F14226">
        <v>6.2301731109619141</v>
      </c>
    </row>
    <row r="14227" spans="2:6">
      <c r="B14227">
        <v>2017</v>
      </c>
      <c r="C14227" t="s">
        <v>152</v>
      </c>
      <c r="D14227" t="s">
        <v>183</v>
      </c>
      <c r="E14227" t="s">
        <v>8</v>
      </c>
      <c r="F14227">
        <v>10.585966110229492</v>
      </c>
    </row>
    <row r="14228" spans="2:6">
      <c r="B14228">
        <v>2017</v>
      </c>
      <c r="C14228" t="s">
        <v>152</v>
      </c>
      <c r="D14228" t="s">
        <v>183</v>
      </c>
      <c r="E14228" t="s">
        <v>9</v>
      </c>
      <c r="F14228">
        <v>0.90315818786621094</v>
      </c>
    </row>
    <row r="14229" spans="2:6">
      <c r="B14229">
        <v>2017</v>
      </c>
      <c r="C14229" t="s">
        <v>152</v>
      </c>
      <c r="D14229" t="s">
        <v>183</v>
      </c>
      <c r="E14229" t="s">
        <v>10</v>
      </c>
      <c r="F14229">
        <v>74.099998474121094</v>
      </c>
    </row>
    <row r="14230" spans="2:6">
      <c r="B14230">
        <v>2017</v>
      </c>
      <c r="C14230" t="s">
        <v>152</v>
      </c>
      <c r="D14230" t="s">
        <v>183</v>
      </c>
      <c r="E14230" t="s">
        <v>11</v>
      </c>
      <c r="F14230">
        <v>0.75556075572967529</v>
      </c>
    </row>
    <row r="14231" spans="2:6">
      <c r="B14231">
        <v>2017</v>
      </c>
      <c r="C14231" t="s">
        <v>152</v>
      </c>
      <c r="D14231" t="s">
        <v>183</v>
      </c>
      <c r="E14231" t="s">
        <v>12</v>
      </c>
      <c r="F14231">
        <v>-3.2062973827123642E-2</v>
      </c>
    </row>
    <row r="14232" spans="2:6">
      <c r="B14232">
        <v>2017</v>
      </c>
      <c r="C14232" t="s">
        <v>152</v>
      </c>
      <c r="D14232" t="s">
        <v>183</v>
      </c>
      <c r="E14232" t="s">
        <v>13</v>
      </c>
      <c r="F14232">
        <v>0.79126876592636108</v>
      </c>
    </row>
    <row r="14233" spans="2:6">
      <c r="B14233">
        <v>2017</v>
      </c>
      <c r="C14233" t="s">
        <v>152</v>
      </c>
      <c r="D14233" t="s">
        <v>183</v>
      </c>
      <c r="E14233" t="s">
        <v>14</v>
      </c>
      <c r="F14233">
        <v>0.62505561113357544</v>
      </c>
    </row>
    <row r="14234" spans="2:6">
      <c r="B14234">
        <v>2017</v>
      </c>
      <c r="C14234" t="s">
        <v>152</v>
      </c>
      <c r="D14234" t="s">
        <v>183</v>
      </c>
      <c r="E14234" t="s">
        <v>15</v>
      </c>
      <c r="F14234">
        <v>0.30238765478134155</v>
      </c>
    </row>
    <row r="14235" spans="2:6">
      <c r="B14235">
        <v>2018</v>
      </c>
      <c r="C14235" t="s">
        <v>152</v>
      </c>
      <c r="D14235" t="s">
        <v>183</v>
      </c>
      <c r="E14235" t="s">
        <v>7</v>
      </c>
      <c r="F14235">
        <v>6.5133709907531738</v>
      </c>
    </row>
    <row r="14236" spans="2:6">
      <c r="B14236">
        <v>2018</v>
      </c>
      <c r="C14236" t="s">
        <v>152</v>
      </c>
      <c r="D14236" t="s">
        <v>183</v>
      </c>
      <c r="E14236" t="s">
        <v>8</v>
      </c>
      <c r="F14236">
        <v>10.604824066162109</v>
      </c>
    </row>
    <row r="14237" spans="2:6">
      <c r="B14237">
        <v>2018</v>
      </c>
      <c r="C14237" t="s">
        <v>152</v>
      </c>
      <c r="D14237" t="s">
        <v>183</v>
      </c>
      <c r="E14237" t="s">
        <v>9</v>
      </c>
      <c r="F14237">
        <v>0.91031467914581299</v>
      </c>
    </row>
    <row r="14238" spans="2:6">
      <c r="B14238">
        <v>2018</v>
      </c>
      <c r="C14238" t="s">
        <v>152</v>
      </c>
      <c r="D14238" t="s">
        <v>183</v>
      </c>
      <c r="E14238" t="s">
        <v>10</v>
      </c>
      <c r="F14238">
        <v>74.400001525878906</v>
      </c>
    </row>
    <row r="14239" spans="2:6">
      <c r="B14239">
        <v>2018</v>
      </c>
      <c r="C14239" t="s">
        <v>152</v>
      </c>
      <c r="D14239" t="s">
        <v>183</v>
      </c>
      <c r="E14239" t="s">
        <v>11</v>
      </c>
      <c r="F14239">
        <v>0.72225069999694824</v>
      </c>
    </row>
    <row r="14240" spans="2:6">
      <c r="B14240">
        <v>2018</v>
      </c>
      <c r="C14240" t="s">
        <v>152</v>
      </c>
      <c r="D14240" t="s">
        <v>183</v>
      </c>
      <c r="E14240" t="s">
        <v>12</v>
      </c>
      <c r="F14240">
        <v>-7.4976295232772827E-2</v>
      </c>
    </row>
    <row r="14241" spans="2:6">
      <c r="B14241">
        <v>2018</v>
      </c>
      <c r="C14241" t="s">
        <v>152</v>
      </c>
      <c r="D14241" t="s">
        <v>183</v>
      </c>
      <c r="E14241" t="s">
        <v>13</v>
      </c>
      <c r="F14241">
        <v>0.77650445699691772</v>
      </c>
    </row>
    <row r="14242" spans="2:6">
      <c r="B14242">
        <v>2018</v>
      </c>
      <c r="C14242" t="s">
        <v>152</v>
      </c>
      <c r="D14242" t="s">
        <v>183</v>
      </c>
      <c r="E14242" t="s">
        <v>14</v>
      </c>
      <c r="F14242">
        <v>0.65918803215026855</v>
      </c>
    </row>
    <row r="14243" spans="2:6">
      <c r="B14243">
        <v>2018</v>
      </c>
      <c r="C14243" t="s">
        <v>152</v>
      </c>
      <c r="D14243" t="s">
        <v>183</v>
      </c>
      <c r="E14243" t="s">
        <v>15</v>
      </c>
      <c r="F14243">
        <v>0.35719084739685059</v>
      </c>
    </row>
    <row r="14244" spans="2:6">
      <c r="B14244">
        <v>2019</v>
      </c>
      <c r="C14244" t="s">
        <v>152</v>
      </c>
      <c r="D14244" t="s">
        <v>183</v>
      </c>
      <c r="E14244" t="s">
        <v>7</v>
      </c>
      <c r="F14244">
        <v>6.4574494361877441</v>
      </c>
    </row>
    <row r="14245" spans="2:6">
      <c r="B14245">
        <v>2019</v>
      </c>
      <c r="C14245" t="s">
        <v>152</v>
      </c>
      <c r="D14245" t="s">
        <v>183</v>
      </c>
      <c r="E14245" t="s">
        <v>8</v>
      </c>
      <c r="F14245">
        <v>10.618477821350098</v>
      </c>
    </row>
    <row r="14246" spans="2:6">
      <c r="B14246">
        <v>2019</v>
      </c>
      <c r="C14246" t="s">
        <v>152</v>
      </c>
      <c r="D14246" t="s">
        <v>183</v>
      </c>
      <c r="E14246" t="s">
        <v>9</v>
      </c>
      <c r="F14246">
        <v>0.94901347160339355</v>
      </c>
    </row>
    <row r="14247" spans="2:6">
      <c r="B14247">
        <v>2019</v>
      </c>
      <c r="C14247" t="s">
        <v>152</v>
      </c>
      <c r="D14247" t="s">
        <v>183</v>
      </c>
      <c r="E14247" t="s">
        <v>10</v>
      </c>
      <c r="F14247">
        <v>74.699996948242188</v>
      </c>
    </row>
    <row r="14248" spans="2:6">
      <c r="B14248">
        <v>2019</v>
      </c>
      <c r="C14248" t="s">
        <v>152</v>
      </c>
      <c r="D14248" t="s">
        <v>183</v>
      </c>
      <c r="E14248" t="s">
        <v>11</v>
      </c>
      <c r="F14248">
        <v>0.77796673774719238</v>
      </c>
    </row>
    <row r="14249" spans="2:6">
      <c r="B14249">
        <v>2019</v>
      </c>
      <c r="C14249" t="s">
        <v>152</v>
      </c>
      <c r="D14249" t="s">
        <v>183</v>
      </c>
      <c r="E14249" t="s">
        <v>12</v>
      </c>
      <c r="F14249">
        <v>-4.8638924956321716E-2</v>
      </c>
    </row>
    <row r="14250" spans="2:6">
      <c r="B14250">
        <v>2019</v>
      </c>
      <c r="C14250" t="s">
        <v>152</v>
      </c>
      <c r="D14250" t="s">
        <v>183</v>
      </c>
      <c r="E14250" t="s">
        <v>13</v>
      </c>
      <c r="F14250">
        <v>0.73033761978149414</v>
      </c>
    </row>
    <row r="14251" spans="2:6">
      <c r="B14251">
        <v>2019</v>
      </c>
      <c r="C14251" t="s">
        <v>152</v>
      </c>
      <c r="D14251" t="s">
        <v>183</v>
      </c>
      <c r="E14251" t="s">
        <v>14</v>
      </c>
      <c r="F14251">
        <v>0.66331285238265991</v>
      </c>
    </row>
    <row r="14252" spans="2:6">
      <c r="B14252">
        <v>2019</v>
      </c>
      <c r="C14252" t="s">
        <v>152</v>
      </c>
      <c r="D14252" t="s">
        <v>183</v>
      </c>
      <c r="E14252" t="s">
        <v>15</v>
      </c>
      <c r="F14252">
        <v>0.31551831960678101</v>
      </c>
    </row>
    <row r="14253" spans="2:6">
      <c r="B14253">
        <v>2020</v>
      </c>
      <c r="C14253" t="s">
        <v>152</v>
      </c>
      <c r="D14253" t="s">
        <v>183</v>
      </c>
      <c r="E14253" t="s">
        <v>7</v>
      </c>
      <c r="F14253">
        <v>6.5021753311157227</v>
      </c>
    </row>
    <row r="14254" spans="2:6">
      <c r="B14254">
        <v>2020</v>
      </c>
      <c r="C14254" t="s">
        <v>152</v>
      </c>
      <c r="D14254" t="s">
        <v>183</v>
      </c>
      <c r="E14254" t="s">
        <v>8</v>
      </c>
      <c r="F14254">
        <v>10.488059043884277</v>
      </c>
    </row>
    <row r="14255" spans="2:6">
      <c r="B14255">
        <v>2020</v>
      </c>
      <c r="C14255" t="s">
        <v>152</v>
      </c>
      <c r="D14255" t="s">
        <v>183</v>
      </c>
      <c r="E14255" t="s">
        <v>9</v>
      </c>
      <c r="F14255">
        <v>0.93493467569351196</v>
      </c>
    </row>
    <row r="14256" spans="2:6">
      <c r="B14256">
        <v>2020</v>
      </c>
      <c r="C14256" t="s">
        <v>152</v>
      </c>
      <c r="D14256" t="s">
        <v>183</v>
      </c>
      <c r="E14256" t="s">
        <v>10</v>
      </c>
      <c r="F14256">
        <v>75</v>
      </c>
    </row>
    <row r="14257" spans="2:6">
      <c r="B14257">
        <v>2020</v>
      </c>
      <c r="C14257" t="s">
        <v>152</v>
      </c>
      <c r="D14257" t="s">
        <v>183</v>
      </c>
      <c r="E14257" t="s">
        <v>11</v>
      </c>
      <c r="F14257">
        <v>0.78325653076171875</v>
      </c>
    </row>
    <row r="14258" spans="2:6">
      <c r="B14258">
        <v>2020</v>
      </c>
      <c r="C14258" t="s">
        <v>152</v>
      </c>
      <c r="D14258" t="s">
        <v>183</v>
      </c>
      <c r="E14258" t="s">
        <v>12</v>
      </c>
      <c r="F14258">
        <v>-0.12061331421136856</v>
      </c>
    </row>
    <row r="14259" spans="2:6">
      <c r="B14259">
        <v>2020</v>
      </c>
      <c r="C14259" t="s">
        <v>152</v>
      </c>
      <c r="D14259" t="s">
        <v>183</v>
      </c>
      <c r="E14259" t="s">
        <v>13</v>
      </c>
      <c r="F14259">
        <v>0.72997748851776123</v>
      </c>
    </row>
    <row r="14260" spans="2:6">
      <c r="B14260">
        <v>2020</v>
      </c>
      <c r="C14260" t="s">
        <v>152</v>
      </c>
      <c r="D14260" t="s">
        <v>183</v>
      </c>
      <c r="E14260" t="s">
        <v>14</v>
      </c>
      <c r="F14260">
        <v>0.68617761135101318</v>
      </c>
    </row>
    <row r="14261" spans="2:6">
      <c r="B14261">
        <v>2020</v>
      </c>
      <c r="C14261" t="s">
        <v>152</v>
      </c>
      <c r="D14261" t="s">
        <v>183</v>
      </c>
      <c r="E14261" t="s">
        <v>15</v>
      </c>
      <c r="F14261">
        <v>0.31661710143089294</v>
      </c>
    </row>
    <row r="14262" spans="2:6">
      <c r="B14262">
        <v>2006</v>
      </c>
      <c r="C14262" t="s">
        <v>153</v>
      </c>
      <c r="D14262" t="s">
        <v>182</v>
      </c>
      <c r="E14262" t="s">
        <v>7</v>
      </c>
      <c r="F14262">
        <v>4.3446106910705566</v>
      </c>
    </row>
    <row r="14263" spans="2:6">
      <c r="B14263">
        <v>2006</v>
      </c>
      <c r="C14263" t="s">
        <v>153</v>
      </c>
      <c r="D14263" t="s">
        <v>182</v>
      </c>
      <c r="E14263" t="s">
        <v>8</v>
      </c>
      <c r="F14263">
        <v>8.9118556976318359</v>
      </c>
    </row>
    <row r="14264" spans="2:6">
      <c r="B14264">
        <v>2006</v>
      </c>
      <c r="C14264" t="s">
        <v>153</v>
      </c>
      <c r="D14264" t="s">
        <v>182</v>
      </c>
      <c r="E14264" t="s">
        <v>9</v>
      </c>
      <c r="F14264">
        <v>0.86359870433807373</v>
      </c>
    </row>
    <row r="14265" spans="2:6">
      <c r="B14265">
        <v>2006</v>
      </c>
      <c r="C14265" t="s">
        <v>153</v>
      </c>
      <c r="D14265" t="s">
        <v>182</v>
      </c>
      <c r="E14265" t="s">
        <v>10</v>
      </c>
      <c r="F14265">
        <v>65.779998779296875</v>
      </c>
    </row>
    <row r="14266" spans="2:6">
      <c r="B14266">
        <v>2006</v>
      </c>
      <c r="C14266" t="s">
        <v>153</v>
      </c>
      <c r="D14266" t="s">
        <v>182</v>
      </c>
      <c r="E14266" t="s">
        <v>11</v>
      </c>
      <c r="F14266">
        <v>0.72384762763977051</v>
      </c>
    </row>
    <row r="14267" spans="2:6">
      <c r="B14267">
        <v>2006</v>
      </c>
      <c r="C14267" t="s">
        <v>153</v>
      </c>
      <c r="D14267" t="s">
        <v>182</v>
      </c>
      <c r="E14267" t="s">
        <v>12</v>
      </c>
      <c r="F14267">
        <v>6.2402654439210892E-2</v>
      </c>
    </row>
    <row r="14268" spans="2:6">
      <c r="B14268">
        <v>2006</v>
      </c>
      <c r="C14268" t="s">
        <v>153</v>
      </c>
      <c r="D14268" t="s">
        <v>182</v>
      </c>
      <c r="E14268" t="s">
        <v>13</v>
      </c>
      <c r="F14268">
        <v>0.83778476715087891</v>
      </c>
    </row>
    <row r="14269" spans="2:6">
      <c r="B14269">
        <v>2006</v>
      </c>
      <c r="C14269" t="s">
        <v>153</v>
      </c>
      <c r="D14269" t="s">
        <v>182</v>
      </c>
      <c r="E14269" t="s">
        <v>14</v>
      </c>
      <c r="F14269">
        <v>0.75667601823806763</v>
      </c>
    </row>
    <row r="14270" spans="2:6">
      <c r="B14270">
        <v>2006</v>
      </c>
      <c r="C14270" t="s">
        <v>153</v>
      </c>
      <c r="D14270" t="s">
        <v>182</v>
      </c>
      <c r="E14270" t="s">
        <v>15</v>
      </c>
      <c r="F14270">
        <v>0.21632984280586243</v>
      </c>
    </row>
    <row r="14271" spans="2:6">
      <c r="B14271">
        <v>2007</v>
      </c>
      <c r="C14271" t="s">
        <v>153</v>
      </c>
      <c r="D14271" t="s">
        <v>182</v>
      </c>
      <c r="E14271" t="s">
        <v>7</v>
      </c>
      <c r="F14271">
        <v>4.4148054122924805</v>
      </c>
    </row>
    <row r="14272" spans="2:6">
      <c r="B14272">
        <v>2007</v>
      </c>
      <c r="C14272" t="s">
        <v>153</v>
      </c>
      <c r="D14272" t="s">
        <v>182</v>
      </c>
      <c r="E14272" t="s">
        <v>8</v>
      </c>
      <c r="F14272">
        <v>8.9702243804931641</v>
      </c>
    </row>
    <row r="14273" spans="2:6">
      <c r="B14273">
        <v>2007</v>
      </c>
      <c r="C14273" t="s">
        <v>153</v>
      </c>
      <c r="D14273" t="s">
        <v>182</v>
      </c>
      <c r="E14273" t="s">
        <v>9</v>
      </c>
      <c r="F14273">
        <v>0.83832746744155884</v>
      </c>
    </row>
    <row r="14274" spans="2:6">
      <c r="B14274">
        <v>2007</v>
      </c>
      <c r="C14274" t="s">
        <v>153</v>
      </c>
      <c r="D14274" t="s">
        <v>182</v>
      </c>
      <c r="E14274" t="s">
        <v>10</v>
      </c>
      <c r="F14274">
        <v>65.860000610351563</v>
      </c>
    </row>
    <row r="14275" spans="2:6">
      <c r="B14275">
        <v>2007</v>
      </c>
      <c r="C14275" t="s">
        <v>153</v>
      </c>
      <c r="D14275" t="s">
        <v>182</v>
      </c>
      <c r="E14275" t="s">
        <v>11</v>
      </c>
      <c r="F14275">
        <v>0.73585289716720581</v>
      </c>
    </row>
    <row r="14276" spans="2:6">
      <c r="B14276">
        <v>2007</v>
      </c>
      <c r="C14276" t="s">
        <v>153</v>
      </c>
      <c r="D14276" t="s">
        <v>182</v>
      </c>
      <c r="E14276" t="s">
        <v>12</v>
      </c>
      <c r="F14276">
        <v>0.10985273122787476</v>
      </c>
    </row>
    <row r="14277" spans="2:6">
      <c r="B14277">
        <v>2007</v>
      </c>
      <c r="C14277" t="s">
        <v>153</v>
      </c>
      <c r="D14277" t="s">
        <v>182</v>
      </c>
      <c r="E14277" t="s">
        <v>13</v>
      </c>
      <c r="F14277">
        <v>0.84671831130981445</v>
      </c>
    </row>
    <row r="14278" spans="2:6">
      <c r="B14278">
        <v>2007</v>
      </c>
      <c r="C14278" t="s">
        <v>153</v>
      </c>
      <c r="D14278" t="s">
        <v>182</v>
      </c>
      <c r="E14278" t="s">
        <v>14</v>
      </c>
      <c r="F14278">
        <v>0.70877230167388916</v>
      </c>
    </row>
    <row r="14279" spans="2:6">
      <c r="B14279">
        <v>2007</v>
      </c>
      <c r="C14279" t="s">
        <v>153</v>
      </c>
      <c r="D14279" t="s">
        <v>182</v>
      </c>
      <c r="E14279" t="s">
        <v>15</v>
      </c>
      <c r="F14279">
        <v>0.21985617280006409</v>
      </c>
    </row>
    <row r="14280" spans="2:6">
      <c r="B14280">
        <v>2008</v>
      </c>
      <c r="C14280" t="s">
        <v>153</v>
      </c>
      <c r="D14280" t="s">
        <v>182</v>
      </c>
      <c r="E14280" t="s">
        <v>7</v>
      </c>
      <c r="F14280">
        <v>4.4308462142944336</v>
      </c>
    </row>
    <row r="14281" spans="2:6">
      <c r="B14281">
        <v>2008</v>
      </c>
      <c r="C14281" t="s">
        <v>153</v>
      </c>
      <c r="D14281" t="s">
        <v>182</v>
      </c>
      <c r="E14281" t="s">
        <v>8</v>
      </c>
      <c r="F14281">
        <v>9.0208940505981445</v>
      </c>
    </row>
    <row r="14282" spans="2:6">
      <c r="B14282">
        <v>2008</v>
      </c>
      <c r="C14282" t="s">
        <v>153</v>
      </c>
      <c r="D14282" t="s">
        <v>182</v>
      </c>
      <c r="E14282" t="s">
        <v>9</v>
      </c>
      <c r="F14282">
        <v>0.81570273637771606</v>
      </c>
    </row>
    <row r="14283" spans="2:6">
      <c r="B14283">
        <v>2008</v>
      </c>
      <c r="C14283" t="s">
        <v>153</v>
      </c>
      <c r="D14283" t="s">
        <v>182</v>
      </c>
      <c r="E14283" t="s">
        <v>10</v>
      </c>
      <c r="F14283">
        <v>65.94000244140625</v>
      </c>
    </row>
    <row r="14284" spans="2:6">
      <c r="B14284">
        <v>2008</v>
      </c>
      <c r="C14284" t="s">
        <v>153</v>
      </c>
      <c r="D14284" t="s">
        <v>182</v>
      </c>
      <c r="E14284" t="s">
        <v>11</v>
      </c>
      <c r="F14284">
        <v>0.83383560180664063</v>
      </c>
    </row>
    <row r="14285" spans="2:6">
      <c r="B14285">
        <v>2008</v>
      </c>
      <c r="C14285" t="s">
        <v>153</v>
      </c>
      <c r="D14285" t="s">
        <v>182</v>
      </c>
      <c r="E14285" t="s">
        <v>12</v>
      </c>
      <c r="F14285">
        <v>0.16258876025676727</v>
      </c>
    </row>
    <row r="14286" spans="2:6">
      <c r="B14286">
        <v>2008</v>
      </c>
      <c r="C14286" t="s">
        <v>153</v>
      </c>
      <c r="D14286" t="s">
        <v>182</v>
      </c>
      <c r="E14286" t="s">
        <v>13</v>
      </c>
      <c r="F14286">
        <v>0.86139732599258423</v>
      </c>
    </row>
    <row r="14287" spans="2:6">
      <c r="B14287">
        <v>2008</v>
      </c>
      <c r="C14287" t="s">
        <v>153</v>
      </c>
      <c r="D14287" t="s">
        <v>182</v>
      </c>
      <c r="E14287" t="s">
        <v>14</v>
      </c>
      <c r="F14287">
        <v>0.78987687826156616</v>
      </c>
    </row>
    <row r="14288" spans="2:6">
      <c r="B14288">
        <v>2008</v>
      </c>
      <c r="C14288" t="s">
        <v>153</v>
      </c>
      <c r="D14288" t="s">
        <v>182</v>
      </c>
      <c r="E14288" t="s">
        <v>15</v>
      </c>
      <c r="F14288">
        <v>0.15258753299713135</v>
      </c>
    </row>
    <row r="14289" spans="2:6">
      <c r="B14289">
        <v>2009</v>
      </c>
      <c r="C14289" t="s">
        <v>153</v>
      </c>
      <c r="D14289" t="s">
        <v>182</v>
      </c>
      <c r="E14289" t="s">
        <v>7</v>
      </c>
      <c r="F14289">
        <v>4.2120265960693359</v>
      </c>
    </row>
    <row r="14290" spans="2:6">
      <c r="B14290">
        <v>2009</v>
      </c>
      <c r="C14290" t="s">
        <v>153</v>
      </c>
      <c r="D14290" t="s">
        <v>182</v>
      </c>
      <c r="E14290" t="s">
        <v>8</v>
      </c>
      <c r="F14290">
        <v>9.0487146377563477</v>
      </c>
    </row>
    <row r="14291" spans="2:6">
      <c r="B14291">
        <v>2009</v>
      </c>
      <c r="C14291" t="s">
        <v>153</v>
      </c>
      <c r="D14291" t="s">
        <v>182</v>
      </c>
      <c r="E14291" t="s">
        <v>9</v>
      </c>
      <c r="F14291">
        <v>0.82961189746856689</v>
      </c>
    </row>
    <row r="14292" spans="2:6">
      <c r="B14292">
        <v>2009</v>
      </c>
      <c r="C14292" t="s">
        <v>153</v>
      </c>
      <c r="D14292" t="s">
        <v>182</v>
      </c>
      <c r="E14292" t="s">
        <v>10</v>
      </c>
      <c r="F14292">
        <v>66.019996643066406</v>
      </c>
    </row>
    <row r="14293" spans="2:6">
      <c r="B14293">
        <v>2009</v>
      </c>
      <c r="C14293" t="s">
        <v>153</v>
      </c>
      <c r="D14293" t="s">
        <v>182</v>
      </c>
      <c r="E14293" t="s">
        <v>11</v>
      </c>
      <c r="F14293">
        <v>0.79887121915817261</v>
      </c>
    </row>
    <row r="14294" spans="2:6">
      <c r="B14294">
        <v>2009</v>
      </c>
      <c r="C14294" t="s">
        <v>153</v>
      </c>
      <c r="D14294" t="s">
        <v>182</v>
      </c>
      <c r="E14294" t="s">
        <v>12</v>
      </c>
      <c r="F14294">
        <v>0.306048184633255</v>
      </c>
    </row>
    <row r="14295" spans="2:6">
      <c r="B14295">
        <v>2009</v>
      </c>
      <c r="C14295" t="s">
        <v>153</v>
      </c>
      <c r="D14295" t="s">
        <v>182</v>
      </c>
      <c r="E14295" t="s">
        <v>13</v>
      </c>
      <c r="F14295">
        <v>0.68992644548416138</v>
      </c>
    </row>
    <row r="14296" spans="2:6">
      <c r="B14296">
        <v>2009</v>
      </c>
      <c r="C14296" t="s">
        <v>153</v>
      </c>
      <c r="D14296" t="s">
        <v>182</v>
      </c>
      <c r="E14296" t="s">
        <v>14</v>
      </c>
      <c r="F14296">
        <v>0.76971405744552612</v>
      </c>
    </row>
    <row r="14297" spans="2:6">
      <c r="B14297">
        <v>2009</v>
      </c>
      <c r="C14297" t="s">
        <v>153</v>
      </c>
      <c r="D14297" t="s">
        <v>182</v>
      </c>
      <c r="E14297" t="s">
        <v>15</v>
      </c>
      <c r="F14297">
        <v>0.17240095138549805</v>
      </c>
    </row>
    <row r="14298" spans="2:6">
      <c r="B14298">
        <v>2010</v>
      </c>
      <c r="C14298" t="s">
        <v>153</v>
      </c>
      <c r="D14298" t="s">
        <v>182</v>
      </c>
      <c r="E14298" t="s">
        <v>7</v>
      </c>
      <c r="F14298">
        <v>3.9769051074981689</v>
      </c>
    </row>
    <row r="14299" spans="2:6">
      <c r="B14299">
        <v>2010</v>
      </c>
      <c r="C14299" t="s">
        <v>153</v>
      </c>
      <c r="D14299" t="s">
        <v>182</v>
      </c>
      <c r="E14299" t="s">
        <v>8</v>
      </c>
      <c r="F14299">
        <v>9.1189775466918945</v>
      </c>
    </row>
    <row r="14300" spans="2:6">
      <c r="B14300">
        <v>2010</v>
      </c>
      <c r="C14300" t="s">
        <v>153</v>
      </c>
      <c r="D14300" t="s">
        <v>182</v>
      </c>
      <c r="E14300" t="s">
        <v>9</v>
      </c>
      <c r="F14300">
        <v>0.81436723470687866</v>
      </c>
    </row>
    <row r="14301" spans="2:6">
      <c r="B14301">
        <v>2010</v>
      </c>
      <c r="C14301" t="s">
        <v>153</v>
      </c>
      <c r="D14301" t="s">
        <v>182</v>
      </c>
      <c r="E14301" t="s">
        <v>10</v>
      </c>
      <c r="F14301">
        <v>66.099998474121094</v>
      </c>
    </row>
    <row r="14302" spans="2:6">
      <c r="B14302">
        <v>2010</v>
      </c>
      <c r="C14302" t="s">
        <v>153</v>
      </c>
      <c r="D14302" t="s">
        <v>182</v>
      </c>
      <c r="E14302" t="s">
        <v>11</v>
      </c>
      <c r="F14302">
        <v>0.73820853233337402</v>
      </c>
    </row>
    <row r="14303" spans="2:6">
      <c r="B14303">
        <v>2010</v>
      </c>
      <c r="C14303" t="s">
        <v>153</v>
      </c>
      <c r="D14303" t="s">
        <v>182</v>
      </c>
      <c r="E14303" t="s">
        <v>12</v>
      </c>
      <c r="F14303">
        <v>0.25853696465492249</v>
      </c>
    </row>
    <row r="14304" spans="2:6">
      <c r="B14304">
        <v>2010</v>
      </c>
      <c r="C14304" t="s">
        <v>153</v>
      </c>
      <c r="D14304" t="s">
        <v>182</v>
      </c>
      <c r="E14304" t="s">
        <v>13</v>
      </c>
      <c r="F14304">
        <v>0.76947790384292603</v>
      </c>
    </row>
    <row r="14305" spans="2:6">
      <c r="B14305">
        <v>2010</v>
      </c>
      <c r="C14305" t="s">
        <v>153</v>
      </c>
      <c r="D14305" t="s">
        <v>182</v>
      </c>
      <c r="E14305" t="s">
        <v>14</v>
      </c>
      <c r="F14305">
        <v>0.82260477542877197</v>
      </c>
    </row>
    <row r="14306" spans="2:6">
      <c r="B14306">
        <v>2010</v>
      </c>
      <c r="C14306" t="s">
        <v>153</v>
      </c>
      <c r="D14306" t="s">
        <v>182</v>
      </c>
      <c r="E14306" t="s">
        <v>15</v>
      </c>
      <c r="F14306">
        <v>0.1634717732667923</v>
      </c>
    </row>
    <row r="14307" spans="2:6">
      <c r="B14307">
        <v>2011</v>
      </c>
      <c r="C14307" t="s">
        <v>153</v>
      </c>
      <c r="D14307" t="s">
        <v>182</v>
      </c>
      <c r="E14307" t="s">
        <v>7</v>
      </c>
      <c r="F14307">
        <v>4.1805691719055176</v>
      </c>
    </row>
    <row r="14308" spans="2:6">
      <c r="B14308">
        <v>2011</v>
      </c>
      <c r="C14308" t="s">
        <v>153</v>
      </c>
      <c r="D14308" t="s">
        <v>182</v>
      </c>
      <c r="E14308" t="s">
        <v>8</v>
      </c>
      <c r="F14308">
        <v>9.1929435729980469</v>
      </c>
    </row>
    <row r="14309" spans="2:6">
      <c r="B14309">
        <v>2011</v>
      </c>
      <c r="C14309" t="s">
        <v>153</v>
      </c>
      <c r="D14309" t="s">
        <v>182</v>
      </c>
      <c r="E14309" t="s">
        <v>9</v>
      </c>
      <c r="F14309">
        <v>0.84193843603134155</v>
      </c>
    </row>
    <row r="14310" spans="2:6">
      <c r="B14310">
        <v>2011</v>
      </c>
      <c r="C14310" t="s">
        <v>153</v>
      </c>
      <c r="D14310" t="s">
        <v>182</v>
      </c>
      <c r="E14310" t="s">
        <v>10</v>
      </c>
      <c r="F14310">
        <v>66.199996948242188</v>
      </c>
    </row>
    <row r="14311" spans="2:6">
      <c r="B14311">
        <v>2011</v>
      </c>
      <c r="C14311" t="s">
        <v>153</v>
      </c>
      <c r="D14311" t="s">
        <v>182</v>
      </c>
      <c r="E14311" t="s">
        <v>11</v>
      </c>
      <c r="F14311">
        <v>0.82263725996017456</v>
      </c>
    </row>
    <row r="14312" spans="2:6">
      <c r="B14312">
        <v>2011</v>
      </c>
      <c r="C14312" t="s">
        <v>153</v>
      </c>
      <c r="D14312" t="s">
        <v>182</v>
      </c>
      <c r="E14312" t="s">
        <v>12</v>
      </c>
      <c r="F14312">
        <v>0.14485554397106171</v>
      </c>
    </row>
    <row r="14313" spans="2:6">
      <c r="B14313">
        <v>2011</v>
      </c>
      <c r="C14313" t="s">
        <v>153</v>
      </c>
      <c r="D14313" t="s">
        <v>182</v>
      </c>
      <c r="E14313" t="s">
        <v>13</v>
      </c>
      <c r="F14313">
        <v>0.76030069589614868</v>
      </c>
    </row>
    <row r="14314" spans="2:6">
      <c r="B14314">
        <v>2011</v>
      </c>
      <c r="C14314" t="s">
        <v>153</v>
      </c>
      <c r="D14314" t="s">
        <v>182</v>
      </c>
      <c r="E14314" t="s">
        <v>14</v>
      </c>
      <c r="F14314">
        <v>0.8249809741973877</v>
      </c>
    </row>
    <row r="14315" spans="2:6">
      <c r="B14315">
        <v>2011</v>
      </c>
      <c r="C14315" t="s">
        <v>153</v>
      </c>
      <c r="D14315" t="s">
        <v>182</v>
      </c>
      <c r="E14315" t="s">
        <v>15</v>
      </c>
      <c r="F14315">
        <v>0.17492672801017761</v>
      </c>
    </row>
    <row r="14316" spans="2:6">
      <c r="B14316">
        <v>2012</v>
      </c>
      <c r="C14316" t="s">
        <v>153</v>
      </c>
      <c r="D14316" t="s">
        <v>182</v>
      </c>
      <c r="E14316" t="s">
        <v>7</v>
      </c>
      <c r="F14316">
        <v>4.2245931625366211</v>
      </c>
    </row>
    <row r="14317" spans="2:6">
      <c r="B14317">
        <v>2012</v>
      </c>
      <c r="C14317" t="s">
        <v>153</v>
      </c>
      <c r="D14317" t="s">
        <v>182</v>
      </c>
      <c r="E14317" t="s">
        <v>8</v>
      </c>
      <c r="F14317">
        <v>9.2791566848754883</v>
      </c>
    </row>
    <row r="14318" spans="2:6">
      <c r="B14318">
        <v>2012</v>
      </c>
      <c r="C14318" t="s">
        <v>153</v>
      </c>
      <c r="D14318" t="s">
        <v>182</v>
      </c>
      <c r="E14318" t="s">
        <v>9</v>
      </c>
      <c r="F14318">
        <v>0.82435727119445801</v>
      </c>
    </row>
    <row r="14319" spans="2:6">
      <c r="B14319">
        <v>2012</v>
      </c>
      <c r="C14319" t="s">
        <v>153</v>
      </c>
      <c r="D14319" t="s">
        <v>182</v>
      </c>
      <c r="E14319" t="s">
        <v>10</v>
      </c>
      <c r="F14319">
        <v>66.300003051757813</v>
      </c>
    </row>
    <row r="14320" spans="2:6">
      <c r="B14320">
        <v>2012</v>
      </c>
      <c r="C14320" t="s">
        <v>153</v>
      </c>
      <c r="D14320" t="s">
        <v>182</v>
      </c>
      <c r="E14320" t="s">
        <v>11</v>
      </c>
      <c r="F14320">
        <v>0.80039721727371216</v>
      </c>
    </row>
    <row r="14321" spans="2:6">
      <c r="B14321">
        <v>2012</v>
      </c>
      <c r="C14321" t="s">
        <v>153</v>
      </c>
      <c r="D14321" t="s">
        <v>182</v>
      </c>
      <c r="E14321" t="s">
        <v>12</v>
      </c>
      <c r="F14321">
        <v>0.1605905145406723</v>
      </c>
    </row>
    <row r="14322" spans="2:6">
      <c r="B14322">
        <v>2012</v>
      </c>
      <c r="C14322" t="s">
        <v>153</v>
      </c>
      <c r="D14322" t="s">
        <v>182</v>
      </c>
      <c r="E14322" t="s">
        <v>13</v>
      </c>
      <c r="F14322">
        <v>0.82287907600402832</v>
      </c>
    </row>
    <row r="14323" spans="2:6">
      <c r="B14323">
        <v>2012</v>
      </c>
      <c r="C14323" t="s">
        <v>153</v>
      </c>
      <c r="D14323" t="s">
        <v>182</v>
      </c>
      <c r="E14323" t="s">
        <v>14</v>
      </c>
      <c r="F14323">
        <v>0.86388033628463745</v>
      </c>
    </row>
    <row r="14324" spans="2:6">
      <c r="B14324">
        <v>2012</v>
      </c>
      <c r="C14324" t="s">
        <v>153</v>
      </c>
      <c r="D14324" t="s">
        <v>182</v>
      </c>
      <c r="E14324" t="s">
        <v>15</v>
      </c>
      <c r="F14324">
        <v>0.1968708336353302</v>
      </c>
    </row>
    <row r="14325" spans="2:6">
      <c r="B14325">
        <v>2013</v>
      </c>
      <c r="C14325" t="s">
        <v>153</v>
      </c>
      <c r="D14325" t="s">
        <v>182</v>
      </c>
      <c r="E14325" t="s">
        <v>7</v>
      </c>
      <c r="F14325">
        <v>4.3646941184997559</v>
      </c>
    </row>
    <row r="14326" spans="2:6">
      <c r="B14326">
        <v>2013</v>
      </c>
      <c r="C14326" t="s">
        <v>153</v>
      </c>
      <c r="D14326" t="s">
        <v>182</v>
      </c>
      <c r="E14326" t="s">
        <v>8</v>
      </c>
      <c r="F14326">
        <v>9.3047475814819336</v>
      </c>
    </row>
    <row r="14327" spans="2:6">
      <c r="B14327">
        <v>2013</v>
      </c>
      <c r="C14327" t="s">
        <v>153</v>
      </c>
      <c r="D14327" t="s">
        <v>182</v>
      </c>
      <c r="E14327" t="s">
        <v>9</v>
      </c>
      <c r="F14327">
        <v>0.80917525291442871</v>
      </c>
    </row>
    <row r="14328" spans="2:6">
      <c r="B14328">
        <v>2013</v>
      </c>
      <c r="C14328" t="s">
        <v>153</v>
      </c>
      <c r="D14328" t="s">
        <v>182</v>
      </c>
      <c r="E14328" t="s">
        <v>10</v>
      </c>
      <c r="F14328">
        <v>66.400001525878906</v>
      </c>
    </row>
    <row r="14329" spans="2:6">
      <c r="B14329">
        <v>2013</v>
      </c>
      <c r="C14329" t="s">
        <v>153</v>
      </c>
      <c r="D14329" t="s">
        <v>182</v>
      </c>
      <c r="E14329" t="s">
        <v>11</v>
      </c>
      <c r="F14329">
        <v>0.83402031660079956</v>
      </c>
    </row>
    <row r="14330" spans="2:6">
      <c r="B14330">
        <v>2013</v>
      </c>
      <c r="C14330" t="s">
        <v>153</v>
      </c>
      <c r="D14330" t="s">
        <v>182</v>
      </c>
      <c r="E14330" t="s">
        <v>12</v>
      </c>
      <c r="F14330">
        <v>0.26821854710578918</v>
      </c>
    </row>
    <row r="14331" spans="2:6">
      <c r="B14331">
        <v>2013</v>
      </c>
      <c r="C14331" t="s">
        <v>153</v>
      </c>
      <c r="D14331" t="s">
        <v>182</v>
      </c>
      <c r="E14331" t="s">
        <v>13</v>
      </c>
      <c r="F14331">
        <v>0.84201353788375854</v>
      </c>
    </row>
    <row r="14332" spans="2:6">
      <c r="B14332">
        <v>2013</v>
      </c>
      <c r="C14332" t="s">
        <v>153</v>
      </c>
      <c r="D14332" t="s">
        <v>182</v>
      </c>
      <c r="E14332" t="s">
        <v>14</v>
      </c>
      <c r="F14332">
        <v>0.86036473512649536</v>
      </c>
    </row>
    <row r="14333" spans="2:6">
      <c r="B14333">
        <v>2013</v>
      </c>
      <c r="C14333" t="s">
        <v>153</v>
      </c>
      <c r="D14333" t="s">
        <v>182</v>
      </c>
      <c r="E14333" t="s">
        <v>15</v>
      </c>
      <c r="F14333">
        <v>0.20812951028347015</v>
      </c>
    </row>
    <row r="14334" spans="2:6">
      <c r="B14334">
        <v>2014</v>
      </c>
      <c r="C14334" t="s">
        <v>153</v>
      </c>
      <c r="D14334" t="s">
        <v>182</v>
      </c>
      <c r="E14334" t="s">
        <v>7</v>
      </c>
      <c r="F14334">
        <v>4.2679328918457031</v>
      </c>
    </row>
    <row r="14335" spans="2:6">
      <c r="B14335">
        <v>2014</v>
      </c>
      <c r="C14335" t="s">
        <v>153</v>
      </c>
      <c r="D14335" t="s">
        <v>182</v>
      </c>
      <c r="E14335" t="s">
        <v>8</v>
      </c>
      <c r="F14335">
        <v>9.3438310623168945</v>
      </c>
    </row>
    <row r="14336" spans="2:6">
      <c r="B14336">
        <v>2014</v>
      </c>
      <c r="C14336" t="s">
        <v>153</v>
      </c>
      <c r="D14336" t="s">
        <v>182</v>
      </c>
      <c r="E14336" t="s">
        <v>9</v>
      </c>
      <c r="F14336">
        <v>0.80479800701141357</v>
      </c>
    </row>
    <row r="14337" spans="2:6">
      <c r="B14337">
        <v>2014</v>
      </c>
      <c r="C14337" t="s">
        <v>153</v>
      </c>
      <c r="D14337" t="s">
        <v>182</v>
      </c>
      <c r="E14337" t="s">
        <v>10</v>
      </c>
      <c r="F14337">
        <v>66.5</v>
      </c>
    </row>
    <row r="14338" spans="2:6">
      <c r="B14338">
        <v>2014</v>
      </c>
      <c r="C14338" t="s">
        <v>153</v>
      </c>
      <c r="D14338" t="s">
        <v>182</v>
      </c>
      <c r="E14338" t="s">
        <v>11</v>
      </c>
      <c r="F14338">
        <v>0.86793643236160278</v>
      </c>
    </row>
    <row r="14339" spans="2:6">
      <c r="B14339">
        <v>2014</v>
      </c>
      <c r="C14339" t="s">
        <v>153</v>
      </c>
      <c r="D14339" t="s">
        <v>182</v>
      </c>
      <c r="E14339" t="s">
        <v>12</v>
      </c>
      <c r="F14339">
        <v>0.2990434467792511</v>
      </c>
    </row>
    <row r="14340" spans="2:6">
      <c r="B14340">
        <v>2014</v>
      </c>
      <c r="C14340" t="s">
        <v>153</v>
      </c>
      <c r="D14340" t="s">
        <v>182</v>
      </c>
      <c r="E14340" t="s">
        <v>13</v>
      </c>
      <c r="F14340">
        <v>0.79062682390213013</v>
      </c>
    </row>
    <row r="14341" spans="2:6">
      <c r="B14341">
        <v>2014</v>
      </c>
      <c r="C14341" t="s">
        <v>153</v>
      </c>
      <c r="D14341" t="s">
        <v>182</v>
      </c>
      <c r="E14341" t="s">
        <v>14</v>
      </c>
      <c r="F14341">
        <v>0.84281474351882935</v>
      </c>
    </row>
    <row r="14342" spans="2:6">
      <c r="B14342">
        <v>2014</v>
      </c>
      <c r="C14342" t="s">
        <v>153</v>
      </c>
      <c r="D14342" t="s">
        <v>182</v>
      </c>
      <c r="E14342" t="s">
        <v>15</v>
      </c>
      <c r="F14342">
        <v>0.18689568340778351</v>
      </c>
    </row>
    <row r="14343" spans="2:6">
      <c r="B14343">
        <v>2015</v>
      </c>
      <c r="C14343" t="s">
        <v>153</v>
      </c>
      <c r="D14343" t="s">
        <v>182</v>
      </c>
      <c r="E14343" t="s">
        <v>7</v>
      </c>
      <c r="F14343">
        <v>4.6116065979003906</v>
      </c>
    </row>
    <row r="14344" spans="2:6">
      <c r="B14344">
        <v>2015</v>
      </c>
      <c r="C14344" t="s">
        <v>153</v>
      </c>
      <c r="D14344" t="s">
        <v>182</v>
      </c>
      <c r="E14344" t="s">
        <v>8</v>
      </c>
      <c r="F14344">
        <v>9.3834962844848633</v>
      </c>
    </row>
    <row r="14345" spans="2:6">
      <c r="B14345">
        <v>2015</v>
      </c>
      <c r="C14345" t="s">
        <v>153</v>
      </c>
      <c r="D14345" t="s">
        <v>182</v>
      </c>
      <c r="E14345" t="s">
        <v>9</v>
      </c>
      <c r="F14345">
        <v>0.86250007152557373</v>
      </c>
    </row>
    <row r="14346" spans="2:6">
      <c r="B14346">
        <v>2015</v>
      </c>
      <c r="C14346" t="s">
        <v>153</v>
      </c>
      <c r="D14346" t="s">
        <v>182</v>
      </c>
      <c r="E14346" t="s">
        <v>10</v>
      </c>
      <c r="F14346">
        <v>66.599998474121094</v>
      </c>
    </row>
    <row r="14347" spans="2:6">
      <c r="B14347">
        <v>2015</v>
      </c>
      <c r="C14347" t="s">
        <v>153</v>
      </c>
      <c r="D14347" t="s">
        <v>182</v>
      </c>
      <c r="E14347" t="s">
        <v>11</v>
      </c>
      <c r="F14347">
        <v>0.90207475423812866</v>
      </c>
    </row>
    <row r="14348" spans="2:6">
      <c r="B14348">
        <v>2015</v>
      </c>
      <c r="C14348" t="s">
        <v>153</v>
      </c>
      <c r="D14348" t="s">
        <v>182</v>
      </c>
      <c r="E14348" t="s">
        <v>12</v>
      </c>
      <c r="F14348">
        <v>0.31914696097373962</v>
      </c>
    </row>
    <row r="14349" spans="2:6">
      <c r="B14349">
        <v>2015</v>
      </c>
      <c r="C14349" t="s">
        <v>153</v>
      </c>
      <c r="D14349" t="s">
        <v>182</v>
      </c>
      <c r="E14349" t="s">
        <v>13</v>
      </c>
      <c r="F14349">
        <v>0.85947096347808838</v>
      </c>
    </row>
    <row r="14350" spans="2:6">
      <c r="B14350">
        <v>2015</v>
      </c>
      <c r="C14350" t="s">
        <v>153</v>
      </c>
      <c r="D14350" t="s">
        <v>182</v>
      </c>
      <c r="E14350" t="s">
        <v>14</v>
      </c>
      <c r="F14350">
        <v>0.8482329249382019</v>
      </c>
    </row>
    <row r="14351" spans="2:6">
      <c r="B14351">
        <v>2015</v>
      </c>
      <c r="C14351" t="s">
        <v>153</v>
      </c>
      <c r="D14351" t="s">
        <v>182</v>
      </c>
      <c r="E14351" t="s">
        <v>15</v>
      </c>
      <c r="F14351">
        <v>0.23475126922130585</v>
      </c>
    </row>
    <row r="14352" spans="2:6">
      <c r="B14352">
        <v>2017</v>
      </c>
      <c r="C14352" t="s">
        <v>153</v>
      </c>
      <c r="D14352" t="s">
        <v>182</v>
      </c>
      <c r="E14352" t="s">
        <v>7</v>
      </c>
      <c r="F14352">
        <v>4.3309454917907715</v>
      </c>
    </row>
    <row r="14353" spans="2:6">
      <c r="B14353">
        <v>2017</v>
      </c>
      <c r="C14353" t="s">
        <v>153</v>
      </c>
      <c r="D14353" t="s">
        <v>182</v>
      </c>
      <c r="E14353" t="s">
        <v>8</v>
      </c>
      <c r="F14353">
        <v>9.4401893615722656</v>
      </c>
    </row>
    <row r="14354" spans="2:6">
      <c r="B14354">
        <v>2017</v>
      </c>
      <c r="C14354" t="s">
        <v>153</v>
      </c>
      <c r="D14354" t="s">
        <v>182</v>
      </c>
      <c r="E14354" t="s">
        <v>9</v>
      </c>
      <c r="F14354">
        <v>0.82277059555053711</v>
      </c>
    </row>
    <row r="14355" spans="2:6">
      <c r="B14355">
        <v>2017</v>
      </c>
      <c r="C14355" t="s">
        <v>153</v>
      </c>
      <c r="D14355" t="s">
        <v>182</v>
      </c>
      <c r="E14355" t="s">
        <v>10</v>
      </c>
      <c r="F14355">
        <v>67</v>
      </c>
    </row>
    <row r="14356" spans="2:6">
      <c r="B14356">
        <v>2017</v>
      </c>
      <c r="C14356" t="s">
        <v>153</v>
      </c>
      <c r="D14356" t="s">
        <v>182</v>
      </c>
      <c r="E14356" t="s">
        <v>11</v>
      </c>
      <c r="F14356">
        <v>0.82707738876342773</v>
      </c>
    </row>
    <row r="14357" spans="2:6">
      <c r="B14357">
        <v>2017</v>
      </c>
      <c r="C14357" t="s">
        <v>153</v>
      </c>
      <c r="D14357" t="s">
        <v>182</v>
      </c>
      <c r="E14357" t="s">
        <v>12</v>
      </c>
      <c r="F14357">
        <v>9.3777976930141449E-2</v>
      </c>
    </row>
    <row r="14358" spans="2:6">
      <c r="B14358">
        <v>2017</v>
      </c>
      <c r="C14358" t="s">
        <v>153</v>
      </c>
      <c r="D14358" t="s">
        <v>182</v>
      </c>
      <c r="E14358" t="s">
        <v>13</v>
      </c>
      <c r="F14358">
        <v>0.84421002864837646</v>
      </c>
    </row>
    <row r="14359" spans="2:6">
      <c r="B14359">
        <v>2017</v>
      </c>
      <c r="C14359" t="s">
        <v>153</v>
      </c>
      <c r="D14359" t="s">
        <v>182</v>
      </c>
      <c r="E14359" t="s">
        <v>14</v>
      </c>
      <c r="F14359">
        <v>0.79495161771774292</v>
      </c>
    </row>
    <row r="14360" spans="2:6">
      <c r="B14360">
        <v>2017</v>
      </c>
      <c r="C14360" t="s">
        <v>153</v>
      </c>
      <c r="D14360" t="s">
        <v>182</v>
      </c>
      <c r="E14360" t="s">
        <v>15</v>
      </c>
      <c r="F14360">
        <v>0.26972752809524536</v>
      </c>
    </row>
    <row r="14361" spans="2:6">
      <c r="B14361">
        <v>2018</v>
      </c>
      <c r="C14361" t="s">
        <v>153</v>
      </c>
      <c r="D14361" t="s">
        <v>182</v>
      </c>
      <c r="E14361" t="s">
        <v>7</v>
      </c>
      <c r="F14361">
        <v>4.4350237846374512</v>
      </c>
    </row>
    <row r="14362" spans="2:6">
      <c r="B14362">
        <v>2018</v>
      </c>
      <c r="C14362" t="s">
        <v>153</v>
      </c>
      <c r="D14362" t="s">
        <v>182</v>
      </c>
      <c r="E14362" t="s">
        <v>8</v>
      </c>
      <c r="F14362">
        <v>9.4622354507446289</v>
      </c>
    </row>
    <row r="14363" spans="2:6">
      <c r="B14363">
        <v>2018</v>
      </c>
      <c r="C14363" t="s">
        <v>153</v>
      </c>
      <c r="D14363" t="s">
        <v>182</v>
      </c>
      <c r="E14363" t="s">
        <v>9</v>
      </c>
      <c r="F14363">
        <v>0.83288216590881348</v>
      </c>
    </row>
    <row r="14364" spans="2:6">
      <c r="B14364">
        <v>2018</v>
      </c>
      <c r="C14364" t="s">
        <v>153</v>
      </c>
      <c r="D14364" t="s">
        <v>182</v>
      </c>
      <c r="E14364" t="s">
        <v>10</v>
      </c>
      <c r="F14364">
        <v>67.199996948242188</v>
      </c>
    </row>
    <row r="14365" spans="2:6">
      <c r="B14365">
        <v>2018</v>
      </c>
      <c r="C14365" t="s">
        <v>153</v>
      </c>
      <c r="D14365" t="s">
        <v>182</v>
      </c>
      <c r="E14365" t="s">
        <v>11</v>
      </c>
      <c r="F14365">
        <v>0.85887360572814941</v>
      </c>
    </row>
    <row r="14366" spans="2:6">
      <c r="B14366">
        <v>2018</v>
      </c>
      <c r="C14366" t="s">
        <v>153</v>
      </c>
      <c r="D14366" t="s">
        <v>182</v>
      </c>
      <c r="E14366" t="s">
        <v>12</v>
      </c>
      <c r="F14366">
        <v>0.10604049265384674</v>
      </c>
    </row>
    <row r="14367" spans="2:6">
      <c r="B14367">
        <v>2018</v>
      </c>
      <c r="C14367" t="s">
        <v>153</v>
      </c>
      <c r="D14367" t="s">
        <v>182</v>
      </c>
      <c r="E14367" t="s">
        <v>13</v>
      </c>
      <c r="F14367">
        <v>0.8559076189994812</v>
      </c>
    </row>
    <row r="14368" spans="2:6">
      <c r="B14368">
        <v>2018</v>
      </c>
      <c r="C14368" t="s">
        <v>153</v>
      </c>
      <c r="D14368" t="s">
        <v>182</v>
      </c>
      <c r="E14368" t="s">
        <v>14</v>
      </c>
      <c r="F14368">
        <v>0.8306160569190979</v>
      </c>
    </row>
    <row r="14369" spans="2:6">
      <c r="B14369">
        <v>2018</v>
      </c>
      <c r="C14369" t="s">
        <v>153</v>
      </c>
      <c r="D14369" t="s">
        <v>182</v>
      </c>
      <c r="E14369" t="s">
        <v>15</v>
      </c>
      <c r="F14369">
        <v>0.30181363224983215</v>
      </c>
    </row>
    <row r="14370" spans="2:6">
      <c r="B14370">
        <v>2019</v>
      </c>
      <c r="C14370" t="s">
        <v>153</v>
      </c>
      <c r="D14370" t="s">
        <v>182</v>
      </c>
      <c r="E14370" t="s">
        <v>7</v>
      </c>
      <c r="F14370">
        <v>4.2132992744445801</v>
      </c>
    </row>
    <row r="14371" spans="2:6">
      <c r="B14371">
        <v>2019</v>
      </c>
      <c r="C14371" t="s">
        <v>153</v>
      </c>
      <c r="D14371" t="s">
        <v>182</v>
      </c>
      <c r="E14371" t="s">
        <v>8</v>
      </c>
      <c r="F14371">
        <v>9.478693962097168</v>
      </c>
    </row>
    <row r="14372" spans="2:6">
      <c r="B14372">
        <v>2019</v>
      </c>
      <c r="C14372" t="s">
        <v>153</v>
      </c>
      <c r="D14372" t="s">
        <v>182</v>
      </c>
      <c r="E14372" t="s">
        <v>9</v>
      </c>
      <c r="F14372">
        <v>0.81493914127349854</v>
      </c>
    </row>
    <row r="14373" spans="2:6">
      <c r="B14373">
        <v>2019</v>
      </c>
      <c r="C14373" t="s">
        <v>153</v>
      </c>
      <c r="D14373" t="s">
        <v>182</v>
      </c>
      <c r="E14373" t="s">
        <v>10</v>
      </c>
      <c r="F14373">
        <v>67.400001525878906</v>
      </c>
    </row>
    <row r="14374" spans="2:6">
      <c r="B14374">
        <v>2019</v>
      </c>
      <c r="C14374" t="s">
        <v>153</v>
      </c>
      <c r="D14374" t="s">
        <v>182</v>
      </c>
      <c r="E14374" t="s">
        <v>11</v>
      </c>
      <c r="F14374">
        <v>0.82427734136581421</v>
      </c>
    </row>
    <row r="14375" spans="2:6">
      <c r="B14375">
        <v>2019</v>
      </c>
      <c r="C14375" t="s">
        <v>153</v>
      </c>
      <c r="D14375" t="s">
        <v>182</v>
      </c>
      <c r="E14375" t="s">
        <v>12</v>
      </c>
      <c r="F14375">
        <v>5.1186613738536835E-2</v>
      </c>
    </row>
    <row r="14376" spans="2:6">
      <c r="B14376">
        <v>2019</v>
      </c>
      <c r="C14376" t="s">
        <v>153</v>
      </c>
      <c r="D14376" t="s">
        <v>182</v>
      </c>
      <c r="E14376" t="s">
        <v>13</v>
      </c>
      <c r="F14376">
        <v>0.86334228515625</v>
      </c>
    </row>
    <row r="14377" spans="2:6">
      <c r="B14377">
        <v>2019</v>
      </c>
      <c r="C14377" t="s">
        <v>153</v>
      </c>
      <c r="D14377" t="s">
        <v>182</v>
      </c>
      <c r="E14377" t="s">
        <v>14</v>
      </c>
      <c r="F14377">
        <v>0.81639039516448975</v>
      </c>
    </row>
    <row r="14378" spans="2:6">
      <c r="B14378">
        <v>2019</v>
      </c>
      <c r="C14378" t="s">
        <v>153</v>
      </c>
      <c r="D14378" t="s">
        <v>182</v>
      </c>
      <c r="E14378" t="s">
        <v>15</v>
      </c>
      <c r="F14378">
        <v>0.31454271078109741</v>
      </c>
    </row>
    <row r="14379" spans="2:6">
      <c r="B14379">
        <v>2009</v>
      </c>
      <c r="C14379" t="s">
        <v>154</v>
      </c>
      <c r="D14379" t="s">
        <v>184</v>
      </c>
      <c r="E14379" t="s">
        <v>7</v>
      </c>
      <c r="F14379">
        <v>4.4549174308776855</v>
      </c>
    </row>
    <row r="14380" spans="2:6">
      <c r="B14380">
        <v>2009</v>
      </c>
      <c r="C14380" t="s">
        <v>154</v>
      </c>
      <c r="D14380" t="s">
        <v>184</v>
      </c>
      <c r="E14380" t="s">
        <v>8</v>
      </c>
      <c r="F14380">
        <v>8.1057033538818359</v>
      </c>
    </row>
    <row r="14381" spans="2:6">
      <c r="B14381">
        <v>2009</v>
      </c>
      <c r="C14381" t="s">
        <v>154</v>
      </c>
      <c r="D14381" t="s">
        <v>184</v>
      </c>
      <c r="E14381" t="s">
        <v>9</v>
      </c>
      <c r="F14381">
        <v>0.9114069938659668</v>
      </c>
    </row>
    <row r="14382" spans="2:6">
      <c r="B14382">
        <v>2009</v>
      </c>
      <c r="C14382" t="s">
        <v>154</v>
      </c>
      <c r="D14382" t="s">
        <v>184</v>
      </c>
      <c r="E14382" t="s">
        <v>10</v>
      </c>
      <c r="F14382">
        <v>53.700000762939453</v>
      </c>
    </row>
    <row r="14383" spans="2:6">
      <c r="B14383">
        <v>2009</v>
      </c>
      <c r="C14383" t="s">
        <v>154</v>
      </c>
      <c r="D14383" t="s">
        <v>184</v>
      </c>
      <c r="E14383" t="s">
        <v>11</v>
      </c>
      <c r="F14383">
        <v>0.70997864007949829</v>
      </c>
    </row>
    <row r="14384" spans="2:6">
      <c r="B14384">
        <v>2009</v>
      </c>
      <c r="C14384" t="s">
        <v>154</v>
      </c>
      <c r="D14384" t="s">
        <v>184</v>
      </c>
      <c r="E14384" t="s">
        <v>12</v>
      </c>
      <c r="F14384">
        <v>7.6803781092166901E-2</v>
      </c>
    </row>
    <row r="14385" spans="2:6">
      <c r="B14385">
        <v>2009</v>
      </c>
      <c r="C14385" t="s">
        <v>154</v>
      </c>
      <c r="D14385" t="s">
        <v>184</v>
      </c>
      <c r="E14385" t="s">
        <v>13</v>
      </c>
      <c r="F14385">
        <v>0.70122939348220825</v>
      </c>
    </row>
    <row r="14386" spans="2:6">
      <c r="B14386">
        <v>2009</v>
      </c>
      <c r="C14386" t="s">
        <v>154</v>
      </c>
      <c r="D14386" t="s">
        <v>184</v>
      </c>
      <c r="E14386" t="s">
        <v>14</v>
      </c>
      <c r="F14386">
        <v>0.73357164859771729</v>
      </c>
    </row>
    <row r="14387" spans="2:6">
      <c r="B14387">
        <v>2009</v>
      </c>
      <c r="C14387" t="s">
        <v>154</v>
      </c>
      <c r="D14387" t="s">
        <v>184</v>
      </c>
      <c r="E14387" t="s">
        <v>15</v>
      </c>
      <c r="F14387">
        <v>0.24492716789245605</v>
      </c>
    </row>
    <row r="14388" spans="2:6">
      <c r="B14388">
        <v>2010</v>
      </c>
      <c r="C14388" t="s">
        <v>154</v>
      </c>
      <c r="D14388" t="s">
        <v>184</v>
      </c>
      <c r="E14388" t="s">
        <v>7</v>
      </c>
      <c r="F14388">
        <v>4.4351596832275391</v>
      </c>
    </row>
    <row r="14389" spans="2:6">
      <c r="B14389">
        <v>2010</v>
      </c>
      <c r="C14389" t="s">
        <v>154</v>
      </c>
      <c r="D14389" t="s">
        <v>184</v>
      </c>
      <c r="E14389" t="s">
        <v>8</v>
      </c>
      <c r="F14389">
        <v>8.0764427185058594</v>
      </c>
    </row>
    <row r="14390" spans="2:6">
      <c r="B14390">
        <v>2010</v>
      </c>
      <c r="C14390" t="s">
        <v>154</v>
      </c>
      <c r="D14390" t="s">
        <v>184</v>
      </c>
      <c r="E14390" t="s">
        <v>9</v>
      </c>
      <c r="F14390">
        <v>0.85482442378997803</v>
      </c>
    </row>
    <row r="14391" spans="2:6">
      <c r="B14391">
        <v>2010</v>
      </c>
      <c r="C14391" t="s">
        <v>154</v>
      </c>
      <c r="D14391" t="s">
        <v>184</v>
      </c>
      <c r="E14391" t="s">
        <v>10</v>
      </c>
      <c r="F14391">
        <v>54</v>
      </c>
    </row>
    <row r="14392" spans="2:6">
      <c r="B14392">
        <v>2010</v>
      </c>
      <c r="C14392" t="s">
        <v>154</v>
      </c>
      <c r="D14392" t="s">
        <v>184</v>
      </c>
      <c r="E14392" t="s">
        <v>11</v>
      </c>
      <c r="F14392">
        <v>0.6481553316116333</v>
      </c>
    </row>
    <row r="14393" spans="2:6">
      <c r="B14393">
        <v>2010</v>
      </c>
      <c r="C14393" t="s">
        <v>154</v>
      </c>
      <c r="D14393" t="s">
        <v>184</v>
      </c>
      <c r="E14393" t="s">
        <v>12</v>
      </c>
      <c r="F14393">
        <v>-4.0054470300674438E-2</v>
      </c>
    </row>
    <row r="14394" spans="2:6">
      <c r="B14394">
        <v>2010</v>
      </c>
      <c r="C14394" t="s">
        <v>154</v>
      </c>
      <c r="D14394" t="s">
        <v>184</v>
      </c>
      <c r="E14394" t="s">
        <v>13</v>
      </c>
      <c r="F14394">
        <v>0.73689717054367065</v>
      </c>
    </row>
    <row r="14395" spans="2:6">
      <c r="B14395">
        <v>2010</v>
      </c>
      <c r="C14395" t="s">
        <v>154</v>
      </c>
      <c r="D14395" t="s">
        <v>184</v>
      </c>
      <c r="E14395" t="s">
        <v>14</v>
      </c>
      <c r="F14395">
        <v>0.66858309507369995</v>
      </c>
    </row>
    <row r="14396" spans="2:6">
      <c r="B14396">
        <v>2010</v>
      </c>
      <c r="C14396" t="s">
        <v>154</v>
      </c>
      <c r="D14396" t="s">
        <v>184</v>
      </c>
      <c r="E14396" t="s">
        <v>15</v>
      </c>
      <c r="F14396">
        <v>0.22078916430473328</v>
      </c>
    </row>
    <row r="14397" spans="2:6">
      <c r="B14397">
        <v>2011</v>
      </c>
      <c r="C14397" t="s">
        <v>154</v>
      </c>
      <c r="D14397" t="s">
        <v>184</v>
      </c>
      <c r="E14397" t="s">
        <v>7</v>
      </c>
      <c r="F14397">
        <v>4.3144564628601074</v>
      </c>
    </row>
    <row r="14398" spans="2:6">
      <c r="B14398">
        <v>2011</v>
      </c>
      <c r="C14398" t="s">
        <v>154</v>
      </c>
      <c r="D14398" t="s">
        <v>184</v>
      </c>
      <c r="E14398" t="s">
        <v>8</v>
      </c>
      <c r="F14398">
        <v>8.2036352157592773</v>
      </c>
    </row>
    <row r="14399" spans="2:6">
      <c r="B14399">
        <v>2011</v>
      </c>
      <c r="C14399" t="s">
        <v>154</v>
      </c>
      <c r="D14399" t="s">
        <v>184</v>
      </c>
      <c r="E14399" t="s">
        <v>9</v>
      </c>
      <c r="F14399">
        <v>0.81778562068939209</v>
      </c>
    </row>
    <row r="14400" spans="2:6">
      <c r="B14400">
        <v>2011</v>
      </c>
      <c r="C14400" t="s">
        <v>154</v>
      </c>
      <c r="D14400" t="s">
        <v>184</v>
      </c>
      <c r="E14400" t="s">
        <v>10</v>
      </c>
      <c r="F14400">
        <v>54.279998779296875</v>
      </c>
    </row>
    <row r="14401" spans="2:6">
      <c r="B14401">
        <v>2011</v>
      </c>
      <c r="C14401" t="s">
        <v>154</v>
      </c>
      <c r="D14401" t="s">
        <v>184</v>
      </c>
      <c r="E14401" t="s">
        <v>11</v>
      </c>
      <c r="F14401">
        <v>0.58253878355026245</v>
      </c>
    </row>
    <row r="14402" spans="2:6">
      <c r="B14402">
        <v>2011</v>
      </c>
      <c r="C14402" t="s">
        <v>154</v>
      </c>
      <c r="D14402" t="s">
        <v>184</v>
      </c>
      <c r="E14402" t="s">
        <v>12</v>
      </c>
      <c r="F14402">
        <v>-2.4155577644705772E-2</v>
      </c>
    </row>
    <row r="14403" spans="2:6">
      <c r="B14403">
        <v>2011</v>
      </c>
      <c r="C14403" t="s">
        <v>154</v>
      </c>
      <c r="D14403" t="s">
        <v>184</v>
      </c>
      <c r="E14403" t="s">
        <v>13</v>
      </c>
      <c r="F14403">
        <v>0.66251945495605469</v>
      </c>
    </row>
    <row r="14404" spans="2:6">
      <c r="B14404">
        <v>2011</v>
      </c>
      <c r="C14404" t="s">
        <v>154</v>
      </c>
      <c r="D14404" t="s">
        <v>184</v>
      </c>
      <c r="E14404" t="s">
        <v>14</v>
      </c>
      <c r="F14404">
        <v>0.58582645654678345</v>
      </c>
    </row>
    <row r="14405" spans="2:6">
      <c r="B14405">
        <v>2011</v>
      </c>
      <c r="C14405" t="s">
        <v>154</v>
      </c>
      <c r="D14405" t="s">
        <v>184</v>
      </c>
      <c r="E14405" t="s">
        <v>15</v>
      </c>
      <c r="F14405">
        <v>0.24850082397460938</v>
      </c>
    </row>
    <row r="14406" spans="2:6">
      <c r="B14406">
        <v>2012</v>
      </c>
      <c r="C14406" t="s">
        <v>154</v>
      </c>
      <c r="D14406" t="s">
        <v>184</v>
      </c>
      <c r="E14406" t="s">
        <v>7</v>
      </c>
      <c r="F14406">
        <v>4.550499439239502</v>
      </c>
    </row>
    <row r="14407" spans="2:6">
      <c r="B14407">
        <v>2012</v>
      </c>
      <c r="C14407" t="s">
        <v>154</v>
      </c>
      <c r="D14407" t="s">
        <v>184</v>
      </c>
      <c r="E14407" t="s">
        <v>8</v>
      </c>
      <c r="F14407">
        <v>8.2957286834716797</v>
      </c>
    </row>
    <row r="14408" spans="2:6">
      <c r="B14408">
        <v>2012</v>
      </c>
      <c r="C14408" t="s">
        <v>154</v>
      </c>
      <c r="D14408" t="s">
        <v>184</v>
      </c>
      <c r="E14408" t="s">
        <v>9</v>
      </c>
      <c r="F14408">
        <v>0.8125007152557373</v>
      </c>
    </row>
    <row r="14409" spans="2:6">
      <c r="B14409">
        <v>2012</v>
      </c>
      <c r="C14409" t="s">
        <v>154</v>
      </c>
      <c r="D14409" t="s">
        <v>184</v>
      </c>
      <c r="E14409" t="s">
        <v>10</v>
      </c>
      <c r="F14409">
        <v>54.560001373291016</v>
      </c>
    </row>
    <row r="14410" spans="2:6">
      <c r="B14410">
        <v>2012</v>
      </c>
      <c r="C14410" t="s">
        <v>154</v>
      </c>
      <c r="D14410" t="s">
        <v>184</v>
      </c>
      <c r="E14410" t="s">
        <v>11</v>
      </c>
      <c r="F14410">
        <v>0.41194790601730347</v>
      </c>
    </row>
    <row r="14411" spans="2:6">
      <c r="B14411">
        <v>2012</v>
      </c>
      <c r="C14411" t="s">
        <v>154</v>
      </c>
      <c r="D14411" t="s">
        <v>184</v>
      </c>
      <c r="E14411" t="s">
        <v>12</v>
      </c>
      <c r="F14411">
        <v>-5.5608697235584259E-2</v>
      </c>
    </row>
    <row r="14412" spans="2:6">
      <c r="B14412">
        <v>2012</v>
      </c>
      <c r="C14412" t="s">
        <v>154</v>
      </c>
      <c r="D14412" t="s">
        <v>184</v>
      </c>
      <c r="E14412" t="s">
        <v>13</v>
      </c>
      <c r="F14412">
        <v>0.73367929458618164</v>
      </c>
    </row>
    <row r="14413" spans="2:6">
      <c r="B14413">
        <v>2012</v>
      </c>
      <c r="C14413" t="s">
        <v>154</v>
      </c>
      <c r="D14413" t="s">
        <v>184</v>
      </c>
      <c r="E14413" t="s">
        <v>14</v>
      </c>
      <c r="F14413">
        <v>0.57617789506912231</v>
      </c>
    </row>
    <row r="14414" spans="2:6">
      <c r="B14414">
        <v>2012</v>
      </c>
      <c r="C14414" t="s">
        <v>154</v>
      </c>
      <c r="D14414" t="s">
        <v>184</v>
      </c>
      <c r="E14414" t="s">
        <v>15</v>
      </c>
      <c r="F14414">
        <v>0.24237386882305145</v>
      </c>
    </row>
    <row r="14415" spans="2:6">
      <c r="B14415">
        <v>2014</v>
      </c>
      <c r="C14415" t="s">
        <v>154</v>
      </c>
      <c r="D14415" t="s">
        <v>184</v>
      </c>
      <c r="E14415" t="s">
        <v>7</v>
      </c>
      <c r="F14415">
        <v>4.1386728286743164</v>
      </c>
    </row>
    <row r="14416" spans="2:6">
      <c r="B14416">
        <v>2014</v>
      </c>
      <c r="C14416" t="s">
        <v>154</v>
      </c>
      <c r="D14416" t="s">
        <v>184</v>
      </c>
      <c r="E14416" t="s">
        <v>8</v>
      </c>
      <c r="F14416">
        <v>8.3170680999755859</v>
      </c>
    </row>
    <row r="14417" spans="2:6">
      <c r="B14417">
        <v>2014</v>
      </c>
      <c r="C14417" t="s">
        <v>154</v>
      </c>
      <c r="D14417" t="s">
        <v>184</v>
      </c>
      <c r="E14417" t="s">
        <v>9</v>
      </c>
      <c r="F14417">
        <v>0.81061553955078125</v>
      </c>
    </row>
    <row r="14418" spans="2:6">
      <c r="B14418">
        <v>2014</v>
      </c>
      <c r="C14418" t="s">
        <v>154</v>
      </c>
      <c r="D14418" t="s">
        <v>184</v>
      </c>
      <c r="E14418" t="s">
        <v>10</v>
      </c>
      <c r="F14418">
        <v>55.119998931884766</v>
      </c>
    </row>
    <row r="14419" spans="2:6">
      <c r="B14419">
        <v>2014</v>
      </c>
      <c r="C14419" t="s">
        <v>154</v>
      </c>
      <c r="D14419" t="s">
        <v>184</v>
      </c>
      <c r="E14419" t="s">
        <v>11</v>
      </c>
      <c r="F14419">
        <v>0.39009580016136169</v>
      </c>
    </row>
    <row r="14420" spans="2:6">
      <c r="B14420">
        <v>2014</v>
      </c>
      <c r="C14420" t="s">
        <v>154</v>
      </c>
      <c r="D14420" t="s">
        <v>184</v>
      </c>
      <c r="E14420" t="s">
        <v>12</v>
      </c>
      <c r="F14420">
        <v>-6.3394643366336823E-2</v>
      </c>
    </row>
    <row r="14421" spans="2:6">
      <c r="B14421">
        <v>2014</v>
      </c>
      <c r="C14421" t="s">
        <v>154</v>
      </c>
      <c r="D14421" t="s">
        <v>184</v>
      </c>
      <c r="E14421" t="s">
        <v>13</v>
      </c>
      <c r="F14421">
        <v>0.79378503561019897</v>
      </c>
    </row>
    <row r="14422" spans="2:6">
      <c r="B14422">
        <v>2014</v>
      </c>
      <c r="C14422" t="s">
        <v>154</v>
      </c>
      <c r="D14422" t="s">
        <v>184</v>
      </c>
      <c r="E14422" t="s">
        <v>14</v>
      </c>
      <c r="F14422">
        <v>0.54084503650665283</v>
      </c>
    </row>
    <row r="14423" spans="2:6">
      <c r="B14423">
        <v>2014</v>
      </c>
      <c r="C14423" t="s">
        <v>154</v>
      </c>
      <c r="D14423" t="s">
        <v>184</v>
      </c>
      <c r="E14423" t="s">
        <v>15</v>
      </c>
      <c r="F14423">
        <v>0.30272498726844788</v>
      </c>
    </row>
    <row r="14424" spans="2:6">
      <c r="B14424">
        <v>2012</v>
      </c>
      <c r="C14424" t="s">
        <v>155</v>
      </c>
      <c r="D14424" t="s">
        <v>185</v>
      </c>
      <c r="E14424" t="s">
        <v>7</v>
      </c>
      <c r="F14424">
        <v>6.2692866325378418</v>
      </c>
    </row>
    <row r="14425" spans="2:6">
      <c r="B14425">
        <v>2012</v>
      </c>
      <c r="C14425" t="s">
        <v>155</v>
      </c>
      <c r="D14425" t="s">
        <v>185</v>
      </c>
      <c r="E14425" t="s">
        <v>8</v>
      </c>
      <c r="F14425">
        <v>9.7970848083496094</v>
      </c>
    </row>
    <row r="14426" spans="2:6">
      <c r="B14426">
        <v>2012</v>
      </c>
      <c r="C14426" t="s">
        <v>155</v>
      </c>
      <c r="D14426" t="s">
        <v>185</v>
      </c>
      <c r="E14426" t="s">
        <v>9</v>
      </c>
      <c r="F14426">
        <v>0.79726207256317139</v>
      </c>
    </row>
    <row r="14427" spans="2:6">
      <c r="B14427">
        <v>2012</v>
      </c>
      <c r="C14427" t="s">
        <v>155</v>
      </c>
      <c r="D14427" t="s">
        <v>185</v>
      </c>
      <c r="E14427" t="s">
        <v>10</v>
      </c>
      <c r="F14427">
        <v>62.240001678466797</v>
      </c>
    </row>
    <row r="14428" spans="2:6">
      <c r="B14428">
        <v>2012</v>
      </c>
      <c r="C14428" t="s">
        <v>155</v>
      </c>
      <c r="D14428" t="s">
        <v>185</v>
      </c>
      <c r="E14428" t="s">
        <v>11</v>
      </c>
      <c r="F14428">
        <v>0.88548845052719116</v>
      </c>
    </row>
    <row r="14429" spans="2:6">
      <c r="B14429">
        <v>2012</v>
      </c>
      <c r="C14429" t="s">
        <v>155</v>
      </c>
      <c r="D14429" t="s">
        <v>185</v>
      </c>
      <c r="E14429" t="s">
        <v>12</v>
      </c>
      <c r="F14429">
        <v>-7.717316597700119E-2</v>
      </c>
    </row>
    <row r="14430" spans="2:6">
      <c r="B14430">
        <v>2012</v>
      </c>
      <c r="C14430" t="s">
        <v>155</v>
      </c>
      <c r="D14430" t="s">
        <v>185</v>
      </c>
      <c r="E14430" t="s">
        <v>13</v>
      </c>
      <c r="F14430">
        <v>0.75128287076950073</v>
      </c>
    </row>
    <row r="14431" spans="2:6">
      <c r="B14431">
        <v>2012</v>
      </c>
      <c r="C14431" t="s">
        <v>155</v>
      </c>
      <c r="D14431" t="s">
        <v>185</v>
      </c>
      <c r="E14431" t="s">
        <v>14</v>
      </c>
      <c r="F14431">
        <v>0.76422268152236938</v>
      </c>
    </row>
    <row r="14432" spans="2:6">
      <c r="B14432">
        <v>2012</v>
      </c>
      <c r="C14432" t="s">
        <v>155</v>
      </c>
      <c r="D14432" t="s">
        <v>185</v>
      </c>
      <c r="E14432" t="s">
        <v>15</v>
      </c>
      <c r="F14432">
        <v>0.2503649890422821</v>
      </c>
    </row>
    <row r="14433" spans="2:6">
      <c r="B14433">
        <v>2011</v>
      </c>
      <c r="C14433" t="s">
        <v>156</v>
      </c>
      <c r="D14433" t="s">
        <v>184</v>
      </c>
      <c r="E14433" t="s">
        <v>7</v>
      </c>
      <c r="F14433">
        <v>4.867091178894043</v>
      </c>
    </row>
    <row r="14434" spans="2:6">
      <c r="B14434">
        <v>2011</v>
      </c>
      <c r="C14434" t="s">
        <v>156</v>
      </c>
      <c r="D14434" t="s">
        <v>184</v>
      </c>
      <c r="E14434" t="s">
        <v>8</v>
      </c>
      <c r="F14434">
        <v>8.9401035308837891</v>
      </c>
    </row>
    <row r="14435" spans="2:6">
      <c r="B14435">
        <v>2011</v>
      </c>
      <c r="C14435" t="s">
        <v>156</v>
      </c>
      <c r="D14435" t="s">
        <v>184</v>
      </c>
      <c r="E14435" t="s">
        <v>9</v>
      </c>
      <c r="F14435">
        <v>0.83714973926544189</v>
      </c>
    </row>
    <row r="14436" spans="2:6">
      <c r="B14436">
        <v>2011</v>
      </c>
      <c r="C14436" t="s">
        <v>156</v>
      </c>
      <c r="D14436" t="s">
        <v>184</v>
      </c>
      <c r="E14436" t="s">
        <v>10</v>
      </c>
      <c r="F14436">
        <v>40.808292388916016</v>
      </c>
    </row>
    <row r="14437" spans="2:6">
      <c r="B14437">
        <v>2011</v>
      </c>
      <c r="C14437" t="s">
        <v>156</v>
      </c>
      <c r="D14437" t="s">
        <v>184</v>
      </c>
      <c r="E14437" t="s">
        <v>11</v>
      </c>
      <c r="F14437">
        <v>0.60715723037719727</v>
      </c>
    </row>
    <row r="14438" spans="2:6">
      <c r="B14438">
        <v>2011</v>
      </c>
      <c r="C14438" t="s">
        <v>156</v>
      </c>
      <c r="D14438" t="s">
        <v>184</v>
      </c>
      <c r="E14438" t="s">
        <v>12</v>
      </c>
      <c r="F14438">
        <v>-6.6732548177242279E-2</v>
      </c>
    </row>
    <row r="14439" spans="2:6">
      <c r="B14439">
        <v>2011</v>
      </c>
      <c r="C14439" t="s">
        <v>156</v>
      </c>
      <c r="D14439" t="s">
        <v>184</v>
      </c>
      <c r="E14439" t="s">
        <v>13</v>
      </c>
      <c r="F14439">
        <v>0.91725009679794312</v>
      </c>
    </row>
    <row r="14440" spans="2:6">
      <c r="B14440">
        <v>2011</v>
      </c>
      <c r="C14440" t="s">
        <v>156</v>
      </c>
      <c r="D14440" t="s">
        <v>184</v>
      </c>
      <c r="E14440" t="s">
        <v>14</v>
      </c>
      <c r="F14440">
        <v>0.82061326503753662</v>
      </c>
    </row>
    <row r="14441" spans="2:6">
      <c r="B14441">
        <v>2011</v>
      </c>
      <c r="C14441" t="s">
        <v>156</v>
      </c>
      <c r="D14441" t="s">
        <v>184</v>
      </c>
      <c r="E14441" t="s">
        <v>15</v>
      </c>
      <c r="F14441">
        <v>0.25105339288711548</v>
      </c>
    </row>
    <row r="14442" spans="2:6">
      <c r="B14442">
        <v>2018</v>
      </c>
      <c r="C14442" t="s">
        <v>156</v>
      </c>
      <c r="D14442" t="s">
        <v>184</v>
      </c>
      <c r="E14442" t="s">
        <v>7</v>
      </c>
      <c r="F14442">
        <v>4.2115650177001953</v>
      </c>
    </row>
    <row r="14443" spans="2:6">
      <c r="B14443">
        <v>2018</v>
      </c>
      <c r="C14443" t="s">
        <v>156</v>
      </c>
      <c r="D14443" t="s">
        <v>184</v>
      </c>
      <c r="E14443" t="s">
        <v>8</v>
      </c>
      <c r="F14443">
        <v>9.0602235794067383</v>
      </c>
    </row>
    <row r="14444" spans="2:6">
      <c r="B14444">
        <v>2018</v>
      </c>
      <c r="C14444" t="s">
        <v>156</v>
      </c>
      <c r="D14444" t="s">
        <v>184</v>
      </c>
      <c r="E14444" t="s">
        <v>9</v>
      </c>
      <c r="F14444">
        <v>0.7792697548866272</v>
      </c>
    </row>
    <row r="14445" spans="2:6">
      <c r="B14445">
        <v>2018</v>
      </c>
      <c r="C14445" t="s">
        <v>156</v>
      </c>
      <c r="D14445" t="s">
        <v>184</v>
      </c>
      <c r="E14445" t="s">
        <v>10</v>
      </c>
      <c r="F14445">
        <v>50.353202819824219</v>
      </c>
    </row>
    <row r="14446" spans="2:6">
      <c r="B14446">
        <v>2018</v>
      </c>
      <c r="C14446" t="s">
        <v>156</v>
      </c>
      <c r="D14446" t="s">
        <v>184</v>
      </c>
      <c r="E14446" t="s">
        <v>11</v>
      </c>
      <c r="F14446">
        <v>0.70997369289398193</v>
      </c>
    </row>
    <row r="14447" spans="2:6">
      <c r="B14447">
        <v>2018</v>
      </c>
      <c r="C14447" t="s">
        <v>156</v>
      </c>
      <c r="D14447" t="s">
        <v>184</v>
      </c>
      <c r="E14447" t="s">
        <v>12</v>
      </c>
      <c r="F14447">
        <v>-0.17841561138629913</v>
      </c>
    </row>
    <row r="14448" spans="2:6">
      <c r="B14448">
        <v>2018</v>
      </c>
      <c r="C14448" t="s">
        <v>156</v>
      </c>
      <c r="D14448" t="s">
        <v>184</v>
      </c>
      <c r="E14448" t="s">
        <v>13</v>
      </c>
      <c r="F14448">
        <v>0.692341148853302</v>
      </c>
    </row>
    <row r="14449" spans="2:6">
      <c r="B14449">
        <v>2018</v>
      </c>
      <c r="C14449" t="s">
        <v>156</v>
      </c>
      <c r="D14449" t="s">
        <v>184</v>
      </c>
      <c r="E14449" t="s">
        <v>14</v>
      </c>
      <c r="F14449">
        <v>0.82435470819473267</v>
      </c>
    </row>
    <row r="14450" spans="2:6">
      <c r="B14450">
        <v>2018</v>
      </c>
      <c r="C14450" t="s">
        <v>156</v>
      </c>
      <c r="D14450" t="s">
        <v>184</v>
      </c>
      <c r="E14450" t="s">
        <v>15</v>
      </c>
      <c r="F14450">
        <v>0.25233915448188782</v>
      </c>
    </row>
    <row r="14451" spans="2:6">
      <c r="B14451">
        <v>2019</v>
      </c>
      <c r="C14451" t="s">
        <v>156</v>
      </c>
      <c r="D14451" t="s">
        <v>184</v>
      </c>
      <c r="E14451" t="s">
        <v>7</v>
      </c>
      <c r="F14451">
        <v>4.3961148262023926</v>
      </c>
    </row>
    <row r="14452" spans="2:6">
      <c r="B14452">
        <v>2019</v>
      </c>
      <c r="C14452" t="s">
        <v>156</v>
      </c>
      <c r="D14452" t="s">
        <v>184</v>
      </c>
      <c r="E14452" t="s">
        <v>8</v>
      </c>
      <c r="F14452">
        <v>9.0697097778320313</v>
      </c>
    </row>
    <row r="14453" spans="2:6">
      <c r="B14453">
        <v>2019</v>
      </c>
      <c r="C14453" t="s">
        <v>156</v>
      </c>
      <c r="D14453" t="s">
        <v>184</v>
      </c>
      <c r="E14453" t="s">
        <v>9</v>
      </c>
      <c r="F14453">
        <v>0.75909769535064697</v>
      </c>
    </row>
    <row r="14454" spans="2:6">
      <c r="B14454">
        <v>2019</v>
      </c>
      <c r="C14454" t="s">
        <v>156</v>
      </c>
      <c r="D14454" t="s">
        <v>184</v>
      </c>
      <c r="E14454" t="s">
        <v>10</v>
      </c>
      <c r="F14454">
        <v>51.270393371582031</v>
      </c>
    </row>
    <row r="14455" spans="2:6">
      <c r="B14455">
        <v>2019</v>
      </c>
      <c r="C14455" t="s">
        <v>156</v>
      </c>
      <c r="D14455" t="s">
        <v>184</v>
      </c>
      <c r="E14455" t="s">
        <v>11</v>
      </c>
      <c r="F14455">
        <v>0.59668242931365967</v>
      </c>
    </row>
    <row r="14456" spans="2:6">
      <c r="B14456">
        <v>2019</v>
      </c>
      <c r="C14456" t="s">
        <v>156</v>
      </c>
      <c r="D14456" t="s">
        <v>184</v>
      </c>
      <c r="E14456" t="s">
        <v>12</v>
      </c>
      <c r="F14456">
        <v>-0.19073791801929474</v>
      </c>
    </row>
    <row r="14457" spans="2:6">
      <c r="B14457">
        <v>2019</v>
      </c>
      <c r="C14457" t="s">
        <v>156</v>
      </c>
      <c r="D14457" t="s">
        <v>184</v>
      </c>
      <c r="E14457" t="s">
        <v>13</v>
      </c>
      <c r="F14457">
        <v>0.72350776195526123</v>
      </c>
    </row>
    <row r="14458" spans="2:6">
      <c r="B14458">
        <v>2019</v>
      </c>
      <c r="C14458" t="s">
        <v>156</v>
      </c>
      <c r="D14458" t="s">
        <v>184</v>
      </c>
      <c r="E14458" t="s">
        <v>14</v>
      </c>
      <c r="F14458">
        <v>0.77762728929519653</v>
      </c>
    </row>
    <row r="14459" spans="2:6">
      <c r="B14459">
        <v>2019</v>
      </c>
      <c r="C14459" t="s">
        <v>156</v>
      </c>
      <c r="D14459" t="s">
        <v>184</v>
      </c>
      <c r="E14459" t="s">
        <v>15</v>
      </c>
      <c r="F14459">
        <v>0.27959516644477844</v>
      </c>
    </row>
    <row r="14460" spans="2:6">
      <c r="B14460">
        <v>2005</v>
      </c>
      <c r="C14460" t="s">
        <v>157</v>
      </c>
      <c r="D14460" t="s">
        <v>183</v>
      </c>
      <c r="E14460" t="s">
        <v>7</v>
      </c>
      <c r="F14460">
        <v>7.3763155937194824</v>
      </c>
    </row>
    <row r="14461" spans="2:6">
      <c r="B14461">
        <v>2005</v>
      </c>
      <c r="C14461" t="s">
        <v>157</v>
      </c>
      <c r="D14461" t="s">
        <v>183</v>
      </c>
      <c r="E14461" t="s">
        <v>8</v>
      </c>
      <c r="F14461">
        <v>10.739267349243164</v>
      </c>
    </row>
    <row r="14462" spans="2:6">
      <c r="B14462">
        <v>2005</v>
      </c>
      <c r="C14462" t="s">
        <v>157</v>
      </c>
      <c r="D14462" t="s">
        <v>183</v>
      </c>
      <c r="E14462" t="s">
        <v>9</v>
      </c>
      <c r="F14462">
        <v>0.95146989822387695</v>
      </c>
    </row>
    <row r="14463" spans="2:6">
      <c r="B14463">
        <v>2005</v>
      </c>
      <c r="C14463" t="s">
        <v>157</v>
      </c>
      <c r="D14463" t="s">
        <v>183</v>
      </c>
      <c r="E14463" t="s">
        <v>10</v>
      </c>
      <c r="F14463">
        <v>71.199996948242188</v>
      </c>
    </row>
    <row r="14464" spans="2:6">
      <c r="B14464">
        <v>2005</v>
      </c>
      <c r="C14464" t="s">
        <v>157</v>
      </c>
      <c r="D14464" t="s">
        <v>183</v>
      </c>
      <c r="E14464" t="s">
        <v>11</v>
      </c>
      <c r="F14464">
        <v>0.96439540386199951</v>
      </c>
    </row>
    <row r="14465" spans="2:6">
      <c r="B14465">
        <v>2005</v>
      </c>
      <c r="C14465" t="s">
        <v>157</v>
      </c>
      <c r="D14465" t="s">
        <v>183</v>
      </c>
      <c r="E14465" t="s">
        <v>14</v>
      </c>
      <c r="F14465">
        <v>0.8398701548576355</v>
      </c>
    </row>
    <row r="14466" spans="2:6">
      <c r="B14466">
        <v>2005</v>
      </c>
      <c r="C14466" t="s">
        <v>157</v>
      </c>
      <c r="D14466" t="s">
        <v>183</v>
      </c>
      <c r="E14466" t="s">
        <v>15</v>
      </c>
      <c r="F14466">
        <v>0.15076610445976257</v>
      </c>
    </row>
    <row r="14467" spans="2:6">
      <c r="B14467">
        <v>2007</v>
      </c>
      <c r="C14467" t="s">
        <v>157</v>
      </c>
      <c r="D14467" t="s">
        <v>183</v>
      </c>
      <c r="E14467" t="s">
        <v>7</v>
      </c>
      <c r="F14467">
        <v>7.2413625717163086</v>
      </c>
    </row>
    <row r="14468" spans="2:6">
      <c r="B14468">
        <v>2007</v>
      </c>
      <c r="C14468" t="s">
        <v>157</v>
      </c>
      <c r="D14468" t="s">
        <v>183</v>
      </c>
      <c r="E14468" t="s">
        <v>8</v>
      </c>
      <c r="F14468">
        <v>10.805614471435547</v>
      </c>
    </row>
    <row r="14469" spans="2:6">
      <c r="B14469">
        <v>2007</v>
      </c>
      <c r="C14469" t="s">
        <v>157</v>
      </c>
      <c r="D14469" t="s">
        <v>183</v>
      </c>
      <c r="E14469" t="s">
        <v>9</v>
      </c>
      <c r="F14469">
        <v>0.91655939817428589</v>
      </c>
    </row>
    <row r="14470" spans="2:6">
      <c r="B14470">
        <v>2007</v>
      </c>
      <c r="C14470" t="s">
        <v>157</v>
      </c>
      <c r="D14470" t="s">
        <v>183</v>
      </c>
      <c r="E14470" t="s">
        <v>10</v>
      </c>
      <c r="F14470">
        <v>71.480003356933594</v>
      </c>
    </row>
    <row r="14471" spans="2:6">
      <c r="B14471">
        <v>2007</v>
      </c>
      <c r="C14471" t="s">
        <v>157</v>
      </c>
      <c r="D14471" t="s">
        <v>183</v>
      </c>
      <c r="E14471" t="s">
        <v>11</v>
      </c>
      <c r="F14471">
        <v>0.90996181964874268</v>
      </c>
    </row>
    <row r="14472" spans="2:6">
      <c r="B14472">
        <v>2007</v>
      </c>
      <c r="C14472" t="s">
        <v>157</v>
      </c>
      <c r="D14472" t="s">
        <v>183</v>
      </c>
      <c r="E14472" t="s">
        <v>12</v>
      </c>
      <c r="F14472">
        <v>0.14635804295539856</v>
      </c>
    </row>
    <row r="14473" spans="2:6">
      <c r="B14473">
        <v>2007</v>
      </c>
      <c r="C14473" t="s">
        <v>157</v>
      </c>
      <c r="D14473" t="s">
        <v>183</v>
      </c>
      <c r="E14473" t="s">
        <v>13</v>
      </c>
      <c r="F14473">
        <v>0.28933215141296387</v>
      </c>
    </row>
    <row r="14474" spans="2:6">
      <c r="B14474">
        <v>2007</v>
      </c>
      <c r="C14474" t="s">
        <v>157</v>
      </c>
      <c r="D14474" t="s">
        <v>183</v>
      </c>
      <c r="E14474" t="s">
        <v>14</v>
      </c>
      <c r="F14474">
        <v>0.79620933532714844</v>
      </c>
    </row>
    <row r="14475" spans="2:6">
      <c r="B14475">
        <v>2007</v>
      </c>
      <c r="C14475" t="s">
        <v>157</v>
      </c>
      <c r="D14475" t="s">
        <v>183</v>
      </c>
      <c r="E14475" t="s">
        <v>15</v>
      </c>
      <c r="F14475">
        <v>0.17741221189498901</v>
      </c>
    </row>
    <row r="14476" spans="2:6">
      <c r="B14476">
        <v>2008</v>
      </c>
      <c r="C14476" t="s">
        <v>157</v>
      </c>
      <c r="D14476" t="s">
        <v>183</v>
      </c>
      <c r="E14476" t="s">
        <v>7</v>
      </c>
      <c r="F14476">
        <v>7.5159974098205566</v>
      </c>
    </row>
    <row r="14477" spans="2:6">
      <c r="B14477">
        <v>2008</v>
      </c>
      <c r="C14477" t="s">
        <v>157</v>
      </c>
      <c r="D14477" t="s">
        <v>183</v>
      </c>
      <c r="E14477" t="s">
        <v>8</v>
      </c>
      <c r="F14477">
        <v>10.793308258056641</v>
      </c>
    </row>
    <row r="14478" spans="2:6">
      <c r="B14478">
        <v>2008</v>
      </c>
      <c r="C14478" t="s">
        <v>157</v>
      </c>
      <c r="D14478" t="s">
        <v>183</v>
      </c>
      <c r="E14478" t="s">
        <v>9</v>
      </c>
      <c r="F14478">
        <v>0.92309212684631348</v>
      </c>
    </row>
    <row r="14479" spans="2:6">
      <c r="B14479">
        <v>2008</v>
      </c>
      <c r="C14479" t="s">
        <v>157</v>
      </c>
      <c r="D14479" t="s">
        <v>183</v>
      </c>
      <c r="E14479" t="s">
        <v>10</v>
      </c>
      <c r="F14479">
        <v>71.620002746582031</v>
      </c>
    </row>
    <row r="14480" spans="2:6">
      <c r="B14480">
        <v>2008</v>
      </c>
      <c r="C14480" t="s">
        <v>157</v>
      </c>
      <c r="D14480" t="s">
        <v>183</v>
      </c>
      <c r="E14480" t="s">
        <v>11</v>
      </c>
      <c r="F14480">
        <v>0.91160929203033447</v>
      </c>
    </row>
    <row r="14481" spans="2:6">
      <c r="B14481">
        <v>2008</v>
      </c>
      <c r="C14481" t="s">
        <v>157</v>
      </c>
      <c r="D14481" t="s">
        <v>183</v>
      </c>
      <c r="E14481" t="s">
        <v>12</v>
      </c>
      <c r="F14481">
        <v>0.12524609267711639</v>
      </c>
    </row>
    <row r="14482" spans="2:6">
      <c r="B14482">
        <v>2008</v>
      </c>
      <c r="C14482" t="s">
        <v>157</v>
      </c>
      <c r="D14482" t="s">
        <v>183</v>
      </c>
      <c r="E14482" t="s">
        <v>13</v>
      </c>
      <c r="F14482">
        <v>0.3139612078666687</v>
      </c>
    </row>
    <row r="14483" spans="2:6">
      <c r="B14483">
        <v>2008</v>
      </c>
      <c r="C14483" t="s">
        <v>157</v>
      </c>
      <c r="D14483" t="s">
        <v>183</v>
      </c>
      <c r="E14483" t="s">
        <v>14</v>
      </c>
      <c r="F14483">
        <v>0.8044666051864624</v>
      </c>
    </row>
    <row r="14484" spans="2:6">
      <c r="B14484">
        <v>2008</v>
      </c>
      <c r="C14484" t="s">
        <v>157</v>
      </c>
      <c r="D14484" t="s">
        <v>183</v>
      </c>
      <c r="E14484" t="s">
        <v>15</v>
      </c>
      <c r="F14484">
        <v>0.1344030350446701</v>
      </c>
    </row>
    <row r="14485" spans="2:6">
      <c r="B14485">
        <v>2009</v>
      </c>
      <c r="C14485" t="s">
        <v>157</v>
      </c>
      <c r="D14485" t="s">
        <v>183</v>
      </c>
      <c r="E14485" t="s">
        <v>7</v>
      </c>
      <c r="F14485">
        <v>7.2659773826599121</v>
      </c>
    </row>
    <row r="14486" spans="2:6">
      <c r="B14486">
        <v>2009</v>
      </c>
      <c r="C14486" t="s">
        <v>157</v>
      </c>
      <c r="D14486" t="s">
        <v>183</v>
      </c>
      <c r="E14486" t="s">
        <v>8</v>
      </c>
      <c r="F14486">
        <v>10.740421295166016</v>
      </c>
    </row>
    <row r="14487" spans="2:6">
      <c r="B14487">
        <v>2009</v>
      </c>
      <c r="C14487" t="s">
        <v>157</v>
      </c>
      <c r="D14487" t="s">
        <v>183</v>
      </c>
      <c r="E14487" t="s">
        <v>9</v>
      </c>
      <c r="F14487">
        <v>0.90253299474716187</v>
      </c>
    </row>
    <row r="14488" spans="2:6">
      <c r="B14488">
        <v>2009</v>
      </c>
      <c r="C14488" t="s">
        <v>157</v>
      </c>
      <c r="D14488" t="s">
        <v>183</v>
      </c>
      <c r="E14488" t="s">
        <v>10</v>
      </c>
      <c r="F14488">
        <v>71.760002136230469</v>
      </c>
    </row>
    <row r="14489" spans="2:6">
      <c r="B14489">
        <v>2009</v>
      </c>
      <c r="C14489" t="s">
        <v>157</v>
      </c>
      <c r="D14489" t="s">
        <v>183</v>
      </c>
      <c r="E14489" t="s">
        <v>11</v>
      </c>
      <c r="F14489">
        <v>0.86400461196899414</v>
      </c>
    </row>
    <row r="14490" spans="2:6">
      <c r="B14490">
        <v>2009</v>
      </c>
      <c r="C14490" t="s">
        <v>157</v>
      </c>
      <c r="D14490" t="s">
        <v>183</v>
      </c>
      <c r="E14490" t="s">
        <v>12</v>
      </c>
      <c r="F14490">
        <v>0.22052791714668274</v>
      </c>
    </row>
    <row r="14491" spans="2:6">
      <c r="B14491">
        <v>2009</v>
      </c>
      <c r="C14491" t="s">
        <v>157</v>
      </c>
      <c r="D14491" t="s">
        <v>183</v>
      </c>
      <c r="E14491" t="s">
        <v>13</v>
      </c>
      <c r="F14491">
        <v>0.29211217164993286</v>
      </c>
    </row>
    <row r="14492" spans="2:6">
      <c r="B14492">
        <v>2009</v>
      </c>
      <c r="C14492" t="s">
        <v>157</v>
      </c>
      <c r="D14492" t="s">
        <v>183</v>
      </c>
      <c r="E14492" t="s">
        <v>14</v>
      </c>
      <c r="F14492">
        <v>0.81967842578887939</v>
      </c>
    </row>
    <row r="14493" spans="2:6">
      <c r="B14493">
        <v>2009</v>
      </c>
      <c r="C14493" t="s">
        <v>157</v>
      </c>
      <c r="D14493" t="s">
        <v>183</v>
      </c>
      <c r="E14493" t="s">
        <v>15</v>
      </c>
      <c r="F14493">
        <v>0.1513628363609314</v>
      </c>
    </row>
    <row r="14494" spans="2:6">
      <c r="B14494">
        <v>2010</v>
      </c>
      <c r="C14494" t="s">
        <v>157</v>
      </c>
      <c r="D14494" t="s">
        <v>183</v>
      </c>
      <c r="E14494" t="s">
        <v>7</v>
      </c>
      <c r="F14494">
        <v>7.4960188865661621</v>
      </c>
    </row>
    <row r="14495" spans="2:6">
      <c r="B14495">
        <v>2010</v>
      </c>
      <c r="C14495" t="s">
        <v>157</v>
      </c>
      <c r="D14495" t="s">
        <v>183</v>
      </c>
      <c r="E14495" t="s">
        <v>8</v>
      </c>
      <c r="F14495">
        <v>10.789713859558105</v>
      </c>
    </row>
    <row r="14496" spans="2:6">
      <c r="B14496">
        <v>2010</v>
      </c>
      <c r="C14496" t="s">
        <v>157</v>
      </c>
      <c r="D14496" t="s">
        <v>183</v>
      </c>
      <c r="E14496" t="s">
        <v>9</v>
      </c>
      <c r="F14496">
        <v>0.97024261951446533</v>
      </c>
    </row>
    <row r="14497" spans="2:6">
      <c r="B14497">
        <v>2010</v>
      </c>
      <c r="C14497" t="s">
        <v>157</v>
      </c>
      <c r="D14497" t="s">
        <v>183</v>
      </c>
      <c r="E14497" t="s">
        <v>10</v>
      </c>
      <c r="F14497">
        <v>71.900001525878906</v>
      </c>
    </row>
    <row r="14498" spans="2:6">
      <c r="B14498">
        <v>2010</v>
      </c>
      <c r="C14498" t="s">
        <v>157</v>
      </c>
      <c r="D14498" t="s">
        <v>183</v>
      </c>
      <c r="E14498" t="s">
        <v>11</v>
      </c>
      <c r="F14498">
        <v>0.90469998121261597</v>
      </c>
    </row>
    <row r="14499" spans="2:6">
      <c r="B14499">
        <v>2010</v>
      </c>
      <c r="C14499" t="s">
        <v>157</v>
      </c>
      <c r="D14499" t="s">
        <v>183</v>
      </c>
      <c r="E14499" t="s">
        <v>12</v>
      </c>
      <c r="F14499">
        <v>0.14138428866863251</v>
      </c>
    </row>
    <row r="14500" spans="2:6">
      <c r="B14500">
        <v>2010</v>
      </c>
      <c r="C14500" t="s">
        <v>157</v>
      </c>
      <c r="D14500" t="s">
        <v>183</v>
      </c>
      <c r="E14500" t="s">
        <v>13</v>
      </c>
      <c r="F14500">
        <v>0.25308665633201599</v>
      </c>
    </row>
    <row r="14501" spans="2:6">
      <c r="B14501">
        <v>2010</v>
      </c>
      <c r="C14501" t="s">
        <v>157</v>
      </c>
      <c r="D14501" t="s">
        <v>183</v>
      </c>
      <c r="E14501" t="s">
        <v>14</v>
      </c>
      <c r="F14501">
        <v>0.83303326368331909</v>
      </c>
    </row>
    <row r="14502" spans="2:6">
      <c r="B14502">
        <v>2010</v>
      </c>
      <c r="C14502" t="s">
        <v>157</v>
      </c>
      <c r="D14502" t="s">
        <v>183</v>
      </c>
      <c r="E14502" t="s">
        <v>15</v>
      </c>
      <c r="F14502">
        <v>0.20011202991008759</v>
      </c>
    </row>
    <row r="14503" spans="2:6">
      <c r="B14503">
        <v>2011</v>
      </c>
      <c r="C14503" t="s">
        <v>157</v>
      </c>
      <c r="D14503" t="s">
        <v>183</v>
      </c>
      <c r="E14503" t="s">
        <v>7</v>
      </c>
      <c r="F14503">
        <v>7.3822321891784668</v>
      </c>
    </row>
    <row r="14504" spans="2:6">
      <c r="B14504">
        <v>2011</v>
      </c>
      <c r="C14504" t="s">
        <v>157</v>
      </c>
      <c r="D14504" t="s">
        <v>183</v>
      </c>
      <c r="E14504" t="s">
        <v>8</v>
      </c>
      <c r="F14504">
        <v>10.813615798950195</v>
      </c>
    </row>
    <row r="14505" spans="2:6">
      <c r="B14505">
        <v>2011</v>
      </c>
      <c r="C14505" t="s">
        <v>157</v>
      </c>
      <c r="D14505" t="s">
        <v>183</v>
      </c>
      <c r="E14505" t="s">
        <v>9</v>
      </c>
      <c r="F14505">
        <v>0.92052125930786133</v>
      </c>
    </row>
    <row r="14506" spans="2:6">
      <c r="B14506">
        <v>2011</v>
      </c>
      <c r="C14506" t="s">
        <v>157</v>
      </c>
      <c r="D14506" t="s">
        <v>183</v>
      </c>
      <c r="E14506" t="s">
        <v>10</v>
      </c>
      <c r="F14506">
        <v>71.980003356933594</v>
      </c>
    </row>
    <row r="14507" spans="2:6">
      <c r="B14507">
        <v>2011</v>
      </c>
      <c r="C14507" t="s">
        <v>157</v>
      </c>
      <c r="D14507" t="s">
        <v>183</v>
      </c>
      <c r="E14507" t="s">
        <v>11</v>
      </c>
      <c r="F14507">
        <v>0.94111543893814087</v>
      </c>
    </row>
    <row r="14508" spans="2:6">
      <c r="B14508">
        <v>2011</v>
      </c>
      <c r="C14508" t="s">
        <v>157</v>
      </c>
      <c r="D14508" t="s">
        <v>183</v>
      </c>
      <c r="E14508" t="s">
        <v>12</v>
      </c>
      <c r="F14508">
        <v>0.16146005690097809</v>
      </c>
    </row>
    <row r="14509" spans="2:6">
      <c r="B14509">
        <v>2011</v>
      </c>
      <c r="C14509" t="s">
        <v>157</v>
      </c>
      <c r="D14509" t="s">
        <v>183</v>
      </c>
      <c r="E14509" t="s">
        <v>13</v>
      </c>
      <c r="F14509">
        <v>0.268513023853302</v>
      </c>
    </row>
    <row r="14510" spans="2:6">
      <c r="B14510">
        <v>2011</v>
      </c>
      <c r="C14510" t="s">
        <v>157</v>
      </c>
      <c r="D14510" t="s">
        <v>183</v>
      </c>
      <c r="E14510" t="s">
        <v>14</v>
      </c>
      <c r="F14510">
        <v>0.81456148624420166</v>
      </c>
    </row>
    <row r="14511" spans="2:6">
      <c r="B14511">
        <v>2011</v>
      </c>
      <c r="C14511" t="s">
        <v>157</v>
      </c>
      <c r="D14511" t="s">
        <v>183</v>
      </c>
      <c r="E14511" t="s">
        <v>15</v>
      </c>
      <c r="F14511">
        <v>0.1791519820690155</v>
      </c>
    </row>
    <row r="14512" spans="2:6">
      <c r="B14512">
        <v>2012</v>
      </c>
      <c r="C14512" t="s">
        <v>157</v>
      </c>
      <c r="D14512" t="s">
        <v>183</v>
      </c>
      <c r="E14512" t="s">
        <v>7</v>
      </c>
      <c r="F14512">
        <v>7.560147762298584</v>
      </c>
    </row>
    <row r="14513" spans="2:6">
      <c r="B14513">
        <v>2012</v>
      </c>
      <c r="C14513" t="s">
        <v>157</v>
      </c>
      <c r="D14513" t="s">
        <v>183</v>
      </c>
      <c r="E14513" t="s">
        <v>8</v>
      </c>
      <c r="F14513">
        <v>10.800317764282227</v>
      </c>
    </row>
    <row r="14514" spans="2:6">
      <c r="B14514">
        <v>2012</v>
      </c>
      <c r="C14514" t="s">
        <v>157</v>
      </c>
      <c r="D14514" t="s">
        <v>183</v>
      </c>
      <c r="E14514" t="s">
        <v>9</v>
      </c>
      <c r="F14514">
        <v>0.92939746379852295</v>
      </c>
    </row>
    <row r="14515" spans="2:6">
      <c r="B14515">
        <v>2012</v>
      </c>
      <c r="C14515" t="s">
        <v>157</v>
      </c>
      <c r="D14515" t="s">
        <v>183</v>
      </c>
      <c r="E14515" t="s">
        <v>10</v>
      </c>
      <c r="F14515">
        <v>72.05999755859375</v>
      </c>
    </row>
    <row r="14516" spans="2:6">
      <c r="B14516">
        <v>2012</v>
      </c>
      <c r="C14516" t="s">
        <v>157</v>
      </c>
      <c r="D14516" t="s">
        <v>183</v>
      </c>
      <c r="E14516" t="s">
        <v>11</v>
      </c>
      <c r="F14516">
        <v>0.9443821907043457</v>
      </c>
    </row>
    <row r="14517" spans="2:6">
      <c r="B14517">
        <v>2012</v>
      </c>
      <c r="C14517" t="s">
        <v>157</v>
      </c>
      <c r="D14517" t="s">
        <v>183</v>
      </c>
      <c r="E14517" t="s">
        <v>12</v>
      </c>
      <c r="F14517">
        <v>0.13192212581634521</v>
      </c>
    </row>
    <row r="14518" spans="2:6">
      <c r="B14518">
        <v>2012</v>
      </c>
      <c r="C14518" t="s">
        <v>157</v>
      </c>
      <c r="D14518" t="s">
        <v>183</v>
      </c>
      <c r="E14518" t="s">
        <v>13</v>
      </c>
      <c r="F14518">
        <v>0.25354310870170593</v>
      </c>
    </row>
    <row r="14519" spans="2:6">
      <c r="B14519">
        <v>2012</v>
      </c>
      <c r="C14519" t="s">
        <v>157</v>
      </c>
      <c r="D14519" t="s">
        <v>183</v>
      </c>
      <c r="E14519" t="s">
        <v>14</v>
      </c>
      <c r="F14519">
        <v>0.85509997606277466</v>
      </c>
    </row>
    <row r="14520" spans="2:6">
      <c r="B14520">
        <v>2012</v>
      </c>
      <c r="C14520" t="s">
        <v>157</v>
      </c>
      <c r="D14520" t="s">
        <v>183</v>
      </c>
      <c r="E14520" t="s">
        <v>15</v>
      </c>
      <c r="F14520">
        <v>0.17022612690925598</v>
      </c>
    </row>
    <row r="14521" spans="2:6">
      <c r="B14521">
        <v>2013</v>
      </c>
      <c r="C14521" t="s">
        <v>157</v>
      </c>
      <c r="D14521" t="s">
        <v>183</v>
      </c>
      <c r="E14521" t="s">
        <v>7</v>
      </c>
      <c r="F14521">
        <v>7.4340105056762695</v>
      </c>
    </row>
    <row r="14522" spans="2:6">
      <c r="B14522">
        <v>2013</v>
      </c>
      <c r="C14522" t="s">
        <v>157</v>
      </c>
      <c r="D14522" t="s">
        <v>183</v>
      </c>
      <c r="E14522" t="s">
        <v>8</v>
      </c>
      <c r="F14522">
        <v>10.803651809692383</v>
      </c>
    </row>
    <row r="14523" spans="2:6">
      <c r="B14523">
        <v>2013</v>
      </c>
      <c r="C14523" t="s">
        <v>157</v>
      </c>
      <c r="D14523" t="s">
        <v>183</v>
      </c>
      <c r="E14523" t="s">
        <v>9</v>
      </c>
      <c r="F14523">
        <v>0.91564804315567017</v>
      </c>
    </row>
    <row r="14524" spans="2:6">
      <c r="B14524">
        <v>2013</v>
      </c>
      <c r="C14524" t="s">
        <v>157</v>
      </c>
      <c r="D14524" t="s">
        <v>183</v>
      </c>
      <c r="E14524" t="s">
        <v>10</v>
      </c>
      <c r="F14524">
        <v>72.139999389648438</v>
      </c>
    </row>
    <row r="14525" spans="2:6">
      <c r="B14525">
        <v>2013</v>
      </c>
      <c r="C14525" t="s">
        <v>157</v>
      </c>
      <c r="D14525" t="s">
        <v>183</v>
      </c>
      <c r="E14525" t="s">
        <v>11</v>
      </c>
      <c r="F14525">
        <v>0.93591052293777466</v>
      </c>
    </row>
    <row r="14526" spans="2:6">
      <c r="B14526">
        <v>2013</v>
      </c>
      <c r="C14526" t="s">
        <v>157</v>
      </c>
      <c r="D14526" t="s">
        <v>183</v>
      </c>
      <c r="E14526" t="s">
        <v>12</v>
      </c>
      <c r="F14526">
        <v>0.15888009965419769</v>
      </c>
    </row>
    <row r="14527" spans="2:6">
      <c r="B14527">
        <v>2013</v>
      </c>
      <c r="C14527" t="s">
        <v>157</v>
      </c>
      <c r="D14527" t="s">
        <v>183</v>
      </c>
      <c r="E14527" t="s">
        <v>13</v>
      </c>
      <c r="F14527">
        <v>0.3244815468788147</v>
      </c>
    </row>
    <row r="14528" spans="2:6">
      <c r="B14528">
        <v>2013</v>
      </c>
      <c r="C14528" t="s">
        <v>157</v>
      </c>
      <c r="D14528" t="s">
        <v>183</v>
      </c>
      <c r="E14528" t="s">
        <v>14</v>
      </c>
      <c r="F14528">
        <v>0.82928401231765747</v>
      </c>
    </row>
    <row r="14529" spans="2:6">
      <c r="B14529">
        <v>2013</v>
      </c>
      <c r="C14529" t="s">
        <v>157</v>
      </c>
      <c r="D14529" t="s">
        <v>183</v>
      </c>
      <c r="E14529" t="s">
        <v>15</v>
      </c>
      <c r="F14529">
        <v>0.18442030251026154</v>
      </c>
    </row>
    <row r="14530" spans="2:6">
      <c r="B14530">
        <v>2014</v>
      </c>
      <c r="C14530" t="s">
        <v>157</v>
      </c>
      <c r="D14530" t="s">
        <v>183</v>
      </c>
      <c r="E14530" t="s">
        <v>7</v>
      </c>
      <c r="F14530">
        <v>7.2391476631164551</v>
      </c>
    </row>
    <row r="14531" spans="2:6">
      <c r="B14531">
        <v>2014</v>
      </c>
      <c r="C14531" t="s">
        <v>157</v>
      </c>
      <c r="D14531" t="s">
        <v>183</v>
      </c>
      <c r="E14531" t="s">
        <v>8</v>
      </c>
      <c r="F14531">
        <v>10.819960594177246</v>
      </c>
    </row>
    <row r="14532" spans="2:6">
      <c r="B14532">
        <v>2014</v>
      </c>
      <c r="C14532" t="s">
        <v>157</v>
      </c>
      <c r="D14532" t="s">
        <v>183</v>
      </c>
      <c r="E14532" t="s">
        <v>9</v>
      </c>
      <c r="F14532">
        <v>0.93271982669830322</v>
      </c>
    </row>
    <row r="14533" spans="2:6">
      <c r="B14533">
        <v>2014</v>
      </c>
      <c r="C14533" t="s">
        <v>157</v>
      </c>
      <c r="D14533" t="s">
        <v>183</v>
      </c>
      <c r="E14533" t="s">
        <v>10</v>
      </c>
      <c r="F14533">
        <v>72.220001220703125</v>
      </c>
    </row>
    <row r="14534" spans="2:6">
      <c r="B14534">
        <v>2014</v>
      </c>
      <c r="C14534" t="s">
        <v>157</v>
      </c>
      <c r="D14534" t="s">
        <v>183</v>
      </c>
      <c r="E14534" t="s">
        <v>11</v>
      </c>
      <c r="F14534">
        <v>0.94527339935302734</v>
      </c>
    </row>
    <row r="14535" spans="2:6">
      <c r="B14535">
        <v>2014</v>
      </c>
      <c r="C14535" t="s">
        <v>157</v>
      </c>
      <c r="D14535" t="s">
        <v>183</v>
      </c>
      <c r="E14535" t="s">
        <v>12</v>
      </c>
      <c r="F14535">
        <v>0.20171402394771576</v>
      </c>
    </row>
    <row r="14536" spans="2:6">
      <c r="B14536">
        <v>2014</v>
      </c>
      <c r="C14536" t="s">
        <v>157</v>
      </c>
      <c r="D14536" t="s">
        <v>183</v>
      </c>
      <c r="E14536" t="s">
        <v>13</v>
      </c>
      <c r="F14536">
        <v>0.25038999319076538</v>
      </c>
    </row>
    <row r="14537" spans="2:6">
      <c r="B14537">
        <v>2014</v>
      </c>
      <c r="C14537" t="s">
        <v>157</v>
      </c>
      <c r="D14537" t="s">
        <v>183</v>
      </c>
      <c r="E14537" t="s">
        <v>14</v>
      </c>
      <c r="F14537">
        <v>0.83567225933074951</v>
      </c>
    </row>
    <row r="14538" spans="2:6">
      <c r="B14538">
        <v>2014</v>
      </c>
      <c r="C14538" t="s">
        <v>157</v>
      </c>
      <c r="D14538" t="s">
        <v>183</v>
      </c>
      <c r="E14538" t="s">
        <v>15</v>
      </c>
      <c r="F14538">
        <v>0.20768831670284271</v>
      </c>
    </row>
    <row r="14539" spans="2:6">
      <c r="B14539">
        <v>2015</v>
      </c>
      <c r="C14539" t="s">
        <v>157</v>
      </c>
      <c r="D14539" t="s">
        <v>183</v>
      </c>
      <c r="E14539" t="s">
        <v>7</v>
      </c>
      <c r="F14539">
        <v>7.2889223098754883</v>
      </c>
    </row>
    <row r="14540" spans="2:6">
      <c r="B14540">
        <v>2015</v>
      </c>
      <c r="C14540" t="s">
        <v>157</v>
      </c>
      <c r="D14540" t="s">
        <v>183</v>
      </c>
      <c r="E14540" t="s">
        <v>8</v>
      </c>
      <c r="F14540">
        <v>10.853300094604492</v>
      </c>
    </row>
    <row r="14541" spans="2:6">
      <c r="B14541">
        <v>2015</v>
      </c>
      <c r="C14541" t="s">
        <v>157</v>
      </c>
      <c r="D14541" t="s">
        <v>183</v>
      </c>
      <c r="E14541" t="s">
        <v>9</v>
      </c>
      <c r="F14541">
        <v>0.92945998907089233</v>
      </c>
    </row>
    <row r="14542" spans="2:6">
      <c r="B14542">
        <v>2015</v>
      </c>
      <c r="C14542" t="s">
        <v>157</v>
      </c>
      <c r="D14542" t="s">
        <v>183</v>
      </c>
      <c r="E14542" t="s">
        <v>10</v>
      </c>
      <c r="F14542">
        <v>72.300003051757813</v>
      </c>
    </row>
    <row r="14543" spans="2:6">
      <c r="B14543">
        <v>2015</v>
      </c>
      <c r="C14543" t="s">
        <v>157</v>
      </c>
      <c r="D14543" t="s">
        <v>183</v>
      </c>
      <c r="E14543" t="s">
        <v>11</v>
      </c>
      <c r="F14543">
        <v>0.93507206439971924</v>
      </c>
    </row>
    <row r="14544" spans="2:6">
      <c r="B14544">
        <v>2015</v>
      </c>
      <c r="C14544" t="s">
        <v>157</v>
      </c>
      <c r="D14544" t="s">
        <v>183</v>
      </c>
      <c r="E14544" t="s">
        <v>12</v>
      </c>
      <c r="F14544">
        <v>0.21117615699768066</v>
      </c>
    </row>
    <row r="14545" spans="2:6">
      <c r="B14545">
        <v>2015</v>
      </c>
      <c r="C14545" t="s">
        <v>157</v>
      </c>
      <c r="D14545" t="s">
        <v>183</v>
      </c>
      <c r="E14545" t="s">
        <v>13</v>
      </c>
      <c r="F14545">
        <v>0.23196414113044739</v>
      </c>
    </row>
    <row r="14546" spans="2:6">
      <c r="B14546">
        <v>2015</v>
      </c>
      <c r="C14546" t="s">
        <v>157</v>
      </c>
      <c r="D14546" t="s">
        <v>183</v>
      </c>
      <c r="E14546" t="s">
        <v>14</v>
      </c>
      <c r="F14546">
        <v>0.81794196367263794</v>
      </c>
    </row>
    <row r="14547" spans="2:6">
      <c r="B14547">
        <v>2015</v>
      </c>
      <c r="C14547" t="s">
        <v>157</v>
      </c>
      <c r="D14547" t="s">
        <v>183</v>
      </c>
      <c r="E14547" t="s">
        <v>15</v>
      </c>
      <c r="F14547">
        <v>0.19099177420139313</v>
      </c>
    </row>
    <row r="14548" spans="2:6">
      <c r="B14548">
        <v>2016</v>
      </c>
      <c r="C14548" t="s">
        <v>157</v>
      </c>
      <c r="D14548" t="s">
        <v>183</v>
      </c>
      <c r="E14548" t="s">
        <v>7</v>
      </c>
      <c r="F14548">
        <v>7.3687443733215332</v>
      </c>
    </row>
    <row r="14549" spans="2:6">
      <c r="B14549">
        <v>2016</v>
      </c>
      <c r="C14549" t="s">
        <v>157</v>
      </c>
      <c r="D14549" t="s">
        <v>183</v>
      </c>
      <c r="E14549" t="s">
        <v>8</v>
      </c>
      <c r="F14549">
        <v>10.86122989654541</v>
      </c>
    </row>
    <row r="14550" spans="2:6">
      <c r="B14550">
        <v>2016</v>
      </c>
      <c r="C14550" t="s">
        <v>157</v>
      </c>
      <c r="D14550" t="s">
        <v>183</v>
      </c>
      <c r="E14550" t="s">
        <v>9</v>
      </c>
      <c r="F14550">
        <v>0.91206067800521851</v>
      </c>
    </row>
    <row r="14551" spans="2:6">
      <c r="B14551">
        <v>2016</v>
      </c>
      <c r="C14551" t="s">
        <v>157</v>
      </c>
      <c r="D14551" t="s">
        <v>183</v>
      </c>
      <c r="E14551" t="s">
        <v>10</v>
      </c>
      <c r="F14551">
        <v>72.400001525878906</v>
      </c>
    </row>
    <row r="14552" spans="2:6">
      <c r="B14552">
        <v>2016</v>
      </c>
      <c r="C14552" t="s">
        <v>157</v>
      </c>
      <c r="D14552" t="s">
        <v>183</v>
      </c>
      <c r="E14552" t="s">
        <v>11</v>
      </c>
      <c r="F14552">
        <v>0.91803640127182007</v>
      </c>
    </row>
    <row r="14553" spans="2:6">
      <c r="B14553">
        <v>2016</v>
      </c>
      <c r="C14553" t="s">
        <v>157</v>
      </c>
      <c r="D14553" t="s">
        <v>183</v>
      </c>
      <c r="E14553" t="s">
        <v>12</v>
      </c>
      <c r="F14553">
        <v>0.14573439955711365</v>
      </c>
    </row>
    <row r="14554" spans="2:6">
      <c r="B14554">
        <v>2016</v>
      </c>
      <c r="C14554" t="s">
        <v>157</v>
      </c>
      <c r="D14554" t="s">
        <v>183</v>
      </c>
      <c r="E14554" t="s">
        <v>13</v>
      </c>
      <c r="F14554">
        <v>0.24618244171142578</v>
      </c>
    </row>
    <row r="14555" spans="2:6">
      <c r="B14555">
        <v>2016</v>
      </c>
      <c r="C14555" t="s">
        <v>157</v>
      </c>
      <c r="D14555" t="s">
        <v>183</v>
      </c>
      <c r="E14555" t="s">
        <v>14</v>
      </c>
      <c r="F14555">
        <v>0.81569510698318481</v>
      </c>
    </row>
    <row r="14556" spans="2:6">
      <c r="B14556">
        <v>2016</v>
      </c>
      <c r="C14556" t="s">
        <v>157</v>
      </c>
      <c r="D14556" t="s">
        <v>183</v>
      </c>
      <c r="E14556" t="s">
        <v>15</v>
      </c>
      <c r="F14556">
        <v>0.20060691237449646</v>
      </c>
    </row>
    <row r="14557" spans="2:6">
      <c r="B14557">
        <v>2017</v>
      </c>
      <c r="C14557" t="s">
        <v>157</v>
      </c>
      <c r="D14557" t="s">
        <v>183</v>
      </c>
      <c r="E14557" t="s">
        <v>7</v>
      </c>
      <c r="F14557">
        <v>7.2868046760559082</v>
      </c>
    </row>
    <row r="14558" spans="2:6">
      <c r="B14558">
        <v>2017</v>
      </c>
      <c r="C14558" t="s">
        <v>157</v>
      </c>
      <c r="D14558" t="s">
        <v>183</v>
      </c>
      <c r="E14558" t="s">
        <v>8</v>
      </c>
      <c r="F14558">
        <v>10.873110771179199</v>
      </c>
    </row>
    <row r="14559" spans="2:6">
      <c r="B14559">
        <v>2017</v>
      </c>
      <c r="C14559" t="s">
        <v>157</v>
      </c>
      <c r="D14559" t="s">
        <v>183</v>
      </c>
      <c r="E14559" t="s">
        <v>9</v>
      </c>
      <c r="F14559">
        <v>0.91401678323745728</v>
      </c>
    </row>
    <row r="14560" spans="2:6">
      <c r="B14560">
        <v>2017</v>
      </c>
      <c r="C14560" t="s">
        <v>157</v>
      </c>
      <c r="D14560" t="s">
        <v>183</v>
      </c>
      <c r="E14560" t="s">
        <v>10</v>
      </c>
      <c r="F14560">
        <v>72.5</v>
      </c>
    </row>
    <row r="14561" spans="2:6">
      <c r="B14561">
        <v>2017</v>
      </c>
      <c r="C14561" t="s">
        <v>157</v>
      </c>
      <c r="D14561" t="s">
        <v>183</v>
      </c>
      <c r="E14561" t="s">
        <v>11</v>
      </c>
      <c r="F14561">
        <v>0.93458211421966553</v>
      </c>
    </row>
    <row r="14562" spans="2:6">
      <c r="B14562">
        <v>2017</v>
      </c>
      <c r="C14562" t="s">
        <v>157</v>
      </c>
      <c r="D14562" t="s">
        <v>183</v>
      </c>
      <c r="E14562" t="s">
        <v>12</v>
      </c>
      <c r="F14562">
        <v>0.17027430236339569</v>
      </c>
    </row>
    <row r="14563" spans="2:6">
      <c r="B14563">
        <v>2017</v>
      </c>
      <c r="C14563" t="s">
        <v>157</v>
      </c>
      <c r="D14563" t="s">
        <v>183</v>
      </c>
      <c r="E14563" t="s">
        <v>13</v>
      </c>
      <c r="F14563">
        <v>0.23936691880226135</v>
      </c>
    </row>
    <row r="14564" spans="2:6">
      <c r="B14564">
        <v>2017</v>
      </c>
      <c r="C14564" t="s">
        <v>157</v>
      </c>
      <c r="D14564" t="s">
        <v>183</v>
      </c>
      <c r="E14564" t="s">
        <v>14</v>
      </c>
      <c r="F14564">
        <v>0.81354779005050659</v>
      </c>
    </row>
    <row r="14565" spans="2:6">
      <c r="B14565">
        <v>2017</v>
      </c>
      <c r="C14565" t="s">
        <v>157</v>
      </c>
      <c r="D14565" t="s">
        <v>183</v>
      </c>
      <c r="E14565" t="s">
        <v>15</v>
      </c>
      <c r="F14565">
        <v>0.17506682872772217</v>
      </c>
    </row>
    <row r="14566" spans="2:6">
      <c r="B14566">
        <v>2018</v>
      </c>
      <c r="C14566" t="s">
        <v>157</v>
      </c>
      <c r="D14566" t="s">
        <v>183</v>
      </c>
      <c r="E14566" t="s">
        <v>7</v>
      </c>
      <c r="F14566">
        <v>7.3747920989990234</v>
      </c>
    </row>
    <row r="14567" spans="2:6">
      <c r="B14567">
        <v>2018</v>
      </c>
      <c r="C14567" t="s">
        <v>157</v>
      </c>
      <c r="D14567" t="s">
        <v>183</v>
      </c>
      <c r="E14567" t="s">
        <v>8</v>
      </c>
      <c r="F14567">
        <v>10.880806922912598</v>
      </c>
    </row>
    <row r="14568" spans="2:6">
      <c r="B14568">
        <v>2018</v>
      </c>
      <c r="C14568" t="s">
        <v>157</v>
      </c>
      <c r="D14568" t="s">
        <v>183</v>
      </c>
      <c r="E14568" t="s">
        <v>9</v>
      </c>
      <c r="F14568">
        <v>0.9306795597076416</v>
      </c>
    </row>
    <row r="14569" spans="2:6">
      <c r="B14569">
        <v>2018</v>
      </c>
      <c r="C14569" t="s">
        <v>157</v>
      </c>
      <c r="D14569" t="s">
        <v>183</v>
      </c>
      <c r="E14569" t="s">
        <v>10</v>
      </c>
      <c r="F14569">
        <v>72.599998474121094</v>
      </c>
    </row>
    <row r="14570" spans="2:6">
      <c r="B14570">
        <v>2018</v>
      </c>
      <c r="C14570" t="s">
        <v>157</v>
      </c>
      <c r="D14570" t="s">
        <v>183</v>
      </c>
      <c r="E14570" t="s">
        <v>11</v>
      </c>
      <c r="F14570">
        <v>0.94172465801239014</v>
      </c>
    </row>
    <row r="14571" spans="2:6">
      <c r="B14571">
        <v>2018</v>
      </c>
      <c r="C14571" t="s">
        <v>157</v>
      </c>
      <c r="D14571" t="s">
        <v>183</v>
      </c>
      <c r="E14571" t="s">
        <v>12</v>
      </c>
      <c r="F14571">
        <v>7.6688162982463837E-2</v>
      </c>
    </row>
    <row r="14572" spans="2:6">
      <c r="B14572">
        <v>2018</v>
      </c>
      <c r="C14572" t="s">
        <v>157</v>
      </c>
      <c r="D14572" t="s">
        <v>183</v>
      </c>
      <c r="E14572" t="s">
        <v>13</v>
      </c>
      <c r="F14572">
        <v>0.26279658079147339</v>
      </c>
    </row>
    <row r="14573" spans="2:6">
      <c r="B14573">
        <v>2018</v>
      </c>
      <c r="C14573" t="s">
        <v>157</v>
      </c>
      <c r="D14573" t="s">
        <v>183</v>
      </c>
      <c r="E14573" t="s">
        <v>14</v>
      </c>
      <c r="F14573">
        <v>0.82267570495605469</v>
      </c>
    </row>
    <row r="14574" spans="2:6">
      <c r="B14574">
        <v>2018</v>
      </c>
      <c r="C14574" t="s">
        <v>157</v>
      </c>
      <c r="D14574" t="s">
        <v>183</v>
      </c>
      <c r="E14574" t="s">
        <v>15</v>
      </c>
      <c r="F14574">
        <v>0.16075542569160461</v>
      </c>
    </row>
    <row r="14575" spans="2:6">
      <c r="B14575">
        <v>2019</v>
      </c>
      <c r="C14575" t="s">
        <v>157</v>
      </c>
      <c r="D14575" t="s">
        <v>183</v>
      </c>
      <c r="E14575" t="s">
        <v>7</v>
      </c>
      <c r="F14575">
        <v>7.3980927467346191</v>
      </c>
    </row>
    <row r="14576" spans="2:6">
      <c r="B14576">
        <v>2019</v>
      </c>
      <c r="C14576" t="s">
        <v>157</v>
      </c>
      <c r="D14576" t="s">
        <v>183</v>
      </c>
      <c r="E14576" t="s">
        <v>8</v>
      </c>
      <c r="F14576">
        <v>10.881908416748047</v>
      </c>
    </row>
    <row r="14577" spans="2:6">
      <c r="B14577">
        <v>2019</v>
      </c>
      <c r="C14577" t="s">
        <v>157</v>
      </c>
      <c r="D14577" t="s">
        <v>183</v>
      </c>
      <c r="E14577" t="s">
        <v>9</v>
      </c>
      <c r="F14577">
        <v>0.93364506959915161</v>
      </c>
    </row>
    <row r="14578" spans="2:6">
      <c r="B14578">
        <v>2019</v>
      </c>
      <c r="C14578" t="s">
        <v>157</v>
      </c>
      <c r="D14578" t="s">
        <v>183</v>
      </c>
      <c r="E14578" t="s">
        <v>10</v>
      </c>
      <c r="F14578">
        <v>72.699996948242188</v>
      </c>
    </row>
    <row r="14579" spans="2:6">
      <c r="B14579">
        <v>2019</v>
      </c>
      <c r="C14579" t="s">
        <v>157</v>
      </c>
      <c r="D14579" t="s">
        <v>183</v>
      </c>
      <c r="E14579" t="s">
        <v>11</v>
      </c>
      <c r="F14579">
        <v>0.94151520729064941</v>
      </c>
    </row>
    <row r="14580" spans="2:6">
      <c r="B14580">
        <v>2019</v>
      </c>
      <c r="C14580" t="s">
        <v>157</v>
      </c>
      <c r="D14580" t="s">
        <v>183</v>
      </c>
      <c r="E14580" t="s">
        <v>12</v>
      </c>
      <c r="F14580">
        <v>9.1022036969661713E-2</v>
      </c>
    </row>
    <row r="14581" spans="2:6">
      <c r="B14581">
        <v>2019</v>
      </c>
      <c r="C14581" t="s">
        <v>157</v>
      </c>
      <c r="D14581" t="s">
        <v>183</v>
      </c>
      <c r="E14581" t="s">
        <v>13</v>
      </c>
      <c r="F14581">
        <v>0.2500879168510437</v>
      </c>
    </row>
    <row r="14582" spans="2:6">
      <c r="B14582">
        <v>2019</v>
      </c>
      <c r="C14582" t="s">
        <v>157</v>
      </c>
      <c r="D14582" t="s">
        <v>183</v>
      </c>
      <c r="E14582" t="s">
        <v>14</v>
      </c>
      <c r="F14582">
        <v>0.82628351449966431</v>
      </c>
    </row>
    <row r="14583" spans="2:6">
      <c r="B14583">
        <v>2019</v>
      </c>
      <c r="C14583" t="s">
        <v>157</v>
      </c>
      <c r="D14583" t="s">
        <v>183</v>
      </c>
      <c r="E14583" t="s">
        <v>15</v>
      </c>
      <c r="F14583">
        <v>0.20199970901012421</v>
      </c>
    </row>
    <row r="14584" spans="2:6">
      <c r="B14584">
        <v>2020</v>
      </c>
      <c r="C14584" t="s">
        <v>157</v>
      </c>
      <c r="D14584" t="s">
        <v>183</v>
      </c>
      <c r="E14584" t="s">
        <v>7</v>
      </c>
      <c r="F14584">
        <v>7.3143410682678223</v>
      </c>
    </row>
    <row r="14585" spans="2:6">
      <c r="B14585">
        <v>2020</v>
      </c>
      <c r="C14585" t="s">
        <v>157</v>
      </c>
      <c r="D14585" t="s">
        <v>183</v>
      </c>
      <c r="E14585" t="s">
        <v>8</v>
      </c>
      <c r="F14585">
        <v>10.83790397644043</v>
      </c>
    </row>
    <row r="14586" spans="2:6">
      <c r="B14586">
        <v>2020</v>
      </c>
      <c r="C14586" t="s">
        <v>157</v>
      </c>
      <c r="D14586" t="s">
        <v>183</v>
      </c>
      <c r="E14586" t="s">
        <v>9</v>
      </c>
      <c r="F14586">
        <v>0.93558233976364136</v>
      </c>
    </row>
    <row r="14587" spans="2:6">
      <c r="B14587">
        <v>2020</v>
      </c>
      <c r="C14587" t="s">
        <v>157</v>
      </c>
      <c r="D14587" t="s">
        <v>183</v>
      </c>
      <c r="E14587" t="s">
        <v>10</v>
      </c>
      <c r="F14587">
        <v>72.800003051757813</v>
      </c>
    </row>
    <row r="14588" spans="2:6">
      <c r="B14588">
        <v>2020</v>
      </c>
      <c r="C14588" t="s">
        <v>157</v>
      </c>
      <c r="D14588" t="s">
        <v>183</v>
      </c>
      <c r="E14588" t="s">
        <v>11</v>
      </c>
      <c r="F14588">
        <v>0.95118159055709839</v>
      </c>
    </row>
    <row r="14589" spans="2:6">
      <c r="B14589">
        <v>2020</v>
      </c>
      <c r="C14589" t="s">
        <v>157</v>
      </c>
      <c r="D14589" t="s">
        <v>183</v>
      </c>
      <c r="E14589" t="s">
        <v>12</v>
      </c>
      <c r="F14589">
        <v>9.0818449854850769E-2</v>
      </c>
    </row>
    <row r="14590" spans="2:6">
      <c r="B14590">
        <v>2020</v>
      </c>
      <c r="C14590" t="s">
        <v>157</v>
      </c>
      <c r="D14590" t="s">
        <v>183</v>
      </c>
      <c r="E14590" t="s">
        <v>13</v>
      </c>
      <c r="F14590">
        <v>0.20344014465808868</v>
      </c>
    </row>
    <row r="14591" spans="2:6">
      <c r="B14591">
        <v>2020</v>
      </c>
      <c r="C14591" t="s">
        <v>157</v>
      </c>
      <c r="D14591" t="s">
        <v>183</v>
      </c>
      <c r="E14591" t="s">
        <v>14</v>
      </c>
      <c r="F14591">
        <v>0.7663760781288147</v>
      </c>
    </row>
    <row r="14592" spans="2:6">
      <c r="B14592">
        <v>2020</v>
      </c>
      <c r="C14592" t="s">
        <v>157</v>
      </c>
      <c r="D14592" t="s">
        <v>183</v>
      </c>
      <c r="E14592" t="s">
        <v>15</v>
      </c>
      <c r="F14592">
        <v>0.22193329036235809</v>
      </c>
    </row>
    <row r="14593" spans="2:6">
      <c r="B14593">
        <v>2006</v>
      </c>
      <c r="C14593" t="s">
        <v>158</v>
      </c>
      <c r="D14593" t="s">
        <v>183</v>
      </c>
      <c r="E14593" t="s">
        <v>7</v>
      </c>
      <c r="F14593">
        <v>7.4732527732849121</v>
      </c>
    </row>
    <row r="14594" spans="2:6">
      <c r="B14594">
        <v>2006</v>
      </c>
      <c r="C14594" t="s">
        <v>158</v>
      </c>
      <c r="D14594" t="s">
        <v>183</v>
      </c>
      <c r="E14594" t="s">
        <v>8</v>
      </c>
      <c r="F14594">
        <v>11.049914360046387</v>
      </c>
    </row>
    <row r="14595" spans="2:6">
      <c r="B14595">
        <v>2006</v>
      </c>
      <c r="C14595" t="s">
        <v>158</v>
      </c>
      <c r="D14595" t="s">
        <v>183</v>
      </c>
      <c r="E14595" t="s">
        <v>9</v>
      </c>
      <c r="F14595">
        <v>0.95135211944580078</v>
      </c>
    </row>
    <row r="14596" spans="2:6">
      <c r="B14596">
        <v>2006</v>
      </c>
      <c r="C14596" t="s">
        <v>158</v>
      </c>
      <c r="D14596" t="s">
        <v>183</v>
      </c>
      <c r="E14596" t="s">
        <v>10</v>
      </c>
      <c r="F14596">
        <v>71.540000915527344</v>
      </c>
    </row>
    <row r="14597" spans="2:6">
      <c r="B14597">
        <v>2006</v>
      </c>
      <c r="C14597" t="s">
        <v>158</v>
      </c>
      <c r="D14597" t="s">
        <v>183</v>
      </c>
      <c r="E14597" t="s">
        <v>11</v>
      </c>
      <c r="F14597">
        <v>0.91895771026611328</v>
      </c>
    </row>
    <row r="14598" spans="2:6">
      <c r="B14598">
        <v>2006</v>
      </c>
      <c r="C14598" t="s">
        <v>158</v>
      </c>
      <c r="D14598" t="s">
        <v>183</v>
      </c>
      <c r="E14598" t="s">
        <v>12</v>
      </c>
      <c r="F14598">
        <v>0.29045590758323669</v>
      </c>
    </row>
    <row r="14599" spans="2:6">
      <c r="B14599">
        <v>2006</v>
      </c>
      <c r="C14599" t="s">
        <v>158</v>
      </c>
      <c r="D14599" t="s">
        <v>183</v>
      </c>
      <c r="E14599" t="s">
        <v>13</v>
      </c>
      <c r="F14599">
        <v>0.40793141722679138</v>
      </c>
    </row>
    <row r="14600" spans="2:6">
      <c r="B14600">
        <v>2006</v>
      </c>
      <c r="C14600" t="s">
        <v>158</v>
      </c>
      <c r="D14600" t="s">
        <v>183</v>
      </c>
      <c r="E14600" t="s">
        <v>14</v>
      </c>
      <c r="F14600">
        <v>0.82140243053436279</v>
      </c>
    </row>
    <row r="14601" spans="2:6">
      <c r="B14601">
        <v>2006</v>
      </c>
      <c r="C14601" t="s">
        <v>158</v>
      </c>
      <c r="D14601" t="s">
        <v>183</v>
      </c>
      <c r="E14601" t="s">
        <v>15</v>
      </c>
      <c r="F14601">
        <v>0.21192933619022369</v>
      </c>
    </row>
    <row r="14602" spans="2:6">
      <c r="B14602">
        <v>2009</v>
      </c>
      <c r="C14602" t="s">
        <v>158</v>
      </c>
      <c r="D14602" t="s">
        <v>183</v>
      </c>
      <c r="E14602" t="s">
        <v>7</v>
      </c>
      <c r="F14602">
        <v>7.5245208740234375</v>
      </c>
    </row>
    <row r="14603" spans="2:6">
      <c r="B14603">
        <v>2009</v>
      </c>
      <c r="C14603" t="s">
        <v>158</v>
      </c>
      <c r="D14603" t="s">
        <v>183</v>
      </c>
      <c r="E14603" t="s">
        <v>8</v>
      </c>
      <c r="F14603">
        <v>11.054919242858887</v>
      </c>
    </row>
    <row r="14604" spans="2:6">
      <c r="B14604">
        <v>2009</v>
      </c>
      <c r="C14604" t="s">
        <v>158</v>
      </c>
      <c r="D14604" t="s">
        <v>183</v>
      </c>
      <c r="E14604" t="s">
        <v>9</v>
      </c>
      <c r="F14604">
        <v>0.93833929300308228</v>
      </c>
    </row>
    <row r="14605" spans="2:6">
      <c r="B14605">
        <v>2009</v>
      </c>
      <c r="C14605" t="s">
        <v>158</v>
      </c>
      <c r="D14605" t="s">
        <v>183</v>
      </c>
      <c r="E14605" t="s">
        <v>10</v>
      </c>
      <c r="F14605">
        <v>72.260002136230469</v>
      </c>
    </row>
    <row r="14606" spans="2:6">
      <c r="B14606">
        <v>2009</v>
      </c>
      <c r="C14606" t="s">
        <v>158</v>
      </c>
      <c r="D14606" t="s">
        <v>183</v>
      </c>
      <c r="E14606" t="s">
        <v>11</v>
      </c>
      <c r="F14606">
        <v>0.89127719402313232</v>
      </c>
    </row>
    <row r="14607" spans="2:6">
      <c r="B14607">
        <v>2009</v>
      </c>
      <c r="C14607" t="s">
        <v>158</v>
      </c>
      <c r="D14607" t="s">
        <v>183</v>
      </c>
      <c r="E14607" t="s">
        <v>12</v>
      </c>
      <c r="F14607">
        <v>0.12504173815250397</v>
      </c>
    </row>
    <row r="14608" spans="2:6">
      <c r="B14608">
        <v>2009</v>
      </c>
      <c r="C14608" t="s">
        <v>158</v>
      </c>
      <c r="D14608" t="s">
        <v>183</v>
      </c>
      <c r="E14608" t="s">
        <v>13</v>
      </c>
      <c r="F14608">
        <v>0.34242701530456543</v>
      </c>
    </row>
    <row r="14609" spans="2:6">
      <c r="B14609">
        <v>2009</v>
      </c>
      <c r="C14609" t="s">
        <v>158</v>
      </c>
      <c r="D14609" t="s">
        <v>183</v>
      </c>
      <c r="E14609" t="s">
        <v>14</v>
      </c>
      <c r="F14609">
        <v>0.81403732299804688</v>
      </c>
    </row>
    <row r="14610" spans="2:6">
      <c r="B14610">
        <v>2009</v>
      </c>
      <c r="C14610" t="s">
        <v>158</v>
      </c>
      <c r="D14610" t="s">
        <v>183</v>
      </c>
      <c r="E14610" t="s">
        <v>15</v>
      </c>
      <c r="F14610">
        <v>0.201584592461586</v>
      </c>
    </row>
    <row r="14611" spans="2:6">
      <c r="B14611">
        <v>2012</v>
      </c>
      <c r="C14611" t="s">
        <v>158</v>
      </c>
      <c r="D14611" t="s">
        <v>183</v>
      </c>
      <c r="E14611" t="s">
        <v>7</v>
      </c>
      <c r="F14611">
        <v>7.7762088775634766</v>
      </c>
    </row>
    <row r="14612" spans="2:6">
      <c r="B14612">
        <v>2012</v>
      </c>
      <c r="C14612" t="s">
        <v>158</v>
      </c>
      <c r="D14612" t="s">
        <v>183</v>
      </c>
      <c r="E14612" t="s">
        <v>8</v>
      </c>
      <c r="F14612">
        <v>11.079147338867188</v>
      </c>
    </row>
    <row r="14613" spans="2:6">
      <c r="B14613">
        <v>2012</v>
      </c>
      <c r="C14613" t="s">
        <v>158</v>
      </c>
      <c r="D14613" t="s">
        <v>183</v>
      </c>
      <c r="E14613" t="s">
        <v>9</v>
      </c>
      <c r="F14613">
        <v>0.94686388969421387</v>
      </c>
    </row>
    <row r="14614" spans="2:6">
      <c r="B14614">
        <v>2012</v>
      </c>
      <c r="C14614" t="s">
        <v>158</v>
      </c>
      <c r="D14614" t="s">
        <v>183</v>
      </c>
      <c r="E14614" t="s">
        <v>10</v>
      </c>
      <c r="F14614">
        <v>72.779998779296875</v>
      </c>
    </row>
    <row r="14615" spans="2:6">
      <c r="B14615">
        <v>2012</v>
      </c>
      <c r="C14615" t="s">
        <v>158</v>
      </c>
      <c r="D14615" t="s">
        <v>183</v>
      </c>
      <c r="E14615" t="s">
        <v>11</v>
      </c>
      <c r="F14615">
        <v>0.94542801380157471</v>
      </c>
    </row>
    <row r="14616" spans="2:6">
      <c r="B14616">
        <v>2012</v>
      </c>
      <c r="C14616" t="s">
        <v>158</v>
      </c>
      <c r="D14616" t="s">
        <v>183</v>
      </c>
      <c r="E14616" t="s">
        <v>12</v>
      </c>
      <c r="F14616">
        <v>0.1386188268661499</v>
      </c>
    </row>
    <row r="14617" spans="2:6">
      <c r="B14617">
        <v>2012</v>
      </c>
      <c r="C14617" t="s">
        <v>158</v>
      </c>
      <c r="D14617" t="s">
        <v>183</v>
      </c>
      <c r="E14617" t="s">
        <v>13</v>
      </c>
      <c r="F14617">
        <v>0.32324078679084778</v>
      </c>
    </row>
    <row r="14618" spans="2:6">
      <c r="B14618">
        <v>2012</v>
      </c>
      <c r="C14618" t="s">
        <v>158</v>
      </c>
      <c r="D14618" t="s">
        <v>183</v>
      </c>
      <c r="E14618" t="s">
        <v>14</v>
      </c>
      <c r="F14618">
        <v>0.85910725593566895</v>
      </c>
    </row>
    <row r="14619" spans="2:6">
      <c r="B14619">
        <v>2012</v>
      </c>
      <c r="C14619" t="s">
        <v>158</v>
      </c>
      <c r="D14619" t="s">
        <v>183</v>
      </c>
      <c r="E14619" t="s">
        <v>15</v>
      </c>
      <c r="F14619">
        <v>0.17600709199905396</v>
      </c>
    </row>
    <row r="14620" spans="2:6">
      <c r="B14620">
        <v>2014</v>
      </c>
      <c r="C14620" t="s">
        <v>158</v>
      </c>
      <c r="D14620" t="s">
        <v>183</v>
      </c>
      <c r="E14620" t="s">
        <v>7</v>
      </c>
      <c r="F14620">
        <v>7.4928035736083984</v>
      </c>
    </row>
    <row r="14621" spans="2:6">
      <c r="B14621">
        <v>2014</v>
      </c>
      <c r="C14621" t="s">
        <v>158</v>
      </c>
      <c r="D14621" t="s">
        <v>183</v>
      </c>
      <c r="E14621" t="s">
        <v>8</v>
      </c>
      <c r="F14621">
        <v>11.097995758056641</v>
      </c>
    </row>
    <row r="14622" spans="2:6">
      <c r="B14622">
        <v>2014</v>
      </c>
      <c r="C14622" t="s">
        <v>158</v>
      </c>
      <c r="D14622" t="s">
        <v>183</v>
      </c>
      <c r="E14622" t="s">
        <v>9</v>
      </c>
      <c r="F14622">
        <v>0.95879632234573364</v>
      </c>
    </row>
    <row r="14623" spans="2:6">
      <c r="B14623">
        <v>2014</v>
      </c>
      <c r="C14623" t="s">
        <v>158</v>
      </c>
      <c r="D14623" t="s">
        <v>183</v>
      </c>
      <c r="E14623" t="s">
        <v>10</v>
      </c>
      <c r="F14623">
        <v>73.05999755859375</v>
      </c>
    </row>
    <row r="14624" spans="2:6">
      <c r="B14624">
        <v>2014</v>
      </c>
      <c r="C14624" t="s">
        <v>158</v>
      </c>
      <c r="D14624" t="s">
        <v>183</v>
      </c>
      <c r="E14624" t="s">
        <v>11</v>
      </c>
      <c r="F14624">
        <v>0.94940143823623657</v>
      </c>
    </row>
    <row r="14625" spans="2:6">
      <c r="B14625">
        <v>2014</v>
      </c>
      <c r="C14625" t="s">
        <v>158</v>
      </c>
      <c r="D14625" t="s">
        <v>183</v>
      </c>
      <c r="E14625" t="s">
        <v>12</v>
      </c>
      <c r="F14625">
        <v>6.0122042894363403E-2</v>
      </c>
    </row>
    <row r="14626" spans="2:6">
      <c r="B14626">
        <v>2014</v>
      </c>
      <c r="C14626" t="s">
        <v>158</v>
      </c>
      <c r="D14626" t="s">
        <v>183</v>
      </c>
      <c r="E14626" t="s">
        <v>13</v>
      </c>
      <c r="F14626">
        <v>0.28308957815170288</v>
      </c>
    </row>
    <row r="14627" spans="2:6">
      <c r="B14627">
        <v>2014</v>
      </c>
      <c r="C14627" t="s">
        <v>158</v>
      </c>
      <c r="D14627" t="s">
        <v>183</v>
      </c>
      <c r="E14627" t="s">
        <v>14</v>
      </c>
      <c r="F14627">
        <v>0.82291322946548462</v>
      </c>
    </row>
    <row r="14628" spans="2:6">
      <c r="B14628">
        <v>2014</v>
      </c>
      <c r="C14628" t="s">
        <v>158</v>
      </c>
      <c r="D14628" t="s">
        <v>183</v>
      </c>
      <c r="E14628" t="s">
        <v>15</v>
      </c>
      <c r="F14628">
        <v>0.18879416584968567</v>
      </c>
    </row>
    <row r="14629" spans="2:6">
      <c r="B14629">
        <v>2015</v>
      </c>
      <c r="C14629" t="s">
        <v>158</v>
      </c>
      <c r="D14629" t="s">
        <v>183</v>
      </c>
      <c r="E14629" t="s">
        <v>7</v>
      </c>
      <c r="F14629">
        <v>7.5721368789672852</v>
      </c>
    </row>
    <row r="14630" spans="2:6">
      <c r="B14630">
        <v>2015</v>
      </c>
      <c r="C14630" t="s">
        <v>158</v>
      </c>
      <c r="D14630" t="s">
        <v>183</v>
      </c>
      <c r="E14630" t="s">
        <v>8</v>
      </c>
      <c r="F14630">
        <v>11.099858283996582</v>
      </c>
    </row>
    <row r="14631" spans="2:6">
      <c r="B14631">
        <v>2015</v>
      </c>
      <c r="C14631" t="s">
        <v>158</v>
      </c>
      <c r="D14631" t="s">
        <v>183</v>
      </c>
      <c r="E14631" t="s">
        <v>9</v>
      </c>
      <c r="F14631">
        <v>0.93833374977111816</v>
      </c>
    </row>
    <row r="14632" spans="2:6">
      <c r="B14632">
        <v>2015</v>
      </c>
      <c r="C14632" t="s">
        <v>158</v>
      </c>
      <c r="D14632" t="s">
        <v>183</v>
      </c>
      <c r="E14632" t="s">
        <v>10</v>
      </c>
      <c r="F14632">
        <v>73.199996948242188</v>
      </c>
    </row>
    <row r="14633" spans="2:6">
      <c r="B14633">
        <v>2015</v>
      </c>
      <c r="C14633" t="s">
        <v>158</v>
      </c>
      <c r="D14633" t="s">
        <v>183</v>
      </c>
      <c r="E14633" t="s">
        <v>11</v>
      </c>
      <c r="F14633">
        <v>0.9278024435043335</v>
      </c>
    </row>
    <row r="14634" spans="2:6">
      <c r="B14634">
        <v>2015</v>
      </c>
      <c r="C14634" t="s">
        <v>158</v>
      </c>
      <c r="D14634" t="s">
        <v>183</v>
      </c>
      <c r="E14634" t="s">
        <v>12</v>
      </c>
      <c r="F14634">
        <v>0.10892389714717865</v>
      </c>
    </row>
    <row r="14635" spans="2:6">
      <c r="B14635">
        <v>2015</v>
      </c>
      <c r="C14635" t="s">
        <v>158</v>
      </c>
      <c r="D14635" t="s">
        <v>183</v>
      </c>
      <c r="E14635" t="s">
        <v>13</v>
      </c>
      <c r="F14635">
        <v>0.20953351259231567</v>
      </c>
    </row>
    <row r="14636" spans="2:6">
      <c r="B14636">
        <v>2015</v>
      </c>
      <c r="C14636" t="s">
        <v>158</v>
      </c>
      <c r="D14636" t="s">
        <v>183</v>
      </c>
      <c r="E14636" t="s">
        <v>14</v>
      </c>
      <c r="F14636">
        <v>0.8085290789604187</v>
      </c>
    </row>
    <row r="14637" spans="2:6">
      <c r="B14637">
        <v>2015</v>
      </c>
      <c r="C14637" t="s">
        <v>158</v>
      </c>
      <c r="D14637" t="s">
        <v>183</v>
      </c>
      <c r="E14637" t="s">
        <v>15</v>
      </c>
      <c r="F14637">
        <v>0.16575907170772552</v>
      </c>
    </row>
    <row r="14638" spans="2:6">
      <c r="B14638">
        <v>2016</v>
      </c>
      <c r="C14638" t="s">
        <v>158</v>
      </c>
      <c r="D14638" t="s">
        <v>183</v>
      </c>
      <c r="E14638" t="s">
        <v>7</v>
      </c>
      <c r="F14638">
        <v>7.4585199356079102</v>
      </c>
    </row>
    <row r="14639" spans="2:6">
      <c r="B14639">
        <v>2016</v>
      </c>
      <c r="C14639" t="s">
        <v>158</v>
      </c>
      <c r="D14639" t="s">
        <v>183</v>
      </c>
      <c r="E14639" t="s">
        <v>8</v>
      </c>
      <c r="F14639">
        <v>11.106019020080566</v>
      </c>
    </row>
    <row r="14640" spans="2:6">
      <c r="B14640">
        <v>2016</v>
      </c>
      <c r="C14640" t="s">
        <v>158</v>
      </c>
      <c r="D14640" t="s">
        <v>183</v>
      </c>
      <c r="E14640" t="s">
        <v>9</v>
      </c>
      <c r="F14640">
        <v>0.9276282787322998</v>
      </c>
    </row>
    <row r="14641" spans="2:6">
      <c r="B14641">
        <v>2016</v>
      </c>
      <c r="C14641" t="s">
        <v>158</v>
      </c>
      <c r="D14641" t="s">
        <v>183</v>
      </c>
      <c r="E14641" t="s">
        <v>10</v>
      </c>
      <c r="F14641">
        <v>73.5</v>
      </c>
    </row>
    <row r="14642" spans="2:6">
      <c r="B14642">
        <v>2016</v>
      </c>
      <c r="C14642" t="s">
        <v>158</v>
      </c>
      <c r="D14642" t="s">
        <v>183</v>
      </c>
      <c r="E14642" t="s">
        <v>11</v>
      </c>
      <c r="F14642">
        <v>0.93394708633422852</v>
      </c>
    </row>
    <row r="14643" spans="2:6">
      <c r="B14643">
        <v>2016</v>
      </c>
      <c r="C14643" t="s">
        <v>158</v>
      </c>
      <c r="D14643" t="s">
        <v>183</v>
      </c>
      <c r="E14643" t="s">
        <v>12</v>
      </c>
      <c r="F14643">
        <v>8.8442534208297729E-2</v>
      </c>
    </row>
    <row r="14644" spans="2:6">
      <c r="B14644">
        <v>2016</v>
      </c>
      <c r="C14644" t="s">
        <v>158</v>
      </c>
      <c r="D14644" t="s">
        <v>183</v>
      </c>
      <c r="E14644" t="s">
        <v>13</v>
      </c>
      <c r="F14644">
        <v>0.30156296491622925</v>
      </c>
    </row>
    <row r="14645" spans="2:6">
      <c r="B14645">
        <v>2016</v>
      </c>
      <c r="C14645" t="s">
        <v>158</v>
      </c>
      <c r="D14645" t="s">
        <v>183</v>
      </c>
      <c r="E14645" t="s">
        <v>14</v>
      </c>
      <c r="F14645">
        <v>0.77947080135345459</v>
      </c>
    </row>
    <row r="14646" spans="2:6">
      <c r="B14646">
        <v>2016</v>
      </c>
      <c r="C14646" t="s">
        <v>158</v>
      </c>
      <c r="D14646" t="s">
        <v>183</v>
      </c>
      <c r="E14646" t="s">
        <v>15</v>
      </c>
      <c r="F14646">
        <v>0.20631672441959381</v>
      </c>
    </row>
    <row r="14647" spans="2:6">
      <c r="B14647">
        <v>2017</v>
      </c>
      <c r="C14647" t="s">
        <v>158</v>
      </c>
      <c r="D14647" t="s">
        <v>183</v>
      </c>
      <c r="E14647" t="s">
        <v>7</v>
      </c>
      <c r="F14647">
        <v>7.4735932350158691</v>
      </c>
    </row>
    <row r="14648" spans="2:6">
      <c r="B14648">
        <v>2017</v>
      </c>
      <c r="C14648" t="s">
        <v>158</v>
      </c>
      <c r="D14648" t="s">
        <v>183</v>
      </c>
      <c r="E14648" t="s">
        <v>8</v>
      </c>
      <c r="F14648">
        <v>11.114521026611328</v>
      </c>
    </row>
    <row r="14649" spans="2:6">
      <c r="B14649">
        <v>2017</v>
      </c>
      <c r="C14649" t="s">
        <v>158</v>
      </c>
      <c r="D14649" t="s">
        <v>183</v>
      </c>
      <c r="E14649" t="s">
        <v>9</v>
      </c>
      <c r="F14649">
        <v>0.94966137409210205</v>
      </c>
    </row>
    <row r="14650" spans="2:6">
      <c r="B14650">
        <v>2017</v>
      </c>
      <c r="C14650" t="s">
        <v>158</v>
      </c>
      <c r="D14650" t="s">
        <v>183</v>
      </c>
      <c r="E14650" t="s">
        <v>10</v>
      </c>
      <c r="F14650">
        <v>73.800003051757813</v>
      </c>
    </row>
    <row r="14651" spans="2:6">
      <c r="B14651">
        <v>2017</v>
      </c>
      <c r="C14651" t="s">
        <v>158</v>
      </c>
      <c r="D14651" t="s">
        <v>183</v>
      </c>
      <c r="E14651" t="s">
        <v>11</v>
      </c>
      <c r="F14651">
        <v>0.92499691247940063</v>
      </c>
    </row>
    <row r="14652" spans="2:6">
      <c r="B14652">
        <v>2017</v>
      </c>
      <c r="C14652" t="s">
        <v>158</v>
      </c>
      <c r="D14652" t="s">
        <v>183</v>
      </c>
      <c r="E14652" t="s">
        <v>12</v>
      </c>
      <c r="F14652">
        <v>0.17977295815944672</v>
      </c>
    </row>
    <row r="14653" spans="2:6">
      <c r="B14653">
        <v>2017</v>
      </c>
      <c r="C14653" t="s">
        <v>158</v>
      </c>
      <c r="D14653" t="s">
        <v>183</v>
      </c>
      <c r="E14653" t="s">
        <v>13</v>
      </c>
      <c r="F14653">
        <v>0.31618347764015198</v>
      </c>
    </row>
    <row r="14654" spans="2:6">
      <c r="B14654">
        <v>2017</v>
      </c>
      <c r="C14654" t="s">
        <v>158</v>
      </c>
      <c r="D14654" t="s">
        <v>183</v>
      </c>
      <c r="E14654" t="s">
        <v>14</v>
      </c>
      <c r="F14654">
        <v>0.77399706840515137</v>
      </c>
    </row>
    <row r="14655" spans="2:6">
      <c r="B14655">
        <v>2017</v>
      </c>
      <c r="C14655" t="s">
        <v>158</v>
      </c>
      <c r="D14655" t="s">
        <v>183</v>
      </c>
      <c r="E14655" t="s">
        <v>15</v>
      </c>
      <c r="F14655">
        <v>0.19587148725986481</v>
      </c>
    </row>
    <row r="14656" spans="2:6">
      <c r="B14656">
        <v>2018</v>
      </c>
      <c r="C14656" t="s">
        <v>158</v>
      </c>
      <c r="D14656" t="s">
        <v>183</v>
      </c>
      <c r="E14656" t="s">
        <v>7</v>
      </c>
      <c r="F14656">
        <v>7.5085868835449219</v>
      </c>
    </row>
    <row r="14657" spans="2:6">
      <c r="B14657">
        <v>2018</v>
      </c>
      <c r="C14657" t="s">
        <v>158</v>
      </c>
      <c r="D14657" t="s">
        <v>183</v>
      </c>
      <c r="E14657" t="s">
        <v>8</v>
      </c>
      <c r="F14657">
        <v>11.134288787841797</v>
      </c>
    </row>
    <row r="14658" spans="2:6">
      <c r="B14658">
        <v>2018</v>
      </c>
      <c r="C14658" t="s">
        <v>158</v>
      </c>
      <c r="D14658" t="s">
        <v>183</v>
      </c>
      <c r="E14658" t="s">
        <v>9</v>
      </c>
      <c r="F14658">
        <v>0.93029099702835083</v>
      </c>
    </row>
    <row r="14659" spans="2:6">
      <c r="B14659">
        <v>2018</v>
      </c>
      <c r="C14659" t="s">
        <v>158</v>
      </c>
      <c r="D14659" t="s">
        <v>183</v>
      </c>
      <c r="E14659" t="s">
        <v>10</v>
      </c>
      <c r="F14659">
        <v>74.099998474121094</v>
      </c>
    </row>
    <row r="14660" spans="2:6">
      <c r="B14660">
        <v>2018</v>
      </c>
      <c r="C14660" t="s">
        <v>158</v>
      </c>
      <c r="D14660" t="s">
        <v>183</v>
      </c>
      <c r="E14660" t="s">
        <v>11</v>
      </c>
      <c r="F14660">
        <v>0.92641454935073853</v>
      </c>
    </row>
    <row r="14661" spans="2:6">
      <c r="B14661">
        <v>2018</v>
      </c>
      <c r="C14661" t="s">
        <v>158</v>
      </c>
      <c r="D14661" t="s">
        <v>183</v>
      </c>
      <c r="E14661" t="s">
        <v>12</v>
      </c>
      <c r="F14661">
        <v>0.10095565021038055</v>
      </c>
    </row>
    <row r="14662" spans="2:6">
      <c r="B14662">
        <v>2018</v>
      </c>
      <c r="C14662" t="s">
        <v>158</v>
      </c>
      <c r="D14662" t="s">
        <v>183</v>
      </c>
      <c r="E14662" t="s">
        <v>13</v>
      </c>
      <c r="F14662">
        <v>0.30125996470451355</v>
      </c>
    </row>
    <row r="14663" spans="2:6">
      <c r="B14663">
        <v>2018</v>
      </c>
      <c r="C14663" t="s">
        <v>158</v>
      </c>
      <c r="D14663" t="s">
        <v>183</v>
      </c>
      <c r="E14663" t="s">
        <v>14</v>
      </c>
      <c r="F14663">
        <v>0.79222595691680908</v>
      </c>
    </row>
    <row r="14664" spans="2:6">
      <c r="B14664">
        <v>2018</v>
      </c>
      <c r="C14664" t="s">
        <v>158</v>
      </c>
      <c r="D14664" t="s">
        <v>183</v>
      </c>
      <c r="E14664" t="s">
        <v>15</v>
      </c>
      <c r="F14664">
        <v>0.19152015447616577</v>
      </c>
    </row>
    <row r="14665" spans="2:6">
      <c r="B14665">
        <v>2019</v>
      </c>
      <c r="C14665" t="s">
        <v>158</v>
      </c>
      <c r="D14665" t="s">
        <v>183</v>
      </c>
      <c r="E14665" t="s">
        <v>7</v>
      </c>
      <c r="F14665">
        <v>7.694221019744873</v>
      </c>
    </row>
    <row r="14666" spans="2:6">
      <c r="B14666">
        <v>2019</v>
      </c>
      <c r="C14666" t="s">
        <v>158</v>
      </c>
      <c r="D14666" t="s">
        <v>183</v>
      </c>
      <c r="E14666" t="s">
        <v>8</v>
      </c>
      <c r="F14666">
        <v>11.136453628540039</v>
      </c>
    </row>
    <row r="14667" spans="2:6">
      <c r="B14667">
        <v>2019</v>
      </c>
      <c r="C14667" t="s">
        <v>158</v>
      </c>
      <c r="D14667" t="s">
        <v>183</v>
      </c>
      <c r="E14667" t="s">
        <v>9</v>
      </c>
      <c r="F14667">
        <v>0.94851285219192505</v>
      </c>
    </row>
    <row r="14668" spans="2:6">
      <c r="B14668">
        <v>2019</v>
      </c>
      <c r="C14668" t="s">
        <v>158</v>
      </c>
      <c r="D14668" t="s">
        <v>183</v>
      </c>
      <c r="E14668" t="s">
        <v>10</v>
      </c>
      <c r="F14668">
        <v>74.400001525878906</v>
      </c>
    </row>
    <row r="14669" spans="2:6">
      <c r="B14669">
        <v>2019</v>
      </c>
      <c r="C14669" t="s">
        <v>158</v>
      </c>
      <c r="D14669" t="s">
        <v>183</v>
      </c>
      <c r="E14669" t="s">
        <v>11</v>
      </c>
      <c r="F14669">
        <v>0.91316670179367065</v>
      </c>
    </row>
    <row r="14670" spans="2:6">
      <c r="B14670">
        <v>2019</v>
      </c>
      <c r="C14670" t="s">
        <v>158</v>
      </c>
      <c r="D14670" t="s">
        <v>183</v>
      </c>
      <c r="E14670" t="s">
        <v>12</v>
      </c>
      <c r="F14670">
        <v>3.6215446889400482E-2</v>
      </c>
    </row>
    <row r="14671" spans="2:6">
      <c r="B14671">
        <v>2019</v>
      </c>
      <c r="C14671" t="s">
        <v>158</v>
      </c>
      <c r="D14671" t="s">
        <v>183</v>
      </c>
      <c r="E14671" t="s">
        <v>13</v>
      </c>
      <c r="F14671">
        <v>0.29370075464248657</v>
      </c>
    </row>
    <row r="14672" spans="2:6">
      <c r="B14672">
        <v>2019</v>
      </c>
      <c r="C14672" t="s">
        <v>158</v>
      </c>
      <c r="D14672" t="s">
        <v>183</v>
      </c>
      <c r="E14672" t="s">
        <v>14</v>
      </c>
      <c r="F14672">
        <v>0.79789268970489502</v>
      </c>
    </row>
    <row r="14673" spans="2:6">
      <c r="B14673">
        <v>2019</v>
      </c>
      <c r="C14673" t="s">
        <v>158</v>
      </c>
      <c r="D14673" t="s">
        <v>183</v>
      </c>
      <c r="E14673" t="s">
        <v>15</v>
      </c>
      <c r="F14673">
        <v>0.17076177895069122</v>
      </c>
    </row>
    <row r="14674" spans="2:6">
      <c r="B14674">
        <v>2020</v>
      </c>
      <c r="C14674" t="s">
        <v>158</v>
      </c>
      <c r="D14674" t="s">
        <v>183</v>
      </c>
      <c r="E14674" t="s">
        <v>7</v>
      </c>
      <c r="F14674">
        <v>7.5084352493286133</v>
      </c>
    </row>
    <row r="14675" spans="2:6">
      <c r="B14675">
        <v>2020</v>
      </c>
      <c r="C14675" t="s">
        <v>158</v>
      </c>
      <c r="D14675" t="s">
        <v>183</v>
      </c>
      <c r="E14675" t="s">
        <v>8</v>
      </c>
      <c r="F14675">
        <v>11.080892562866211</v>
      </c>
    </row>
    <row r="14676" spans="2:6">
      <c r="B14676">
        <v>2020</v>
      </c>
      <c r="C14676" t="s">
        <v>158</v>
      </c>
      <c r="D14676" t="s">
        <v>183</v>
      </c>
      <c r="E14676" t="s">
        <v>9</v>
      </c>
      <c r="F14676">
        <v>0.94631648063659668</v>
      </c>
    </row>
    <row r="14677" spans="2:6">
      <c r="B14677">
        <v>2020</v>
      </c>
      <c r="C14677" t="s">
        <v>158</v>
      </c>
      <c r="D14677" t="s">
        <v>183</v>
      </c>
      <c r="E14677" t="s">
        <v>10</v>
      </c>
      <c r="F14677">
        <v>74.699996948242188</v>
      </c>
    </row>
    <row r="14678" spans="2:6">
      <c r="B14678">
        <v>2020</v>
      </c>
      <c r="C14678" t="s">
        <v>158</v>
      </c>
      <c r="D14678" t="s">
        <v>183</v>
      </c>
      <c r="E14678" t="s">
        <v>11</v>
      </c>
      <c r="F14678">
        <v>0.91734325885772705</v>
      </c>
    </row>
    <row r="14679" spans="2:6">
      <c r="B14679">
        <v>2020</v>
      </c>
      <c r="C14679" t="s">
        <v>158</v>
      </c>
      <c r="D14679" t="s">
        <v>183</v>
      </c>
      <c r="E14679" t="s">
        <v>12</v>
      </c>
      <c r="F14679">
        <v>-6.3502058386802673E-2</v>
      </c>
    </row>
    <row r="14680" spans="2:6">
      <c r="B14680">
        <v>2020</v>
      </c>
      <c r="C14680" t="s">
        <v>158</v>
      </c>
      <c r="D14680" t="s">
        <v>183</v>
      </c>
      <c r="E14680" t="s">
        <v>13</v>
      </c>
      <c r="F14680">
        <v>0.28036713600158691</v>
      </c>
    </row>
    <row r="14681" spans="2:6">
      <c r="B14681">
        <v>2020</v>
      </c>
      <c r="C14681" t="s">
        <v>158</v>
      </c>
      <c r="D14681" t="s">
        <v>183</v>
      </c>
      <c r="E14681" t="s">
        <v>14</v>
      </c>
      <c r="F14681">
        <v>0.76870471239089966</v>
      </c>
    </row>
    <row r="14682" spans="2:6">
      <c r="B14682">
        <v>2020</v>
      </c>
      <c r="C14682" t="s">
        <v>158</v>
      </c>
      <c r="D14682" t="s">
        <v>183</v>
      </c>
      <c r="E14682" t="s">
        <v>15</v>
      </c>
      <c r="F14682">
        <v>0.19322898983955383</v>
      </c>
    </row>
    <row r="14683" spans="2:6">
      <c r="B14683">
        <v>2008</v>
      </c>
      <c r="C14683" t="s">
        <v>159</v>
      </c>
      <c r="D14683" t="s">
        <v>182</v>
      </c>
      <c r="E14683" t="s">
        <v>7</v>
      </c>
      <c r="F14683">
        <v>5.3233323097229004</v>
      </c>
    </row>
    <row r="14684" spans="2:6">
      <c r="B14684">
        <v>2008</v>
      </c>
      <c r="C14684" t="s">
        <v>159</v>
      </c>
      <c r="D14684" t="s">
        <v>182</v>
      </c>
      <c r="E14684" t="s">
        <v>8</v>
      </c>
      <c r="F14684">
        <v>8.6518001556396484</v>
      </c>
    </row>
    <row r="14685" spans="2:6">
      <c r="B14685">
        <v>2008</v>
      </c>
      <c r="C14685" t="s">
        <v>159</v>
      </c>
      <c r="D14685" t="s">
        <v>182</v>
      </c>
      <c r="E14685" t="s">
        <v>9</v>
      </c>
      <c r="F14685">
        <v>0.71236962080001831</v>
      </c>
    </row>
    <row r="14686" spans="2:6">
      <c r="B14686">
        <v>2008</v>
      </c>
      <c r="C14686" t="s">
        <v>159</v>
      </c>
      <c r="D14686" t="s">
        <v>182</v>
      </c>
      <c r="E14686" t="s">
        <v>10</v>
      </c>
      <c r="F14686">
        <v>63.900001525878906</v>
      </c>
    </row>
    <row r="14687" spans="2:6">
      <c r="B14687">
        <v>2008</v>
      </c>
      <c r="C14687" t="s">
        <v>159</v>
      </c>
      <c r="D14687" t="s">
        <v>182</v>
      </c>
      <c r="E14687" t="s">
        <v>11</v>
      </c>
      <c r="F14687">
        <v>0.66075325012207031</v>
      </c>
    </row>
    <row r="14688" spans="2:6">
      <c r="B14688">
        <v>2008</v>
      </c>
      <c r="C14688" t="s">
        <v>159</v>
      </c>
      <c r="D14688" t="s">
        <v>182</v>
      </c>
      <c r="E14688" t="s">
        <v>12</v>
      </c>
      <c r="F14688">
        <v>0.12161870300769806</v>
      </c>
    </row>
    <row r="14689" spans="2:6">
      <c r="B14689">
        <v>2008</v>
      </c>
      <c r="C14689" t="s">
        <v>159</v>
      </c>
      <c r="D14689" t="s">
        <v>182</v>
      </c>
      <c r="E14689" t="s">
        <v>13</v>
      </c>
      <c r="F14689">
        <v>0.68020385503768921</v>
      </c>
    </row>
    <row r="14690" spans="2:6">
      <c r="B14690">
        <v>2008</v>
      </c>
      <c r="C14690" t="s">
        <v>159</v>
      </c>
      <c r="D14690" t="s">
        <v>182</v>
      </c>
      <c r="E14690" t="s">
        <v>14</v>
      </c>
      <c r="F14690">
        <v>0.60909706354141235</v>
      </c>
    </row>
    <row r="14691" spans="2:6">
      <c r="B14691">
        <v>2008</v>
      </c>
      <c r="C14691" t="s">
        <v>159</v>
      </c>
      <c r="D14691" t="s">
        <v>182</v>
      </c>
      <c r="E14691" t="s">
        <v>15</v>
      </c>
      <c r="F14691">
        <v>0.33842700719833374</v>
      </c>
    </row>
    <row r="14692" spans="2:6">
      <c r="B14692">
        <v>2009</v>
      </c>
      <c r="C14692" t="s">
        <v>159</v>
      </c>
      <c r="D14692" t="s">
        <v>182</v>
      </c>
      <c r="E14692" t="s">
        <v>7</v>
      </c>
      <c r="F14692">
        <v>4.9789705276489258</v>
      </c>
    </row>
    <row r="14693" spans="2:6">
      <c r="B14693">
        <v>2009</v>
      </c>
      <c r="C14693" t="s">
        <v>159</v>
      </c>
      <c r="D14693" t="s">
        <v>182</v>
      </c>
      <c r="E14693" t="s">
        <v>8</v>
      </c>
      <c r="F14693">
        <v>8.6536760330200195</v>
      </c>
    </row>
    <row r="14694" spans="2:6">
      <c r="B14694">
        <v>2009</v>
      </c>
      <c r="C14694" t="s">
        <v>159</v>
      </c>
      <c r="D14694" t="s">
        <v>182</v>
      </c>
      <c r="E14694" t="s">
        <v>9</v>
      </c>
      <c r="F14694">
        <v>0.84240210056304932</v>
      </c>
    </row>
    <row r="14695" spans="2:6">
      <c r="B14695">
        <v>2009</v>
      </c>
      <c r="C14695" t="s">
        <v>159</v>
      </c>
      <c r="D14695" t="s">
        <v>182</v>
      </c>
      <c r="E14695" t="s">
        <v>10</v>
      </c>
      <c r="F14695">
        <v>64</v>
      </c>
    </row>
    <row r="14696" spans="2:6">
      <c r="B14696">
        <v>2009</v>
      </c>
      <c r="C14696" t="s">
        <v>159</v>
      </c>
      <c r="D14696" t="s">
        <v>182</v>
      </c>
      <c r="E14696" t="s">
        <v>11</v>
      </c>
      <c r="F14696">
        <v>0.74825876951217651</v>
      </c>
    </row>
    <row r="14697" spans="2:6">
      <c r="B14697">
        <v>2009</v>
      </c>
      <c r="C14697" t="s">
        <v>159</v>
      </c>
      <c r="D14697" t="s">
        <v>182</v>
      </c>
      <c r="E14697" t="s">
        <v>12</v>
      </c>
      <c r="F14697">
        <v>8.1666164100170135E-2</v>
      </c>
    </row>
    <row r="14698" spans="2:6">
      <c r="B14698">
        <v>2009</v>
      </c>
      <c r="C14698" t="s">
        <v>159</v>
      </c>
      <c r="D14698" t="s">
        <v>182</v>
      </c>
      <c r="E14698" t="s">
        <v>13</v>
      </c>
      <c r="F14698">
        <v>0.68776047229766846</v>
      </c>
    </row>
    <row r="14699" spans="2:6">
      <c r="B14699">
        <v>2009</v>
      </c>
      <c r="C14699" t="s">
        <v>159</v>
      </c>
      <c r="D14699" t="s">
        <v>182</v>
      </c>
      <c r="E14699" t="s">
        <v>14</v>
      </c>
      <c r="F14699">
        <v>0.57432997226715088</v>
      </c>
    </row>
    <row r="14700" spans="2:6">
      <c r="B14700">
        <v>2009</v>
      </c>
      <c r="C14700" t="s">
        <v>159</v>
      </c>
      <c r="D14700" t="s">
        <v>182</v>
      </c>
      <c r="E14700" t="s">
        <v>15</v>
      </c>
      <c r="F14700">
        <v>0.29245546460151672</v>
      </c>
    </row>
    <row r="14701" spans="2:6">
      <c r="B14701">
        <v>2010</v>
      </c>
      <c r="C14701" t="s">
        <v>159</v>
      </c>
      <c r="D14701" t="s">
        <v>182</v>
      </c>
      <c r="E14701" t="s">
        <v>7</v>
      </c>
      <c r="F14701">
        <v>4.4647078514099121</v>
      </c>
    </row>
    <row r="14702" spans="2:6">
      <c r="B14702">
        <v>2010</v>
      </c>
      <c r="C14702" t="s">
        <v>159</v>
      </c>
      <c r="D14702" t="s">
        <v>182</v>
      </c>
      <c r="E14702" t="s">
        <v>8</v>
      </c>
      <c r="F14702">
        <v>8.7290840148925781</v>
      </c>
    </row>
    <row r="14703" spans="2:6">
      <c r="B14703">
        <v>2010</v>
      </c>
      <c r="C14703" t="s">
        <v>159</v>
      </c>
      <c r="D14703" t="s">
        <v>182</v>
      </c>
      <c r="E14703" t="s">
        <v>9</v>
      </c>
      <c r="F14703">
        <v>0.93423163890838623</v>
      </c>
    </row>
    <row r="14704" spans="2:6">
      <c r="B14704">
        <v>2010</v>
      </c>
      <c r="C14704" t="s">
        <v>159</v>
      </c>
      <c r="D14704" t="s">
        <v>182</v>
      </c>
      <c r="E14704" t="s">
        <v>10</v>
      </c>
      <c r="F14704">
        <v>64.099998474121094</v>
      </c>
    </row>
    <row r="14705" spans="2:6">
      <c r="B14705">
        <v>2010</v>
      </c>
      <c r="C14705" t="s">
        <v>159</v>
      </c>
      <c r="D14705" t="s">
        <v>182</v>
      </c>
      <c r="E14705" t="s">
        <v>11</v>
      </c>
      <c r="F14705">
        <v>0.64704799652099609</v>
      </c>
    </row>
    <row r="14706" spans="2:6">
      <c r="B14706">
        <v>2010</v>
      </c>
      <c r="C14706" t="s">
        <v>159</v>
      </c>
      <c r="D14706" t="s">
        <v>182</v>
      </c>
      <c r="E14706" t="s">
        <v>12</v>
      </c>
      <c r="F14706">
        <v>7.8826099634170532E-3</v>
      </c>
    </row>
    <row r="14707" spans="2:6">
      <c r="B14707">
        <v>2010</v>
      </c>
      <c r="C14707" t="s">
        <v>159</v>
      </c>
      <c r="D14707" t="s">
        <v>182</v>
      </c>
      <c r="E14707" t="s">
        <v>13</v>
      </c>
      <c r="F14707">
        <v>0.74309396743774414</v>
      </c>
    </row>
    <row r="14708" spans="2:6">
      <c r="B14708">
        <v>2010</v>
      </c>
      <c r="C14708" t="s">
        <v>159</v>
      </c>
      <c r="D14708" t="s">
        <v>182</v>
      </c>
      <c r="E14708" t="s">
        <v>14</v>
      </c>
      <c r="F14708">
        <v>0.55765193700790405</v>
      </c>
    </row>
    <row r="14709" spans="2:6">
      <c r="B14709">
        <v>2010</v>
      </c>
      <c r="C14709" t="s">
        <v>159</v>
      </c>
      <c r="D14709" t="s">
        <v>182</v>
      </c>
      <c r="E14709" t="s">
        <v>15</v>
      </c>
      <c r="F14709">
        <v>0.22464370727539063</v>
      </c>
    </row>
    <row r="14710" spans="2:6">
      <c r="B14710">
        <v>2011</v>
      </c>
      <c r="C14710" t="s">
        <v>159</v>
      </c>
      <c r="D14710" t="s">
        <v>182</v>
      </c>
      <c r="E14710" t="s">
        <v>7</v>
      </c>
      <c r="F14710">
        <v>4.0378894805908203</v>
      </c>
    </row>
    <row r="14711" spans="2:6">
      <c r="B14711">
        <v>2011</v>
      </c>
      <c r="C14711" t="s">
        <v>159</v>
      </c>
      <c r="D14711" t="s">
        <v>182</v>
      </c>
      <c r="E14711" t="s">
        <v>8</v>
      </c>
      <c r="F14711">
        <v>8.7269229888916016</v>
      </c>
    </row>
    <row r="14712" spans="2:6">
      <c r="B14712">
        <v>2011</v>
      </c>
      <c r="C14712" t="s">
        <v>159</v>
      </c>
      <c r="D14712" t="s">
        <v>182</v>
      </c>
      <c r="E14712" t="s">
        <v>9</v>
      </c>
      <c r="F14712">
        <v>0.575722336769104</v>
      </c>
    </row>
    <row r="14713" spans="2:6">
      <c r="B14713">
        <v>2011</v>
      </c>
      <c r="C14713" t="s">
        <v>159</v>
      </c>
      <c r="D14713" t="s">
        <v>182</v>
      </c>
      <c r="E14713" t="s">
        <v>10</v>
      </c>
      <c r="F14713">
        <v>62.319999694824219</v>
      </c>
    </row>
    <row r="14714" spans="2:6">
      <c r="B14714">
        <v>2011</v>
      </c>
      <c r="C14714" t="s">
        <v>159</v>
      </c>
      <c r="D14714" t="s">
        <v>182</v>
      </c>
      <c r="E14714" t="s">
        <v>11</v>
      </c>
      <c r="F14714">
        <v>0.53043276071548462</v>
      </c>
    </row>
    <row r="14715" spans="2:6">
      <c r="B14715">
        <v>2011</v>
      </c>
      <c r="C14715" t="s">
        <v>159</v>
      </c>
      <c r="D14715" t="s">
        <v>182</v>
      </c>
      <c r="E14715" t="s">
        <v>12</v>
      </c>
      <c r="F14715">
        <v>0.1306823194026947</v>
      </c>
    </row>
    <row r="14716" spans="2:6">
      <c r="B14716">
        <v>2011</v>
      </c>
      <c r="C14716" t="s">
        <v>159</v>
      </c>
      <c r="D14716" t="s">
        <v>182</v>
      </c>
      <c r="E14716" t="s">
        <v>13</v>
      </c>
      <c r="F14716">
        <v>0.74058550596237183</v>
      </c>
    </row>
    <row r="14717" spans="2:6">
      <c r="B14717">
        <v>2011</v>
      </c>
      <c r="C14717" t="s">
        <v>159</v>
      </c>
      <c r="D14717" t="s">
        <v>182</v>
      </c>
      <c r="E14717" t="s">
        <v>14</v>
      </c>
      <c r="F14717">
        <v>0.59873706102371216</v>
      </c>
    </row>
    <row r="14718" spans="2:6">
      <c r="B14718">
        <v>2011</v>
      </c>
      <c r="C14718" t="s">
        <v>159</v>
      </c>
      <c r="D14718" t="s">
        <v>182</v>
      </c>
      <c r="E14718" t="s">
        <v>15</v>
      </c>
      <c r="F14718">
        <v>0.49550545215606689</v>
      </c>
    </row>
    <row r="14719" spans="2:6">
      <c r="B14719">
        <v>2012</v>
      </c>
      <c r="C14719" t="s">
        <v>159</v>
      </c>
      <c r="D14719" t="s">
        <v>182</v>
      </c>
      <c r="E14719" t="s">
        <v>7</v>
      </c>
      <c r="F14719">
        <v>3.1644911766052246</v>
      </c>
    </row>
    <row r="14720" spans="2:6">
      <c r="B14720">
        <v>2012</v>
      </c>
      <c r="C14720" t="s">
        <v>159</v>
      </c>
      <c r="D14720" t="s">
        <v>182</v>
      </c>
      <c r="E14720" t="s">
        <v>8</v>
      </c>
      <c r="F14720">
        <v>8.5626010894775391</v>
      </c>
    </row>
    <row r="14721" spans="2:6">
      <c r="B14721">
        <v>2012</v>
      </c>
      <c r="C14721" t="s">
        <v>159</v>
      </c>
      <c r="D14721" t="s">
        <v>182</v>
      </c>
      <c r="E14721" t="s">
        <v>9</v>
      </c>
      <c r="F14721">
        <v>0.58839517831802368</v>
      </c>
    </row>
    <row r="14722" spans="2:6">
      <c r="B14722">
        <v>2012</v>
      </c>
      <c r="C14722" t="s">
        <v>159</v>
      </c>
      <c r="D14722" t="s">
        <v>182</v>
      </c>
      <c r="E14722" t="s">
        <v>10</v>
      </c>
      <c r="F14722">
        <v>60.540000915527344</v>
      </c>
    </row>
    <row r="14723" spans="2:6">
      <c r="B14723">
        <v>2012</v>
      </c>
      <c r="C14723" t="s">
        <v>159</v>
      </c>
      <c r="D14723" t="s">
        <v>182</v>
      </c>
      <c r="E14723" t="s">
        <v>11</v>
      </c>
      <c r="F14723">
        <v>0.46677061915397644</v>
      </c>
    </row>
    <row r="14724" spans="2:6">
      <c r="B14724">
        <v>2012</v>
      </c>
      <c r="C14724" t="s">
        <v>159</v>
      </c>
      <c r="D14724" t="s">
        <v>182</v>
      </c>
      <c r="E14724" t="s">
        <v>12</v>
      </c>
      <c r="F14724">
        <v>0.31598666310310364</v>
      </c>
    </row>
    <row r="14725" spans="2:6">
      <c r="B14725">
        <v>2012</v>
      </c>
      <c r="C14725" t="s">
        <v>159</v>
      </c>
      <c r="D14725" t="s">
        <v>182</v>
      </c>
      <c r="E14725" t="s">
        <v>13</v>
      </c>
      <c r="F14725">
        <v>0.67296421527862549</v>
      </c>
    </row>
    <row r="14726" spans="2:6">
      <c r="B14726">
        <v>2012</v>
      </c>
      <c r="C14726" t="s">
        <v>159</v>
      </c>
      <c r="D14726" t="s">
        <v>182</v>
      </c>
      <c r="E14726" t="s">
        <v>14</v>
      </c>
      <c r="F14726">
        <v>0.46443858742713928</v>
      </c>
    </row>
    <row r="14727" spans="2:6">
      <c r="B14727">
        <v>2012</v>
      </c>
      <c r="C14727" t="s">
        <v>159</v>
      </c>
      <c r="D14727" t="s">
        <v>182</v>
      </c>
      <c r="E14727" t="s">
        <v>15</v>
      </c>
      <c r="F14727">
        <v>0.70458966493606567</v>
      </c>
    </row>
    <row r="14728" spans="2:6">
      <c r="B14728">
        <v>2013</v>
      </c>
      <c r="C14728" t="s">
        <v>159</v>
      </c>
      <c r="D14728" t="s">
        <v>182</v>
      </c>
      <c r="E14728" t="s">
        <v>7</v>
      </c>
      <c r="F14728">
        <v>2.6875529289245605</v>
      </c>
    </row>
    <row r="14729" spans="2:6">
      <c r="B14729">
        <v>2013</v>
      </c>
      <c r="C14729" t="s">
        <v>159</v>
      </c>
      <c r="D14729" t="s">
        <v>182</v>
      </c>
      <c r="E14729" t="s">
        <v>8</v>
      </c>
      <c r="F14729">
        <v>8.3964700698852539</v>
      </c>
    </row>
    <row r="14730" spans="2:6">
      <c r="B14730">
        <v>2013</v>
      </c>
      <c r="C14730" t="s">
        <v>159</v>
      </c>
      <c r="D14730" t="s">
        <v>182</v>
      </c>
      <c r="E14730" t="s">
        <v>9</v>
      </c>
      <c r="F14730">
        <v>0.58545005321502686</v>
      </c>
    </row>
    <row r="14731" spans="2:6">
      <c r="B14731">
        <v>2013</v>
      </c>
      <c r="C14731" t="s">
        <v>159</v>
      </c>
      <c r="D14731" t="s">
        <v>182</v>
      </c>
      <c r="E14731" t="s">
        <v>10</v>
      </c>
      <c r="F14731">
        <v>58.759998321533203</v>
      </c>
    </row>
    <row r="14732" spans="2:6">
      <c r="B14732">
        <v>2013</v>
      </c>
      <c r="C14732" t="s">
        <v>159</v>
      </c>
      <c r="D14732" t="s">
        <v>182</v>
      </c>
      <c r="E14732" t="s">
        <v>11</v>
      </c>
      <c r="F14732">
        <v>0.45488288998603821</v>
      </c>
    </row>
    <row r="14733" spans="2:6">
      <c r="B14733">
        <v>2013</v>
      </c>
      <c r="C14733" t="s">
        <v>159</v>
      </c>
      <c r="D14733" t="s">
        <v>182</v>
      </c>
      <c r="E14733" t="s">
        <v>12</v>
      </c>
      <c r="F14733">
        <v>0.22545427083969116</v>
      </c>
    </row>
    <row r="14734" spans="2:6">
      <c r="B14734">
        <v>2013</v>
      </c>
      <c r="C14734" t="s">
        <v>159</v>
      </c>
      <c r="D14734" t="s">
        <v>182</v>
      </c>
      <c r="E14734" t="s">
        <v>13</v>
      </c>
      <c r="F14734">
        <v>0.66343098878860474</v>
      </c>
    </row>
    <row r="14735" spans="2:6">
      <c r="B14735">
        <v>2013</v>
      </c>
      <c r="C14735" t="s">
        <v>159</v>
      </c>
      <c r="D14735" t="s">
        <v>182</v>
      </c>
      <c r="E14735" t="s">
        <v>14</v>
      </c>
      <c r="F14735">
        <v>0.38698670268058777</v>
      </c>
    </row>
    <row r="14736" spans="2:6">
      <c r="B14736">
        <v>2013</v>
      </c>
      <c r="C14736" t="s">
        <v>159</v>
      </c>
      <c r="D14736" t="s">
        <v>182</v>
      </c>
      <c r="E14736" t="s">
        <v>15</v>
      </c>
      <c r="F14736">
        <v>0.6222299337387085</v>
      </c>
    </row>
    <row r="14737" spans="2:6">
      <c r="B14737">
        <v>2015</v>
      </c>
      <c r="C14737" t="s">
        <v>159</v>
      </c>
      <c r="D14737" t="s">
        <v>182</v>
      </c>
      <c r="E14737" t="s">
        <v>7</v>
      </c>
      <c r="F14737">
        <v>3.4619128704071045</v>
      </c>
    </row>
    <row r="14738" spans="2:6">
      <c r="B14738">
        <v>2015</v>
      </c>
      <c r="C14738" t="s">
        <v>159</v>
      </c>
      <c r="D14738" t="s">
        <v>182</v>
      </c>
      <c r="E14738" t="s">
        <v>8</v>
      </c>
      <c r="F14738">
        <v>8.4415369033813477</v>
      </c>
    </row>
    <row r="14739" spans="2:6">
      <c r="B14739">
        <v>2015</v>
      </c>
      <c r="C14739" t="s">
        <v>159</v>
      </c>
      <c r="D14739" t="s">
        <v>182</v>
      </c>
      <c r="E14739" t="s">
        <v>9</v>
      </c>
      <c r="F14739">
        <v>0.46391287446022034</v>
      </c>
    </row>
    <row r="14740" spans="2:6">
      <c r="B14740">
        <v>2015</v>
      </c>
      <c r="C14740" t="s">
        <v>159</v>
      </c>
      <c r="D14740" t="s">
        <v>182</v>
      </c>
      <c r="E14740" t="s">
        <v>10</v>
      </c>
      <c r="F14740">
        <v>55.200000762939453</v>
      </c>
    </row>
    <row r="14741" spans="2:6">
      <c r="B14741">
        <v>2015</v>
      </c>
      <c r="C14741" t="s">
        <v>159</v>
      </c>
      <c r="D14741" t="s">
        <v>182</v>
      </c>
      <c r="E14741" t="s">
        <v>11</v>
      </c>
      <c r="F14741">
        <v>0.44827085733413696</v>
      </c>
    </row>
    <row r="14742" spans="2:6">
      <c r="B14742">
        <v>2015</v>
      </c>
      <c r="C14742" t="s">
        <v>159</v>
      </c>
      <c r="D14742" t="s">
        <v>182</v>
      </c>
      <c r="E14742" t="s">
        <v>12</v>
      </c>
      <c r="F14742">
        <v>4.4834915548563004E-2</v>
      </c>
    </row>
    <row r="14743" spans="2:6">
      <c r="B14743">
        <v>2015</v>
      </c>
      <c r="C14743" t="s">
        <v>159</v>
      </c>
      <c r="D14743" t="s">
        <v>182</v>
      </c>
      <c r="E14743" t="s">
        <v>13</v>
      </c>
      <c r="F14743">
        <v>0.68523693084716797</v>
      </c>
    </row>
    <row r="14744" spans="2:6">
      <c r="B14744">
        <v>2015</v>
      </c>
      <c r="C14744" t="s">
        <v>159</v>
      </c>
      <c r="D14744" t="s">
        <v>182</v>
      </c>
      <c r="E14744" t="s">
        <v>14</v>
      </c>
      <c r="F14744">
        <v>0.36943960189819336</v>
      </c>
    </row>
    <row r="14745" spans="2:6">
      <c r="B14745">
        <v>2015</v>
      </c>
      <c r="C14745" t="s">
        <v>159</v>
      </c>
      <c r="D14745" t="s">
        <v>182</v>
      </c>
      <c r="E14745" t="s">
        <v>15</v>
      </c>
      <c r="F14745">
        <v>0.64258873462677002</v>
      </c>
    </row>
    <row r="14746" spans="2:6">
      <c r="B14746">
        <v>2006</v>
      </c>
      <c r="C14746" t="s">
        <v>160</v>
      </c>
      <c r="D14746" t="s">
        <v>182</v>
      </c>
      <c r="E14746" t="s">
        <v>7</v>
      </c>
      <c r="F14746">
        <v>6.1890501976013184</v>
      </c>
    </row>
    <row r="14747" spans="2:6">
      <c r="B14747">
        <v>2006</v>
      </c>
      <c r="C14747" t="s">
        <v>160</v>
      </c>
      <c r="D14747" t="s">
        <v>182</v>
      </c>
      <c r="E14747" t="s">
        <v>8</v>
      </c>
      <c r="F14747">
        <v>10.613231658935547</v>
      </c>
    </row>
    <row r="14748" spans="2:6">
      <c r="B14748">
        <v>2006</v>
      </c>
      <c r="C14748" t="s">
        <v>160</v>
      </c>
      <c r="D14748" t="s">
        <v>182</v>
      </c>
      <c r="E14748" t="s">
        <v>9</v>
      </c>
      <c r="F14748">
        <v>0.88224619626998901</v>
      </c>
    </row>
    <row r="14749" spans="2:6">
      <c r="B14749">
        <v>2006</v>
      </c>
      <c r="C14749" t="s">
        <v>160</v>
      </c>
      <c r="D14749" t="s">
        <v>182</v>
      </c>
      <c r="E14749" t="s">
        <v>10</v>
      </c>
      <c r="F14749">
        <v>68.680000305175781</v>
      </c>
    </row>
    <row r="14750" spans="2:6">
      <c r="B14750">
        <v>2006</v>
      </c>
      <c r="C14750" t="s">
        <v>160</v>
      </c>
      <c r="D14750" t="s">
        <v>182</v>
      </c>
      <c r="E14750" t="s">
        <v>11</v>
      </c>
      <c r="F14750">
        <v>0.62990963459014893</v>
      </c>
    </row>
    <row r="14751" spans="2:6">
      <c r="B14751">
        <v>2006</v>
      </c>
      <c r="C14751" t="s">
        <v>160</v>
      </c>
      <c r="D14751" t="s">
        <v>182</v>
      </c>
      <c r="E14751" t="s">
        <v>12</v>
      </c>
      <c r="F14751">
        <v>-2.9827160760760307E-2</v>
      </c>
    </row>
    <row r="14752" spans="2:6">
      <c r="B14752">
        <v>2006</v>
      </c>
      <c r="C14752" t="s">
        <v>160</v>
      </c>
      <c r="D14752" t="s">
        <v>182</v>
      </c>
      <c r="E14752" t="s">
        <v>13</v>
      </c>
      <c r="F14752">
        <v>0.84584981203079224</v>
      </c>
    </row>
    <row r="14753" spans="2:6">
      <c r="B14753">
        <v>2006</v>
      </c>
      <c r="C14753" t="s">
        <v>160</v>
      </c>
      <c r="D14753" t="s">
        <v>182</v>
      </c>
      <c r="E14753" t="s">
        <v>14</v>
      </c>
      <c r="F14753">
        <v>0.81363821029663086</v>
      </c>
    </row>
    <row r="14754" spans="2:6">
      <c r="B14754">
        <v>2006</v>
      </c>
      <c r="C14754" t="s">
        <v>160</v>
      </c>
      <c r="D14754" t="s">
        <v>182</v>
      </c>
      <c r="E14754" t="s">
        <v>15</v>
      </c>
      <c r="F14754">
        <v>9.431612491607666E-2</v>
      </c>
    </row>
    <row r="14755" spans="2:6">
      <c r="B14755">
        <v>2008</v>
      </c>
      <c r="C14755" t="s">
        <v>160</v>
      </c>
      <c r="D14755" t="s">
        <v>182</v>
      </c>
      <c r="E14755" t="s">
        <v>7</v>
      </c>
      <c r="F14755">
        <v>5.5476822853088379</v>
      </c>
    </row>
    <row r="14756" spans="2:6">
      <c r="B14756">
        <v>2008</v>
      </c>
      <c r="C14756" t="s">
        <v>160</v>
      </c>
      <c r="D14756" t="s">
        <v>182</v>
      </c>
      <c r="E14756" t="s">
        <v>8</v>
      </c>
      <c r="F14756">
        <v>10.606202125549316</v>
      </c>
    </row>
    <row r="14757" spans="2:6">
      <c r="B14757">
        <v>2008</v>
      </c>
      <c r="C14757" t="s">
        <v>160</v>
      </c>
      <c r="D14757" t="s">
        <v>182</v>
      </c>
      <c r="E14757" t="s">
        <v>9</v>
      </c>
      <c r="F14757">
        <v>0.8300049901008606</v>
      </c>
    </row>
    <row r="14758" spans="2:6">
      <c r="B14758">
        <v>2008</v>
      </c>
      <c r="C14758" t="s">
        <v>160</v>
      </c>
      <c r="D14758" t="s">
        <v>182</v>
      </c>
      <c r="E14758" t="s">
        <v>10</v>
      </c>
      <c r="F14758">
        <v>69.139999389648438</v>
      </c>
    </row>
    <row r="14759" spans="2:6">
      <c r="B14759">
        <v>2008</v>
      </c>
      <c r="C14759" t="s">
        <v>160</v>
      </c>
      <c r="D14759" t="s">
        <v>182</v>
      </c>
      <c r="E14759" t="s">
        <v>11</v>
      </c>
      <c r="F14759">
        <v>0.64171534776687622</v>
      </c>
    </row>
    <row r="14760" spans="2:6">
      <c r="B14760">
        <v>2008</v>
      </c>
      <c r="C14760" t="s">
        <v>160</v>
      </c>
      <c r="D14760" t="s">
        <v>182</v>
      </c>
      <c r="E14760" t="s">
        <v>12</v>
      </c>
      <c r="F14760">
        <v>-1.6732314601540565E-2</v>
      </c>
    </row>
    <row r="14761" spans="2:6">
      <c r="B14761">
        <v>2008</v>
      </c>
      <c r="C14761" t="s">
        <v>160</v>
      </c>
      <c r="D14761" t="s">
        <v>182</v>
      </c>
      <c r="E14761" t="s">
        <v>13</v>
      </c>
      <c r="F14761">
        <v>0.78483182191848755</v>
      </c>
    </row>
    <row r="14762" spans="2:6">
      <c r="B14762">
        <v>2008</v>
      </c>
      <c r="C14762" t="s">
        <v>160</v>
      </c>
      <c r="D14762" t="s">
        <v>182</v>
      </c>
      <c r="E14762" t="s">
        <v>14</v>
      </c>
      <c r="F14762">
        <v>0.79435151815414429</v>
      </c>
    </row>
    <row r="14763" spans="2:6">
      <c r="B14763">
        <v>2008</v>
      </c>
      <c r="C14763" t="s">
        <v>160</v>
      </c>
      <c r="D14763" t="s">
        <v>182</v>
      </c>
      <c r="E14763" t="s">
        <v>15</v>
      </c>
      <c r="F14763">
        <v>0.16915689408779144</v>
      </c>
    </row>
    <row r="14764" spans="2:6">
      <c r="B14764">
        <v>2010</v>
      </c>
      <c r="C14764" t="s">
        <v>160</v>
      </c>
      <c r="D14764" t="s">
        <v>182</v>
      </c>
      <c r="E14764" t="s">
        <v>7</v>
      </c>
      <c r="F14764">
        <v>6.2285308837890625</v>
      </c>
    </row>
    <row r="14765" spans="2:6">
      <c r="B14765">
        <v>2010</v>
      </c>
      <c r="C14765" t="s">
        <v>160</v>
      </c>
      <c r="D14765" t="s">
        <v>182</v>
      </c>
      <c r="E14765" t="s">
        <v>8</v>
      </c>
      <c r="F14765">
        <v>10.690680503845215</v>
      </c>
    </row>
    <row r="14766" spans="2:6">
      <c r="B14766">
        <v>2010</v>
      </c>
      <c r="C14766" t="s">
        <v>160</v>
      </c>
      <c r="D14766" t="s">
        <v>182</v>
      </c>
      <c r="E14766" t="s">
        <v>9</v>
      </c>
      <c r="F14766">
        <v>0.8314129114151001</v>
      </c>
    </row>
    <row r="14767" spans="2:6">
      <c r="B14767">
        <v>2010</v>
      </c>
      <c r="C14767" t="s">
        <v>160</v>
      </c>
      <c r="D14767" t="s">
        <v>182</v>
      </c>
      <c r="E14767" t="s">
        <v>10</v>
      </c>
      <c r="F14767">
        <v>69.599998474121094</v>
      </c>
    </row>
    <row r="14768" spans="2:6">
      <c r="B14768">
        <v>2010</v>
      </c>
      <c r="C14768" t="s">
        <v>160</v>
      </c>
      <c r="D14768" t="s">
        <v>182</v>
      </c>
      <c r="E14768" t="s">
        <v>11</v>
      </c>
      <c r="F14768">
        <v>0.67658728361129761</v>
      </c>
    </row>
    <row r="14769" spans="2:6">
      <c r="B14769">
        <v>2010</v>
      </c>
      <c r="C14769" t="s">
        <v>160</v>
      </c>
      <c r="D14769" t="s">
        <v>182</v>
      </c>
      <c r="E14769" t="s">
        <v>12</v>
      </c>
      <c r="F14769">
        <v>4.7532180324196815E-3</v>
      </c>
    </row>
    <row r="14770" spans="2:6">
      <c r="B14770">
        <v>2010</v>
      </c>
      <c r="C14770" t="s">
        <v>160</v>
      </c>
      <c r="D14770" t="s">
        <v>182</v>
      </c>
      <c r="E14770" t="s">
        <v>13</v>
      </c>
      <c r="F14770">
        <v>0.82136470079421997</v>
      </c>
    </row>
    <row r="14771" spans="2:6">
      <c r="B14771">
        <v>2010</v>
      </c>
      <c r="C14771" t="s">
        <v>160</v>
      </c>
      <c r="D14771" t="s">
        <v>182</v>
      </c>
      <c r="E14771" t="s">
        <v>14</v>
      </c>
      <c r="F14771">
        <v>0.84534460306167603</v>
      </c>
    </row>
    <row r="14772" spans="2:6">
      <c r="B14772">
        <v>2010</v>
      </c>
      <c r="C14772" t="s">
        <v>160</v>
      </c>
      <c r="D14772" t="s">
        <v>182</v>
      </c>
      <c r="E14772" t="s">
        <v>15</v>
      </c>
      <c r="F14772">
        <v>0.13586734235286713</v>
      </c>
    </row>
    <row r="14773" spans="2:6">
      <c r="B14773">
        <v>2011</v>
      </c>
      <c r="C14773" t="s">
        <v>160</v>
      </c>
      <c r="D14773" t="s">
        <v>182</v>
      </c>
      <c r="E14773" t="s">
        <v>7</v>
      </c>
      <c r="F14773">
        <v>6.3089151382446289</v>
      </c>
    </row>
    <row r="14774" spans="2:6">
      <c r="B14774">
        <v>2011</v>
      </c>
      <c r="C14774" t="s">
        <v>160</v>
      </c>
      <c r="D14774" t="s">
        <v>182</v>
      </c>
      <c r="E14774" t="s">
        <v>8</v>
      </c>
      <c r="F14774">
        <v>10.705154418945313</v>
      </c>
    </row>
    <row r="14775" spans="2:6">
      <c r="B14775">
        <v>2011</v>
      </c>
      <c r="C14775" t="s">
        <v>160</v>
      </c>
      <c r="D14775" t="s">
        <v>182</v>
      </c>
      <c r="E14775" t="s">
        <v>9</v>
      </c>
      <c r="F14775">
        <v>0.86252075433731079</v>
      </c>
    </row>
    <row r="14776" spans="2:6">
      <c r="B14776">
        <v>2011</v>
      </c>
      <c r="C14776" t="s">
        <v>160</v>
      </c>
      <c r="D14776" t="s">
        <v>182</v>
      </c>
      <c r="E14776" t="s">
        <v>11</v>
      </c>
      <c r="F14776">
        <v>0.76148819923400879</v>
      </c>
    </row>
    <row r="14777" spans="2:6">
      <c r="B14777">
        <v>2011</v>
      </c>
      <c r="C14777" t="s">
        <v>160</v>
      </c>
      <c r="D14777" t="s">
        <v>182</v>
      </c>
      <c r="E14777" t="s">
        <v>12</v>
      </c>
      <c r="F14777">
        <v>3.5269580781459808E-2</v>
      </c>
    </row>
    <row r="14778" spans="2:6">
      <c r="B14778">
        <v>2011</v>
      </c>
      <c r="C14778" t="s">
        <v>160</v>
      </c>
      <c r="D14778" t="s">
        <v>182</v>
      </c>
      <c r="E14778" t="s">
        <v>13</v>
      </c>
      <c r="F14778">
        <v>0.75458431243896484</v>
      </c>
    </row>
    <row r="14779" spans="2:6">
      <c r="B14779">
        <v>2011</v>
      </c>
      <c r="C14779" t="s">
        <v>160</v>
      </c>
      <c r="D14779" t="s">
        <v>182</v>
      </c>
      <c r="E14779" t="s">
        <v>14</v>
      </c>
      <c r="F14779">
        <v>0.82671338319778442</v>
      </c>
    </row>
    <row r="14780" spans="2:6">
      <c r="B14780">
        <v>2011</v>
      </c>
      <c r="C14780" t="s">
        <v>160</v>
      </c>
      <c r="D14780" t="s">
        <v>182</v>
      </c>
      <c r="E14780" t="s">
        <v>15</v>
      </c>
      <c r="F14780">
        <v>0.11228808760643005</v>
      </c>
    </row>
    <row r="14781" spans="2:6">
      <c r="B14781">
        <v>2012</v>
      </c>
      <c r="C14781" t="s">
        <v>160</v>
      </c>
      <c r="D14781" t="s">
        <v>182</v>
      </c>
      <c r="E14781" t="s">
        <v>7</v>
      </c>
      <c r="F14781">
        <v>6.1259169578552246</v>
      </c>
    </row>
    <row r="14782" spans="2:6">
      <c r="B14782">
        <v>2012</v>
      </c>
      <c r="C14782" t="s">
        <v>160</v>
      </c>
      <c r="D14782" t="s">
        <v>182</v>
      </c>
      <c r="E14782" t="s">
        <v>8</v>
      </c>
      <c r="F14782">
        <v>10.715845108032227</v>
      </c>
    </row>
    <row r="14783" spans="2:6">
      <c r="B14783">
        <v>2012</v>
      </c>
      <c r="C14783" t="s">
        <v>160</v>
      </c>
      <c r="D14783" t="s">
        <v>182</v>
      </c>
      <c r="E14783" t="s">
        <v>9</v>
      </c>
      <c r="F14783">
        <v>0.82507240772247314</v>
      </c>
    </row>
    <row r="14784" spans="2:6">
      <c r="B14784">
        <v>2012</v>
      </c>
      <c r="C14784" t="s">
        <v>160</v>
      </c>
      <c r="D14784" t="s">
        <v>182</v>
      </c>
      <c r="E14784" t="s">
        <v>11</v>
      </c>
      <c r="F14784">
        <v>0.69819515943527222</v>
      </c>
    </row>
    <row r="14785" spans="2:6">
      <c r="B14785">
        <v>2012</v>
      </c>
      <c r="C14785" t="s">
        <v>160</v>
      </c>
      <c r="D14785" t="s">
        <v>182</v>
      </c>
      <c r="E14785" t="s">
        <v>12</v>
      </c>
      <c r="F14785">
        <v>2.1749423816800117E-2</v>
      </c>
    </row>
    <row r="14786" spans="2:6">
      <c r="B14786">
        <v>2012</v>
      </c>
      <c r="C14786" t="s">
        <v>160</v>
      </c>
      <c r="D14786" t="s">
        <v>182</v>
      </c>
      <c r="E14786" t="s">
        <v>13</v>
      </c>
      <c r="F14786">
        <v>0.80282914638519287</v>
      </c>
    </row>
    <row r="14787" spans="2:6">
      <c r="B14787">
        <v>2012</v>
      </c>
      <c r="C14787" t="s">
        <v>160</v>
      </c>
      <c r="D14787" t="s">
        <v>182</v>
      </c>
      <c r="E14787" t="s">
        <v>14</v>
      </c>
      <c r="F14787">
        <v>0.82136154174804688</v>
      </c>
    </row>
    <row r="14788" spans="2:6">
      <c r="B14788">
        <v>2012</v>
      </c>
      <c r="C14788" t="s">
        <v>160</v>
      </c>
      <c r="D14788" t="s">
        <v>182</v>
      </c>
      <c r="E14788" t="s">
        <v>15</v>
      </c>
      <c r="F14788">
        <v>0.14001080393791199</v>
      </c>
    </row>
    <row r="14789" spans="2:6">
      <c r="B14789">
        <v>2013</v>
      </c>
      <c r="C14789" t="s">
        <v>160</v>
      </c>
      <c r="D14789" t="s">
        <v>182</v>
      </c>
      <c r="E14789" t="s">
        <v>7</v>
      </c>
      <c r="F14789">
        <v>6.3403444290161133</v>
      </c>
    </row>
    <row r="14790" spans="2:6">
      <c r="B14790">
        <v>2013</v>
      </c>
      <c r="C14790" t="s">
        <v>160</v>
      </c>
      <c r="D14790" t="s">
        <v>182</v>
      </c>
      <c r="E14790" t="s">
        <v>8</v>
      </c>
      <c r="F14790">
        <v>10.750062942504883</v>
      </c>
    </row>
    <row r="14791" spans="2:6">
      <c r="B14791">
        <v>2013</v>
      </c>
      <c r="C14791" t="s">
        <v>160</v>
      </c>
      <c r="D14791" t="s">
        <v>182</v>
      </c>
      <c r="E14791" t="s">
        <v>9</v>
      </c>
      <c r="F14791">
        <v>0.81699287891387939</v>
      </c>
    </row>
    <row r="14792" spans="2:6">
      <c r="B14792">
        <v>2013</v>
      </c>
      <c r="C14792" t="s">
        <v>160</v>
      </c>
      <c r="D14792" t="s">
        <v>182</v>
      </c>
      <c r="E14792" t="s">
        <v>11</v>
      </c>
      <c r="F14792">
        <v>0.69007086753845215</v>
      </c>
    </row>
    <row r="14793" spans="2:6">
      <c r="B14793">
        <v>2013</v>
      </c>
      <c r="C14793" t="s">
        <v>160</v>
      </c>
      <c r="D14793" t="s">
        <v>182</v>
      </c>
      <c r="E14793" t="s">
        <v>12</v>
      </c>
      <c r="F14793">
        <v>1.5177401946857572E-3</v>
      </c>
    </row>
    <row r="14794" spans="2:6">
      <c r="B14794">
        <v>2013</v>
      </c>
      <c r="C14794" t="s">
        <v>160</v>
      </c>
      <c r="D14794" t="s">
        <v>182</v>
      </c>
      <c r="E14794" t="s">
        <v>13</v>
      </c>
      <c r="F14794">
        <v>0.84123188257217407</v>
      </c>
    </row>
    <row r="14795" spans="2:6">
      <c r="B14795">
        <v>2013</v>
      </c>
      <c r="C14795" t="s">
        <v>160</v>
      </c>
      <c r="D14795" t="s">
        <v>182</v>
      </c>
      <c r="E14795" t="s">
        <v>14</v>
      </c>
      <c r="F14795">
        <v>0.84623235464096069</v>
      </c>
    </row>
    <row r="14796" spans="2:6">
      <c r="B14796">
        <v>2013</v>
      </c>
      <c r="C14796" t="s">
        <v>160</v>
      </c>
      <c r="D14796" t="s">
        <v>182</v>
      </c>
      <c r="E14796" t="s">
        <v>15</v>
      </c>
      <c r="F14796">
        <v>0.12444483488798141</v>
      </c>
    </row>
    <row r="14797" spans="2:6">
      <c r="B14797">
        <v>2014</v>
      </c>
      <c r="C14797" t="s">
        <v>160</v>
      </c>
      <c r="D14797" t="s">
        <v>182</v>
      </c>
      <c r="E14797" t="s">
        <v>7</v>
      </c>
      <c r="F14797">
        <v>6.3634967803955078</v>
      </c>
    </row>
    <row r="14798" spans="2:6">
      <c r="B14798">
        <v>2014</v>
      </c>
      <c r="C14798" t="s">
        <v>160</v>
      </c>
      <c r="D14798" t="s">
        <v>182</v>
      </c>
      <c r="E14798" t="s">
        <v>8</v>
      </c>
      <c r="F14798">
        <v>10.797788619995117</v>
      </c>
    </row>
    <row r="14799" spans="2:6">
      <c r="B14799">
        <v>2014</v>
      </c>
      <c r="C14799" t="s">
        <v>160</v>
      </c>
      <c r="D14799" t="s">
        <v>182</v>
      </c>
      <c r="E14799" t="s">
        <v>9</v>
      </c>
      <c r="F14799">
        <v>0.87001186609268188</v>
      </c>
    </row>
    <row r="14800" spans="2:6">
      <c r="B14800">
        <v>2014</v>
      </c>
      <c r="C14800" t="s">
        <v>160</v>
      </c>
      <c r="D14800" t="s">
        <v>182</v>
      </c>
      <c r="E14800" t="s">
        <v>11</v>
      </c>
      <c r="F14800">
        <v>0.69289976358413696</v>
      </c>
    </row>
    <row r="14801" spans="2:6">
      <c r="B14801">
        <v>2014</v>
      </c>
      <c r="C14801" t="s">
        <v>160</v>
      </c>
      <c r="D14801" t="s">
        <v>182</v>
      </c>
      <c r="E14801" t="s">
        <v>12</v>
      </c>
      <c r="F14801">
        <v>9.1989286243915558E-2</v>
      </c>
    </row>
    <row r="14802" spans="2:6">
      <c r="B14802">
        <v>2014</v>
      </c>
      <c r="C14802" t="s">
        <v>160</v>
      </c>
      <c r="D14802" t="s">
        <v>182</v>
      </c>
      <c r="E14802" t="s">
        <v>13</v>
      </c>
      <c r="F14802">
        <v>0.86574059724807739</v>
      </c>
    </row>
    <row r="14803" spans="2:6">
      <c r="B14803">
        <v>2014</v>
      </c>
      <c r="C14803" t="s">
        <v>160</v>
      </c>
      <c r="D14803" t="s">
        <v>182</v>
      </c>
      <c r="E14803" t="s">
        <v>14</v>
      </c>
      <c r="F14803">
        <v>0.84884065389633179</v>
      </c>
    </row>
    <row r="14804" spans="2:6">
      <c r="B14804">
        <v>2014</v>
      </c>
      <c r="C14804" t="s">
        <v>160</v>
      </c>
      <c r="D14804" t="s">
        <v>182</v>
      </c>
      <c r="E14804" t="s">
        <v>15</v>
      </c>
      <c r="F14804">
        <v>0.10836613923311234</v>
      </c>
    </row>
    <row r="14805" spans="2:6">
      <c r="B14805">
        <v>2015</v>
      </c>
      <c r="C14805" t="s">
        <v>160</v>
      </c>
      <c r="D14805" t="s">
        <v>182</v>
      </c>
      <c r="E14805" t="s">
        <v>7</v>
      </c>
      <c r="F14805">
        <v>6.4500880241394043</v>
      </c>
    </row>
    <row r="14806" spans="2:6">
      <c r="B14806">
        <v>2015</v>
      </c>
      <c r="C14806" t="s">
        <v>160</v>
      </c>
      <c r="D14806" t="s">
        <v>182</v>
      </c>
      <c r="E14806" t="s">
        <v>8</v>
      </c>
      <c r="F14806">
        <v>10.842317581176758</v>
      </c>
    </row>
    <row r="14807" spans="2:6">
      <c r="B14807">
        <v>2015</v>
      </c>
      <c r="C14807" t="s">
        <v>160</v>
      </c>
      <c r="D14807" t="s">
        <v>182</v>
      </c>
      <c r="E14807" t="s">
        <v>9</v>
      </c>
      <c r="F14807">
        <v>0.88538885116577148</v>
      </c>
    </row>
    <row r="14808" spans="2:6">
      <c r="B14808">
        <v>2015</v>
      </c>
      <c r="C14808" t="s">
        <v>160</v>
      </c>
      <c r="D14808" t="s">
        <v>182</v>
      </c>
      <c r="E14808" t="s">
        <v>11</v>
      </c>
      <c r="F14808">
        <v>0.70081049203872681</v>
      </c>
    </row>
    <row r="14809" spans="2:6">
      <c r="B14809">
        <v>2015</v>
      </c>
      <c r="C14809" t="s">
        <v>160</v>
      </c>
      <c r="D14809" t="s">
        <v>182</v>
      </c>
      <c r="E14809" t="s">
        <v>12</v>
      </c>
      <c r="F14809">
        <v>1.8658051267266273E-2</v>
      </c>
    </row>
    <row r="14810" spans="2:6">
      <c r="B14810">
        <v>2015</v>
      </c>
      <c r="C14810" t="s">
        <v>160</v>
      </c>
      <c r="D14810" t="s">
        <v>182</v>
      </c>
      <c r="E14810" t="s">
        <v>13</v>
      </c>
      <c r="F14810">
        <v>0.85719484090805054</v>
      </c>
    </row>
    <row r="14811" spans="2:6">
      <c r="B14811">
        <v>2015</v>
      </c>
      <c r="C14811" t="s">
        <v>160</v>
      </c>
      <c r="D14811" t="s">
        <v>182</v>
      </c>
      <c r="E14811" t="s">
        <v>14</v>
      </c>
      <c r="F14811">
        <v>0.83198708295822144</v>
      </c>
    </row>
    <row r="14812" spans="2:6">
      <c r="B14812">
        <v>2015</v>
      </c>
      <c r="C14812" t="s">
        <v>160</v>
      </c>
      <c r="D14812" t="s">
        <v>182</v>
      </c>
      <c r="E14812" t="s">
        <v>15</v>
      </c>
      <c r="F14812">
        <v>0.12934869527816772</v>
      </c>
    </row>
    <row r="14813" spans="2:6">
      <c r="B14813">
        <v>2016</v>
      </c>
      <c r="C14813" t="s">
        <v>160</v>
      </c>
      <c r="D14813" t="s">
        <v>182</v>
      </c>
      <c r="E14813" t="s">
        <v>7</v>
      </c>
      <c r="F14813">
        <v>6.5128507614135742</v>
      </c>
    </row>
    <row r="14814" spans="2:6">
      <c r="B14814">
        <v>2016</v>
      </c>
      <c r="C14814" t="s">
        <v>160</v>
      </c>
      <c r="D14814" t="s">
        <v>182</v>
      </c>
      <c r="E14814" t="s">
        <v>8</v>
      </c>
      <c r="F14814">
        <v>10.854927062988281</v>
      </c>
    </row>
    <row r="14815" spans="2:6">
      <c r="B14815">
        <v>2016</v>
      </c>
      <c r="C14815" t="s">
        <v>160</v>
      </c>
      <c r="D14815" t="s">
        <v>182</v>
      </c>
      <c r="E14815" t="s">
        <v>9</v>
      </c>
      <c r="F14815">
        <v>0.8949892520904541</v>
      </c>
    </row>
    <row r="14816" spans="2:6">
      <c r="B14816">
        <v>2016</v>
      </c>
      <c r="C14816" t="s">
        <v>160</v>
      </c>
      <c r="D14816" t="s">
        <v>182</v>
      </c>
      <c r="E14816" t="s">
        <v>11</v>
      </c>
      <c r="F14816">
        <v>0.71892517805099487</v>
      </c>
    </row>
    <row r="14817" spans="2:6">
      <c r="B14817">
        <v>2016</v>
      </c>
      <c r="C14817" t="s">
        <v>160</v>
      </c>
      <c r="D14817" t="s">
        <v>182</v>
      </c>
      <c r="E14817" t="s">
        <v>12</v>
      </c>
      <c r="F14817">
        <v>-4.8804469406604767E-2</v>
      </c>
    </row>
    <row r="14818" spans="2:6">
      <c r="B14818">
        <v>2016</v>
      </c>
      <c r="C14818" t="s">
        <v>160</v>
      </c>
      <c r="D14818" t="s">
        <v>182</v>
      </c>
      <c r="E14818" t="s">
        <v>13</v>
      </c>
      <c r="F14818">
        <v>0.81052100658416748</v>
      </c>
    </row>
    <row r="14819" spans="2:6">
      <c r="B14819">
        <v>2016</v>
      </c>
      <c r="C14819" t="s">
        <v>160</v>
      </c>
      <c r="D14819" t="s">
        <v>182</v>
      </c>
      <c r="E14819" t="s">
        <v>14</v>
      </c>
      <c r="F14819">
        <v>0.8331528902053833</v>
      </c>
    </row>
    <row r="14820" spans="2:6">
      <c r="B14820">
        <v>2016</v>
      </c>
      <c r="C14820" t="s">
        <v>160</v>
      </c>
      <c r="D14820" t="s">
        <v>182</v>
      </c>
      <c r="E14820" t="s">
        <v>15</v>
      </c>
      <c r="F14820">
        <v>0.10830541700124741</v>
      </c>
    </row>
    <row r="14821" spans="2:6">
      <c r="B14821">
        <v>2017</v>
      </c>
      <c r="C14821" t="s">
        <v>160</v>
      </c>
      <c r="D14821" t="s">
        <v>182</v>
      </c>
      <c r="E14821" t="s">
        <v>7</v>
      </c>
      <c r="F14821">
        <v>6.3594508171081543</v>
      </c>
    </row>
    <row r="14822" spans="2:6">
      <c r="B14822">
        <v>2017</v>
      </c>
      <c r="C14822" t="s">
        <v>160</v>
      </c>
      <c r="D14822" t="s">
        <v>182</v>
      </c>
      <c r="E14822" t="s">
        <v>8</v>
      </c>
      <c r="F14822">
        <v>10.87099552154541</v>
      </c>
    </row>
    <row r="14823" spans="2:6">
      <c r="B14823">
        <v>2017</v>
      </c>
      <c r="C14823" t="s">
        <v>160</v>
      </c>
      <c r="D14823" t="s">
        <v>182</v>
      </c>
      <c r="E14823" t="s">
        <v>9</v>
      </c>
      <c r="F14823">
        <v>0.89111912250518799</v>
      </c>
    </row>
    <row r="14824" spans="2:6">
      <c r="B14824">
        <v>2017</v>
      </c>
      <c r="C14824" t="s">
        <v>160</v>
      </c>
      <c r="D14824" t="s">
        <v>182</v>
      </c>
      <c r="E14824" t="s">
        <v>11</v>
      </c>
      <c r="F14824">
        <v>0.75965476036071777</v>
      </c>
    </row>
    <row r="14825" spans="2:6">
      <c r="B14825">
        <v>2017</v>
      </c>
      <c r="C14825" t="s">
        <v>160</v>
      </c>
      <c r="D14825" t="s">
        <v>182</v>
      </c>
      <c r="E14825" t="s">
        <v>12</v>
      </c>
      <c r="F14825">
        <v>-7.0494405925273895E-2</v>
      </c>
    </row>
    <row r="14826" spans="2:6">
      <c r="B14826">
        <v>2017</v>
      </c>
      <c r="C14826" t="s">
        <v>160</v>
      </c>
      <c r="D14826" t="s">
        <v>182</v>
      </c>
      <c r="E14826" t="s">
        <v>13</v>
      </c>
      <c r="F14826">
        <v>0.74278008937835693</v>
      </c>
    </row>
    <row r="14827" spans="2:6">
      <c r="B14827">
        <v>2017</v>
      </c>
      <c r="C14827" t="s">
        <v>160</v>
      </c>
      <c r="D14827" t="s">
        <v>182</v>
      </c>
      <c r="E14827" t="s">
        <v>14</v>
      </c>
      <c r="F14827">
        <v>0.83727729320526123</v>
      </c>
    </row>
    <row r="14828" spans="2:6">
      <c r="B14828">
        <v>2017</v>
      </c>
      <c r="C14828" t="s">
        <v>160</v>
      </c>
      <c r="D14828" t="s">
        <v>182</v>
      </c>
      <c r="E14828" t="s">
        <v>15</v>
      </c>
      <c r="F14828">
        <v>0.1141231581568718</v>
      </c>
    </row>
    <row r="14829" spans="2:6">
      <c r="B14829">
        <v>2018</v>
      </c>
      <c r="C14829" t="s">
        <v>160</v>
      </c>
      <c r="D14829" t="s">
        <v>182</v>
      </c>
      <c r="E14829" t="s">
        <v>7</v>
      </c>
      <c r="F14829">
        <v>6.4670047760009766</v>
      </c>
    </row>
    <row r="14830" spans="2:6">
      <c r="B14830">
        <v>2018</v>
      </c>
      <c r="C14830" t="s">
        <v>160</v>
      </c>
      <c r="D14830" t="s">
        <v>182</v>
      </c>
      <c r="E14830" t="s">
        <v>9</v>
      </c>
      <c r="F14830">
        <v>0.89645874500274658</v>
      </c>
    </row>
    <row r="14831" spans="2:6">
      <c r="B14831">
        <v>2018</v>
      </c>
      <c r="C14831" t="s">
        <v>160</v>
      </c>
      <c r="D14831" t="s">
        <v>182</v>
      </c>
      <c r="E14831" t="s">
        <v>11</v>
      </c>
      <c r="F14831">
        <v>0.74103277921676636</v>
      </c>
    </row>
    <row r="14832" spans="2:6">
      <c r="B14832">
        <v>2018</v>
      </c>
      <c r="C14832" t="s">
        <v>160</v>
      </c>
      <c r="D14832" t="s">
        <v>182</v>
      </c>
      <c r="E14832" t="s">
        <v>13</v>
      </c>
      <c r="F14832">
        <v>0.73597073554992676</v>
      </c>
    </row>
    <row r="14833" spans="2:6">
      <c r="B14833">
        <v>2018</v>
      </c>
      <c r="C14833" t="s">
        <v>160</v>
      </c>
      <c r="D14833" t="s">
        <v>182</v>
      </c>
      <c r="E14833" t="s">
        <v>14</v>
      </c>
      <c r="F14833">
        <v>0.84839856624603271</v>
      </c>
    </row>
    <row r="14834" spans="2:6">
      <c r="B14834">
        <v>2018</v>
      </c>
      <c r="C14834" t="s">
        <v>160</v>
      </c>
      <c r="D14834" t="s">
        <v>182</v>
      </c>
      <c r="E14834" t="s">
        <v>15</v>
      </c>
      <c r="F14834">
        <v>9.2695645987987518E-2</v>
      </c>
    </row>
    <row r="14835" spans="2:6">
      <c r="B14835">
        <v>2019</v>
      </c>
      <c r="C14835" t="s">
        <v>160</v>
      </c>
      <c r="D14835" t="s">
        <v>182</v>
      </c>
      <c r="E14835" t="s">
        <v>7</v>
      </c>
      <c r="F14835">
        <v>6.5370898246765137</v>
      </c>
    </row>
    <row r="14836" spans="2:6">
      <c r="B14836">
        <v>2019</v>
      </c>
      <c r="C14836" t="s">
        <v>160</v>
      </c>
      <c r="D14836" t="s">
        <v>182</v>
      </c>
      <c r="E14836" t="s">
        <v>9</v>
      </c>
      <c r="F14836">
        <v>0.89343059062957764</v>
      </c>
    </row>
    <row r="14837" spans="2:6">
      <c r="B14837">
        <v>2019</v>
      </c>
      <c r="C14837" t="s">
        <v>160</v>
      </c>
      <c r="D14837" t="s">
        <v>182</v>
      </c>
      <c r="E14837" t="s">
        <v>11</v>
      </c>
      <c r="F14837">
        <v>0.81448447704315186</v>
      </c>
    </row>
    <row r="14838" spans="2:6">
      <c r="B14838">
        <v>2019</v>
      </c>
      <c r="C14838" t="s">
        <v>160</v>
      </c>
      <c r="D14838" t="s">
        <v>182</v>
      </c>
      <c r="E14838" t="s">
        <v>13</v>
      </c>
      <c r="F14838">
        <v>0.71811234951019287</v>
      </c>
    </row>
    <row r="14839" spans="2:6">
      <c r="B14839">
        <v>2019</v>
      </c>
      <c r="C14839" t="s">
        <v>160</v>
      </c>
      <c r="D14839" t="s">
        <v>182</v>
      </c>
      <c r="E14839" t="s">
        <v>14</v>
      </c>
      <c r="F14839">
        <v>0.86007082462310791</v>
      </c>
    </row>
    <row r="14840" spans="2:6">
      <c r="B14840">
        <v>2019</v>
      </c>
      <c r="C14840" t="s">
        <v>160</v>
      </c>
      <c r="D14840" t="s">
        <v>182</v>
      </c>
      <c r="E14840" t="s">
        <v>15</v>
      </c>
      <c r="F14840">
        <v>9.3412384390830994E-2</v>
      </c>
    </row>
    <row r="14841" spans="2:6">
      <c r="B14841">
        <v>2020</v>
      </c>
      <c r="C14841" t="s">
        <v>160</v>
      </c>
      <c r="D14841" t="s">
        <v>182</v>
      </c>
      <c r="E14841" t="s">
        <v>7</v>
      </c>
      <c r="F14841">
        <v>6.7510676383972168</v>
      </c>
    </row>
    <row r="14842" spans="2:6">
      <c r="B14842">
        <v>2020</v>
      </c>
      <c r="C14842" t="s">
        <v>160</v>
      </c>
      <c r="D14842" t="s">
        <v>182</v>
      </c>
      <c r="E14842" t="s">
        <v>9</v>
      </c>
      <c r="F14842">
        <v>0.90083253383636475</v>
      </c>
    </row>
    <row r="14843" spans="2:6">
      <c r="B14843">
        <v>2020</v>
      </c>
      <c r="C14843" t="s">
        <v>160</v>
      </c>
      <c r="D14843" t="s">
        <v>182</v>
      </c>
      <c r="E14843" t="s">
        <v>11</v>
      </c>
      <c r="F14843">
        <v>0.79883474111557007</v>
      </c>
    </row>
    <row r="14844" spans="2:6">
      <c r="B14844">
        <v>2020</v>
      </c>
      <c r="C14844" t="s">
        <v>160</v>
      </c>
      <c r="D14844" t="s">
        <v>182</v>
      </c>
      <c r="E14844" t="s">
        <v>13</v>
      </c>
      <c r="F14844">
        <v>0.7105674147605896</v>
      </c>
    </row>
    <row r="14845" spans="2:6">
      <c r="B14845">
        <v>2020</v>
      </c>
      <c r="C14845" t="s">
        <v>160</v>
      </c>
      <c r="D14845" t="s">
        <v>182</v>
      </c>
      <c r="E14845" t="s">
        <v>14</v>
      </c>
      <c r="F14845">
        <v>0.84539335966110229</v>
      </c>
    </row>
    <row r="14846" spans="2:6">
      <c r="B14846">
        <v>2020</v>
      </c>
      <c r="C14846" t="s">
        <v>160</v>
      </c>
      <c r="D14846" t="s">
        <v>182</v>
      </c>
      <c r="E14846" t="s">
        <v>15</v>
      </c>
      <c r="F14846">
        <v>8.2736954092979431E-2</v>
      </c>
    </row>
    <row r="14847" spans="2:6">
      <c r="B14847">
        <v>2006</v>
      </c>
      <c r="C14847" t="s">
        <v>161</v>
      </c>
      <c r="D14847" t="s">
        <v>182</v>
      </c>
      <c r="E14847" t="s">
        <v>7</v>
      </c>
      <c r="F14847">
        <v>4.6130990982055664</v>
      </c>
    </row>
    <row r="14848" spans="2:6">
      <c r="B14848">
        <v>2006</v>
      </c>
      <c r="C14848" t="s">
        <v>161</v>
      </c>
      <c r="D14848" t="s">
        <v>182</v>
      </c>
      <c r="E14848" t="s">
        <v>8</v>
      </c>
      <c r="F14848">
        <v>7.554471492767334</v>
      </c>
    </row>
    <row r="14849" spans="2:6">
      <c r="B14849">
        <v>2006</v>
      </c>
      <c r="C14849" t="s">
        <v>161</v>
      </c>
      <c r="D14849" t="s">
        <v>182</v>
      </c>
      <c r="E14849" t="s">
        <v>9</v>
      </c>
      <c r="F14849">
        <v>0.72384077310562134</v>
      </c>
    </row>
    <row r="14850" spans="2:6">
      <c r="B14850">
        <v>2006</v>
      </c>
      <c r="C14850" t="s">
        <v>161</v>
      </c>
      <c r="D14850" t="s">
        <v>182</v>
      </c>
      <c r="E14850" t="s">
        <v>10</v>
      </c>
      <c r="F14850">
        <v>60.639999389648438</v>
      </c>
    </row>
    <row r="14851" spans="2:6">
      <c r="B14851">
        <v>2006</v>
      </c>
      <c r="C14851" t="s">
        <v>161</v>
      </c>
      <c r="D14851" t="s">
        <v>182</v>
      </c>
      <c r="E14851" t="s">
        <v>11</v>
      </c>
      <c r="F14851">
        <v>0.701759934425354</v>
      </c>
    </row>
    <row r="14852" spans="2:6">
      <c r="B14852">
        <v>2006</v>
      </c>
      <c r="C14852" t="s">
        <v>161</v>
      </c>
      <c r="D14852" t="s">
        <v>182</v>
      </c>
      <c r="E14852" t="s">
        <v>12</v>
      </c>
      <c r="F14852">
        <v>-8.8468119502067566E-2</v>
      </c>
    </row>
    <row r="14853" spans="2:6">
      <c r="B14853">
        <v>2006</v>
      </c>
      <c r="C14853" t="s">
        <v>161</v>
      </c>
      <c r="D14853" t="s">
        <v>182</v>
      </c>
      <c r="E14853" t="s">
        <v>13</v>
      </c>
      <c r="F14853">
        <v>0.76815515756607056</v>
      </c>
    </row>
    <row r="14854" spans="2:6">
      <c r="B14854">
        <v>2006</v>
      </c>
      <c r="C14854" t="s">
        <v>161</v>
      </c>
      <c r="D14854" t="s">
        <v>182</v>
      </c>
      <c r="E14854" t="s">
        <v>14</v>
      </c>
      <c r="F14854">
        <v>0.56576424837112427</v>
      </c>
    </row>
    <row r="14855" spans="2:6">
      <c r="B14855">
        <v>2006</v>
      </c>
      <c r="C14855" t="s">
        <v>161</v>
      </c>
      <c r="D14855" t="s">
        <v>182</v>
      </c>
      <c r="E14855" t="s">
        <v>15</v>
      </c>
      <c r="F14855">
        <v>0.19467064738273621</v>
      </c>
    </row>
    <row r="14856" spans="2:6">
      <c r="B14856">
        <v>2007</v>
      </c>
      <c r="C14856" t="s">
        <v>161</v>
      </c>
      <c r="D14856" t="s">
        <v>182</v>
      </c>
      <c r="E14856" t="s">
        <v>7</v>
      </c>
      <c r="F14856">
        <v>4.4316086769104004</v>
      </c>
    </row>
    <row r="14857" spans="2:6">
      <c r="B14857">
        <v>2007</v>
      </c>
      <c r="C14857" t="s">
        <v>161</v>
      </c>
      <c r="D14857" t="s">
        <v>182</v>
      </c>
      <c r="E14857" t="s">
        <v>8</v>
      </c>
      <c r="F14857">
        <v>7.6091752052307129</v>
      </c>
    </row>
    <row r="14858" spans="2:6">
      <c r="B14858">
        <v>2007</v>
      </c>
      <c r="C14858" t="s">
        <v>161</v>
      </c>
      <c r="D14858" t="s">
        <v>182</v>
      </c>
      <c r="E14858" t="s">
        <v>9</v>
      </c>
      <c r="F14858">
        <v>0.72665512561798096</v>
      </c>
    </row>
    <row r="14859" spans="2:6">
      <c r="B14859">
        <v>2007</v>
      </c>
      <c r="C14859" t="s">
        <v>161</v>
      </c>
      <c r="D14859" t="s">
        <v>182</v>
      </c>
      <c r="E14859" t="s">
        <v>10</v>
      </c>
      <c r="F14859">
        <v>61.080001831054688</v>
      </c>
    </row>
    <row r="14860" spans="2:6">
      <c r="B14860">
        <v>2007</v>
      </c>
      <c r="C14860" t="s">
        <v>161</v>
      </c>
      <c r="D14860" t="s">
        <v>182</v>
      </c>
      <c r="E14860" t="s">
        <v>11</v>
      </c>
      <c r="F14860">
        <v>0.8183550238609314</v>
      </c>
    </row>
    <row r="14861" spans="2:6">
      <c r="B14861">
        <v>2007</v>
      </c>
      <c r="C14861" t="s">
        <v>161</v>
      </c>
      <c r="D14861" t="s">
        <v>182</v>
      </c>
      <c r="E14861" t="s">
        <v>12</v>
      </c>
      <c r="F14861">
        <v>4.3171143624931574E-4</v>
      </c>
    </row>
    <row r="14862" spans="2:6">
      <c r="B14862">
        <v>2007</v>
      </c>
      <c r="C14862" t="s">
        <v>161</v>
      </c>
      <c r="D14862" t="s">
        <v>182</v>
      </c>
      <c r="E14862" t="s">
        <v>13</v>
      </c>
      <c r="F14862">
        <v>0.65851980447769165</v>
      </c>
    </row>
    <row r="14863" spans="2:6">
      <c r="B14863">
        <v>2007</v>
      </c>
      <c r="C14863" t="s">
        <v>161</v>
      </c>
      <c r="D14863" t="s">
        <v>182</v>
      </c>
      <c r="E14863" t="s">
        <v>14</v>
      </c>
      <c r="F14863">
        <v>0.69419300556182861</v>
      </c>
    </row>
    <row r="14864" spans="2:6">
      <c r="B14864">
        <v>2007</v>
      </c>
      <c r="C14864" t="s">
        <v>161</v>
      </c>
      <c r="D14864" t="s">
        <v>182</v>
      </c>
      <c r="E14864" t="s">
        <v>15</v>
      </c>
      <c r="F14864">
        <v>0.13311375677585602</v>
      </c>
    </row>
    <row r="14865" spans="2:6">
      <c r="B14865">
        <v>2008</v>
      </c>
      <c r="C14865" t="s">
        <v>161</v>
      </c>
      <c r="D14865" t="s">
        <v>182</v>
      </c>
      <c r="E14865" t="s">
        <v>7</v>
      </c>
      <c r="F14865">
        <v>5.0639867782592773</v>
      </c>
    </row>
    <row r="14866" spans="2:6">
      <c r="B14866">
        <v>2008</v>
      </c>
      <c r="C14866" t="s">
        <v>161</v>
      </c>
      <c r="D14866" t="s">
        <v>182</v>
      </c>
      <c r="E14866" t="s">
        <v>8</v>
      </c>
      <c r="F14866">
        <v>7.6646718978881836</v>
      </c>
    </row>
    <row r="14867" spans="2:6">
      <c r="B14867">
        <v>2008</v>
      </c>
      <c r="C14867" t="s">
        <v>161</v>
      </c>
      <c r="D14867" t="s">
        <v>182</v>
      </c>
      <c r="E14867" t="s">
        <v>9</v>
      </c>
      <c r="F14867">
        <v>0.70090073347091675</v>
      </c>
    </row>
    <row r="14868" spans="2:6">
      <c r="B14868">
        <v>2008</v>
      </c>
      <c r="C14868" t="s">
        <v>161</v>
      </c>
      <c r="D14868" t="s">
        <v>182</v>
      </c>
      <c r="E14868" t="s">
        <v>10</v>
      </c>
      <c r="F14868">
        <v>61.520000457763672</v>
      </c>
    </row>
    <row r="14869" spans="2:6">
      <c r="B14869">
        <v>2008</v>
      </c>
      <c r="C14869" t="s">
        <v>161</v>
      </c>
      <c r="D14869" t="s">
        <v>182</v>
      </c>
      <c r="E14869" t="s">
        <v>11</v>
      </c>
      <c r="F14869">
        <v>0.81595474481582642</v>
      </c>
    </row>
    <row r="14870" spans="2:6">
      <c r="B14870">
        <v>2008</v>
      </c>
      <c r="C14870" t="s">
        <v>161</v>
      </c>
      <c r="D14870" t="s">
        <v>182</v>
      </c>
      <c r="E14870" t="s">
        <v>12</v>
      </c>
      <c r="F14870">
        <v>1.7623491585254669E-2</v>
      </c>
    </row>
    <row r="14871" spans="2:6">
      <c r="B14871">
        <v>2008</v>
      </c>
      <c r="C14871" t="s">
        <v>161</v>
      </c>
      <c r="D14871" t="s">
        <v>182</v>
      </c>
      <c r="E14871" t="s">
        <v>13</v>
      </c>
      <c r="F14871">
        <v>0.72337698936462402</v>
      </c>
    </row>
    <row r="14872" spans="2:6">
      <c r="B14872">
        <v>2008</v>
      </c>
      <c r="C14872" t="s">
        <v>161</v>
      </c>
      <c r="D14872" t="s">
        <v>182</v>
      </c>
      <c r="E14872" t="s">
        <v>14</v>
      </c>
      <c r="F14872">
        <v>0.60586309432983398</v>
      </c>
    </row>
    <row r="14873" spans="2:6">
      <c r="B14873">
        <v>2008</v>
      </c>
      <c r="C14873" t="s">
        <v>161</v>
      </c>
      <c r="D14873" t="s">
        <v>182</v>
      </c>
      <c r="E14873" t="s">
        <v>15</v>
      </c>
      <c r="F14873">
        <v>0.16043595969676971</v>
      </c>
    </row>
    <row r="14874" spans="2:6">
      <c r="B14874">
        <v>2009</v>
      </c>
      <c r="C14874" t="s">
        <v>161</v>
      </c>
      <c r="D14874" t="s">
        <v>182</v>
      </c>
      <c r="E14874" t="s">
        <v>7</v>
      </c>
      <c r="F14874">
        <v>4.5751748085021973</v>
      </c>
    </row>
    <row r="14875" spans="2:6">
      <c r="B14875">
        <v>2009</v>
      </c>
      <c r="C14875" t="s">
        <v>161</v>
      </c>
      <c r="D14875" t="s">
        <v>182</v>
      </c>
      <c r="E14875" t="s">
        <v>8</v>
      </c>
      <c r="F14875">
        <v>7.681614875793457</v>
      </c>
    </row>
    <row r="14876" spans="2:6">
      <c r="B14876">
        <v>2009</v>
      </c>
      <c r="C14876" t="s">
        <v>161</v>
      </c>
      <c r="D14876" t="s">
        <v>182</v>
      </c>
      <c r="E14876" t="s">
        <v>9</v>
      </c>
      <c r="F14876">
        <v>0.67565304040908813</v>
      </c>
    </row>
    <row r="14877" spans="2:6">
      <c r="B14877">
        <v>2009</v>
      </c>
      <c r="C14877" t="s">
        <v>161</v>
      </c>
      <c r="D14877" t="s">
        <v>182</v>
      </c>
      <c r="E14877" t="s">
        <v>10</v>
      </c>
      <c r="F14877">
        <v>61.959999084472656</v>
      </c>
    </row>
    <row r="14878" spans="2:6">
      <c r="B14878">
        <v>2009</v>
      </c>
      <c r="C14878" t="s">
        <v>161</v>
      </c>
      <c r="D14878" t="s">
        <v>182</v>
      </c>
      <c r="E14878" t="s">
        <v>11</v>
      </c>
      <c r="F14878">
        <v>0.7437865138053894</v>
      </c>
    </row>
    <row r="14879" spans="2:6">
      <c r="B14879">
        <v>2009</v>
      </c>
      <c r="C14879" t="s">
        <v>161</v>
      </c>
      <c r="D14879" t="s">
        <v>182</v>
      </c>
      <c r="E14879" t="s">
        <v>12</v>
      </c>
      <c r="F14879">
        <v>6.8817456485703588E-4</v>
      </c>
    </row>
    <row r="14880" spans="2:6">
      <c r="B14880">
        <v>2009</v>
      </c>
      <c r="C14880" t="s">
        <v>161</v>
      </c>
      <c r="D14880" t="s">
        <v>182</v>
      </c>
      <c r="E14880" t="s">
        <v>13</v>
      </c>
      <c r="F14880">
        <v>0.79170399904251099</v>
      </c>
    </row>
    <row r="14881" spans="2:6">
      <c r="B14881">
        <v>2009</v>
      </c>
      <c r="C14881" t="s">
        <v>161</v>
      </c>
      <c r="D14881" t="s">
        <v>182</v>
      </c>
      <c r="E14881" t="s">
        <v>14</v>
      </c>
      <c r="F14881">
        <v>0.60524386167526245</v>
      </c>
    </row>
    <row r="14882" spans="2:6">
      <c r="B14882">
        <v>2009</v>
      </c>
      <c r="C14882" t="s">
        <v>161</v>
      </c>
      <c r="D14882" t="s">
        <v>182</v>
      </c>
      <c r="E14882" t="s">
        <v>15</v>
      </c>
      <c r="F14882">
        <v>0.20319017767906189</v>
      </c>
    </row>
    <row r="14883" spans="2:6">
      <c r="B14883">
        <v>2010</v>
      </c>
      <c r="C14883" t="s">
        <v>161</v>
      </c>
      <c r="D14883" t="s">
        <v>182</v>
      </c>
      <c r="E14883" t="s">
        <v>7</v>
      </c>
      <c r="F14883">
        <v>4.3806362152099609</v>
      </c>
    </row>
    <row r="14884" spans="2:6">
      <c r="B14884">
        <v>2010</v>
      </c>
      <c r="C14884" t="s">
        <v>161</v>
      </c>
      <c r="D14884" t="s">
        <v>182</v>
      </c>
      <c r="E14884" t="s">
        <v>8</v>
      </c>
      <c r="F14884">
        <v>7.7229404449462891</v>
      </c>
    </row>
    <row r="14885" spans="2:6">
      <c r="B14885">
        <v>2010</v>
      </c>
      <c r="C14885" t="s">
        <v>161</v>
      </c>
      <c r="D14885" t="s">
        <v>182</v>
      </c>
      <c r="E14885" t="s">
        <v>9</v>
      </c>
      <c r="F14885">
        <v>0.7591630220413208</v>
      </c>
    </row>
    <row r="14886" spans="2:6">
      <c r="B14886">
        <v>2010</v>
      </c>
      <c r="C14886" t="s">
        <v>161</v>
      </c>
      <c r="D14886" t="s">
        <v>182</v>
      </c>
      <c r="E14886" t="s">
        <v>10</v>
      </c>
      <c r="F14886">
        <v>62.400001525878906</v>
      </c>
    </row>
    <row r="14887" spans="2:6">
      <c r="B14887">
        <v>2010</v>
      </c>
      <c r="C14887" t="s">
        <v>161</v>
      </c>
      <c r="D14887" t="s">
        <v>182</v>
      </c>
      <c r="E14887" t="s">
        <v>11</v>
      </c>
      <c r="F14887">
        <v>0.78449589014053345</v>
      </c>
    </row>
    <row r="14888" spans="2:6">
      <c r="B14888">
        <v>2010</v>
      </c>
      <c r="C14888" t="s">
        <v>161</v>
      </c>
      <c r="D14888" t="s">
        <v>182</v>
      </c>
      <c r="E14888" t="s">
        <v>12</v>
      </c>
      <c r="F14888">
        <v>6.1829335987567902E-2</v>
      </c>
    </row>
    <row r="14889" spans="2:6">
      <c r="B14889">
        <v>2010</v>
      </c>
      <c r="C14889" t="s">
        <v>161</v>
      </c>
      <c r="D14889" t="s">
        <v>182</v>
      </c>
      <c r="E14889" t="s">
        <v>13</v>
      </c>
      <c r="F14889">
        <v>0.67852777242660522</v>
      </c>
    </row>
    <row r="14890" spans="2:6">
      <c r="B14890">
        <v>2010</v>
      </c>
      <c r="C14890" t="s">
        <v>161</v>
      </c>
      <c r="D14890" t="s">
        <v>182</v>
      </c>
      <c r="E14890" t="s">
        <v>14</v>
      </c>
      <c r="F14890">
        <v>0.64268296957015991</v>
      </c>
    </row>
    <row r="14891" spans="2:6">
      <c r="B14891">
        <v>2010</v>
      </c>
      <c r="C14891" t="s">
        <v>161</v>
      </c>
      <c r="D14891" t="s">
        <v>182</v>
      </c>
      <c r="E14891" t="s">
        <v>15</v>
      </c>
      <c r="F14891">
        <v>0.19173303246498108</v>
      </c>
    </row>
    <row r="14892" spans="2:6">
      <c r="B14892">
        <v>2011</v>
      </c>
      <c r="C14892" t="s">
        <v>161</v>
      </c>
      <c r="D14892" t="s">
        <v>182</v>
      </c>
      <c r="E14892" t="s">
        <v>7</v>
      </c>
      <c r="F14892">
        <v>4.2626714706420898</v>
      </c>
    </row>
    <row r="14893" spans="2:6">
      <c r="B14893">
        <v>2011</v>
      </c>
      <c r="C14893" t="s">
        <v>161</v>
      </c>
      <c r="D14893" t="s">
        <v>182</v>
      </c>
      <c r="E14893" t="s">
        <v>8</v>
      </c>
      <c r="F14893">
        <v>7.7719888687133789</v>
      </c>
    </row>
    <row r="14894" spans="2:6">
      <c r="B14894">
        <v>2011</v>
      </c>
      <c r="C14894" t="s">
        <v>161</v>
      </c>
      <c r="D14894" t="s">
        <v>182</v>
      </c>
      <c r="E14894" t="s">
        <v>9</v>
      </c>
      <c r="F14894">
        <v>0.75073838233947754</v>
      </c>
    </row>
    <row r="14895" spans="2:6">
      <c r="B14895">
        <v>2011</v>
      </c>
      <c r="C14895" t="s">
        <v>161</v>
      </c>
      <c r="D14895" t="s">
        <v>182</v>
      </c>
      <c r="E14895" t="s">
        <v>10</v>
      </c>
      <c r="F14895">
        <v>62.560001373291016</v>
      </c>
    </row>
    <row r="14896" spans="2:6">
      <c r="B14896">
        <v>2011</v>
      </c>
      <c r="C14896" t="s">
        <v>161</v>
      </c>
      <c r="D14896" t="s">
        <v>182</v>
      </c>
      <c r="E14896" t="s">
        <v>11</v>
      </c>
      <c r="F14896">
        <v>0.7761799693107605</v>
      </c>
    </row>
    <row r="14897" spans="2:6">
      <c r="B14897">
        <v>2011</v>
      </c>
      <c r="C14897" t="s">
        <v>161</v>
      </c>
      <c r="D14897" t="s">
        <v>182</v>
      </c>
      <c r="E14897" t="s">
        <v>12</v>
      </c>
      <c r="F14897">
        <v>-0.11886816471815109</v>
      </c>
    </row>
    <row r="14898" spans="2:6">
      <c r="B14898">
        <v>2011</v>
      </c>
      <c r="C14898" t="s">
        <v>161</v>
      </c>
      <c r="D14898" t="s">
        <v>182</v>
      </c>
      <c r="E14898" t="s">
        <v>13</v>
      </c>
      <c r="F14898">
        <v>0.67219918966293335</v>
      </c>
    </row>
    <row r="14899" spans="2:6">
      <c r="B14899">
        <v>2011</v>
      </c>
      <c r="C14899" t="s">
        <v>161</v>
      </c>
      <c r="D14899" t="s">
        <v>182</v>
      </c>
      <c r="E14899" t="s">
        <v>14</v>
      </c>
      <c r="F14899">
        <v>0.69781017303466797</v>
      </c>
    </row>
    <row r="14900" spans="2:6">
      <c r="B14900">
        <v>2011</v>
      </c>
      <c r="C14900" t="s">
        <v>161</v>
      </c>
      <c r="D14900" t="s">
        <v>182</v>
      </c>
      <c r="E14900" t="s">
        <v>15</v>
      </c>
      <c r="F14900">
        <v>0.16563223302364349</v>
      </c>
    </row>
    <row r="14901" spans="2:6">
      <c r="B14901">
        <v>2012</v>
      </c>
      <c r="C14901" t="s">
        <v>161</v>
      </c>
      <c r="D14901" t="s">
        <v>182</v>
      </c>
      <c r="E14901" t="s">
        <v>7</v>
      </c>
      <c r="F14901">
        <v>4.4965715408325195</v>
      </c>
    </row>
    <row r="14902" spans="2:6">
      <c r="B14902">
        <v>2012</v>
      </c>
      <c r="C14902" t="s">
        <v>161</v>
      </c>
      <c r="D14902" t="s">
        <v>182</v>
      </c>
      <c r="E14902" t="s">
        <v>8</v>
      </c>
      <c r="F14902">
        <v>7.8214054107666016</v>
      </c>
    </row>
    <row r="14903" spans="2:6">
      <c r="B14903">
        <v>2012</v>
      </c>
      <c r="C14903" t="s">
        <v>161</v>
      </c>
      <c r="D14903" t="s">
        <v>182</v>
      </c>
      <c r="E14903" t="s">
        <v>9</v>
      </c>
      <c r="F14903">
        <v>0.72859090566635132</v>
      </c>
    </row>
    <row r="14904" spans="2:6">
      <c r="B14904">
        <v>2012</v>
      </c>
      <c r="C14904" t="s">
        <v>161</v>
      </c>
      <c r="D14904" t="s">
        <v>182</v>
      </c>
      <c r="E14904" t="s">
        <v>10</v>
      </c>
      <c r="F14904">
        <v>62.720001220703125</v>
      </c>
    </row>
    <row r="14905" spans="2:6">
      <c r="B14905">
        <v>2012</v>
      </c>
      <c r="C14905" t="s">
        <v>161</v>
      </c>
      <c r="D14905" t="s">
        <v>182</v>
      </c>
      <c r="E14905" t="s">
        <v>11</v>
      </c>
      <c r="F14905">
        <v>0.74903452396392822</v>
      </c>
    </row>
    <row r="14906" spans="2:6">
      <c r="B14906">
        <v>2012</v>
      </c>
      <c r="C14906" t="s">
        <v>161</v>
      </c>
      <c r="D14906" t="s">
        <v>182</v>
      </c>
      <c r="E14906" t="s">
        <v>12</v>
      </c>
      <c r="F14906">
        <v>-7.2731353342533112E-2</v>
      </c>
    </row>
    <row r="14907" spans="2:6">
      <c r="B14907">
        <v>2012</v>
      </c>
      <c r="C14907" t="s">
        <v>161</v>
      </c>
      <c r="D14907" t="s">
        <v>182</v>
      </c>
      <c r="E14907" t="s">
        <v>13</v>
      </c>
      <c r="F14907">
        <v>0.71709775924682617</v>
      </c>
    </row>
    <row r="14908" spans="2:6">
      <c r="B14908">
        <v>2012</v>
      </c>
      <c r="C14908" t="s">
        <v>161</v>
      </c>
      <c r="D14908" t="s">
        <v>182</v>
      </c>
      <c r="E14908" t="s">
        <v>14</v>
      </c>
      <c r="F14908">
        <v>0.71446031332015991</v>
      </c>
    </row>
    <row r="14909" spans="2:6">
      <c r="B14909">
        <v>2012</v>
      </c>
      <c r="C14909" t="s">
        <v>161</v>
      </c>
      <c r="D14909" t="s">
        <v>182</v>
      </c>
      <c r="E14909" t="s">
        <v>15</v>
      </c>
      <c r="F14909">
        <v>0.1981913298368454</v>
      </c>
    </row>
    <row r="14910" spans="2:6">
      <c r="B14910">
        <v>2013</v>
      </c>
      <c r="C14910" t="s">
        <v>161</v>
      </c>
      <c r="D14910" t="s">
        <v>182</v>
      </c>
      <c r="E14910" t="s">
        <v>7</v>
      </c>
      <c r="F14910">
        <v>4.9665212631225586</v>
      </c>
    </row>
    <row r="14911" spans="2:6">
      <c r="B14911">
        <v>2013</v>
      </c>
      <c r="C14911" t="s">
        <v>161</v>
      </c>
      <c r="D14911" t="s">
        <v>182</v>
      </c>
      <c r="E14911" t="s">
        <v>8</v>
      </c>
      <c r="F14911">
        <v>7.8695836067199707</v>
      </c>
    </row>
    <row r="14912" spans="2:6">
      <c r="B14912">
        <v>2013</v>
      </c>
      <c r="C14912" t="s">
        <v>161</v>
      </c>
      <c r="D14912" t="s">
        <v>182</v>
      </c>
      <c r="E14912" t="s">
        <v>9</v>
      </c>
      <c r="F14912">
        <v>0.70064282417297363</v>
      </c>
    </row>
    <row r="14913" spans="2:6">
      <c r="B14913">
        <v>2013</v>
      </c>
      <c r="C14913" t="s">
        <v>161</v>
      </c>
      <c r="D14913" t="s">
        <v>182</v>
      </c>
      <c r="E14913" t="s">
        <v>10</v>
      </c>
      <c r="F14913">
        <v>62.880001068115234</v>
      </c>
    </row>
    <row r="14914" spans="2:6">
      <c r="B14914">
        <v>2013</v>
      </c>
      <c r="C14914" t="s">
        <v>161</v>
      </c>
      <c r="D14914" t="s">
        <v>182</v>
      </c>
      <c r="E14914" t="s">
        <v>11</v>
      </c>
      <c r="F14914">
        <v>0.69311976432800293</v>
      </c>
    </row>
    <row r="14915" spans="2:6">
      <c r="B14915">
        <v>2013</v>
      </c>
      <c r="C14915" t="s">
        <v>161</v>
      </c>
      <c r="D14915" t="s">
        <v>182</v>
      </c>
      <c r="E14915" t="s">
        <v>12</v>
      </c>
      <c r="F14915">
        <v>6.3401997089385986E-2</v>
      </c>
    </row>
    <row r="14916" spans="2:6">
      <c r="B14916">
        <v>2013</v>
      </c>
      <c r="C14916" t="s">
        <v>161</v>
      </c>
      <c r="D14916" t="s">
        <v>182</v>
      </c>
      <c r="E14916" t="s">
        <v>13</v>
      </c>
      <c r="F14916">
        <v>0.76423650979995728</v>
      </c>
    </row>
    <row r="14917" spans="2:6">
      <c r="B14917">
        <v>2013</v>
      </c>
      <c r="C14917" t="s">
        <v>161</v>
      </c>
      <c r="D14917" t="s">
        <v>182</v>
      </c>
      <c r="E14917" t="s">
        <v>14</v>
      </c>
      <c r="F14917">
        <v>0.67651867866516113</v>
      </c>
    </row>
    <row r="14918" spans="2:6">
      <c r="B14918">
        <v>2013</v>
      </c>
      <c r="C14918" t="s">
        <v>161</v>
      </c>
      <c r="D14918" t="s">
        <v>182</v>
      </c>
      <c r="E14918" t="s">
        <v>15</v>
      </c>
      <c r="F14918">
        <v>0.16962093114852905</v>
      </c>
    </row>
    <row r="14919" spans="2:6">
      <c r="B14919">
        <v>2014</v>
      </c>
      <c r="C14919" t="s">
        <v>161</v>
      </c>
      <c r="D14919" t="s">
        <v>182</v>
      </c>
      <c r="E14919" t="s">
        <v>7</v>
      </c>
      <c r="F14919">
        <v>4.8961577415466309</v>
      </c>
    </row>
    <row r="14920" spans="2:6">
      <c r="B14920">
        <v>2014</v>
      </c>
      <c r="C14920" t="s">
        <v>161</v>
      </c>
      <c r="D14920" t="s">
        <v>182</v>
      </c>
      <c r="E14920" t="s">
        <v>8</v>
      </c>
      <c r="F14920">
        <v>7.9108185768127441</v>
      </c>
    </row>
    <row r="14921" spans="2:6">
      <c r="B14921">
        <v>2014</v>
      </c>
      <c r="C14921" t="s">
        <v>161</v>
      </c>
      <c r="D14921" t="s">
        <v>182</v>
      </c>
      <c r="E14921" t="s">
        <v>9</v>
      </c>
      <c r="F14921">
        <v>0.80982625484466553</v>
      </c>
    </row>
    <row r="14922" spans="2:6">
      <c r="B14922">
        <v>2014</v>
      </c>
      <c r="C14922" t="s">
        <v>161</v>
      </c>
      <c r="D14922" t="s">
        <v>182</v>
      </c>
      <c r="E14922" t="s">
        <v>10</v>
      </c>
      <c r="F14922">
        <v>63.040000915527344</v>
      </c>
    </row>
    <row r="14923" spans="2:6">
      <c r="B14923">
        <v>2014</v>
      </c>
      <c r="C14923" t="s">
        <v>161</v>
      </c>
      <c r="D14923" t="s">
        <v>182</v>
      </c>
      <c r="E14923" t="s">
        <v>11</v>
      </c>
      <c r="F14923">
        <v>0.85273224115371704</v>
      </c>
    </row>
    <row r="14924" spans="2:6">
      <c r="B14924">
        <v>2014</v>
      </c>
      <c r="C14924" t="s">
        <v>161</v>
      </c>
      <c r="D14924" t="s">
        <v>182</v>
      </c>
      <c r="E14924" t="s">
        <v>12</v>
      </c>
      <c r="F14924">
        <v>1.5438188565894961E-3</v>
      </c>
    </row>
    <row r="14925" spans="2:6">
      <c r="B14925">
        <v>2014</v>
      </c>
      <c r="C14925" t="s">
        <v>161</v>
      </c>
      <c r="D14925" t="s">
        <v>182</v>
      </c>
      <c r="E14925" t="s">
        <v>13</v>
      </c>
      <c r="F14925">
        <v>0.69843077659606934</v>
      </c>
    </row>
    <row r="14926" spans="2:6">
      <c r="B14926">
        <v>2014</v>
      </c>
      <c r="C14926" t="s">
        <v>161</v>
      </c>
      <c r="D14926" t="s">
        <v>182</v>
      </c>
      <c r="E14926" t="s">
        <v>14</v>
      </c>
      <c r="F14926">
        <v>0.65604680776596069</v>
      </c>
    </row>
    <row r="14927" spans="2:6">
      <c r="B14927">
        <v>2014</v>
      </c>
      <c r="C14927" t="s">
        <v>161</v>
      </c>
      <c r="D14927" t="s">
        <v>182</v>
      </c>
      <c r="E14927" t="s">
        <v>15</v>
      </c>
      <c r="F14927">
        <v>0.19615380465984344</v>
      </c>
    </row>
    <row r="14928" spans="2:6">
      <c r="B14928">
        <v>2015</v>
      </c>
      <c r="C14928" t="s">
        <v>161</v>
      </c>
      <c r="D14928" t="s">
        <v>182</v>
      </c>
      <c r="E14928" t="s">
        <v>7</v>
      </c>
      <c r="F14928">
        <v>5.1242108345031738</v>
      </c>
    </row>
    <row r="14929" spans="2:6">
      <c r="B14929">
        <v>2015</v>
      </c>
      <c r="C14929" t="s">
        <v>161</v>
      </c>
      <c r="D14929" t="s">
        <v>182</v>
      </c>
      <c r="E14929" t="s">
        <v>8</v>
      </c>
      <c r="F14929">
        <v>7.9450793266296387</v>
      </c>
    </row>
    <row r="14930" spans="2:6">
      <c r="B14930">
        <v>2015</v>
      </c>
      <c r="C14930" t="s">
        <v>161</v>
      </c>
      <c r="D14930" t="s">
        <v>182</v>
      </c>
      <c r="E14930" t="s">
        <v>9</v>
      </c>
      <c r="F14930">
        <v>0.84393250942230225</v>
      </c>
    </row>
    <row r="14931" spans="2:6">
      <c r="B14931">
        <v>2015</v>
      </c>
      <c r="C14931" t="s">
        <v>161</v>
      </c>
      <c r="D14931" t="s">
        <v>182</v>
      </c>
      <c r="E14931" t="s">
        <v>10</v>
      </c>
      <c r="F14931">
        <v>63.200000762939453</v>
      </c>
    </row>
    <row r="14932" spans="2:6">
      <c r="B14932">
        <v>2015</v>
      </c>
      <c r="C14932" t="s">
        <v>161</v>
      </c>
      <c r="D14932" t="s">
        <v>182</v>
      </c>
      <c r="E14932" t="s">
        <v>11</v>
      </c>
      <c r="F14932">
        <v>0.8465421199798584</v>
      </c>
    </row>
    <row r="14933" spans="2:6">
      <c r="B14933">
        <v>2015</v>
      </c>
      <c r="C14933" t="s">
        <v>161</v>
      </c>
      <c r="D14933" t="s">
        <v>182</v>
      </c>
      <c r="E14933" t="s">
        <v>12</v>
      </c>
      <c r="F14933">
        <v>2.2057460620999336E-2</v>
      </c>
    </row>
    <row r="14934" spans="2:6">
      <c r="B14934">
        <v>2015</v>
      </c>
      <c r="C14934" t="s">
        <v>161</v>
      </c>
      <c r="D14934" t="s">
        <v>182</v>
      </c>
      <c r="E14934" t="s">
        <v>13</v>
      </c>
      <c r="F14934">
        <v>0.74168962240219116</v>
      </c>
    </row>
    <row r="14935" spans="2:6">
      <c r="B14935">
        <v>2015</v>
      </c>
      <c r="C14935" t="s">
        <v>161</v>
      </c>
      <c r="D14935" t="s">
        <v>182</v>
      </c>
      <c r="E14935" t="s">
        <v>14</v>
      </c>
      <c r="F14935">
        <v>0.68892174959182739</v>
      </c>
    </row>
    <row r="14936" spans="2:6">
      <c r="B14936">
        <v>2015</v>
      </c>
      <c r="C14936" t="s">
        <v>161</v>
      </c>
      <c r="D14936" t="s">
        <v>182</v>
      </c>
      <c r="E14936" t="s">
        <v>15</v>
      </c>
      <c r="F14936">
        <v>0.19566133618354797</v>
      </c>
    </row>
    <row r="14937" spans="2:6">
      <c r="B14937">
        <v>2016</v>
      </c>
      <c r="C14937" t="s">
        <v>161</v>
      </c>
      <c r="D14937" t="s">
        <v>182</v>
      </c>
      <c r="E14937" t="s">
        <v>7</v>
      </c>
      <c r="F14937">
        <v>5.1037211418151855</v>
      </c>
    </row>
    <row r="14938" spans="2:6">
      <c r="B14938">
        <v>2016</v>
      </c>
      <c r="C14938" t="s">
        <v>161</v>
      </c>
      <c r="D14938" t="s">
        <v>182</v>
      </c>
      <c r="E14938" t="s">
        <v>8</v>
      </c>
      <c r="F14938">
        <v>7.987065315246582</v>
      </c>
    </row>
    <row r="14939" spans="2:6">
      <c r="B14939">
        <v>2016</v>
      </c>
      <c r="C14939" t="s">
        <v>161</v>
      </c>
      <c r="D14939" t="s">
        <v>182</v>
      </c>
      <c r="E14939" t="s">
        <v>9</v>
      </c>
      <c r="F14939">
        <v>0.85665696859359741</v>
      </c>
    </row>
    <row r="14940" spans="2:6">
      <c r="B14940">
        <v>2016</v>
      </c>
      <c r="C14940" t="s">
        <v>161</v>
      </c>
      <c r="D14940" t="s">
        <v>182</v>
      </c>
      <c r="E14940" t="s">
        <v>10</v>
      </c>
      <c r="F14940">
        <v>63.5</v>
      </c>
    </row>
    <row r="14941" spans="2:6">
      <c r="B14941">
        <v>2016</v>
      </c>
      <c r="C14941" t="s">
        <v>161</v>
      </c>
      <c r="D14941" t="s">
        <v>182</v>
      </c>
      <c r="E14941" t="s">
        <v>11</v>
      </c>
      <c r="F14941">
        <v>0.70302689075469971</v>
      </c>
    </row>
    <row r="14942" spans="2:6">
      <c r="B14942">
        <v>2016</v>
      </c>
      <c r="C14942" t="s">
        <v>161</v>
      </c>
      <c r="D14942" t="s">
        <v>182</v>
      </c>
      <c r="E14942" t="s">
        <v>12</v>
      </c>
      <c r="F14942">
        <v>9.6660209819674492E-3</v>
      </c>
    </row>
    <row r="14943" spans="2:6">
      <c r="B14943">
        <v>2016</v>
      </c>
      <c r="C14943" t="s">
        <v>161</v>
      </c>
      <c r="D14943" t="s">
        <v>182</v>
      </c>
      <c r="E14943" t="s">
        <v>13</v>
      </c>
      <c r="F14943">
        <v>0.63188785314559937</v>
      </c>
    </row>
    <row r="14944" spans="2:6">
      <c r="B14944">
        <v>2016</v>
      </c>
      <c r="C14944" t="s">
        <v>161</v>
      </c>
      <c r="D14944" t="s">
        <v>182</v>
      </c>
      <c r="E14944" t="s">
        <v>14</v>
      </c>
      <c r="F14944">
        <v>0.64448463916778564</v>
      </c>
    </row>
    <row r="14945" spans="2:6">
      <c r="B14945">
        <v>2016</v>
      </c>
      <c r="C14945" t="s">
        <v>161</v>
      </c>
      <c r="D14945" t="s">
        <v>182</v>
      </c>
      <c r="E14945" t="s">
        <v>15</v>
      </c>
      <c r="F14945">
        <v>0.21979966759681702</v>
      </c>
    </row>
    <row r="14946" spans="2:6">
      <c r="B14946">
        <v>2017</v>
      </c>
      <c r="C14946" t="s">
        <v>161</v>
      </c>
      <c r="D14946" t="s">
        <v>182</v>
      </c>
      <c r="E14946" t="s">
        <v>7</v>
      </c>
      <c r="F14946">
        <v>5.8292341232299805</v>
      </c>
    </row>
    <row r="14947" spans="2:6">
      <c r="B14947">
        <v>2017</v>
      </c>
      <c r="C14947" t="s">
        <v>161</v>
      </c>
      <c r="D14947" t="s">
        <v>182</v>
      </c>
      <c r="E14947" t="s">
        <v>8</v>
      </c>
      <c r="F14947">
        <v>8.0357742309570313</v>
      </c>
    </row>
    <row r="14948" spans="2:6">
      <c r="B14948">
        <v>2017</v>
      </c>
      <c r="C14948" t="s">
        <v>161</v>
      </c>
      <c r="D14948" t="s">
        <v>182</v>
      </c>
      <c r="E14948" t="s">
        <v>9</v>
      </c>
      <c r="F14948">
        <v>0.6626933217048645</v>
      </c>
    </row>
    <row r="14949" spans="2:6">
      <c r="B14949">
        <v>2017</v>
      </c>
      <c r="C14949" t="s">
        <v>161</v>
      </c>
      <c r="D14949" t="s">
        <v>182</v>
      </c>
      <c r="E14949" t="s">
        <v>10</v>
      </c>
      <c r="F14949">
        <v>63.799999237060547</v>
      </c>
    </row>
    <row r="14950" spans="2:6">
      <c r="B14950">
        <v>2017</v>
      </c>
      <c r="C14950" t="s">
        <v>161</v>
      </c>
      <c r="D14950" t="s">
        <v>182</v>
      </c>
      <c r="E14950" t="s">
        <v>11</v>
      </c>
      <c r="F14950">
        <v>0.83200246095657349</v>
      </c>
    </row>
    <row r="14951" spans="2:6">
      <c r="B14951">
        <v>2017</v>
      </c>
      <c r="C14951" t="s">
        <v>161</v>
      </c>
      <c r="D14951" t="s">
        <v>182</v>
      </c>
      <c r="E14951" t="s">
        <v>12</v>
      </c>
      <c r="F14951">
        <v>0.12427596002817154</v>
      </c>
    </row>
    <row r="14952" spans="2:6">
      <c r="B14952">
        <v>2017</v>
      </c>
      <c r="C14952" t="s">
        <v>161</v>
      </c>
      <c r="D14952" t="s">
        <v>182</v>
      </c>
      <c r="E14952" t="s">
        <v>13</v>
      </c>
      <c r="F14952">
        <v>0.71833688020706177</v>
      </c>
    </row>
    <row r="14953" spans="2:6">
      <c r="B14953">
        <v>2017</v>
      </c>
      <c r="C14953" t="s">
        <v>161</v>
      </c>
      <c r="D14953" t="s">
        <v>182</v>
      </c>
      <c r="E14953" t="s">
        <v>14</v>
      </c>
      <c r="F14953">
        <v>0.60266768932342529</v>
      </c>
    </row>
    <row r="14954" spans="2:6">
      <c r="B14954">
        <v>2017</v>
      </c>
      <c r="C14954" t="s">
        <v>161</v>
      </c>
      <c r="D14954" t="s">
        <v>182</v>
      </c>
      <c r="E14954" t="s">
        <v>15</v>
      </c>
      <c r="F14954">
        <v>0.27772533893585205</v>
      </c>
    </row>
    <row r="14955" spans="2:6">
      <c r="B14955">
        <v>2018</v>
      </c>
      <c r="C14955" t="s">
        <v>161</v>
      </c>
      <c r="D14955" t="s">
        <v>182</v>
      </c>
      <c r="E14955" t="s">
        <v>7</v>
      </c>
      <c r="F14955">
        <v>5.4974689483642578</v>
      </c>
    </row>
    <row r="14956" spans="2:6">
      <c r="B14956">
        <v>2018</v>
      </c>
      <c r="C14956" t="s">
        <v>161</v>
      </c>
      <c r="D14956" t="s">
        <v>182</v>
      </c>
      <c r="E14956" t="s">
        <v>8</v>
      </c>
      <c r="F14956">
        <v>8.0816984176635742</v>
      </c>
    </row>
    <row r="14957" spans="2:6">
      <c r="B14957">
        <v>2018</v>
      </c>
      <c r="C14957" t="s">
        <v>161</v>
      </c>
      <c r="D14957" t="s">
        <v>182</v>
      </c>
      <c r="E14957" t="s">
        <v>9</v>
      </c>
      <c r="F14957">
        <v>0.87524348497390747</v>
      </c>
    </row>
    <row r="14958" spans="2:6">
      <c r="B14958">
        <v>2018</v>
      </c>
      <c r="C14958" t="s">
        <v>161</v>
      </c>
      <c r="D14958" t="s">
        <v>182</v>
      </c>
      <c r="E14958" t="s">
        <v>10</v>
      </c>
      <c r="F14958">
        <v>64.099998474121094</v>
      </c>
    </row>
    <row r="14959" spans="2:6">
      <c r="B14959">
        <v>2018</v>
      </c>
      <c r="C14959" t="s">
        <v>161</v>
      </c>
      <c r="D14959" t="s">
        <v>182</v>
      </c>
      <c r="E14959" t="s">
        <v>12</v>
      </c>
      <c r="F14959">
        <v>-6.4818918704986572E-2</v>
      </c>
    </row>
    <row r="14960" spans="2:6">
      <c r="B14960">
        <v>2018</v>
      </c>
      <c r="C14960" t="s">
        <v>161</v>
      </c>
      <c r="D14960" t="s">
        <v>182</v>
      </c>
      <c r="E14960" t="s">
        <v>13</v>
      </c>
      <c r="F14960">
        <v>0.57794594764709473</v>
      </c>
    </row>
    <row r="14961" spans="2:6">
      <c r="B14961">
        <v>2018</v>
      </c>
      <c r="C14961" t="s">
        <v>161</v>
      </c>
      <c r="D14961" t="s">
        <v>182</v>
      </c>
      <c r="E14961" t="s">
        <v>14</v>
      </c>
      <c r="F14961">
        <v>0.69463318586349487</v>
      </c>
    </row>
    <row r="14962" spans="2:6">
      <c r="B14962">
        <v>2018</v>
      </c>
      <c r="C14962" t="s">
        <v>161</v>
      </c>
      <c r="D14962" t="s">
        <v>182</v>
      </c>
      <c r="E14962" t="s">
        <v>15</v>
      </c>
      <c r="F14962">
        <v>0.21979381144046783</v>
      </c>
    </row>
    <row r="14963" spans="2:6">
      <c r="B14963">
        <v>2019</v>
      </c>
      <c r="C14963" t="s">
        <v>161</v>
      </c>
      <c r="D14963" t="s">
        <v>182</v>
      </c>
      <c r="E14963" t="s">
        <v>7</v>
      </c>
      <c r="F14963">
        <v>5.4640154838562012</v>
      </c>
    </row>
    <row r="14964" spans="2:6">
      <c r="B14964">
        <v>2019</v>
      </c>
      <c r="C14964" t="s">
        <v>161</v>
      </c>
      <c r="D14964" t="s">
        <v>182</v>
      </c>
      <c r="E14964" t="s">
        <v>8</v>
      </c>
      <c r="F14964">
        <v>8.1255569458007813</v>
      </c>
    </row>
    <row r="14965" spans="2:6">
      <c r="B14965">
        <v>2019</v>
      </c>
      <c r="C14965" t="s">
        <v>161</v>
      </c>
      <c r="D14965" t="s">
        <v>182</v>
      </c>
      <c r="E14965" t="s">
        <v>9</v>
      </c>
      <c r="F14965">
        <v>0.87982290983200073</v>
      </c>
    </row>
    <row r="14966" spans="2:6">
      <c r="B14966">
        <v>2019</v>
      </c>
      <c r="C14966" t="s">
        <v>161</v>
      </c>
      <c r="D14966" t="s">
        <v>182</v>
      </c>
      <c r="E14966" t="s">
        <v>10</v>
      </c>
      <c r="F14966">
        <v>64.400001525878906</v>
      </c>
    </row>
    <row r="14967" spans="2:6">
      <c r="B14967">
        <v>2019</v>
      </c>
      <c r="C14967" t="s">
        <v>161</v>
      </c>
      <c r="D14967" t="s">
        <v>182</v>
      </c>
      <c r="E14967" t="s">
        <v>12</v>
      </c>
      <c r="F14967">
        <v>-4.4561155140399933E-2</v>
      </c>
    </row>
    <row r="14968" spans="2:6">
      <c r="B14968">
        <v>2019</v>
      </c>
      <c r="C14968" t="s">
        <v>161</v>
      </c>
      <c r="D14968" t="s">
        <v>182</v>
      </c>
      <c r="E14968" t="s">
        <v>13</v>
      </c>
      <c r="F14968">
        <v>0.49002936482429504</v>
      </c>
    </row>
    <row r="14969" spans="2:6">
      <c r="B14969">
        <v>2019</v>
      </c>
      <c r="C14969" t="s">
        <v>161</v>
      </c>
      <c r="D14969" t="s">
        <v>182</v>
      </c>
      <c r="E14969" t="s">
        <v>14</v>
      </c>
      <c r="F14969">
        <v>0.72897183895111084</v>
      </c>
    </row>
    <row r="14970" spans="2:6">
      <c r="B14970">
        <v>2019</v>
      </c>
      <c r="C14970" t="s">
        <v>161</v>
      </c>
      <c r="D14970" t="s">
        <v>182</v>
      </c>
      <c r="E14970" t="s">
        <v>15</v>
      </c>
      <c r="F14970">
        <v>0.17849719524383545</v>
      </c>
    </row>
    <row r="14971" spans="2:6">
      <c r="B14971">
        <v>2020</v>
      </c>
      <c r="C14971" t="s">
        <v>161</v>
      </c>
      <c r="D14971" t="s">
        <v>182</v>
      </c>
      <c r="E14971" t="s">
        <v>7</v>
      </c>
      <c r="F14971">
        <v>5.3733987808227539</v>
      </c>
    </row>
    <row r="14972" spans="2:6">
      <c r="B14972">
        <v>2020</v>
      </c>
      <c r="C14972" t="s">
        <v>161</v>
      </c>
      <c r="D14972" t="s">
        <v>182</v>
      </c>
      <c r="E14972" t="s">
        <v>8</v>
      </c>
      <c r="F14972">
        <v>8.0803565979003906</v>
      </c>
    </row>
    <row r="14973" spans="2:6">
      <c r="B14973">
        <v>2020</v>
      </c>
      <c r="C14973" t="s">
        <v>161</v>
      </c>
      <c r="D14973" t="s">
        <v>182</v>
      </c>
      <c r="E14973" t="s">
        <v>9</v>
      </c>
      <c r="F14973">
        <v>0.78974455595016479</v>
      </c>
    </row>
    <row r="14974" spans="2:6">
      <c r="B14974">
        <v>2020</v>
      </c>
      <c r="C14974" t="s">
        <v>161</v>
      </c>
      <c r="D14974" t="s">
        <v>182</v>
      </c>
      <c r="E14974" t="s">
        <v>10</v>
      </c>
      <c r="F14974">
        <v>64.699996948242188</v>
      </c>
    </row>
    <row r="14975" spans="2:6">
      <c r="B14975">
        <v>2020</v>
      </c>
      <c r="C14975" t="s">
        <v>161</v>
      </c>
      <c r="D14975" t="s">
        <v>182</v>
      </c>
      <c r="E14975" t="s">
        <v>12</v>
      </c>
      <c r="F14975">
        <v>-4.0467064827680588E-2</v>
      </c>
    </row>
    <row r="14976" spans="2:6">
      <c r="B14976">
        <v>2020</v>
      </c>
      <c r="C14976" t="s">
        <v>161</v>
      </c>
      <c r="D14976" t="s">
        <v>182</v>
      </c>
      <c r="E14976" t="s">
        <v>13</v>
      </c>
      <c r="F14976">
        <v>0.54978644847869873</v>
      </c>
    </row>
    <row r="14977" spans="2:6">
      <c r="B14977">
        <v>2020</v>
      </c>
      <c r="C14977" t="s">
        <v>161</v>
      </c>
      <c r="D14977" t="s">
        <v>182</v>
      </c>
      <c r="E14977" t="s">
        <v>14</v>
      </c>
      <c r="F14977">
        <v>0.74889761209487915</v>
      </c>
    </row>
    <row r="14978" spans="2:6">
      <c r="B14978">
        <v>2020</v>
      </c>
      <c r="C14978" t="s">
        <v>161</v>
      </c>
      <c r="D14978" t="s">
        <v>182</v>
      </c>
      <c r="E14978" t="s">
        <v>15</v>
      </c>
      <c r="F14978">
        <v>0.3441612720489502</v>
      </c>
    </row>
    <row r="14979" spans="2:6">
      <c r="B14979">
        <v>2006</v>
      </c>
      <c r="C14979" t="s">
        <v>162</v>
      </c>
      <c r="D14979" t="s">
        <v>184</v>
      </c>
      <c r="E14979" t="s">
        <v>7</v>
      </c>
      <c r="F14979">
        <v>3.9224841594696045</v>
      </c>
    </row>
    <row r="14980" spans="2:6">
      <c r="B14980">
        <v>2006</v>
      </c>
      <c r="C14980" t="s">
        <v>162</v>
      </c>
      <c r="D14980" t="s">
        <v>184</v>
      </c>
      <c r="E14980" t="s">
        <v>8</v>
      </c>
      <c r="F14980">
        <v>7.4850859642028809</v>
      </c>
    </row>
    <row r="14981" spans="2:6">
      <c r="B14981">
        <v>2006</v>
      </c>
      <c r="C14981" t="s">
        <v>162</v>
      </c>
      <c r="D14981" t="s">
        <v>184</v>
      </c>
      <c r="E14981" t="s">
        <v>9</v>
      </c>
      <c r="F14981">
        <v>0.78291618824005127</v>
      </c>
    </row>
    <row r="14982" spans="2:6">
      <c r="B14982">
        <v>2006</v>
      </c>
      <c r="C14982" t="s">
        <v>162</v>
      </c>
      <c r="D14982" t="s">
        <v>184</v>
      </c>
      <c r="E14982" t="s">
        <v>10</v>
      </c>
      <c r="F14982">
        <v>48.700000762939453</v>
      </c>
    </row>
    <row r="14983" spans="2:6">
      <c r="B14983">
        <v>2006</v>
      </c>
      <c r="C14983" t="s">
        <v>162</v>
      </c>
      <c r="D14983" t="s">
        <v>184</v>
      </c>
      <c r="E14983" t="s">
        <v>11</v>
      </c>
      <c r="F14983">
        <v>0.78685855865478516</v>
      </c>
    </row>
    <row r="14984" spans="2:6">
      <c r="B14984">
        <v>2006</v>
      </c>
      <c r="C14984" t="s">
        <v>162</v>
      </c>
      <c r="D14984" t="s">
        <v>184</v>
      </c>
      <c r="E14984" t="s">
        <v>12</v>
      </c>
      <c r="F14984">
        <v>-2.72256750613451E-2</v>
      </c>
    </row>
    <row r="14985" spans="2:6">
      <c r="B14985">
        <v>2006</v>
      </c>
      <c r="C14985" t="s">
        <v>162</v>
      </c>
      <c r="D14985" t="s">
        <v>184</v>
      </c>
      <c r="E14985" t="s">
        <v>13</v>
      </c>
      <c r="F14985">
        <v>0.6491047739982605</v>
      </c>
    </row>
    <row r="14986" spans="2:6">
      <c r="B14986">
        <v>2006</v>
      </c>
      <c r="C14986" t="s">
        <v>162</v>
      </c>
      <c r="D14986" t="s">
        <v>184</v>
      </c>
      <c r="E14986" t="s">
        <v>14</v>
      </c>
      <c r="F14986">
        <v>0.74816703796386719</v>
      </c>
    </row>
    <row r="14987" spans="2:6">
      <c r="B14987">
        <v>2006</v>
      </c>
      <c r="C14987" t="s">
        <v>162</v>
      </c>
      <c r="D14987" t="s">
        <v>184</v>
      </c>
      <c r="E14987" t="s">
        <v>15</v>
      </c>
      <c r="F14987">
        <v>0.20923846960067749</v>
      </c>
    </row>
    <row r="14988" spans="2:6">
      <c r="B14988">
        <v>2007</v>
      </c>
      <c r="C14988" t="s">
        <v>162</v>
      </c>
      <c r="D14988" t="s">
        <v>184</v>
      </c>
      <c r="E14988" t="s">
        <v>7</v>
      </c>
      <c r="F14988">
        <v>4.3179497718811035</v>
      </c>
    </row>
    <row r="14989" spans="2:6">
      <c r="B14989">
        <v>2007</v>
      </c>
      <c r="C14989" t="s">
        <v>162</v>
      </c>
      <c r="D14989" t="s">
        <v>184</v>
      </c>
      <c r="E14989" t="s">
        <v>8</v>
      </c>
      <c r="F14989">
        <v>7.5223922729492188</v>
      </c>
    </row>
    <row r="14990" spans="2:6">
      <c r="B14990">
        <v>2007</v>
      </c>
      <c r="C14990" t="s">
        <v>162</v>
      </c>
      <c r="D14990" t="s">
        <v>184</v>
      </c>
      <c r="E14990" t="s">
        <v>9</v>
      </c>
      <c r="F14990">
        <v>0.7078515887260437</v>
      </c>
    </row>
    <row r="14991" spans="2:6">
      <c r="B14991">
        <v>2007</v>
      </c>
      <c r="C14991" t="s">
        <v>162</v>
      </c>
      <c r="D14991" t="s">
        <v>184</v>
      </c>
      <c r="E14991" t="s">
        <v>10</v>
      </c>
      <c r="F14991">
        <v>49.599998474121094</v>
      </c>
    </row>
    <row r="14992" spans="2:6">
      <c r="B14992">
        <v>2007</v>
      </c>
      <c r="C14992" t="s">
        <v>162</v>
      </c>
      <c r="D14992" t="s">
        <v>184</v>
      </c>
      <c r="E14992" t="s">
        <v>11</v>
      </c>
      <c r="F14992">
        <v>0.71583229303359985</v>
      </c>
    </row>
    <row r="14993" spans="2:6">
      <c r="B14993">
        <v>2007</v>
      </c>
      <c r="C14993" t="s">
        <v>162</v>
      </c>
      <c r="D14993" t="s">
        <v>184</v>
      </c>
      <c r="E14993" t="s">
        <v>12</v>
      </c>
      <c r="F14993">
        <v>-1.2851664796471596E-2</v>
      </c>
    </row>
    <row r="14994" spans="2:6">
      <c r="B14994">
        <v>2007</v>
      </c>
      <c r="C14994" t="s">
        <v>162</v>
      </c>
      <c r="D14994" t="s">
        <v>184</v>
      </c>
      <c r="E14994" t="s">
        <v>13</v>
      </c>
      <c r="F14994">
        <v>0.70675241947174072</v>
      </c>
    </row>
    <row r="14995" spans="2:6">
      <c r="B14995">
        <v>2007</v>
      </c>
      <c r="C14995" t="s">
        <v>162</v>
      </c>
      <c r="D14995" t="s">
        <v>184</v>
      </c>
      <c r="E14995" t="s">
        <v>14</v>
      </c>
      <c r="F14995">
        <v>0.75521373748779297</v>
      </c>
    </row>
    <row r="14996" spans="2:6">
      <c r="B14996">
        <v>2007</v>
      </c>
      <c r="C14996" t="s">
        <v>162</v>
      </c>
      <c r="D14996" t="s">
        <v>184</v>
      </c>
      <c r="E14996" t="s">
        <v>15</v>
      </c>
      <c r="F14996">
        <v>0.21985295414924622</v>
      </c>
    </row>
    <row r="14997" spans="2:6">
      <c r="B14997">
        <v>2008</v>
      </c>
      <c r="C14997" t="s">
        <v>162</v>
      </c>
      <c r="D14997" t="s">
        <v>184</v>
      </c>
      <c r="E14997" t="s">
        <v>7</v>
      </c>
      <c r="F14997">
        <v>4.3847417831420898</v>
      </c>
    </row>
    <row r="14998" spans="2:6">
      <c r="B14998">
        <v>2008</v>
      </c>
      <c r="C14998" t="s">
        <v>162</v>
      </c>
      <c r="D14998" t="s">
        <v>184</v>
      </c>
      <c r="E14998" t="s">
        <v>8</v>
      </c>
      <c r="F14998">
        <v>7.5493364334106445</v>
      </c>
    </row>
    <row r="14999" spans="2:6">
      <c r="B14999">
        <v>2008</v>
      </c>
      <c r="C14999" t="s">
        <v>162</v>
      </c>
      <c r="D14999" t="s">
        <v>184</v>
      </c>
      <c r="E14999" t="s">
        <v>9</v>
      </c>
      <c r="F14999">
        <v>0.77436012029647827</v>
      </c>
    </row>
    <row r="15000" spans="2:6">
      <c r="B15000">
        <v>2008</v>
      </c>
      <c r="C15000" t="s">
        <v>162</v>
      </c>
      <c r="D15000" t="s">
        <v>184</v>
      </c>
      <c r="E15000" t="s">
        <v>10</v>
      </c>
      <c r="F15000">
        <v>50.5</v>
      </c>
    </row>
    <row r="15001" spans="2:6">
      <c r="B15001">
        <v>2008</v>
      </c>
      <c r="C15001" t="s">
        <v>162</v>
      </c>
      <c r="D15001" t="s">
        <v>184</v>
      </c>
      <c r="E15001" t="s">
        <v>11</v>
      </c>
      <c r="F15001">
        <v>0.56221175193786621</v>
      </c>
    </row>
    <row r="15002" spans="2:6">
      <c r="B15002">
        <v>2008</v>
      </c>
      <c r="C15002" t="s">
        <v>162</v>
      </c>
      <c r="D15002" t="s">
        <v>184</v>
      </c>
      <c r="E15002" t="s">
        <v>12</v>
      </c>
      <c r="F15002">
        <v>0.25581720471382141</v>
      </c>
    </row>
    <row r="15003" spans="2:6">
      <c r="B15003">
        <v>2008</v>
      </c>
      <c r="C15003" t="s">
        <v>162</v>
      </c>
      <c r="D15003" t="s">
        <v>184</v>
      </c>
      <c r="E15003" t="s">
        <v>13</v>
      </c>
      <c r="F15003">
        <v>0.93003177642822266</v>
      </c>
    </row>
    <row r="15004" spans="2:6">
      <c r="B15004">
        <v>2008</v>
      </c>
      <c r="C15004" t="s">
        <v>162</v>
      </c>
      <c r="D15004" t="s">
        <v>184</v>
      </c>
      <c r="E15004" t="s">
        <v>14</v>
      </c>
      <c r="F15004">
        <v>0.74434620141983032</v>
      </c>
    </row>
    <row r="15005" spans="2:6">
      <c r="B15005">
        <v>2008</v>
      </c>
      <c r="C15005" t="s">
        <v>162</v>
      </c>
      <c r="D15005" t="s">
        <v>184</v>
      </c>
      <c r="E15005" t="s">
        <v>15</v>
      </c>
      <c r="F15005">
        <v>0.17804703116416931</v>
      </c>
    </row>
    <row r="15006" spans="2:6">
      <c r="B15006">
        <v>2009</v>
      </c>
      <c r="C15006" t="s">
        <v>162</v>
      </c>
      <c r="D15006" t="s">
        <v>184</v>
      </c>
      <c r="E15006" t="s">
        <v>7</v>
      </c>
      <c r="F15006">
        <v>3.4075078964233398</v>
      </c>
    </row>
    <row r="15007" spans="2:6">
      <c r="B15007">
        <v>2009</v>
      </c>
      <c r="C15007" t="s">
        <v>162</v>
      </c>
      <c r="D15007" t="s">
        <v>184</v>
      </c>
      <c r="E15007" t="s">
        <v>8</v>
      </c>
      <c r="F15007">
        <v>7.5720095634460449</v>
      </c>
    </row>
    <row r="15008" spans="2:6">
      <c r="B15008">
        <v>2009</v>
      </c>
      <c r="C15008" t="s">
        <v>162</v>
      </c>
      <c r="D15008" t="s">
        <v>184</v>
      </c>
      <c r="E15008" t="s">
        <v>9</v>
      </c>
      <c r="F15008">
        <v>0.83682841062545776</v>
      </c>
    </row>
    <row r="15009" spans="2:6">
      <c r="B15009">
        <v>2009</v>
      </c>
      <c r="C15009" t="s">
        <v>162</v>
      </c>
      <c r="D15009" t="s">
        <v>184</v>
      </c>
      <c r="E15009" t="s">
        <v>10</v>
      </c>
      <c r="F15009">
        <v>51.400001525878906</v>
      </c>
    </row>
    <row r="15010" spans="2:6">
      <c r="B15010">
        <v>2009</v>
      </c>
      <c r="C15010" t="s">
        <v>162</v>
      </c>
      <c r="D15010" t="s">
        <v>184</v>
      </c>
      <c r="E15010" t="s">
        <v>11</v>
      </c>
      <c r="F15010">
        <v>0.60654914379119873</v>
      </c>
    </row>
    <row r="15011" spans="2:6">
      <c r="B15011">
        <v>2009</v>
      </c>
      <c r="C15011" t="s">
        <v>162</v>
      </c>
      <c r="D15011" t="s">
        <v>184</v>
      </c>
      <c r="E15011" t="s">
        <v>12</v>
      </c>
      <c r="F15011">
        <v>0.30835163593292236</v>
      </c>
    </row>
    <row r="15012" spans="2:6">
      <c r="B15012">
        <v>2009</v>
      </c>
      <c r="C15012" t="s">
        <v>162</v>
      </c>
      <c r="D15012" t="s">
        <v>184</v>
      </c>
      <c r="E15012" t="s">
        <v>13</v>
      </c>
      <c r="F15012">
        <v>0.90262705087661743</v>
      </c>
    </row>
    <row r="15013" spans="2:6">
      <c r="B15013">
        <v>2009</v>
      </c>
      <c r="C15013" t="s">
        <v>162</v>
      </c>
      <c r="D15013" t="s">
        <v>184</v>
      </c>
      <c r="E15013" t="s">
        <v>14</v>
      </c>
      <c r="F15013">
        <v>0.77849990129470825</v>
      </c>
    </row>
    <row r="15014" spans="2:6">
      <c r="B15014">
        <v>2009</v>
      </c>
      <c r="C15014" t="s">
        <v>162</v>
      </c>
      <c r="D15014" t="s">
        <v>184</v>
      </c>
      <c r="E15014" t="s">
        <v>15</v>
      </c>
      <c r="F15014">
        <v>0.16052743792533875</v>
      </c>
    </row>
    <row r="15015" spans="2:6">
      <c r="B15015">
        <v>2010</v>
      </c>
      <c r="C15015" t="s">
        <v>162</v>
      </c>
      <c r="D15015" t="s">
        <v>184</v>
      </c>
      <c r="E15015" t="s">
        <v>7</v>
      </c>
      <c r="F15015">
        <v>3.2291290760040283</v>
      </c>
    </row>
    <row r="15016" spans="2:6">
      <c r="B15016">
        <v>2010</v>
      </c>
      <c r="C15016" t="s">
        <v>162</v>
      </c>
      <c r="D15016" t="s">
        <v>184</v>
      </c>
      <c r="E15016" t="s">
        <v>8</v>
      </c>
      <c r="F15016">
        <v>7.6043820381164551</v>
      </c>
    </row>
    <row r="15017" spans="2:6">
      <c r="B15017">
        <v>2010</v>
      </c>
      <c r="C15017" t="s">
        <v>162</v>
      </c>
      <c r="D15017" t="s">
        <v>184</v>
      </c>
      <c r="E15017" t="s">
        <v>9</v>
      </c>
      <c r="F15017">
        <v>0.81253176927566528</v>
      </c>
    </row>
    <row r="15018" spans="2:6">
      <c r="B15018">
        <v>2010</v>
      </c>
      <c r="C15018" t="s">
        <v>162</v>
      </c>
      <c r="D15018" t="s">
        <v>184</v>
      </c>
      <c r="E15018" t="s">
        <v>10</v>
      </c>
      <c r="F15018">
        <v>52.299999237060547</v>
      </c>
    </row>
    <row r="15019" spans="2:6">
      <c r="B15019">
        <v>2010</v>
      </c>
      <c r="C15019" t="s">
        <v>162</v>
      </c>
      <c r="D15019" t="s">
        <v>184</v>
      </c>
      <c r="E15019" t="s">
        <v>11</v>
      </c>
      <c r="F15019">
        <v>0.59712165594100952</v>
      </c>
    </row>
    <row r="15020" spans="2:6">
      <c r="B15020">
        <v>2010</v>
      </c>
      <c r="C15020" t="s">
        <v>162</v>
      </c>
      <c r="D15020" t="s">
        <v>184</v>
      </c>
      <c r="E15020" t="s">
        <v>12</v>
      </c>
      <c r="F15020">
        <v>0.13895484805107117</v>
      </c>
    </row>
    <row r="15021" spans="2:6">
      <c r="B15021">
        <v>2010</v>
      </c>
      <c r="C15021" t="s">
        <v>162</v>
      </c>
      <c r="D15021" t="s">
        <v>184</v>
      </c>
      <c r="E15021" t="s">
        <v>13</v>
      </c>
      <c r="F15021">
        <v>0.86626386642456055</v>
      </c>
    </row>
    <row r="15022" spans="2:6">
      <c r="B15022">
        <v>2010</v>
      </c>
      <c r="C15022" t="s">
        <v>162</v>
      </c>
      <c r="D15022" t="s">
        <v>184</v>
      </c>
      <c r="E15022" t="s">
        <v>14</v>
      </c>
      <c r="F15022">
        <v>0.71656697988510132</v>
      </c>
    </row>
    <row r="15023" spans="2:6">
      <c r="B15023">
        <v>2010</v>
      </c>
      <c r="C15023" t="s">
        <v>162</v>
      </c>
      <c r="D15023" t="s">
        <v>184</v>
      </c>
      <c r="E15023" t="s">
        <v>15</v>
      </c>
      <c r="F15023">
        <v>0.14611871540546417</v>
      </c>
    </row>
    <row r="15024" spans="2:6">
      <c r="B15024">
        <v>2011</v>
      </c>
      <c r="C15024" t="s">
        <v>162</v>
      </c>
      <c r="D15024" t="s">
        <v>184</v>
      </c>
      <c r="E15024" t="s">
        <v>7</v>
      </c>
      <c r="F15024">
        <v>4.0735621452331543</v>
      </c>
    </row>
    <row r="15025" spans="2:6">
      <c r="B15025">
        <v>2011</v>
      </c>
      <c r="C15025" t="s">
        <v>162</v>
      </c>
      <c r="D15025" t="s">
        <v>184</v>
      </c>
      <c r="E15025" t="s">
        <v>8</v>
      </c>
      <c r="F15025">
        <v>7.6488757133483887</v>
      </c>
    </row>
    <row r="15026" spans="2:6">
      <c r="B15026">
        <v>2011</v>
      </c>
      <c r="C15026" t="s">
        <v>162</v>
      </c>
      <c r="D15026" t="s">
        <v>184</v>
      </c>
      <c r="E15026" t="s">
        <v>9</v>
      </c>
      <c r="F15026">
        <v>0.88253015279769897</v>
      </c>
    </row>
    <row r="15027" spans="2:6">
      <c r="B15027">
        <v>2011</v>
      </c>
      <c r="C15027" t="s">
        <v>162</v>
      </c>
      <c r="D15027" t="s">
        <v>184</v>
      </c>
      <c r="E15027" t="s">
        <v>10</v>
      </c>
      <c r="F15027">
        <v>53.040000915527344</v>
      </c>
    </row>
    <row r="15028" spans="2:6">
      <c r="B15028">
        <v>2011</v>
      </c>
      <c r="C15028" t="s">
        <v>162</v>
      </c>
      <c r="D15028" t="s">
        <v>184</v>
      </c>
      <c r="E15028" t="s">
        <v>11</v>
      </c>
      <c r="F15028">
        <v>0.73603034019470215</v>
      </c>
    </row>
    <row r="15029" spans="2:6">
      <c r="B15029">
        <v>2011</v>
      </c>
      <c r="C15029" t="s">
        <v>162</v>
      </c>
      <c r="D15029" t="s">
        <v>184</v>
      </c>
      <c r="E15029" t="s">
        <v>12</v>
      </c>
      <c r="F15029">
        <v>-4.6155434101819992E-2</v>
      </c>
    </row>
    <row r="15030" spans="2:6">
      <c r="B15030">
        <v>2011</v>
      </c>
      <c r="C15030" t="s">
        <v>162</v>
      </c>
      <c r="D15030" t="s">
        <v>184</v>
      </c>
      <c r="E15030" t="s">
        <v>13</v>
      </c>
      <c r="F15030">
        <v>0.81637614965438843</v>
      </c>
    </row>
    <row r="15031" spans="2:6">
      <c r="B15031">
        <v>2011</v>
      </c>
      <c r="C15031" t="s">
        <v>162</v>
      </c>
      <c r="D15031" t="s">
        <v>184</v>
      </c>
      <c r="E15031" t="s">
        <v>14</v>
      </c>
      <c r="F15031">
        <v>0.76455086469650269</v>
      </c>
    </row>
    <row r="15032" spans="2:6">
      <c r="B15032">
        <v>2011</v>
      </c>
      <c r="C15032" t="s">
        <v>162</v>
      </c>
      <c r="D15032" t="s">
        <v>184</v>
      </c>
      <c r="E15032" t="s">
        <v>15</v>
      </c>
      <c r="F15032">
        <v>0.14514115452766418</v>
      </c>
    </row>
    <row r="15033" spans="2:6">
      <c r="B15033">
        <v>2012</v>
      </c>
      <c r="C15033" t="s">
        <v>162</v>
      </c>
      <c r="D15033" t="s">
        <v>184</v>
      </c>
      <c r="E15033" t="s">
        <v>7</v>
      </c>
      <c r="F15033">
        <v>4.0068974494934082</v>
      </c>
    </row>
    <row r="15034" spans="2:6">
      <c r="B15034">
        <v>2012</v>
      </c>
      <c r="C15034" t="s">
        <v>162</v>
      </c>
      <c r="D15034" t="s">
        <v>184</v>
      </c>
      <c r="E15034" t="s">
        <v>8</v>
      </c>
      <c r="F15034">
        <v>7.6631979942321777</v>
      </c>
    </row>
    <row r="15035" spans="2:6">
      <c r="B15035">
        <v>2012</v>
      </c>
      <c r="C15035" t="s">
        <v>162</v>
      </c>
      <c r="D15035" t="s">
        <v>184</v>
      </c>
      <c r="E15035" t="s">
        <v>9</v>
      </c>
      <c r="F15035">
        <v>0.83205640316009521</v>
      </c>
    </row>
    <row r="15036" spans="2:6">
      <c r="B15036">
        <v>2012</v>
      </c>
      <c r="C15036" t="s">
        <v>162</v>
      </c>
      <c r="D15036" t="s">
        <v>184</v>
      </c>
      <c r="E15036" t="s">
        <v>10</v>
      </c>
      <c r="F15036">
        <v>53.779998779296875</v>
      </c>
    </row>
    <row r="15037" spans="2:6">
      <c r="B15037">
        <v>2012</v>
      </c>
      <c r="C15037" t="s">
        <v>162</v>
      </c>
      <c r="D15037" t="s">
        <v>184</v>
      </c>
      <c r="E15037" t="s">
        <v>11</v>
      </c>
      <c r="F15037">
        <v>0.57745331525802612</v>
      </c>
    </row>
    <row r="15038" spans="2:6">
      <c r="B15038">
        <v>2012</v>
      </c>
      <c r="C15038" t="s">
        <v>162</v>
      </c>
      <c r="D15038" t="s">
        <v>184</v>
      </c>
      <c r="E15038" t="s">
        <v>12</v>
      </c>
      <c r="F15038">
        <v>0.21328398585319519</v>
      </c>
    </row>
    <row r="15039" spans="2:6">
      <c r="B15039">
        <v>2012</v>
      </c>
      <c r="C15039" t="s">
        <v>162</v>
      </c>
      <c r="D15039" t="s">
        <v>184</v>
      </c>
      <c r="E15039" t="s">
        <v>13</v>
      </c>
      <c r="F15039">
        <v>0.88699793815612793</v>
      </c>
    </row>
    <row r="15040" spans="2:6">
      <c r="B15040">
        <v>2012</v>
      </c>
      <c r="C15040" t="s">
        <v>162</v>
      </c>
      <c r="D15040" t="s">
        <v>184</v>
      </c>
      <c r="E15040" t="s">
        <v>14</v>
      </c>
      <c r="F15040">
        <v>0.67882841825485229</v>
      </c>
    </row>
    <row r="15041" spans="2:6">
      <c r="B15041">
        <v>2012</v>
      </c>
      <c r="C15041" t="s">
        <v>162</v>
      </c>
      <c r="D15041" t="s">
        <v>184</v>
      </c>
      <c r="E15041" t="s">
        <v>15</v>
      </c>
      <c r="F15041">
        <v>0.19530710577964783</v>
      </c>
    </row>
    <row r="15042" spans="2:6">
      <c r="B15042">
        <v>2013</v>
      </c>
      <c r="C15042" t="s">
        <v>162</v>
      </c>
      <c r="D15042" t="s">
        <v>184</v>
      </c>
      <c r="E15042" t="s">
        <v>7</v>
      </c>
      <c r="F15042">
        <v>3.8523948192596436</v>
      </c>
    </row>
    <row r="15043" spans="2:6">
      <c r="B15043">
        <v>2013</v>
      </c>
      <c r="C15043" t="s">
        <v>162</v>
      </c>
      <c r="D15043" t="s">
        <v>184</v>
      </c>
      <c r="E15043" t="s">
        <v>8</v>
      </c>
      <c r="F15043">
        <v>7.6989321708679199</v>
      </c>
    </row>
    <row r="15044" spans="2:6">
      <c r="B15044">
        <v>2013</v>
      </c>
      <c r="C15044" t="s">
        <v>162</v>
      </c>
      <c r="D15044" t="s">
        <v>184</v>
      </c>
      <c r="E15044" t="s">
        <v>9</v>
      </c>
      <c r="F15044">
        <v>0.80341857671737671</v>
      </c>
    </row>
    <row r="15045" spans="2:6">
      <c r="B15045">
        <v>2013</v>
      </c>
      <c r="C15045" t="s">
        <v>162</v>
      </c>
      <c r="D15045" t="s">
        <v>184</v>
      </c>
      <c r="E15045" t="s">
        <v>10</v>
      </c>
      <c r="F15045">
        <v>54.520000457763672</v>
      </c>
    </row>
    <row r="15046" spans="2:6">
      <c r="B15046">
        <v>2013</v>
      </c>
      <c r="C15046" t="s">
        <v>162</v>
      </c>
      <c r="D15046" t="s">
        <v>184</v>
      </c>
      <c r="E15046" t="s">
        <v>11</v>
      </c>
      <c r="F15046">
        <v>0.65418213605880737</v>
      </c>
    </row>
    <row r="15047" spans="2:6">
      <c r="B15047">
        <v>2013</v>
      </c>
      <c r="C15047" t="s">
        <v>162</v>
      </c>
      <c r="D15047" t="s">
        <v>184</v>
      </c>
      <c r="E15047" t="s">
        <v>12</v>
      </c>
      <c r="F15047">
        <v>5.4436501115560532E-2</v>
      </c>
    </row>
    <row r="15048" spans="2:6">
      <c r="B15048">
        <v>2013</v>
      </c>
      <c r="C15048" t="s">
        <v>162</v>
      </c>
      <c r="D15048" t="s">
        <v>184</v>
      </c>
      <c r="E15048" t="s">
        <v>13</v>
      </c>
      <c r="F15048">
        <v>0.85900586843490601</v>
      </c>
    </row>
    <row r="15049" spans="2:6">
      <c r="B15049">
        <v>2013</v>
      </c>
      <c r="C15049" t="s">
        <v>162</v>
      </c>
      <c r="D15049" t="s">
        <v>184</v>
      </c>
      <c r="E15049" t="s">
        <v>14</v>
      </c>
      <c r="F15049">
        <v>0.73796772956848145</v>
      </c>
    </row>
    <row r="15050" spans="2:6">
      <c r="B15050">
        <v>2013</v>
      </c>
      <c r="C15050" t="s">
        <v>162</v>
      </c>
      <c r="D15050" t="s">
        <v>184</v>
      </c>
      <c r="E15050" t="s">
        <v>15</v>
      </c>
      <c r="F15050">
        <v>0.19128789007663727</v>
      </c>
    </row>
    <row r="15051" spans="2:6">
      <c r="B15051">
        <v>2014</v>
      </c>
      <c r="C15051" t="s">
        <v>162</v>
      </c>
      <c r="D15051" t="s">
        <v>184</v>
      </c>
      <c r="E15051" t="s">
        <v>7</v>
      </c>
      <c r="F15051">
        <v>3.4832785129547119</v>
      </c>
    </row>
    <row r="15052" spans="2:6">
      <c r="B15052">
        <v>2014</v>
      </c>
      <c r="C15052" t="s">
        <v>162</v>
      </c>
      <c r="D15052" t="s">
        <v>184</v>
      </c>
      <c r="E15052" t="s">
        <v>8</v>
      </c>
      <c r="F15052">
        <v>7.7341194152832031</v>
      </c>
    </row>
    <row r="15053" spans="2:6">
      <c r="B15053">
        <v>2014</v>
      </c>
      <c r="C15053" t="s">
        <v>162</v>
      </c>
      <c r="D15053" t="s">
        <v>184</v>
      </c>
      <c r="E15053" t="s">
        <v>9</v>
      </c>
      <c r="F15053">
        <v>0.78908103704452515</v>
      </c>
    </row>
    <row r="15054" spans="2:6">
      <c r="B15054">
        <v>2014</v>
      </c>
      <c r="C15054" t="s">
        <v>162</v>
      </c>
      <c r="D15054" t="s">
        <v>184</v>
      </c>
      <c r="E15054" t="s">
        <v>10</v>
      </c>
      <c r="F15054">
        <v>55.259998321533203</v>
      </c>
    </row>
    <row r="15055" spans="2:6">
      <c r="B15055">
        <v>2014</v>
      </c>
      <c r="C15055" t="s">
        <v>162</v>
      </c>
      <c r="D15055" t="s">
        <v>184</v>
      </c>
      <c r="E15055" t="s">
        <v>11</v>
      </c>
      <c r="F15055">
        <v>0.65412509441375732</v>
      </c>
    </row>
    <row r="15056" spans="2:6">
      <c r="B15056">
        <v>2014</v>
      </c>
      <c r="C15056" t="s">
        <v>162</v>
      </c>
      <c r="D15056" t="s">
        <v>184</v>
      </c>
      <c r="E15056" t="s">
        <v>12</v>
      </c>
      <c r="F15056">
        <v>0.11046626418828964</v>
      </c>
    </row>
    <row r="15057" spans="2:6">
      <c r="B15057">
        <v>2014</v>
      </c>
      <c r="C15057" t="s">
        <v>162</v>
      </c>
      <c r="D15057" t="s">
        <v>184</v>
      </c>
      <c r="E15057" t="s">
        <v>13</v>
      </c>
      <c r="F15057">
        <v>0.87788587808609009</v>
      </c>
    </row>
    <row r="15058" spans="2:6">
      <c r="B15058">
        <v>2014</v>
      </c>
      <c r="C15058" t="s">
        <v>162</v>
      </c>
      <c r="D15058" t="s">
        <v>184</v>
      </c>
      <c r="E15058" t="s">
        <v>14</v>
      </c>
      <c r="F15058">
        <v>0.73089295625686646</v>
      </c>
    </row>
    <row r="15059" spans="2:6">
      <c r="B15059">
        <v>2014</v>
      </c>
      <c r="C15059" t="s">
        <v>162</v>
      </c>
      <c r="D15059" t="s">
        <v>184</v>
      </c>
      <c r="E15059" t="s">
        <v>15</v>
      </c>
      <c r="F15059">
        <v>0.24143068492412567</v>
      </c>
    </row>
    <row r="15060" spans="2:6">
      <c r="B15060">
        <v>2015</v>
      </c>
      <c r="C15060" t="s">
        <v>162</v>
      </c>
      <c r="D15060" t="s">
        <v>184</v>
      </c>
      <c r="E15060" t="s">
        <v>7</v>
      </c>
      <c r="F15060">
        <v>3.6605973243713379</v>
      </c>
    </row>
    <row r="15061" spans="2:6">
      <c r="B15061">
        <v>2015</v>
      </c>
      <c r="C15061" t="s">
        <v>162</v>
      </c>
      <c r="D15061" t="s">
        <v>184</v>
      </c>
      <c r="E15061" t="s">
        <v>8</v>
      </c>
      <c r="F15061">
        <v>7.7639303207397461</v>
      </c>
    </row>
    <row r="15062" spans="2:6">
      <c r="B15062">
        <v>2015</v>
      </c>
      <c r="C15062" t="s">
        <v>162</v>
      </c>
      <c r="D15062" t="s">
        <v>184</v>
      </c>
      <c r="E15062" t="s">
        <v>9</v>
      </c>
      <c r="F15062">
        <v>0.79026257991790771</v>
      </c>
    </row>
    <row r="15063" spans="2:6">
      <c r="B15063">
        <v>2015</v>
      </c>
      <c r="C15063" t="s">
        <v>162</v>
      </c>
      <c r="D15063" t="s">
        <v>184</v>
      </c>
      <c r="E15063" t="s">
        <v>10</v>
      </c>
      <c r="F15063">
        <v>56</v>
      </c>
    </row>
    <row r="15064" spans="2:6">
      <c r="B15064">
        <v>2015</v>
      </c>
      <c r="C15064" t="s">
        <v>162</v>
      </c>
      <c r="D15064" t="s">
        <v>184</v>
      </c>
      <c r="E15064" t="s">
        <v>11</v>
      </c>
      <c r="F15064">
        <v>0.75868469476699829</v>
      </c>
    </row>
    <row r="15065" spans="2:6">
      <c r="B15065">
        <v>2015</v>
      </c>
      <c r="C15065" t="s">
        <v>162</v>
      </c>
      <c r="D15065" t="s">
        <v>184</v>
      </c>
      <c r="E15065" t="s">
        <v>12</v>
      </c>
      <c r="F15065">
        <v>0.14869466423988342</v>
      </c>
    </row>
    <row r="15066" spans="2:6">
      <c r="B15066">
        <v>2015</v>
      </c>
      <c r="C15066" t="s">
        <v>162</v>
      </c>
      <c r="D15066" t="s">
        <v>184</v>
      </c>
      <c r="E15066" t="s">
        <v>13</v>
      </c>
      <c r="F15066">
        <v>0.90642261505126953</v>
      </c>
    </row>
    <row r="15067" spans="2:6">
      <c r="B15067">
        <v>2015</v>
      </c>
      <c r="C15067" t="s">
        <v>162</v>
      </c>
      <c r="D15067" t="s">
        <v>184</v>
      </c>
      <c r="E15067" t="s">
        <v>14</v>
      </c>
      <c r="F15067">
        <v>0.61937683820724487</v>
      </c>
    </row>
    <row r="15068" spans="2:6">
      <c r="B15068">
        <v>2015</v>
      </c>
      <c r="C15068" t="s">
        <v>162</v>
      </c>
      <c r="D15068" t="s">
        <v>184</v>
      </c>
      <c r="E15068" t="s">
        <v>15</v>
      </c>
      <c r="F15068">
        <v>0.19174796342849731</v>
      </c>
    </row>
    <row r="15069" spans="2:6">
      <c r="B15069">
        <v>2016</v>
      </c>
      <c r="C15069" t="s">
        <v>162</v>
      </c>
      <c r="D15069" t="s">
        <v>184</v>
      </c>
      <c r="E15069" t="s">
        <v>7</v>
      </c>
      <c r="F15069">
        <v>2.9027342796325684</v>
      </c>
    </row>
    <row r="15070" spans="2:6">
      <c r="B15070">
        <v>2016</v>
      </c>
      <c r="C15070" t="s">
        <v>162</v>
      </c>
      <c r="D15070" t="s">
        <v>184</v>
      </c>
      <c r="E15070" t="s">
        <v>8</v>
      </c>
      <c r="F15070">
        <v>7.8003945350646973</v>
      </c>
    </row>
    <row r="15071" spans="2:6">
      <c r="B15071">
        <v>2016</v>
      </c>
      <c r="C15071" t="s">
        <v>162</v>
      </c>
      <c r="D15071" t="s">
        <v>184</v>
      </c>
      <c r="E15071" t="s">
        <v>9</v>
      </c>
      <c r="F15071">
        <v>0.63775593042373657</v>
      </c>
    </row>
    <row r="15072" spans="2:6">
      <c r="B15072">
        <v>2016</v>
      </c>
      <c r="C15072" t="s">
        <v>162</v>
      </c>
      <c r="D15072" t="s">
        <v>184</v>
      </c>
      <c r="E15072" t="s">
        <v>10</v>
      </c>
      <c r="F15072">
        <v>56.5</v>
      </c>
    </row>
    <row r="15073" spans="2:6">
      <c r="B15073">
        <v>2016</v>
      </c>
      <c r="C15073" t="s">
        <v>162</v>
      </c>
      <c r="D15073" t="s">
        <v>184</v>
      </c>
      <c r="E15073" t="s">
        <v>11</v>
      </c>
      <c r="F15073">
        <v>0.77548491954803467</v>
      </c>
    </row>
    <row r="15074" spans="2:6">
      <c r="B15074">
        <v>2016</v>
      </c>
      <c r="C15074" t="s">
        <v>162</v>
      </c>
      <c r="D15074" t="s">
        <v>184</v>
      </c>
      <c r="E15074" t="s">
        <v>12</v>
      </c>
      <c r="F15074">
        <v>0.17877833545207977</v>
      </c>
    </row>
    <row r="15075" spans="2:6">
      <c r="B15075">
        <v>2016</v>
      </c>
      <c r="C15075" t="s">
        <v>162</v>
      </c>
      <c r="D15075" t="s">
        <v>184</v>
      </c>
      <c r="E15075" t="s">
        <v>13</v>
      </c>
      <c r="F15075">
        <v>0.73924726247787476</v>
      </c>
    </row>
    <row r="15076" spans="2:6">
      <c r="B15076">
        <v>2016</v>
      </c>
      <c r="C15076" t="s">
        <v>162</v>
      </c>
      <c r="D15076" t="s">
        <v>184</v>
      </c>
      <c r="E15076" t="s">
        <v>14</v>
      </c>
      <c r="F15076">
        <v>0.69355237483978271</v>
      </c>
    </row>
    <row r="15077" spans="2:6">
      <c r="B15077">
        <v>2016</v>
      </c>
      <c r="C15077" t="s">
        <v>162</v>
      </c>
      <c r="D15077" t="s">
        <v>184</v>
      </c>
      <c r="E15077" t="s">
        <v>15</v>
      </c>
      <c r="F15077">
        <v>0.24598595499992371</v>
      </c>
    </row>
    <row r="15078" spans="2:6">
      <c r="B15078">
        <v>2017</v>
      </c>
      <c r="C15078" t="s">
        <v>162</v>
      </c>
      <c r="D15078" t="s">
        <v>184</v>
      </c>
      <c r="E15078" t="s">
        <v>7</v>
      </c>
      <c r="F15078">
        <v>3.3471212387084961</v>
      </c>
    </row>
    <row r="15079" spans="2:6">
      <c r="B15079">
        <v>2017</v>
      </c>
      <c r="C15079" t="s">
        <v>162</v>
      </c>
      <c r="D15079" t="s">
        <v>184</v>
      </c>
      <c r="E15079" t="s">
        <v>8</v>
      </c>
      <c r="F15079">
        <v>7.8361477851867676</v>
      </c>
    </row>
    <row r="15080" spans="2:6">
      <c r="B15080">
        <v>2017</v>
      </c>
      <c r="C15080" t="s">
        <v>162</v>
      </c>
      <c r="D15080" t="s">
        <v>184</v>
      </c>
      <c r="E15080" t="s">
        <v>9</v>
      </c>
      <c r="F15080">
        <v>0.70501029491424561</v>
      </c>
    </row>
    <row r="15081" spans="2:6">
      <c r="B15081">
        <v>2017</v>
      </c>
      <c r="C15081" t="s">
        <v>162</v>
      </c>
      <c r="D15081" t="s">
        <v>184</v>
      </c>
      <c r="E15081" t="s">
        <v>10</v>
      </c>
      <c r="F15081">
        <v>57</v>
      </c>
    </row>
    <row r="15082" spans="2:6">
      <c r="B15082">
        <v>2017</v>
      </c>
      <c r="C15082" t="s">
        <v>162</v>
      </c>
      <c r="D15082" t="s">
        <v>184</v>
      </c>
      <c r="E15082" t="s">
        <v>11</v>
      </c>
      <c r="F15082">
        <v>0.80049550533294678</v>
      </c>
    </row>
    <row r="15083" spans="2:6">
      <c r="B15083">
        <v>2017</v>
      </c>
      <c r="C15083" t="s">
        <v>162</v>
      </c>
      <c r="D15083" t="s">
        <v>184</v>
      </c>
      <c r="E15083" t="s">
        <v>12</v>
      </c>
      <c r="F15083">
        <v>0.11551778763532639</v>
      </c>
    </row>
    <row r="15084" spans="2:6">
      <c r="B15084">
        <v>2017</v>
      </c>
      <c r="C15084" t="s">
        <v>162</v>
      </c>
      <c r="D15084" t="s">
        <v>184</v>
      </c>
      <c r="E15084" t="s">
        <v>13</v>
      </c>
      <c r="F15084">
        <v>0.65360605716705322</v>
      </c>
    </row>
    <row r="15085" spans="2:6">
      <c r="B15085">
        <v>2017</v>
      </c>
      <c r="C15085" t="s">
        <v>162</v>
      </c>
      <c r="D15085" t="s">
        <v>184</v>
      </c>
      <c r="E15085" t="s">
        <v>14</v>
      </c>
      <c r="F15085">
        <v>0.71464550495147705</v>
      </c>
    </row>
    <row r="15086" spans="2:6">
      <c r="B15086">
        <v>2017</v>
      </c>
      <c r="C15086" t="s">
        <v>162</v>
      </c>
      <c r="D15086" t="s">
        <v>184</v>
      </c>
      <c r="E15086" t="s">
        <v>15</v>
      </c>
      <c r="F15086">
        <v>0.25533568859100342</v>
      </c>
    </row>
    <row r="15087" spans="2:6">
      <c r="B15087">
        <v>2018</v>
      </c>
      <c r="C15087" t="s">
        <v>162</v>
      </c>
      <c r="D15087" t="s">
        <v>184</v>
      </c>
      <c r="E15087" t="s">
        <v>7</v>
      </c>
      <c r="F15087">
        <v>3.4450232982635498</v>
      </c>
    </row>
    <row r="15088" spans="2:6">
      <c r="B15088">
        <v>2018</v>
      </c>
      <c r="C15088" t="s">
        <v>162</v>
      </c>
      <c r="D15088" t="s">
        <v>184</v>
      </c>
      <c r="E15088" t="s">
        <v>8</v>
      </c>
      <c r="F15088">
        <v>7.8594036102294922</v>
      </c>
    </row>
    <row r="15089" spans="2:6">
      <c r="B15089">
        <v>2018</v>
      </c>
      <c r="C15089" t="s">
        <v>162</v>
      </c>
      <c r="D15089" t="s">
        <v>184</v>
      </c>
      <c r="E15089" t="s">
        <v>9</v>
      </c>
      <c r="F15089">
        <v>0.67533040046691895</v>
      </c>
    </row>
    <row r="15090" spans="2:6">
      <c r="B15090">
        <v>2018</v>
      </c>
      <c r="C15090" t="s">
        <v>162</v>
      </c>
      <c r="D15090" t="s">
        <v>184</v>
      </c>
      <c r="E15090" t="s">
        <v>10</v>
      </c>
      <c r="F15090">
        <v>57.5</v>
      </c>
    </row>
    <row r="15091" spans="2:6">
      <c r="B15091">
        <v>2018</v>
      </c>
      <c r="C15091" t="s">
        <v>162</v>
      </c>
      <c r="D15091" t="s">
        <v>184</v>
      </c>
      <c r="E15091" t="s">
        <v>11</v>
      </c>
      <c r="F15091">
        <v>0.80714213848114014</v>
      </c>
    </row>
    <row r="15092" spans="2:6">
      <c r="B15092">
        <v>2018</v>
      </c>
      <c r="C15092" t="s">
        <v>162</v>
      </c>
      <c r="D15092" t="s">
        <v>184</v>
      </c>
      <c r="E15092" t="s">
        <v>12</v>
      </c>
      <c r="F15092">
        <v>0.15319281816482544</v>
      </c>
    </row>
    <row r="15093" spans="2:6">
      <c r="B15093">
        <v>2018</v>
      </c>
      <c r="C15093" t="s">
        <v>162</v>
      </c>
      <c r="D15093" t="s">
        <v>184</v>
      </c>
      <c r="E15093" t="s">
        <v>13</v>
      </c>
      <c r="F15093">
        <v>0.61153405904769897</v>
      </c>
    </row>
    <row r="15094" spans="2:6">
      <c r="B15094">
        <v>2018</v>
      </c>
      <c r="C15094" t="s">
        <v>162</v>
      </c>
      <c r="D15094" t="s">
        <v>184</v>
      </c>
      <c r="E15094" t="s">
        <v>14</v>
      </c>
      <c r="F15094">
        <v>0.7620893120765686</v>
      </c>
    </row>
    <row r="15095" spans="2:6">
      <c r="B15095">
        <v>2018</v>
      </c>
      <c r="C15095" t="s">
        <v>162</v>
      </c>
      <c r="D15095" t="s">
        <v>184</v>
      </c>
      <c r="E15095" t="s">
        <v>15</v>
      </c>
      <c r="F15095">
        <v>0.22100549936294556</v>
      </c>
    </row>
    <row r="15096" spans="2:6">
      <c r="B15096">
        <v>2019</v>
      </c>
      <c r="C15096" t="s">
        <v>162</v>
      </c>
      <c r="D15096" t="s">
        <v>184</v>
      </c>
      <c r="E15096" t="s">
        <v>7</v>
      </c>
      <c r="F15096">
        <v>3.6401548385620117</v>
      </c>
    </row>
    <row r="15097" spans="2:6">
      <c r="B15097">
        <v>2019</v>
      </c>
      <c r="C15097" t="s">
        <v>162</v>
      </c>
      <c r="D15097" t="s">
        <v>184</v>
      </c>
      <c r="E15097" t="s">
        <v>8</v>
      </c>
      <c r="F15097">
        <v>7.8862395286560059</v>
      </c>
    </row>
    <row r="15098" spans="2:6">
      <c r="B15098">
        <v>2019</v>
      </c>
      <c r="C15098" t="s">
        <v>162</v>
      </c>
      <c r="D15098" t="s">
        <v>184</v>
      </c>
      <c r="E15098" t="s">
        <v>9</v>
      </c>
      <c r="F15098">
        <v>0.68726754188537598</v>
      </c>
    </row>
    <row r="15099" spans="2:6">
      <c r="B15099">
        <v>2019</v>
      </c>
      <c r="C15099" t="s">
        <v>162</v>
      </c>
      <c r="D15099" t="s">
        <v>184</v>
      </c>
      <c r="E15099" t="s">
        <v>10</v>
      </c>
      <c r="F15099">
        <v>58</v>
      </c>
    </row>
    <row r="15100" spans="2:6">
      <c r="B15100">
        <v>2019</v>
      </c>
      <c r="C15100" t="s">
        <v>162</v>
      </c>
      <c r="D15100" t="s">
        <v>184</v>
      </c>
      <c r="E15100" t="s">
        <v>11</v>
      </c>
      <c r="F15100">
        <v>0.8501325249671936</v>
      </c>
    </row>
    <row r="15101" spans="2:6">
      <c r="B15101">
        <v>2019</v>
      </c>
      <c r="C15101" t="s">
        <v>162</v>
      </c>
      <c r="D15101" t="s">
        <v>184</v>
      </c>
      <c r="E15101" t="s">
        <v>12</v>
      </c>
      <c r="F15101">
        <v>0.10039015114307404</v>
      </c>
    </row>
    <row r="15102" spans="2:6">
      <c r="B15102">
        <v>2019</v>
      </c>
      <c r="C15102" t="s">
        <v>162</v>
      </c>
      <c r="D15102" t="s">
        <v>184</v>
      </c>
      <c r="E15102" t="s">
        <v>13</v>
      </c>
      <c r="F15102">
        <v>0.58929359912872314</v>
      </c>
    </row>
    <row r="15103" spans="2:6">
      <c r="B15103">
        <v>2019</v>
      </c>
      <c r="C15103" t="s">
        <v>162</v>
      </c>
      <c r="D15103" t="s">
        <v>184</v>
      </c>
      <c r="E15103" t="s">
        <v>14</v>
      </c>
      <c r="F15103">
        <v>0.72623860836029053</v>
      </c>
    </row>
    <row r="15104" spans="2:6">
      <c r="B15104">
        <v>2019</v>
      </c>
      <c r="C15104" t="s">
        <v>162</v>
      </c>
      <c r="D15104" t="s">
        <v>184</v>
      </c>
      <c r="E15104" t="s">
        <v>15</v>
      </c>
      <c r="F15104">
        <v>0.2430979460477829</v>
      </c>
    </row>
    <row r="15105" spans="2:6">
      <c r="B15105">
        <v>2020</v>
      </c>
      <c r="C15105" t="s">
        <v>162</v>
      </c>
      <c r="D15105" t="s">
        <v>184</v>
      </c>
      <c r="E15105" t="s">
        <v>7</v>
      </c>
      <c r="F15105">
        <v>3.7856841087341309</v>
      </c>
    </row>
    <row r="15106" spans="2:6">
      <c r="B15106">
        <v>2020</v>
      </c>
      <c r="C15106" t="s">
        <v>162</v>
      </c>
      <c r="D15106" t="s">
        <v>184</v>
      </c>
      <c r="E15106" t="s">
        <v>8</v>
      </c>
      <c r="F15106">
        <v>7.8812704086303711</v>
      </c>
    </row>
    <row r="15107" spans="2:6">
      <c r="B15107">
        <v>2020</v>
      </c>
      <c r="C15107" t="s">
        <v>162</v>
      </c>
      <c r="D15107" t="s">
        <v>184</v>
      </c>
      <c r="E15107" t="s">
        <v>9</v>
      </c>
      <c r="F15107">
        <v>0.73981708288192749</v>
      </c>
    </row>
    <row r="15108" spans="2:6">
      <c r="B15108">
        <v>2020</v>
      </c>
      <c r="C15108" t="s">
        <v>162</v>
      </c>
      <c r="D15108" t="s">
        <v>184</v>
      </c>
      <c r="E15108" t="s">
        <v>10</v>
      </c>
      <c r="F15108">
        <v>58.5</v>
      </c>
    </row>
    <row r="15109" spans="2:6">
      <c r="B15109">
        <v>2020</v>
      </c>
      <c r="C15109" t="s">
        <v>162</v>
      </c>
      <c r="D15109" t="s">
        <v>184</v>
      </c>
      <c r="E15109" t="s">
        <v>11</v>
      </c>
      <c r="F15109">
        <v>0.83034348487854004</v>
      </c>
    </row>
    <row r="15110" spans="2:6">
      <c r="B15110">
        <v>2020</v>
      </c>
      <c r="C15110" t="s">
        <v>162</v>
      </c>
      <c r="D15110" t="s">
        <v>184</v>
      </c>
      <c r="E15110" t="s">
        <v>12</v>
      </c>
      <c r="F15110">
        <v>0.29527199268341064</v>
      </c>
    </row>
    <row r="15111" spans="2:6">
      <c r="B15111">
        <v>2020</v>
      </c>
      <c r="C15111" t="s">
        <v>162</v>
      </c>
      <c r="D15111" t="s">
        <v>184</v>
      </c>
      <c r="E15111" t="s">
        <v>13</v>
      </c>
      <c r="F15111">
        <v>0.52063167095184326</v>
      </c>
    </row>
    <row r="15112" spans="2:6">
      <c r="B15112">
        <v>2020</v>
      </c>
      <c r="C15112" t="s">
        <v>162</v>
      </c>
      <c r="D15112" t="s">
        <v>184</v>
      </c>
      <c r="E15112" t="s">
        <v>14</v>
      </c>
      <c r="F15112">
        <v>0.68553310632705688</v>
      </c>
    </row>
    <row r="15113" spans="2:6">
      <c r="B15113">
        <v>2020</v>
      </c>
      <c r="C15113" t="s">
        <v>162</v>
      </c>
      <c r="D15113" t="s">
        <v>184</v>
      </c>
      <c r="E15113" t="s">
        <v>15</v>
      </c>
      <c r="F15113">
        <v>0.2711179256439209</v>
      </c>
    </row>
    <row r="15114" spans="2:6">
      <c r="B15114">
        <v>2006</v>
      </c>
      <c r="C15114" t="s">
        <v>163</v>
      </c>
      <c r="D15114" t="s">
        <v>182</v>
      </c>
      <c r="E15114" t="s">
        <v>7</v>
      </c>
      <c r="F15114">
        <v>5.8854327201843262</v>
      </c>
    </row>
    <row r="15115" spans="2:6">
      <c r="B15115">
        <v>2006</v>
      </c>
      <c r="C15115" t="s">
        <v>163</v>
      </c>
      <c r="D15115" t="s">
        <v>182</v>
      </c>
      <c r="E15115" t="s">
        <v>8</v>
      </c>
      <c r="F15115">
        <v>9.4611482620239258</v>
      </c>
    </row>
    <row r="15116" spans="2:6">
      <c r="B15116">
        <v>2006</v>
      </c>
      <c r="C15116" t="s">
        <v>163</v>
      </c>
      <c r="D15116" t="s">
        <v>182</v>
      </c>
      <c r="E15116" t="s">
        <v>9</v>
      </c>
      <c r="F15116">
        <v>0.89432662725448608</v>
      </c>
    </row>
    <row r="15117" spans="2:6">
      <c r="B15117">
        <v>2006</v>
      </c>
      <c r="C15117" t="s">
        <v>163</v>
      </c>
      <c r="D15117" t="s">
        <v>182</v>
      </c>
      <c r="E15117" t="s">
        <v>10</v>
      </c>
      <c r="F15117">
        <v>64.139999389648438</v>
      </c>
    </row>
    <row r="15118" spans="2:6">
      <c r="B15118">
        <v>2006</v>
      </c>
      <c r="C15118" t="s">
        <v>163</v>
      </c>
      <c r="D15118" t="s">
        <v>182</v>
      </c>
      <c r="E15118" t="s">
        <v>11</v>
      </c>
      <c r="F15118">
        <v>0.86319500207901001</v>
      </c>
    </row>
    <row r="15119" spans="2:6">
      <c r="B15119">
        <v>2006</v>
      </c>
      <c r="C15119" t="s">
        <v>163</v>
      </c>
      <c r="D15119" t="s">
        <v>182</v>
      </c>
      <c r="E15119" t="s">
        <v>12</v>
      </c>
      <c r="F15119">
        <v>0.33145996928215027</v>
      </c>
    </row>
    <row r="15120" spans="2:6">
      <c r="B15120">
        <v>2006</v>
      </c>
      <c r="C15120" t="s">
        <v>163</v>
      </c>
      <c r="D15120" t="s">
        <v>182</v>
      </c>
      <c r="E15120" t="s">
        <v>13</v>
      </c>
      <c r="F15120">
        <v>0.93474549055099487</v>
      </c>
    </row>
    <row r="15121" spans="2:6">
      <c r="B15121">
        <v>2006</v>
      </c>
      <c r="C15121" t="s">
        <v>163</v>
      </c>
      <c r="D15121" t="s">
        <v>182</v>
      </c>
      <c r="E15121" t="s">
        <v>14</v>
      </c>
      <c r="F15121">
        <v>0.81350940465927124</v>
      </c>
    </row>
    <row r="15122" spans="2:6">
      <c r="B15122">
        <v>2006</v>
      </c>
      <c r="C15122" t="s">
        <v>163</v>
      </c>
      <c r="D15122" t="s">
        <v>182</v>
      </c>
      <c r="E15122" t="s">
        <v>15</v>
      </c>
      <c r="F15122">
        <v>0.16412277519702911</v>
      </c>
    </row>
    <row r="15123" spans="2:6">
      <c r="B15123">
        <v>2007</v>
      </c>
      <c r="C15123" t="s">
        <v>163</v>
      </c>
      <c r="D15123" t="s">
        <v>182</v>
      </c>
      <c r="E15123" t="s">
        <v>7</v>
      </c>
      <c r="F15123">
        <v>5.7838912010192871</v>
      </c>
    </row>
    <row r="15124" spans="2:6">
      <c r="B15124">
        <v>2007</v>
      </c>
      <c r="C15124" t="s">
        <v>163</v>
      </c>
      <c r="D15124" t="s">
        <v>182</v>
      </c>
      <c r="E15124" t="s">
        <v>8</v>
      </c>
      <c r="F15124">
        <v>9.5084753036499023</v>
      </c>
    </row>
    <row r="15125" spans="2:6">
      <c r="B15125">
        <v>2007</v>
      </c>
      <c r="C15125" t="s">
        <v>163</v>
      </c>
      <c r="D15125" t="s">
        <v>182</v>
      </c>
      <c r="E15125" t="s">
        <v>9</v>
      </c>
      <c r="F15125">
        <v>0.88863420486450195</v>
      </c>
    </row>
    <row r="15126" spans="2:6">
      <c r="B15126">
        <v>2007</v>
      </c>
      <c r="C15126" t="s">
        <v>163</v>
      </c>
      <c r="D15126" t="s">
        <v>182</v>
      </c>
      <c r="E15126" t="s">
        <v>10</v>
      </c>
      <c r="F15126">
        <v>64.480003356933594</v>
      </c>
    </row>
    <row r="15127" spans="2:6">
      <c r="B15127">
        <v>2007</v>
      </c>
      <c r="C15127" t="s">
        <v>163</v>
      </c>
      <c r="D15127" t="s">
        <v>182</v>
      </c>
      <c r="E15127" t="s">
        <v>11</v>
      </c>
      <c r="F15127">
        <v>0.87015926837921143</v>
      </c>
    </row>
    <row r="15128" spans="2:6">
      <c r="B15128">
        <v>2007</v>
      </c>
      <c r="C15128" t="s">
        <v>163</v>
      </c>
      <c r="D15128" t="s">
        <v>182</v>
      </c>
      <c r="E15128" t="s">
        <v>12</v>
      </c>
      <c r="F15128">
        <v>0.39094552397727966</v>
      </c>
    </row>
    <row r="15129" spans="2:6">
      <c r="B15129">
        <v>2007</v>
      </c>
      <c r="C15129" t="s">
        <v>163</v>
      </c>
      <c r="D15129" t="s">
        <v>182</v>
      </c>
      <c r="E15129" t="s">
        <v>13</v>
      </c>
      <c r="F15129">
        <v>0.89775276184082031</v>
      </c>
    </row>
    <row r="15130" spans="2:6">
      <c r="B15130">
        <v>2007</v>
      </c>
      <c r="C15130" t="s">
        <v>163</v>
      </c>
      <c r="D15130" t="s">
        <v>182</v>
      </c>
      <c r="E15130" t="s">
        <v>14</v>
      </c>
      <c r="F15130">
        <v>0.8318098783493042</v>
      </c>
    </row>
    <row r="15131" spans="2:6">
      <c r="B15131">
        <v>2007</v>
      </c>
      <c r="C15131" t="s">
        <v>163</v>
      </c>
      <c r="D15131" t="s">
        <v>182</v>
      </c>
      <c r="E15131" t="s">
        <v>15</v>
      </c>
      <c r="F15131">
        <v>0.18001000583171844</v>
      </c>
    </row>
    <row r="15132" spans="2:6">
      <c r="B15132">
        <v>2008</v>
      </c>
      <c r="C15132" t="s">
        <v>163</v>
      </c>
      <c r="D15132" t="s">
        <v>182</v>
      </c>
      <c r="E15132" t="s">
        <v>7</v>
      </c>
      <c r="F15132">
        <v>5.6364712715148926</v>
      </c>
    </row>
    <row r="15133" spans="2:6">
      <c r="B15133">
        <v>2008</v>
      </c>
      <c r="C15133" t="s">
        <v>163</v>
      </c>
      <c r="D15133" t="s">
        <v>182</v>
      </c>
      <c r="E15133" t="s">
        <v>8</v>
      </c>
      <c r="F15133">
        <v>9.5203266143798828</v>
      </c>
    </row>
    <row r="15134" spans="2:6">
      <c r="B15134">
        <v>2008</v>
      </c>
      <c r="C15134" t="s">
        <v>163</v>
      </c>
      <c r="D15134" t="s">
        <v>182</v>
      </c>
      <c r="E15134" t="s">
        <v>9</v>
      </c>
      <c r="F15134">
        <v>0.8317112922668457</v>
      </c>
    </row>
    <row r="15135" spans="2:6">
      <c r="B15135">
        <v>2008</v>
      </c>
      <c r="C15135" t="s">
        <v>163</v>
      </c>
      <c r="D15135" t="s">
        <v>182</v>
      </c>
      <c r="E15135" t="s">
        <v>10</v>
      </c>
      <c r="F15135">
        <v>64.819999694824219</v>
      </c>
    </row>
    <row r="15136" spans="2:6">
      <c r="B15136">
        <v>2008</v>
      </c>
      <c r="C15136" t="s">
        <v>163</v>
      </c>
      <c r="D15136" t="s">
        <v>182</v>
      </c>
      <c r="E15136" t="s">
        <v>11</v>
      </c>
      <c r="F15136">
        <v>0.86783373355865479</v>
      </c>
    </row>
    <row r="15137" spans="2:6">
      <c r="B15137">
        <v>2008</v>
      </c>
      <c r="C15137" t="s">
        <v>163</v>
      </c>
      <c r="D15137" t="s">
        <v>182</v>
      </c>
      <c r="E15137" t="s">
        <v>12</v>
      </c>
      <c r="F15137">
        <v>0.42548185586929321</v>
      </c>
    </row>
    <row r="15138" spans="2:6">
      <c r="B15138">
        <v>2008</v>
      </c>
      <c r="C15138" t="s">
        <v>163</v>
      </c>
      <c r="D15138" t="s">
        <v>182</v>
      </c>
      <c r="E15138" t="s">
        <v>13</v>
      </c>
      <c r="F15138">
        <v>0.9333726167678833</v>
      </c>
    </row>
    <row r="15139" spans="2:6">
      <c r="B15139">
        <v>2008</v>
      </c>
      <c r="C15139" t="s">
        <v>163</v>
      </c>
      <c r="D15139" t="s">
        <v>182</v>
      </c>
      <c r="E15139" t="s">
        <v>14</v>
      </c>
      <c r="F15139">
        <v>0.81903761625289917</v>
      </c>
    </row>
    <row r="15140" spans="2:6">
      <c r="B15140">
        <v>2008</v>
      </c>
      <c r="C15140" t="s">
        <v>163</v>
      </c>
      <c r="D15140" t="s">
        <v>182</v>
      </c>
      <c r="E15140" t="s">
        <v>15</v>
      </c>
      <c r="F15140">
        <v>0.14505873620510101</v>
      </c>
    </row>
    <row r="15141" spans="2:6">
      <c r="B15141">
        <v>2009</v>
      </c>
      <c r="C15141" t="s">
        <v>163</v>
      </c>
      <c r="D15141" t="s">
        <v>182</v>
      </c>
      <c r="E15141" t="s">
        <v>7</v>
      </c>
      <c r="F15141">
        <v>5.4756450653076172</v>
      </c>
    </row>
    <row r="15142" spans="2:6">
      <c r="B15142">
        <v>2009</v>
      </c>
      <c r="C15142" t="s">
        <v>163</v>
      </c>
      <c r="D15142" t="s">
        <v>182</v>
      </c>
      <c r="E15142" t="s">
        <v>8</v>
      </c>
      <c r="F15142">
        <v>9.5083608627319336</v>
      </c>
    </row>
    <row r="15143" spans="2:6">
      <c r="B15143">
        <v>2009</v>
      </c>
      <c r="C15143" t="s">
        <v>163</v>
      </c>
      <c r="D15143" t="s">
        <v>182</v>
      </c>
      <c r="E15143" t="s">
        <v>9</v>
      </c>
      <c r="F15143">
        <v>0.89324527978897095</v>
      </c>
    </row>
    <row r="15144" spans="2:6">
      <c r="B15144">
        <v>2009</v>
      </c>
      <c r="C15144" t="s">
        <v>163</v>
      </c>
      <c r="D15144" t="s">
        <v>182</v>
      </c>
      <c r="E15144" t="s">
        <v>10</v>
      </c>
      <c r="F15144">
        <v>65.160003662109375</v>
      </c>
    </row>
    <row r="15145" spans="2:6">
      <c r="B15145">
        <v>2009</v>
      </c>
      <c r="C15145" t="s">
        <v>163</v>
      </c>
      <c r="D15145" t="s">
        <v>182</v>
      </c>
      <c r="E15145" t="s">
        <v>11</v>
      </c>
      <c r="F15145">
        <v>0.86822372674942017</v>
      </c>
    </row>
    <row r="15146" spans="2:6">
      <c r="B15146">
        <v>2009</v>
      </c>
      <c r="C15146" t="s">
        <v>163</v>
      </c>
      <c r="D15146" t="s">
        <v>182</v>
      </c>
      <c r="E15146" t="s">
        <v>12</v>
      </c>
      <c r="F15146">
        <v>0.52490752935409546</v>
      </c>
    </row>
    <row r="15147" spans="2:6">
      <c r="B15147">
        <v>2009</v>
      </c>
      <c r="C15147" t="s">
        <v>163</v>
      </c>
      <c r="D15147" t="s">
        <v>182</v>
      </c>
      <c r="E15147" t="s">
        <v>13</v>
      </c>
      <c r="F15147">
        <v>0.90382248163223267</v>
      </c>
    </row>
    <row r="15148" spans="2:6">
      <c r="B15148">
        <v>2009</v>
      </c>
      <c r="C15148" t="s">
        <v>163</v>
      </c>
      <c r="D15148" t="s">
        <v>182</v>
      </c>
      <c r="E15148" t="s">
        <v>14</v>
      </c>
      <c r="F15148">
        <v>0.89764076471328735</v>
      </c>
    </row>
    <row r="15149" spans="2:6">
      <c r="B15149">
        <v>2009</v>
      </c>
      <c r="C15149" t="s">
        <v>163</v>
      </c>
      <c r="D15149" t="s">
        <v>182</v>
      </c>
      <c r="E15149" t="s">
        <v>15</v>
      </c>
      <c r="F15149">
        <v>0.16608639061450958</v>
      </c>
    </row>
    <row r="15150" spans="2:6">
      <c r="B15150">
        <v>2010</v>
      </c>
      <c r="C15150" t="s">
        <v>163</v>
      </c>
      <c r="D15150" t="s">
        <v>182</v>
      </c>
      <c r="E15150" t="s">
        <v>7</v>
      </c>
      <c r="F15150">
        <v>6.216702938079834</v>
      </c>
    </row>
    <row r="15151" spans="2:6">
      <c r="B15151">
        <v>2010</v>
      </c>
      <c r="C15151" t="s">
        <v>163</v>
      </c>
      <c r="D15151" t="s">
        <v>182</v>
      </c>
      <c r="E15151" t="s">
        <v>8</v>
      </c>
      <c r="F15151">
        <v>9.5759105682373047</v>
      </c>
    </row>
    <row r="15152" spans="2:6">
      <c r="B15152">
        <v>2010</v>
      </c>
      <c r="C15152" t="s">
        <v>163</v>
      </c>
      <c r="D15152" t="s">
        <v>182</v>
      </c>
      <c r="E15152" t="s">
        <v>9</v>
      </c>
      <c r="F15152">
        <v>0.89765125513076782</v>
      </c>
    </row>
    <row r="15153" spans="2:6">
      <c r="B15153">
        <v>2010</v>
      </c>
      <c r="C15153" t="s">
        <v>163</v>
      </c>
      <c r="D15153" t="s">
        <v>182</v>
      </c>
      <c r="E15153" t="s">
        <v>10</v>
      </c>
      <c r="F15153">
        <v>65.5</v>
      </c>
    </row>
    <row r="15154" spans="2:6">
      <c r="B15154">
        <v>2010</v>
      </c>
      <c r="C15154" t="s">
        <v>163</v>
      </c>
      <c r="D15154" t="s">
        <v>182</v>
      </c>
      <c r="E15154" t="s">
        <v>11</v>
      </c>
      <c r="F15154">
        <v>0.85963642597198486</v>
      </c>
    </row>
    <row r="15155" spans="2:6">
      <c r="B15155">
        <v>2010</v>
      </c>
      <c r="C15155" t="s">
        <v>163</v>
      </c>
      <c r="D15155" t="s">
        <v>182</v>
      </c>
      <c r="E15155" t="s">
        <v>12</v>
      </c>
      <c r="F15155">
        <v>0.53598546981811523</v>
      </c>
    </row>
    <row r="15156" spans="2:6">
      <c r="B15156">
        <v>2010</v>
      </c>
      <c r="C15156" t="s">
        <v>163</v>
      </c>
      <c r="D15156" t="s">
        <v>182</v>
      </c>
      <c r="E15156" t="s">
        <v>13</v>
      </c>
      <c r="F15156">
        <v>0.91669338941574097</v>
      </c>
    </row>
    <row r="15157" spans="2:6">
      <c r="B15157">
        <v>2010</v>
      </c>
      <c r="C15157" t="s">
        <v>163</v>
      </c>
      <c r="D15157" t="s">
        <v>182</v>
      </c>
      <c r="E15157" t="s">
        <v>14</v>
      </c>
      <c r="F15157">
        <v>0.90126794576644897</v>
      </c>
    </row>
    <row r="15158" spans="2:6">
      <c r="B15158">
        <v>2010</v>
      </c>
      <c r="C15158" t="s">
        <v>163</v>
      </c>
      <c r="D15158" t="s">
        <v>182</v>
      </c>
      <c r="E15158" t="s">
        <v>15</v>
      </c>
      <c r="F15158">
        <v>0.18152317404747009</v>
      </c>
    </row>
    <row r="15159" spans="2:6">
      <c r="B15159">
        <v>2011</v>
      </c>
      <c r="C15159" t="s">
        <v>163</v>
      </c>
      <c r="D15159" t="s">
        <v>182</v>
      </c>
      <c r="E15159" t="s">
        <v>7</v>
      </c>
      <c r="F15159">
        <v>6.6636090278625488</v>
      </c>
    </row>
    <row r="15160" spans="2:6">
      <c r="B15160">
        <v>2011</v>
      </c>
      <c r="C15160" t="s">
        <v>163</v>
      </c>
      <c r="D15160" t="s">
        <v>182</v>
      </c>
      <c r="E15160" t="s">
        <v>8</v>
      </c>
      <c r="F15160">
        <v>9.5794754028320313</v>
      </c>
    </row>
    <row r="15161" spans="2:6">
      <c r="B15161">
        <v>2011</v>
      </c>
      <c r="C15161" t="s">
        <v>163</v>
      </c>
      <c r="D15161" t="s">
        <v>182</v>
      </c>
      <c r="E15161" t="s">
        <v>9</v>
      </c>
      <c r="F15161">
        <v>0.88435083627700806</v>
      </c>
    </row>
    <row r="15162" spans="2:6">
      <c r="B15162">
        <v>2011</v>
      </c>
      <c r="C15162" t="s">
        <v>163</v>
      </c>
      <c r="D15162" t="s">
        <v>182</v>
      </c>
      <c r="E15162" t="s">
        <v>10</v>
      </c>
      <c r="F15162">
        <v>65.720001220703125</v>
      </c>
    </row>
    <row r="15163" spans="2:6">
      <c r="B15163">
        <v>2011</v>
      </c>
      <c r="C15163" t="s">
        <v>163</v>
      </c>
      <c r="D15163" t="s">
        <v>182</v>
      </c>
      <c r="E15163" t="s">
        <v>11</v>
      </c>
      <c r="F15163">
        <v>0.92688184976577759</v>
      </c>
    </row>
    <row r="15164" spans="2:6">
      <c r="B15164">
        <v>2011</v>
      </c>
      <c r="C15164" t="s">
        <v>163</v>
      </c>
      <c r="D15164" t="s">
        <v>182</v>
      </c>
      <c r="E15164" t="s">
        <v>12</v>
      </c>
      <c r="F15164">
        <v>0.40015888214111328</v>
      </c>
    </row>
    <row r="15165" spans="2:6">
      <c r="B15165">
        <v>2011</v>
      </c>
      <c r="C15165" t="s">
        <v>163</v>
      </c>
      <c r="D15165" t="s">
        <v>182</v>
      </c>
      <c r="E15165" t="s">
        <v>13</v>
      </c>
      <c r="F15165">
        <v>0.92319560050964355</v>
      </c>
    </row>
    <row r="15166" spans="2:6">
      <c r="B15166">
        <v>2011</v>
      </c>
      <c r="C15166" t="s">
        <v>163</v>
      </c>
      <c r="D15166" t="s">
        <v>182</v>
      </c>
      <c r="E15166" t="s">
        <v>14</v>
      </c>
      <c r="F15166">
        <v>0.93437367677688599</v>
      </c>
    </row>
    <row r="15167" spans="2:6">
      <c r="B15167">
        <v>2011</v>
      </c>
      <c r="C15167" t="s">
        <v>163</v>
      </c>
      <c r="D15167" t="s">
        <v>182</v>
      </c>
      <c r="E15167" t="s">
        <v>15</v>
      </c>
      <c r="F15167">
        <v>0.11667592823505402</v>
      </c>
    </row>
    <row r="15168" spans="2:6">
      <c r="B15168">
        <v>2012</v>
      </c>
      <c r="C15168" t="s">
        <v>163</v>
      </c>
      <c r="D15168" t="s">
        <v>182</v>
      </c>
      <c r="E15168" t="s">
        <v>7</v>
      </c>
      <c r="F15168">
        <v>6.3002352714538574</v>
      </c>
    </row>
    <row r="15169" spans="2:6">
      <c r="B15169">
        <v>2012</v>
      </c>
      <c r="C15169" t="s">
        <v>163</v>
      </c>
      <c r="D15169" t="s">
        <v>182</v>
      </c>
      <c r="E15169" t="s">
        <v>8</v>
      </c>
      <c r="F15169">
        <v>9.6447086334228516</v>
      </c>
    </row>
    <row r="15170" spans="2:6">
      <c r="B15170">
        <v>2012</v>
      </c>
      <c r="C15170" t="s">
        <v>163</v>
      </c>
      <c r="D15170" t="s">
        <v>182</v>
      </c>
      <c r="E15170" t="s">
        <v>9</v>
      </c>
      <c r="F15170">
        <v>0.9060981273651123</v>
      </c>
    </row>
    <row r="15171" spans="2:6">
      <c r="B15171">
        <v>2012</v>
      </c>
      <c r="C15171" t="s">
        <v>163</v>
      </c>
      <c r="D15171" t="s">
        <v>182</v>
      </c>
      <c r="E15171" t="s">
        <v>10</v>
      </c>
      <c r="F15171">
        <v>65.94000244140625</v>
      </c>
    </row>
    <row r="15172" spans="2:6">
      <c r="B15172">
        <v>2012</v>
      </c>
      <c r="C15172" t="s">
        <v>163</v>
      </c>
      <c r="D15172" t="s">
        <v>182</v>
      </c>
      <c r="E15172" t="s">
        <v>11</v>
      </c>
      <c r="F15172">
        <v>0.84693282842636108</v>
      </c>
    </row>
    <row r="15173" spans="2:6">
      <c r="B15173">
        <v>2012</v>
      </c>
      <c r="C15173" t="s">
        <v>163</v>
      </c>
      <c r="D15173" t="s">
        <v>182</v>
      </c>
      <c r="E15173" t="s">
        <v>12</v>
      </c>
      <c r="F15173">
        <v>0.37985935807228088</v>
      </c>
    </row>
    <row r="15174" spans="2:6">
      <c r="B15174">
        <v>2012</v>
      </c>
      <c r="C15174" t="s">
        <v>163</v>
      </c>
      <c r="D15174" t="s">
        <v>182</v>
      </c>
      <c r="E15174" t="s">
        <v>13</v>
      </c>
      <c r="F15174">
        <v>0.90861207246780396</v>
      </c>
    </row>
    <row r="15175" spans="2:6">
      <c r="B15175">
        <v>2012</v>
      </c>
      <c r="C15175" t="s">
        <v>163</v>
      </c>
      <c r="D15175" t="s">
        <v>182</v>
      </c>
      <c r="E15175" t="s">
        <v>14</v>
      </c>
      <c r="F15175">
        <v>0.85454398393630981</v>
      </c>
    </row>
    <row r="15176" spans="2:6">
      <c r="B15176">
        <v>2012</v>
      </c>
      <c r="C15176" t="s">
        <v>163</v>
      </c>
      <c r="D15176" t="s">
        <v>182</v>
      </c>
      <c r="E15176" t="s">
        <v>15</v>
      </c>
      <c r="F15176">
        <v>0.13750305771827698</v>
      </c>
    </row>
    <row r="15177" spans="2:6">
      <c r="B15177">
        <v>2013</v>
      </c>
      <c r="C15177" t="s">
        <v>163</v>
      </c>
      <c r="D15177" t="s">
        <v>182</v>
      </c>
      <c r="E15177" t="s">
        <v>7</v>
      </c>
      <c r="F15177">
        <v>6.2310247421264648</v>
      </c>
    </row>
    <row r="15178" spans="2:6">
      <c r="B15178">
        <v>2013</v>
      </c>
      <c r="C15178" t="s">
        <v>163</v>
      </c>
      <c r="D15178" t="s">
        <v>182</v>
      </c>
      <c r="E15178" t="s">
        <v>8</v>
      </c>
      <c r="F15178">
        <v>9.6666908264160156</v>
      </c>
    </row>
    <row r="15179" spans="2:6">
      <c r="B15179">
        <v>2013</v>
      </c>
      <c r="C15179" t="s">
        <v>163</v>
      </c>
      <c r="D15179" t="s">
        <v>182</v>
      </c>
      <c r="E15179" t="s">
        <v>9</v>
      </c>
      <c r="F15179">
        <v>0.92637783288955688</v>
      </c>
    </row>
    <row r="15180" spans="2:6">
      <c r="B15180">
        <v>2013</v>
      </c>
      <c r="C15180" t="s">
        <v>163</v>
      </c>
      <c r="D15180" t="s">
        <v>182</v>
      </c>
      <c r="E15180" t="s">
        <v>10</v>
      </c>
      <c r="F15180">
        <v>66.160003662109375</v>
      </c>
    </row>
    <row r="15181" spans="2:6">
      <c r="B15181">
        <v>2013</v>
      </c>
      <c r="C15181" t="s">
        <v>163</v>
      </c>
      <c r="D15181" t="s">
        <v>182</v>
      </c>
      <c r="E15181" t="s">
        <v>11</v>
      </c>
      <c r="F15181">
        <v>0.78108197450637817</v>
      </c>
    </row>
    <row r="15182" spans="2:6">
      <c r="B15182">
        <v>2013</v>
      </c>
      <c r="C15182" t="s">
        <v>163</v>
      </c>
      <c r="D15182" t="s">
        <v>182</v>
      </c>
      <c r="E15182" t="s">
        <v>12</v>
      </c>
      <c r="F15182">
        <v>0.45622697472572327</v>
      </c>
    </row>
    <row r="15183" spans="2:6">
      <c r="B15183">
        <v>2013</v>
      </c>
      <c r="C15183" t="s">
        <v>163</v>
      </c>
      <c r="D15183" t="s">
        <v>182</v>
      </c>
      <c r="E15183" t="s">
        <v>13</v>
      </c>
      <c r="F15183">
        <v>0.9254300594329834</v>
      </c>
    </row>
    <row r="15184" spans="2:6">
      <c r="B15184">
        <v>2013</v>
      </c>
      <c r="C15184" t="s">
        <v>163</v>
      </c>
      <c r="D15184" t="s">
        <v>182</v>
      </c>
      <c r="E15184" t="s">
        <v>14</v>
      </c>
      <c r="F15184">
        <v>0.84598076343536377</v>
      </c>
    </row>
    <row r="15185" spans="2:6">
      <c r="B15185">
        <v>2013</v>
      </c>
      <c r="C15185" t="s">
        <v>163</v>
      </c>
      <c r="D15185" t="s">
        <v>182</v>
      </c>
      <c r="E15185" t="s">
        <v>15</v>
      </c>
      <c r="F15185">
        <v>0.14083051681518555</v>
      </c>
    </row>
    <row r="15186" spans="2:6">
      <c r="B15186">
        <v>2014</v>
      </c>
      <c r="C15186" t="s">
        <v>163</v>
      </c>
      <c r="D15186" t="s">
        <v>182</v>
      </c>
      <c r="E15186" t="s">
        <v>7</v>
      </c>
      <c r="F15186">
        <v>6.9854636192321777</v>
      </c>
    </row>
    <row r="15187" spans="2:6">
      <c r="B15187">
        <v>2014</v>
      </c>
      <c r="C15187" t="s">
        <v>163</v>
      </c>
      <c r="D15187" t="s">
        <v>182</v>
      </c>
      <c r="E15187" t="s">
        <v>8</v>
      </c>
      <c r="F15187">
        <v>9.6721782684326172</v>
      </c>
    </row>
    <row r="15188" spans="2:6">
      <c r="B15188">
        <v>2014</v>
      </c>
      <c r="C15188" t="s">
        <v>163</v>
      </c>
      <c r="D15188" t="s">
        <v>182</v>
      </c>
      <c r="E15188" t="s">
        <v>9</v>
      </c>
      <c r="F15188">
        <v>0.93316739797592163</v>
      </c>
    </row>
    <row r="15189" spans="2:6">
      <c r="B15189">
        <v>2014</v>
      </c>
      <c r="C15189" t="s">
        <v>163</v>
      </c>
      <c r="D15189" t="s">
        <v>182</v>
      </c>
      <c r="E15189" t="s">
        <v>10</v>
      </c>
      <c r="F15189">
        <v>66.379997253417969</v>
      </c>
    </row>
    <row r="15190" spans="2:6">
      <c r="B15190">
        <v>2014</v>
      </c>
      <c r="C15190" t="s">
        <v>163</v>
      </c>
      <c r="D15190" t="s">
        <v>182</v>
      </c>
      <c r="E15190" t="s">
        <v>11</v>
      </c>
      <c r="F15190">
        <v>0.89984631538391113</v>
      </c>
    </row>
    <row r="15191" spans="2:6">
      <c r="B15191">
        <v>2014</v>
      </c>
      <c r="C15191" t="s">
        <v>163</v>
      </c>
      <c r="D15191" t="s">
        <v>182</v>
      </c>
      <c r="E15191" t="s">
        <v>12</v>
      </c>
      <c r="F15191">
        <v>0.55252140760421753</v>
      </c>
    </row>
    <row r="15192" spans="2:6">
      <c r="B15192">
        <v>2014</v>
      </c>
      <c r="C15192" t="s">
        <v>163</v>
      </c>
      <c r="D15192" t="s">
        <v>182</v>
      </c>
      <c r="E15192" t="s">
        <v>13</v>
      </c>
      <c r="F15192">
        <v>0.9198344349861145</v>
      </c>
    </row>
    <row r="15193" spans="2:6">
      <c r="B15193">
        <v>2014</v>
      </c>
      <c r="C15193" t="s">
        <v>163</v>
      </c>
      <c r="D15193" t="s">
        <v>182</v>
      </c>
      <c r="E15193" t="s">
        <v>14</v>
      </c>
      <c r="F15193">
        <v>0.81136959791183472</v>
      </c>
    </row>
    <row r="15194" spans="2:6">
      <c r="B15194">
        <v>2014</v>
      </c>
      <c r="C15194" t="s">
        <v>163</v>
      </c>
      <c r="D15194" t="s">
        <v>182</v>
      </c>
      <c r="E15194" t="s">
        <v>15</v>
      </c>
      <c r="F15194">
        <v>0.16873843967914581</v>
      </c>
    </row>
    <row r="15195" spans="2:6">
      <c r="B15195">
        <v>2015</v>
      </c>
      <c r="C15195" t="s">
        <v>163</v>
      </c>
      <c r="D15195" t="s">
        <v>182</v>
      </c>
      <c r="E15195" t="s">
        <v>7</v>
      </c>
      <c r="F15195">
        <v>6.2017626762390137</v>
      </c>
    </row>
    <row r="15196" spans="2:6">
      <c r="B15196">
        <v>2015</v>
      </c>
      <c r="C15196" t="s">
        <v>163</v>
      </c>
      <c r="D15196" t="s">
        <v>182</v>
      </c>
      <c r="E15196" t="s">
        <v>8</v>
      </c>
      <c r="F15196">
        <v>9.6990146636962891</v>
      </c>
    </row>
    <row r="15197" spans="2:6">
      <c r="B15197">
        <v>2015</v>
      </c>
      <c r="C15197" t="s">
        <v>163</v>
      </c>
      <c r="D15197" t="s">
        <v>182</v>
      </c>
      <c r="E15197" t="s">
        <v>9</v>
      </c>
      <c r="F15197">
        <v>0.86632454395294189</v>
      </c>
    </row>
    <row r="15198" spans="2:6">
      <c r="B15198">
        <v>2015</v>
      </c>
      <c r="C15198" t="s">
        <v>163</v>
      </c>
      <c r="D15198" t="s">
        <v>182</v>
      </c>
      <c r="E15198" t="s">
        <v>10</v>
      </c>
      <c r="F15198">
        <v>66.599998474121094</v>
      </c>
    </row>
    <row r="15199" spans="2:6">
      <c r="B15199">
        <v>2015</v>
      </c>
      <c r="C15199" t="s">
        <v>163</v>
      </c>
      <c r="D15199" t="s">
        <v>182</v>
      </c>
      <c r="E15199" t="s">
        <v>11</v>
      </c>
      <c r="F15199">
        <v>0.88491654396057129</v>
      </c>
    </row>
    <row r="15200" spans="2:6">
      <c r="B15200">
        <v>2015</v>
      </c>
      <c r="C15200" t="s">
        <v>163</v>
      </c>
      <c r="D15200" t="s">
        <v>182</v>
      </c>
      <c r="E15200" t="s">
        <v>12</v>
      </c>
      <c r="F15200">
        <v>0.31594830751419067</v>
      </c>
    </row>
    <row r="15201" spans="2:6">
      <c r="B15201">
        <v>2015</v>
      </c>
      <c r="C15201" t="s">
        <v>163</v>
      </c>
      <c r="D15201" t="s">
        <v>182</v>
      </c>
      <c r="E15201" t="s">
        <v>13</v>
      </c>
      <c r="F15201">
        <v>0.91365110874176025</v>
      </c>
    </row>
    <row r="15202" spans="2:6">
      <c r="B15202">
        <v>2015</v>
      </c>
      <c r="C15202" t="s">
        <v>163</v>
      </c>
      <c r="D15202" t="s">
        <v>182</v>
      </c>
      <c r="E15202" t="s">
        <v>14</v>
      </c>
      <c r="F15202">
        <v>0.91049695014953613</v>
      </c>
    </row>
    <row r="15203" spans="2:6">
      <c r="B15203">
        <v>2015</v>
      </c>
      <c r="C15203" t="s">
        <v>163</v>
      </c>
      <c r="D15203" t="s">
        <v>182</v>
      </c>
      <c r="E15203" t="s">
        <v>15</v>
      </c>
      <c r="F15203">
        <v>0.17408135533332825</v>
      </c>
    </row>
    <row r="15204" spans="2:6">
      <c r="B15204">
        <v>2016</v>
      </c>
      <c r="C15204" t="s">
        <v>163</v>
      </c>
      <c r="D15204" t="s">
        <v>182</v>
      </c>
      <c r="E15204" t="s">
        <v>7</v>
      </c>
      <c r="F15204">
        <v>6.0736398696899414</v>
      </c>
    </row>
    <row r="15205" spans="2:6">
      <c r="B15205">
        <v>2016</v>
      </c>
      <c r="C15205" t="s">
        <v>163</v>
      </c>
      <c r="D15205" t="s">
        <v>182</v>
      </c>
      <c r="E15205" t="s">
        <v>8</v>
      </c>
      <c r="F15205">
        <v>9.7290010452270508</v>
      </c>
    </row>
    <row r="15206" spans="2:6">
      <c r="B15206">
        <v>2016</v>
      </c>
      <c r="C15206" t="s">
        <v>163</v>
      </c>
      <c r="D15206" t="s">
        <v>182</v>
      </c>
      <c r="E15206" t="s">
        <v>9</v>
      </c>
      <c r="F15206">
        <v>0.90754365921020508</v>
      </c>
    </row>
    <row r="15207" spans="2:6">
      <c r="B15207">
        <v>2016</v>
      </c>
      <c r="C15207" t="s">
        <v>163</v>
      </c>
      <c r="D15207" t="s">
        <v>182</v>
      </c>
      <c r="E15207" t="s">
        <v>10</v>
      </c>
      <c r="F15207">
        <v>66.800003051757813</v>
      </c>
    </row>
    <row r="15208" spans="2:6">
      <c r="B15208">
        <v>2016</v>
      </c>
      <c r="C15208" t="s">
        <v>163</v>
      </c>
      <c r="D15208" t="s">
        <v>182</v>
      </c>
      <c r="E15208" t="s">
        <v>11</v>
      </c>
      <c r="F15208">
        <v>0.92414569854736328</v>
      </c>
    </row>
    <row r="15209" spans="2:6">
      <c r="B15209">
        <v>2016</v>
      </c>
      <c r="C15209" t="s">
        <v>163</v>
      </c>
      <c r="D15209" t="s">
        <v>182</v>
      </c>
      <c r="E15209" t="s">
        <v>12</v>
      </c>
      <c r="F15209">
        <v>0.35571932792663574</v>
      </c>
    </row>
    <row r="15210" spans="2:6">
      <c r="B15210">
        <v>2016</v>
      </c>
      <c r="C15210" t="s">
        <v>163</v>
      </c>
      <c r="D15210" t="s">
        <v>182</v>
      </c>
      <c r="E15210" t="s">
        <v>13</v>
      </c>
      <c r="F15210">
        <v>0.87797838449478149</v>
      </c>
    </row>
    <row r="15211" spans="2:6">
      <c r="B15211">
        <v>2016</v>
      </c>
      <c r="C15211" t="s">
        <v>163</v>
      </c>
      <c r="D15211" t="s">
        <v>182</v>
      </c>
      <c r="E15211" t="s">
        <v>14</v>
      </c>
      <c r="F15211">
        <v>0.83475834131240845</v>
      </c>
    </row>
    <row r="15212" spans="2:6">
      <c r="B15212">
        <v>2016</v>
      </c>
      <c r="C15212" t="s">
        <v>163</v>
      </c>
      <c r="D15212" t="s">
        <v>182</v>
      </c>
      <c r="E15212" t="s">
        <v>15</v>
      </c>
      <c r="F15212">
        <v>0.21787966787815094</v>
      </c>
    </row>
    <row r="15213" spans="2:6">
      <c r="B15213">
        <v>2017</v>
      </c>
      <c r="C15213" t="s">
        <v>163</v>
      </c>
      <c r="D15213" t="s">
        <v>182</v>
      </c>
      <c r="E15213" t="s">
        <v>7</v>
      </c>
      <c r="F15213">
        <v>5.9388952255249023</v>
      </c>
    </row>
    <row r="15214" spans="2:6">
      <c r="B15214">
        <v>2017</v>
      </c>
      <c r="C15214" t="s">
        <v>163</v>
      </c>
      <c r="D15214" t="s">
        <v>182</v>
      </c>
      <c r="E15214" t="s">
        <v>8</v>
      </c>
      <c r="F15214">
        <v>9.765406608581543</v>
      </c>
    </row>
    <row r="15215" spans="2:6">
      <c r="B15215">
        <v>2017</v>
      </c>
      <c r="C15215" t="s">
        <v>163</v>
      </c>
      <c r="D15215" t="s">
        <v>182</v>
      </c>
      <c r="E15215" t="s">
        <v>9</v>
      </c>
      <c r="F15215">
        <v>0.87726873159408569</v>
      </c>
    </row>
    <row r="15216" spans="2:6">
      <c r="B15216">
        <v>2017</v>
      </c>
      <c r="C15216" t="s">
        <v>163</v>
      </c>
      <c r="D15216" t="s">
        <v>182</v>
      </c>
      <c r="E15216" t="s">
        <v>10</v>
      </c>
      <c r="F15216">
        <v>67</v>
      </c>
    </row>
    <row r="15217" spans="2:6">
      <c r="B15217">
        <v>2017</v>
      </c>
      <c r="C15217" t="s">
        <v>163</v>
      </c>
      <c r="D15217" t="s">
        <v>182</v>
      </c>
      <c r="E15217" t="s">
        <v>11</v>
      </c>
      <c r="F15217">
        <v>0.92289680242538452</v>
      </c>
    </row>
    <row r="15218" spans="2:6">
      <c r="B15218">
        <v>2017</v>
      </c>
      <c r="C15218" t="s">
        <v>163</v>
      </c>
      <c r="D15218" t="s">
        <v>182</v>
      </c>
      <c r="E15218" t="s">
        <v>12</v>
      </c>
      <c r="F15218">
        <v>0.21249125897884369</v>
      </c>
    </row>
    <row r="15219" spans="2:6">
      <c r="B15219">
        <v>2017</v>
      </c>
      <c r="C15219" t="s">
        <v>163</v>
      </c>
      <c r="D15219" t="s">
        <v>182</v>
      </c>
      <c r="E15219" t="s">
        <v>13</v>
      </c>
      <c r="F15219">
        <v>0.88381677865982056</v>
      </c>
    </row>
    <row r="15220" spans="2:6">
      <c r="B15220">
        <v>2017</v>
      </c>
      <c r="C15220" t="s">
        <v>163</v>
      </c>
      <c r="D15220" t="s">
        <v>182</v>
      </c>
      <c r="E15220" t="s">
        <v>14</v>
      </c>
      <c r="F15220">
        <v>0.81632179021835327</v>
      </c>
    </row>
    <row r="15221" spans="2:6">
      <c r="B15221">
        <v>2017</v>
      </c>
      <c r="C15221" t="s">
        <v>163</v>
      </c>
      <c r="D15221" t="s">
        <v>182</v>
      </c>
      <c r="E15221" t="s">
        <v>15</v>
      </c>
      <c r="F15221">
        <v>0.23159761726856232</v>
      </c>
    </row>
    <row r="15222" spans="2:6">
      <c r="B15222">
        <v>2018</v>
      </c>
      <c r="C15222" t="s">
        <v>163</v>
      </c>
      <c r="D15222" t="s">
        <v>182</v>
      </c>
      <c r="E15222" t="s">
        <v>7</v>
      </c>
      <c r="F15222">
        <v>6.0115618705749512</v>
      </c>
    </row>
    <row r="15223" spans="2:6">
      <c r="B15223">
        <v>2018</v>
      </c>
      <c r="C15223" t="s">
        <v>163</v>
      </c>
      <c r="D15223" t="s">
        <v>182</v>
      </c>
      <c r="E15223" t="s">
        <v>8</v>
      </c>
      <c r="F15223">
        <v>9.8029212951660156</v>
      </c>
    </row>
    <row r="15224" spans="2:6">
      <c r="B15224">
        <v>2018</v>
      </c>
      <c r="C15224" t="s">
        <v>163</v>
      </c>
      <c r="D15224" t="s">
        <v>182</v>
      </c>
      <c r="E15224" t="s">
        <v>9</v>
      </c>
      <c r="F15224">
        <v>0.87305241823196411</v>
      </c>
    </row>
    <row r="15225" spans="2:6">
      <c r="B15225">
        <v>2018</v>
      </c>
      <c r="C15225" t="s">
        <v>163</v>
      </c>
      <c r="D15225" t="s">
        <v>182</v>
      </c>
      <c r="E15225" t="s">
        <v>10</v>
      </c>
      <c r="F15225">
        <v>67.199996948242188</v>
      </c>
    </row>
    <row r="15226" spans="2:6">
      <c r="B15226">
        <v>2018</v>
      </c>
      <c r="C15226" t="s">
        <v>163</v>
      </c>
      <c r="D15226" t="s">
        <v>182</v>
      </c>
      <c r="E15226" t="s">
        <v>11</v>
      </c>
      <c r="F15226">
        <v>0.90482825040817261</v>
      </c>
    </row>
    <row r="15227" spans="2:6">
      <c r="B15227">
        <v>2018</v>
      </c>
      <c r="C15227" t="s">
        <v>163</v>
      </c>
      <c r="D15227" t="s">
        <v>182</v>
      </c>
      <c r="E15227" t="s">
        <v>12</v>
      </c>
      <c r="F15227">
        <v>0.25884434580802917</v>
      </c>
    </row>
    <row r="15228" spans="2:6">
      <c r="B15228">
        <v>2018</v>
      </c>
      <c r="C15228" t="s">
        <v>163</v>
      </c>
      <c r="D15228" t="s">
        <v>182</v>
      </c>
      <c r="E15228" t="s">
        <v>13</v>
      </c>
      <c r="F15228">
        <v>0.90659600496292114</v>
      </c>
    </row>
    <row r="15229" spans="2:6">
      <c r="B15229">
        <v>2018</v>
      </c>
      <c r="C15229" t="s">
        <v>163</v>
      </c>
      <c r="D15229" t="s">
        <v>182</v>
      </c>
      <c r="E15229" t="s">
        <v>14</v>
      </c>
      <c r="F15229">
        <v>0.84348940849304199</v>
      </c>
    </row>
    <row r="15230" spans="2:6">
      <c r="B15230">
        <v>2018</v>
      </c>
      <c r="C15230" t="s">
        <v>163</v>
      </c>
      <c r="D15230" t="s">
        <v>182</v>
      </c>
      <c r="E15230" t="s">
        <v>15</v>
      </c>
      <c r="F15230">
        <v>0.19819021224975586</v>
      </c>
    </row>
    <row r="15231" spans="2:6">
      <c r="B15231">
        <v>2019</v>
      </c>
      <c r="C15231" t="s">
        <v>163</v>
      </c>
      <c r="D15231" t="s">
        <v>182</v>
      </c>
      <c r="E15231" t="s">
        <v>7</v>
      </c>
      <c r="F15231">
        <v>6.0221514701843262</v>
      </c>
    </row>
    <row r="15232" spans="2:6">
      <c r="B15232">
        <v>2019</v>
      </c>
      <c r="C15232" t="s">
        <v>163</v>
      </c>
      <c r="D15232" t="s">
        <v>182</v>
      </c>
      <c r="E15232" t="s">
        <v>8</v>
      </c>
      <c r="F15232">
        <v>9.8235292434692383</v>
      </c>
    </row>
    <row r="15233" spans="2:6">
      <c r="B15233">
        <v>2019</v>
      </c>
      <c r="C15233" t="s">
        <v>163</v>
      </c>
      <c r="D15233" t="s">
        <v>182</v>
      </c>
      <c r="E15233" t="s">
        <v>9</v>
      </c>
      <c r="F15233">
        <v>0.90305101871490479</v>
      </c>
    </row>
    <row r="15234" spans="2:6">
      <c r="B15234">
        <v>2019</v>
      </c>
      <c r="C15234" t="s">
        <v>163</v>
      </c>
      <c r="D15234" t="s">
        <v>182</v>
      </c>
      <c r="E15234" t="s">
        <v>10</v>
      </c>
      <c r="F15234">
        <v>67.400001525878906</v>
      </c>
    </row>
    <row r="15235" spans="2:6">
      <c r="B15235">
        <v>2019</v>
      </c>
      <c r="C15235" t="s">
        <v>163</v>
      </c>
      <c r="D15235" t="s">
        <v>182</v>
      </c>
      <c r="E15235" t="s">
        <v>11</v>
      </c>
      <c r="F15235">
        <v>0.89824461936950684</v>
      </c>
    </row>
    <row r="15236" spans="2:6">
      <c r="B15236">
        <v>2019</v>
      </c>
      <c r="C15236" t="s">
        <v>163</v>
      </c>
      <c r="D15236" t="s">
        <v>182</v>
      </c>
      <c r="E15236" t="s">
        <v>12</v>
      </c>
      <c r="F15236">
        <v>0.30883023142814636</v>
      </c>
    </row>
    <row r="15237" spans="2:6">
      <c r="B15237">
        <v>2019</v>
      </c>
      <c r="C15237" t="s">
        <v>163</v>
      </c>
      <c r="D15237" t="s">
        <v>182</v>
      </c>
      <c r="E15237" t="s">
        <v>13</v>
      </c>
      <c r="F15237">
        <v>0.87703979015350342</v>
      </c>
    </row>
    <row r="15238" spans="2:6">
      <c r="B15238">
        <v>2019</v>
      </c>
      <c r="C15238" t="s">
        <v>163</v>
      </c>
      <c r="D15238" t="s">
        <v>182</v>
      </c>
      <c r="E15238" t="s">
        <v>14</v>
      </c>
      <c r="F15238">
        <v>0.84287309646606445</v>
      </c>
    </row>
    <row r="15239" spans="2:6">
      <c r="B15239">
        <v>2019</v>
      </c>
      <c r="C15239" t="s">
        <v>163</v>
      </c>
      <c r="D15239" t="s">
        <v>182</v>
      </c>
      <c r="E15239" t="s">
        <v>15</v>
      </c>
      <c r="F15239">
        <v>0.20818360149860382</v>
      </c>
    </row>
    <row r="15240" spans="2:6">
      <c r="B15240">
        <v>2020</v>
      </c>
      <c r="C15240" t="s">
        <v>163</v>
      </c>
      <c r="D15240" t="s">
        <v>182</v>
      </c>
      <c r="E15240" t="s">
        <v>7</v>
      </c>
      <c r="F15240">
        <v>5.8845443725585938</v>
      </c>
    </row>
    <row r="15241" spans="2:6">
      <c r="B15241">
        <v>2020</v>
      </c>
      <c r="C15241" t="s">
        <v>163</v>
      </c>
      <c r="D15241" t="s">
        <v>182</v>
      </c>
      <c r="E15241" t="s">
        <v>8</v>
      </c>
      <c r="F15241">
        <v>9.7692432403564453</v>
      </c>
    </row>
    <row r="15242" spans="2:6">
      <c r="B15242">
        <v>2020</v>
      </c>
      <c r="C15242" t="s">
        <v>163</v>
      </c>
      <c r="D15242" t="s">
        <v>182</v>
      </c>
      <c r="E15242" t="s">
        <v>9</v>
      </c>
      <c r="F15242">
        <v>0.8667026162147522</v>
      </c>
    </row>
    <row r="15243" spans="2:6">
      <c r="B15243">
        <v>2020</v>
      </c>
      <c r="C15243" t="s">
        <v>163</v>
      </c>
      <c r="D15243" t="s">
        <v>182</v>
      </c>
      <c r="E15243" t="s">
        <v>10</v>
      </c>
      <c r="F15243">
        <v>67.599998474121094</v>
      </c>
    </row>
    <row r="15244" spans="2:6">
      <c r="B15244">
        <v>2020</v>
      </c>
      <c r="C15244" t="s">
        <v>163</v>
      </c>
      <c r="D15244" t="s">
        <v>182</v>
      </c>
      <c r="E15244" t="s">
        <v>11</v>
      </c>
      <c r="F15244">
        <v>0.84046328067779541</v>
      </c>
    </row>
    <row r="15245" spans="2:6">
      <c r="B15245">
        <v>2020</v>
      </c>
      <c r="C15245" t="s">
        <v>163</v>
      </c>
      <c r="D15245" t="s">
        <v>182</v>
      </c>
      <c r="E15245" t="s">
        <v>12</v>
      </c>
      <c r="F15245">
        <v>0.27305558323860168</v>
      </c>
    </row>
    <row r="15246" spans="2:6">
      <c r="B15246">
        <v>2020</v>
      </c>
      <c r="C15246" t="s">
        <v>163</v>
      </c>
      <c r="D15246" t="s">
        <v>182</v>
      </c>
      <c r="E15246" t="s">
        <v>13</v>
      </c>
      <c r="F15246">
        <v>0.91834002733230591</v>
      </c>
    </row>
    <row r="15247" spans="2:6">
      <c r="B15247">
        <v>2020</v>
      </c>
      <c r="C15247" t="s">
        <v>163</v>
      </c>
      <c r="D15247" t="s">
        <v>182</v>
      </c>
      <c r="E15247" t="s">
        <v>14</v>
      </c>
      <c r="F15247">
        <v>0.78326988220214844</v>
      </c>
    </row>
    <row r="15248" spans="2:6">
      <c r="B15248">
        <v>2020</v>
      </c>
      <c r="C15248" t="s">
        <v>163</v>
      </c>
      <c r="D15248" t="s">
        <v>182</v>
      </c>
      <c r="E15248" t="s">
        <v>15</v>
      </c>
      <c r="F15248">
        <v>0.32616856694221497</v>
      </c>
    </row>
    <row r="15249" spans="2:6">
      <c r="B15249">
        <v>2006</v>
      </c>
      <c r="C15249" t="s">
        <v>164</v>
      </c>
      <c r="D15249" t="s">
        <v>184</v>
      </c>
      <c r="E15249" t="s">
        <v>7</v>
      </c>
      <c r="F15249">
        <v>3.2024292945861816</v>
      </c>
    </row>
    <row r="15250" spans="2:6">
      <c r="B15250">
        <v>2006</v>
      </c>
      <c r="C15250" t="s">
        <v>164</v>
      </c>
      <c r="D15250" t="s">
        <v>184</v>
      </c>
      <c r="E15250" t="s">
        <v>8</v>
      </c>
      <c r="F15250">
        <v>7.077817440032959</v>
      </c>
    </row>
    <row r="15251" spans="2:6">
      <c r="B15251">
        <v>2006</v>
      </c>
      <c r="C15251" t="s">
        <v>164</v>
      </c>
      <c r="D15251" t="s">
        <v>184</v>
      </c>
      <c r="E15251" t="s">
        <v>9</v>
      </c>
      <c r="F15251">
        <v>0.43541356921195984</v>
      </c>
    </row>
    <row r="15252" spans="2:6">
      <c r="B15252">
        <v>2006</v>
      </c>
      <c r="C15252" t="s">
        <v>164</v>
      </c>
      <c r="D15252" t="s">
        <v>184</v>
      </c>
      <c r="E15252" t="s">
        <v>10</v>
      </c>
      <c r="F15252">
        <v>49.259998321533203</v>
      </c>
    </row>
    <row r="15253" spans="2:6">
      <c r="B15253">
        <v>2006</v>
      </c>
      <c r="C15253" t="s">
        <v>164</v>
      </c>
      <c r="D15253" t="s">
        <v>184</v>
      </c>
      <c r="E15253" t="s">
        <v>11</v>
      </c>
      <c r="F15253">
        <v>0.62822848558425903</v>
      </c>
    </row>
    <row r="15254" spans="2:6">
      <c r="B15254">
        <v>2006</v>
      </c>
      <c r="C15254" t="s">
        <v>164</v>
      </c>
      <c r="D15254" t="s">
        <v>184</v>
      </c>
      <c r="E15254" t="s">
        <v>12</v>
      </c>
      <c r="F15254">
        <v>-6.546494085341692E-3</v>
      </c>
    </row>
    <row r="15255" spans="2:6">
      <c r="B15255">
        <v>2006</v>
      </c>
      <c r="C15255" t="s">
        <v>164</v>
      </c>
      <c r="D15255" t="s">
        <v>184</v>
      </c>
      <c r="E15255" t="s">
        <v>13</v>
      </c>
      <c r="F15255">
        <v>0.84997165203094482</v>
      </c>
    </row>
    <row r="15256" spans="2:6">
      <c r="B15256">
        <v>2006</v>
      </c>
      <c r="C15256" t="s">
        <v>164</v>
      </c>
      <c r="D15256" t="s">
        <v>184</v>
      </c>
      <c r="E15256" t="s">
        <v>14</v>
      </c>
      <c r="F15256">
        <v>0.61452043056488037</v>
      </c>
    </row>
    <row r="15257" spans="2:6">
      <c r="B15257">
        <v>2006</v>
      </c>
      <c r="C15257" t="s">
        <v>164</v>
      </c>
      <c r="D15257" t="s">
        <v>184</v>
      </c>
      <c r="E15257" t="s">
        <v>15</v>
      </c>
      <c r="F15257">
        <v>0.34820455312728882</v>
      </c>
    </row>
    <row r="15258" spans="2:6">
      <c r="B15258">
        <v>2008</v>
      </c>
      <c r="C15258" t="s">
        <v>164</v>
      </c>
      <c r="D15258" t="s">
        <v>184</v>
      </c>
      <c r="E15258" t="s">
        <v>7</v>
      </c>
      <c r="F15258">
        <v>2.8078551292419434</v>
      </c>
    </row>
    <row r="15259" spans="2:6">
      <c r="B15259">
        <v>2008</v>
      </c>
      <c r="C15259" t="s">
        <v>164</v>
      </c>
      <c r="D15259" t="s">
        <v>184</v>
      </c>
      <c r="E15259" t="s">
        <v>8</v>
      </c>
      <c r="F15259">
        <v>7.0516862869262695</v>
      </c>
    </row>
    <row r="15260" spans="2:6">
      <c r="B15260">
        <v>2008</v>
      </c>
      <c r="C15260" t="s">
        <v>164</v>
      </c>
      <c r="D15260" t="s">
        <v>184</v>
      </c>
      <c r="E15260" t="s">
        <v>9</v>
      </c>
      <c r="F15260">
        <v>0.29133367538452148</v>
      </c>
    </row>
    <row r="15261" spans="2:6">
      <c r="B15261">
        <v>2008</v>
      </c>
      <c r="C15261" t="s">
        <v>164</v>
      </c>
      <c r="D15261" t="s">
        <v>184</v>
      </c>
      <c r="E15261" t="s">
        <v>10</v>
      </c>
      <c r="F15261">
        <v>50.180000305175781</v>
      </c>
    </row>
    <row r="15262" spans="2:6">
      <c r="B15262">
        <v>2008</v>
      </c>
      <c r="C15262" t="s">
        <v>164</v>
      </c>
      <c r="D15262" t="s">
        <v>184</v>
      </c>
      <c r="E15262" t="s">
        <v>11</v>
      </c>
      <c r="F15262">
        <v>0.28681439161300659</v>
      </c>
    </row>
    <row r="15263" spans="2:6">
      <c r="B15263">
        <v>2008</v>
      </c>
      <c r="C15263" t="s">
        <v>164</v>
      </c>
      <c r="D15263" t="s">
        <v>184</v>
      </c>
      <c r="E15263" t="s">
        <v>12</v>
      </c>
      <c r="F15263">
        <v>-5.4630149155855179E-2</v>
      </c>
    </row>
    <row r="15264" spans="2:6">
      <c r="B15264">
        <v>2008</v>
      </c>
      <c r="C15264" t="s">
        <v>164</v>
      </c>
      <c r="D15264" t="s">
        <v>184</v>
      </c>
      <c r="E15264" t="s">
        <v>13</v>
      </c>
      <c r="F15264">
        <v>0.93198621273040771</v>
      </c>
    </row>
    <row r="15265" spans="2:6">
      <c r="B15265">
        <v>2008</v>
      </c>
      <c r="C15265" t="s">
        <v>164</v>
      </c>
      <c r="D15265" t="s">
        <v>184</v>
      </c>
      <c r="E15265" t="s">
        <v>14</v>
      </c>
      <c r="F15265">
        <v>0.36249768733978271</v>
      </c>
    </row>
    <row r="15266" spans="2:6">
      <c r="B15266">
        <v>2008</v>
      </c>
      <c r="C15266" t="s">
        <v>164</v>
      </c>
      <c r="D15266" t="s">
        <v>184</v>
      </c>
      <c r="E15266" t="s">
        <v>15</v>
      </c>
      <c r="F15266">
        <v>0.37871459126472473</v>
      </c>
    </row>
    <row r="15267" spans="2:6">
      <c r="B15267">
        <v>2011</v>
      </c>
      <c r="C15267" t="s">
        <v>164</v>
      </c>
      <c r="D15267" t="s">
        <v>184</v>
      </c>
      <c r="E15267" t="s">
        <v>7</v>
      </c>
      <c r="F15267">
        <v>2.9362208843231201</v>
      </c>
    </row>
    <row r="15268" spans="2:6">
      <c r="B15268">
        <v>2011</v>
      </c>
      <c r="C15268" t="s">
        <v>164</v>
      </c>
      <c r="D15268" t="s">
        <v>184</v>
      </c>
      <c r="E15268" t="s">
        <v>8</v>
      </c>
      <c r="F15268">
        <v>7.1459217071533203</v>
      </c>
    </row>
    <row r="15269" spans="2:6">
      <c r="B15269">
        <v>2011</v>
      </c>
      <c r="C15269" t="s">
        <v>164</v>
      </c>
      <c r="D15269" t="s">
        <v>184</v>
      </c>
      <c r="E15269" t="s">
        <v>9</v>
      </c>
      <c r="F15269">
        <v>0.30295509099960327</v>
      </c>
    </row>
    <row r="15270" spans="2:6">
      <c r="B15270">
        <v>2011</v>
      </c>
      <c r="C15270" t="s">
        <v>164</v>
      </c>
      <c r="D15270" t="s">
        <v>184</v>
      </c>
      <c r="E15270" t="s">
        <v>10</v>
      </c>
      <c r="F15270">
        <v>51.580001831054688</v>
      </c>
    </row>
    <row r="15271" spans="2:6">
      <c r="B15271">
        <v>2011</v>
      </c>
      <c r="C15271" t="s">
        <v>164</v>
      </c>
      <c r="D15271" t="s">
        <v>184</v>
      </c>
      <c r="E15271" t="s">
        <v>11</v>
      </c>
      <c r="F15271">
        <v>0.58408832550048828</v>
      </c>
    </row>
    <row r="15272" spans="2:6">
      <c r="B15272">
        <v>2011</v>
      </c>
      <c r="C15272" t="s">
        <v>164</v>
      </c>
      <c r="D15272" t="s">
        <v>184</v>
      </c>
      <c r="E15272" t="s">
        <v>12</v>
      </c>
      <c r="F15272">
        <v>-6.9823205471038818E-2</v>
      </c>
    </row>
    <row r="15273" spans="2:6">
      <c r="B15273">
        <v>2011</v>
      </c>
      <c r="C15273" t="s">
        <v>164</v>
      </c>
      <c r="D15273" t="s">
        <v>184</v>
      </c>
      <c r="E15273" t="s">
        <v>13</v>
      </c>
      <c r="F15273">
        <v>0.83200365304946899</v>
      </c>
    </row>
    <row r="15274" spans="2:6">
      <c r="B15274">
        <v>2011</v>
      </c>
      <c r="C15274" t="s">
        <v>164</v>
      </c>
      <c r="D15274" t="s">
        <v>184</v>
      </c>
      <c r="E15274" t="s">
        <v>14</v>
      </c>
      <c r="F15274">
        <v>0.48028057813644409</v>
      </c>
    </row>
    <row r="15275" spans="2:6">
      <c r="B15275">
        <v>2011</v>
      </c>
      <c r="C15275" t="s">
        <v>164</v>
      </c>
      <c r="D15275" t="s">
        <v>184</v>
      </c>
      <c r="E15275" t="s">
        <v>15</v>
      </c>
      <c r="F15275">
        <v>0.39536261558532715</v>
      </c>
    </row>
    <row r="15276" spans="2:6">
      <c r="B15276">
        <v>2014</v>
      </c>
      <c r="C15276" t="s">
        <v>164</v>
      </c>
      <c r="D15276" t="s">
        <v>184</v>
      </c>
      <c r="E15276" t="s">
        <v>7</v>
      </c>
      <c r="F15276">
        <v>2.838958740234375</v>
      </c>
    </row>
    <row r="15277" spans="2:6">
      <c r="B15277">
        <v>2014</v>
      </c>
      <c r="C15277" t="s">
        <v>164</v>
      </c>
      <c r="D15277" t="s">
        <v>184</v>
      </c>
      <c r="E15277" t="s">
        <v>8</v>
      </c>
      <c r="F15277">
        <v>7.2471752166748047</v>
      </c>
    </row>
    <row r="15278" spans="2:6">
      <c r="B15278">
        <v>2014</v>
      </c>
      <c r="C15278" t="s">
        <v>164</v>
      </c>
      <c r="D15278" t="s">
        <v>184</v>
      </c>
      <c r="E15278" t="s">
        <v>9</v>
      </c>
      <c r="F15278">
        <v>0.44433900713920593</v>
      </c>
    </row>
    <row r="15279" spans="2:6">
      <c r="B15279">
        <v>2014</v>
      </c>
      <c r="C15279" t="s">
        <v>164</v>
      </c>
      <c r="D15279" t="s">
        <v>184</v>
      </c>
      <c r="E15279" t="s">
        <v>10</v>
      </c>
      <c r="F15279">
        <v>53.020000457763672</v>
      </c>
    </row>
    <row r="15280" spans="2:6">
      <c r="B15280">
        <v>2014</v>
      </c>
      <c r="C15280" t="s">
        <v>164</v>
      </c>
      <c r="D15280" t="s">
        <v>184</v>
      </c>
      <c r="E15280" t="s">
        <v>11</v>
      </c>
      <c r="F15280">
        <v>0.6631932258605957</v>
      </c>
    </row>
    <row r="15281" spans="2:6">
      <c r="B15281">
        <v>2014</v>
      </c>
      <c r="C15281" t="s">
        <v>164</v>
      </c>
      <c r="D15281" t="s">
        <v>184</v>
      </c>
      <c r="E15281" t="s">
        <v>12</v>
      </c>
      <c r="F15281">
        <v>-8.4710009396076202E-2</v>
      </c>
    </row>
    <row r="15282" spans="2:6">
      <c r="B15282">
        <v>2014</v>
      </c>
      <c r="C15282" t="s">
        <v>164</v>
      </c>
      <c r="D15282" t="s">
        <v>184</v>
      </c>
      <c r="E15282" t="s">
        <v>13</v>
      </c>
      <c r="F15282">
        <v>0.79534178972244263</v>
      </c>
    </row>
    <row r="15283" spans="2:6">
      <c r="B15283">
        <v>2014</v>
      </c>
      <c r="C15283" t="s">
        <v>164</v>
      </c>
      <c r="D15283" t="s">
        <v>184</v>
      </c>
      <c r="E15283" t="s">
        <v>14</v>
      </c>
      <c r="F15283">
        <v>0.58274984359741211</v>
      </c>
    </row>
    <row r="15284" spans="2:6">
      <c r="B15284">
        <v>2014</v>
      </c>
      <c r="C15284" t="s">
        <v>164</v>
      </c>
      <c r="D15284" t="s">
        <v>184</v>
      </c>
      <c r="E15284" t="s">
        <v>15</v>
      </c>
      <c r="F15284">
        <v>0.44281318783760071</v>
      </c>
    </row>
    <row r="15285" spans="2:6">
      <c r="B15285">
        <v>2015</v>
      </c>
      <c r="C15285" t="s">
        <v>164</v>
      </c>
      <c r="D15285" t="s">
        <v>184</v>
      </c>
      <c r="E15285" t="s">
        <v>7</v>
      </c>
      <c r="F15285">
        <v>3.7683019638061523</v>
      </c>
    </row>
    <row r="15286" spans="2:6">
      <c r="B15286">
        <v>2015</v>
      </c>
      <c r="C15286" t="s">
        <v>164</v>
      </c>
      <c r="D15286" t="s">
        <v>184</v>
      </c>
      <c r="E15286" t="s">
        <v>8</v>
      </c>
      <c r="F15286">
        <v>7.2774057388305664</v>
      </c>
    </row>
    <row r="15287" spans="2:6">
      <c r="B15287">
        <v>2015</v>
      </c>
      <c r="C15287" t="s">
        <v>164</v>
      </c>
      <c r="D15287" t="s">
        <v>184</v>
      </c>
      <c r="E15287" t="s">
        <v>9</v>
      </c>
      <c r="F15287">
        <v>0.47859340906143188</v>
      </c>
    </row>
    <row r="15288" spans="2:6">
      <c r="B15288">
        <v>2015</v>
      </c>
      <c r="C15288" t="s">
        <v>164</v>
      </c>
      <c r="D15288" t="s">
        <v>184</v>
      </c>
      <c r="E15288" t="s">
        <v>10</v>
      </c>
      <c r="F15288">
        <v>53.5</v>
      </c>
    </row>
    <row r="15289" spans="2:6">
      <c r="B15289">
        <v>2015</v>
      </c>
      <c r="C15289" t="s">
        <v>164</v>
      </c>
      <c r="D15289" t="s">
        <v>184</v>
      </c>
      <c r="E15289" t="s">
        <v>11</v>
      </c>
      <c r="F15289">
        <v>0.77157723903656006</v>
      </c>
    </row>
    <row r="15290" spans="2:6">
      <c r="B15290">
        <v>2015</v>
      </c>
      <c r="C15290" t="s">
        <v>164</v>
      </c>
      <c r="D15290" t="s">
        <v>184</v>
      </c>
      <c r="E15290" t="s">
        <v>12</v>
      </c>
      <c r="F15290">
        <v>-6.8681947886943817E-2</v>
      </c>
    </row>
    <row r="15291" spans="2:6">
      <c r="B15291">
        <v>2015</v>
      </c>
      <c r="C15291" t="s">
        <v>164</v>
      </c>
      <c r="D15291" t="s">
        <v>184</v>
      </c>
      <c r="E15291" t="s">
        <v>13</v>
      </c>
      <c r="F15291">
        <v>0.73326176404953003</v>
      </c>
    </row>
    <row r="15292" spans="2:6">
      <c r="B15292">
        <v>2015</v>
      </c>
      <c r="C15292" t="s">
        <v>164</v>
      </c>
      <c r="D15292" t="s">
        <v>184</v>
      </c>
      <c r="E15292" t="s">
        <v>14</v>
      </c>
      <c r="F15292">
        <v>0.59880495071411133</v>
      </c>
    </row>
    <row r="15293" spans="2:6">
      <c r="B15293">
        <v>2015</v>
      </c>
      <c r="C15293" t="s">
        <v>164</v>
      </c>
      <c r="D15293" t="s">
        <v>184</v>
      </c>
      <c r="E15293" t="s">
        <v>15</v>
      </c>
      <c r="F15293">
        <v>0.41578072309494019</v>
      </c>
    </row>
    <row r="15294" spans="2:6">
      <c r="B15294">
        <v>2016</v>
      </c>
      <c r="C15294" t="s">
        <v>164</v>
      </c>
      <c r="D15294" t="s">
        <v>184</v>
      </c>
      <c r="E15294" t="s">
        <v>7</v>
      </c>
      <c r="F15294">
        <v>3.8785784244537354</v>
      </c>
    </row>
    <row r="15295" spans="2:6">
      <c r="B15295">
        <v>2016</v>
      </c>
      <c r="C15295" t="s">
        <v>164</v>
      </c>
      <c r="D15295" t="s">
        <v>184</v>
      </c>
      <c r="E15295" t="s">
        <v>8</v>
      </c>
      <c r="F15295">
        <v>7.3063192367553711</v>
      </c>
    </row>
    <row r="15296" spans="2:6">
      <c r="B15296">
        <v>2016</v>
      </c>
      <c r="C15296" t="s">
        <v>164</v>
      </c>
      <c r="D15296" t="s">
        <v>184</v>
      </c>
      <c r="E15296" t="s">
        <v>9</v>
      </c>
      <c r="F15296">
        <v>0.50944095849990845</v>
      </c>
    </row>
    <row r="15297" spans="2:6">
      <c r="B15297">
        <v>2016</v>
      </c>
      <c r="C15297" t="s">
        <v>164</v>
      </c>
      <c r="D15297" t="s">
        <v>184</v>
      </c>
      <c r="E15297" t="s">
        <v>10</v>
      </c>
      <c r="F15297">
        <v>53.900001525878906</v>
      </c>
    </row>
    <row r="15298" spans="2:6">
      <c r="B15298">
        <v>2016</v>
      </c>
      <c r="C15298" t="s">
        <v>164</v>
      </c>
      <c r="D15298" t="s">
        <v>184</v>
      </c>
      <c r="E15298" t="s">
        <v>11</v>
      </c>
      <c r="F15298">
        <v>0.73028677701950073</v>
      </c>
    </row>
    <row r="15299" spans="2:6">
      <c r="B15299">
        <v>2016</v>
      </c>
      <c r="C15299" t="s">
        <v>164</v>
      </c>
      <c r="D15299" t="s">
        <v>184</v>
      </c>
      <c r="E15299" t="s">
        <v>12</v>
      </c>
      <c r="F15299">
        <v>-6.935871671885252E-3</v>
      </c>
    </row>
    <row r="15300" spans="2:6">
      <c r="B15300">
        <v>2016</v>
      </c>
      <c r="C15300" t="s">
        <v>164</v>
      </c>
      <c r="D15300" t="s">
        <v>184</v>
      </c>
      <c r="E15300" t="s">
        <v>13</v>
      </c>
      <c r="F15300">
        <v>0.81504416465759277</v>
      </c>
    </row>
    <row r="15301" spans="2:6">
      <c r="B15301">
        <v>2016</v>
      </c>
      <c r="C15301" t="s">
        <v>164</v>
      </c>
      <c r="D15301" t="s">
        <v>184</v>
      </c>
      <c r="E15301" t="s">
        <v>14</v>
      </c>
      <c r="F15301">
        <v>0.6042441725730896</v>
      </c>
    </row>
    <row r="15302" spans="2:6">
      <c r="B15302">
        <v>2016</v>
      </c>
      <c r="C15302" t="s">
        <v>164</v>
      </c>
      <c r="D15302" t="s">
        <v>184</v>
      </c>
      <c r="E15302" t="s">
        <v>15</v>
      </c>
      <c r="F15302">
        <v>0.48288589715957642</v>
      </c>
    </row>
    <row r="15303" spans="2:6">
      <c r="B15303">
        <v>2017</v>
      </c>
      <c r="C15303" t="s">
        <v>164</v>
      </c>
      <c r="D15303" t="s">
        <v>184</v>
      </c>
      <c r="E15303" t="s">
        <v>7</v>
      </c>
      <c r="F15303">
        <v>4.3608050346374512</v>
      </c>
    </row>
    <row r="15304" spans="2:6">
      <c r="B15304">
        <v>2017</v>
      </c>
      <c r="C15304" t="s">
        <v>164</v>
      </c>
      <c r="D15304" t="s">
        <v>184</v>
      </c>
      <c r="E15304" t="s">
        <v>8</v>
      </c>
      <c r="F15304">
        <v>7.3241772651672363</v>
      </c>
    </row>
    <row r="15305" spans="2:6">
      <c r="B15305">
        <v>2017</v>
      </c>
      <c r="C15305" t="s">
        <v>164</v>
      </c>
      <c r="D15305" t="s">
        <v>184</v>
      </c>
      <c r="E15305" t="s">
        <v>9</v>
      </c>
      <c r="F15305">
        <v>0.5078052282333374</v>
      </c>
    </row>
    <row r="15306" spans="2:6">
      <c r="B15306">
        <v>2017</v>
      </c>
      <c r="C15306" t="s">
        <v>164</v>
      </c>
      <c r="D15306" t="s">
        <v>184</v>
      </c>
      <c r="E15306" t="s">
        <v>10</v>
      </c>
      <c r="F15306">
        <v>54.299999237060547</v>
      </c>
    </row>
    <row r="15307" spans="2:6">
      <c r="B15307">
        <v>2017</v>
      </c>
      <c r="C15307" t="s">
        <v>164</v>
      </c>
      <c r="D15307" t="s">
        <v>184</v>
      </c>
      <c r="E15307" t="s">
        <v>11</v>
      </c>
      <c r="F15307">
        <v>0.7166944146156311</v>
      </c>
    </row>
    <row r="15308" spans="2:6">
      <c r="B15308">
        <v>2017</v>
      </c>
      <c r="C15308" t="s">
        <v>164</v>
      </c>
      <c r="D15308" t="s">
        <v>184</v>
      </c>
      <c r="E15308" t="s">
        <v>12</v>
      </c>
      <c r="F15308">
        <v>-4.2178664356470108E-2</v>
      </c>
    </row>
    <row r="15309" spans="2:6">
      <c r="B15309">
        <v>2017</v>
      </c>
      <c r="C15309" t="s">
        <v>164</v>
      </c>
      <c r="D15309" t="s">
        <v>184</v>
      </c>
      <c r="E15309" t="s">
        <v>13</v>
      </c>
      <c r="F15309">
        <v>0.72551959753036499</v>
      </c>
    </row>
    <row r="15310" spans="2:6">
      <c r="B15310">
        <v>2017</v>
      </c>
      <c r="C15310" t="s">
        <v>164</v>
      </c>
      <c r="D15310" t="s">
        <v>184</v>
      </c>
      <c r="E15310" t="s">
        <v>14</v>
      </c>
      <c r="F15310">
        <v>0.61418896913528442</v>
      </c>
    </row>
    <row r="15311" spans="2:6">
      <c r="B15311">
        <v>2017</v>
      </c>
      <c r="C15311" t="s">
        <v>164</v>
      </c>
      <c r="D15311" t="s">
        <v>184</v>
      </c>
      <c r="E15311" t="s">
        <v>15</v>
      </c>
      <c r="F15311">
        <v>0.42582425475120544</v>
      </c>
    </row>
    <row r="15312" spans="2:6">
      <c r="B15312">
        <v>2018</v>
      </c>
      <c r="C15312" t="s">
        <v>164</v>
      </c>
      <c r="D15312" t="s">
        <v>184</v>
      </c>
      <c r="E15312" t="s">
        <v>7</v>
      </c>
      <c r="F15312">
        <v>4.0228948593139648</v>
      </c>
    </row>
    <row r="15313" spans="2:6">
      <c r="B15313">
        <v>2018</v>
      </c>
      <c r="C15313" t="s">
        <v>164</v>
      </c>
      <c r="D15313" t="s">
        <v>184</v>
      </c>
      <c r="E15313" t="s">
        <v>8</v>
      </c>
      <c r="F15313">
        <v>7.3476524353027344</v>
      </c>
    </row>
    <row r="15314" spans="2:6">
      <c r="B15314">
        <v>2018</v>
      </c>
      <c r="C15314" t="s">
        <v>164</v>
      </c>
      <c r="D15314" t="s">
        <v>184</v>
      </c>
      <c r="E15314" t="s">
        <v>9</v>
      </c>
      <c r="F15314">
        <v>0.59635388851165771</v>
      </c>
    </row>
    <row r="15315" spans="2:6">
      <c r="B15315">
        <v>2018</v>
      </c>
      <c r="C15315" t="s">
        <v>164</v>
      </c>
      <c r="D15315" t="s">
        <v>184</v>
      </c>
      <c r="E15315" t="s">
        <v>10</v>
      </c>
      <c r="F15315">
        <v>54.700000762939453</v>
      </c>
    </row>
    <row r="15316" spans="2:6">
      <c r="B15316">
        <v>2018</v>
      </c>
      <c r="C15316" t="s">
        <v>164</v>
      </c>
      <c r="D15316" t="s">
        <v>184</v>
      </c>
      <c r="E15316" t="s">
        <v>11</v>
      </c>
      <c r="F15316">
        <v>0.61196625232696533</v>
      </c>
    </row>
    <row r="15317" spans="2:6">
      <c r="B15317">
        <v>2018</v>
      </c>
      <c r="C15317" t="s">
        <v>164</v>
      </c>
      <c r="D15317" t="s">
        <v>184</v>
      </c>
      <c r="E15317" t="s">
        <v>12</v>
      </c>
      <c r="F15317">
        <v>-6.8694665096700191E-3</v>
      </c>
    </row>
    <row r="15318" spans="2:6">
      <c r="B15318">
        <v>2018</v>
      </c>
      <c r="C15318" t="s">
        <v>164</v>
      </c>
      <c r="D15318" t="s">
        <v>184</v>
      </c>
      <c r="E15318" t="s">
        <v>13</v>
      </c>
      <c r="F15318">
        <v>0.80853772163391113</v>
      </c>
    </row>
    <row r="15319" spans="2:6">
      <c r="B15319">
        <v>2018</v>
      </c>
      <c r="C15319" t="s">
        <v>164</v>
      </c>
      <c r="D15319" t="s">
        <v>184</v>
      </c>
      <c r="E15319" t="s">
        <v>14</v>
      </c>
      <c r="F15319">
        <v>0.60844862461090088</v>
      </c>
    </row>
    <row r="15320" spans="2:6">
      <c r="B15320">
        <v>2018</v>
      </c>
      <c r="C15320" t="s">
        <v>164</v>
      </c>
      <c r="D15320" t="s">
        <v>184</v>
      </c>
      <c r="E15320" t="s">
        <v>15</v>
      </c>
      <c r="F15320">
        <v>0.44645437598228455</v>
      </c>
    </row>
    <row r="15321" spans="2:6">
      <c r="B15321">
        <v>2019</v>
      </c>
      <c r="C15321" t="s">
        <v>164</v>
      </c>
      <c r="D15321" t="s">
        <v>184</v>
      </c>
      <c r="E15321" t="s">
        <v>7</v>
      </c>
      <c r="F15321">
        <v>4.1794939041137695</v>
      </c>
    </row>
    <row r="15322" spans="2:6">
      <c r="B15322">
        <v>2019</v>
      </c>
      <c r="C15322" t="s">
        <v>164</v>
      </c>
      <c r="D15322" t="s">
        <v>184</v>
      </c>
      <c r="E15322" t="s">
        <v>8</v>
      </c>
      <c r="F15322">
        <v>7.375211238861084</v>
      </c>
    </row>
    <row r="15323" spans="2:6">
      <c r="B15323">
        <v>2019</v>
      </c>
      <c r="C15323" t="s">
        <v>164</v>
      </c>
      <c r="D15323" t="s">
        <v>184</v>
      </c>
      <c r="E15323" t="s">
        <v>9</v>
      </c>
      <c r="F15323">
        <v>0.53870218992233276</v>
      </c>
    </row>
    <row r="15324" spans="2:6">
      <c r="B15324">
        <v>2019</v>
      </c>
      <c r="C15324" t="s">
        <v>164</v>
      </c>
      <c r="D15324" t="s">
        <v>184</v>
      </c>
      <c r="E15324" t="s">
        <v>10</v>
      </c>
      <c r="F15324">
        <v>55.099998474121094</v>
      </c>
    </row>
    <row r="15325" spans="2:6">
      <c r="B15325">
        <v>2019</v>
      </c>
      <c r="C15325" t="s">
        <v>164</v>
      </c>
      <c r="D15325" t="s">
        <v>184</v>
      </c>
      <c r="E15325" t="s">
        <v>11</v>
      </c>
      <c r="F15325">
        <v>0.6174197793006897</v>
      </c>
    </row>
    <row r="15326" spans="2:6">
      <c r="B15326">
        <v>2019</v>
      </c>
      <c r="C15326" t="s">
        <v>164</v>
      </c>
      <c r="D15326" t="s">
        <v>184</v>
      </c>
      <c r="E15326" t="s">
        <v>12</v>
      </c>
      <c r="F15326">
        <v>6.4774826169013977E-2</v>
      </c>
    </row>
    <row r="15327" spans="2:6">
      <c r="B15327">
        <v>2019</v>
      </c>
      <c r="C15327" t="s">
        <v>164</v>
      </c>
      <c r="D15327" t="s">
        <v>184</v>
      </c>
      <c r="E15327" t="s">
        <v>13</v>
      </c>
      <c r="F15327">
        <v>0.73667502403259277</v>
      </c>
    </row>
    <row r="15328" spans="2:6">
      <c r="B15328">
        <v>2019</v>
      </c>
      <c r="C15328" t="s">
        <v>164</v>
      </c>
      <c r="D15328" t="s">
        <v>184</v>
      </c>
      <c r="E15328" t="s">
        <v>14</v>
      </c>
      <c r="F15328">
        <v>0.59022927284240723</v>
      </c>
    </row>
    <row r="15329" spans="2:6">
      <c r="B15329">
        <v>2019</v>
      </c>
      <c r="C15329" t="s">
        <v>164</v>
      </c>
      <c r="D15329" t="s">
        <v>184</v>
      </c>
      <c r="E15329" t="s">
        <v>15</v>
      </c>
      <c r="F15329">
        <v>0.44386988878250122</v>
      </c>
    </row>
    <row r="15330" spans="2:6">
      <c r="B15330">
        <v>2006</v>
      </c>
      <c r="C15330" t="s">
        <v>165</v>
      </c>
      <c r="D15330" t="s">
        <v>185</v>
      </c>
      <c r="E15330" t="s">
        <v>7</v>
      </c>
      <c r="F15330">
        <v>5.832188606262207</v>
      </c>
    </row>
    <row r="15331" spans="2:6">
      <c r="B15331">
        <v>2006</v>
      </c>
      <c r="C15331" t="s">
        <v>165</v>
      </c>
      <c r="D15331" t="s">
        <v>185</v>
      </c>
      <c r="E15331" t="s">
        <v>8</v>
      </c>
      <c r="F15331">
        <v>10.223844528198242</v>
      </c>
    </row>
    <row r="15332" spans="2:6">
      <c r="B15332">
        <v>2006</v>
      </c>
      <c r="C15332" t="s">
        <v>165</v>
      </c>
      <c r="D15332" t="s">
        <v>185</v>
      </c>
      <c r="E15332" t="s">
        <v>9</v>
      </c>
      <c r="F15332">
        <v>0.88678914308547974</v>
      </c>
    </row>
    <row r="15333" spans="2:6">
      <c r="B15333">
        <v>2006</v>
      </c>
      <c r="C15333" t="s">
        <v>165</v>
      </c>
      <c r="D15333" t="s">
        <v>185</v>
      </c>
      <c r="E15333" t="s">
        <v>10</v>
      </c>
      <c r="F15333">
        <v>61.759998321533203</v>
      </c>
    </row>
    <row r="15334" spans="2:6">
      <c r="B15334">
        <v>2006</v>
      </c>
      <c r="C15334" t="s">
        <v>165</v>
      </c>
      <c r="D15334" t="s">
        <v>185</v>
      </c>
      <c r="E15334" t="s">
        <v>11</v>
      </c>
      <c r="F15334">
        <v>0.84008872509002686</v>
      </c>
    </row>
    <row r="15335" spans="2:6">
      <c r="B15335">
        <v>2006</v>
      </c>
      <c r="C15335" t="s">
        <v>165</v>
      </c>
      <c r="D15335" t="s">
        <v>185</v>
      </c>
      <c r="E15335" t="s">
        <v>12</v>
      </c>
      <c r="F15335">
        <v>0.14142966270446777</v>
      </c>
    </row>
    <row r="15336" spans="2:6">
      <c r="B15336">
        <v>2006</v>
      </c>
      <c r="C15336" t="s">
        <v>165</v>
      </c>
      <c r="D15336" t="s">
        <v>185</v>
      </c>
      <c r="E15336" t="s">
        <v>13</v>
      </c>
      <c r="F15336">
        <v>0.91742849349975586</v>
      </c>
    </row>
    <row r="15337" spans="2:6">
      <c r="B15337">
        <v>2006</v>
      </c>
      <c r="C15337" t="s">
        <v>165</v>
      </c>
      <c r="D15337" t="s">
        <v>185</v>
      </c>
      <c r="E15337" t="s">
        <v>14</v>
      </c>
      <c r="F15337">
        <v>0.79763990640640259</v>
      </c>
    </row>
    <row r="15338" spans="2:6">
      <c r="B15338">
        <v>2006</v>
      </c>
      <c r="C15338" t="s">
        <v>165</v>
      </c>
      <c r="D15338" t="s">
        <v>185</v>
      </c>
      <c r="E15338" t="s">
        <v>15</v>
      </c>
      <c r="F15338">
        <v>0.22904427349567413</v>
      </c>
    </row>
    <row r="15339" spans="2:6">
      <c r="B15339">
        <v>2008</v>
      </c>
      <c r="C15339" t="s">
        <v>165</v>
      </c>
      <c r="D15339" t="s">
        <v>185</v>
      </c>
      <c r="E15339" t="s">
        <v>7</v>
      </c>
      <c r="F15339">
        <v>6.696444034576416</v>
      </c>
    </row>
    <row r="15340" spans="2:6">
      <c r="B15340">
        <v>2008</v>
      </c>
      <c r="C15340" t="s">
        <v>165</v>
      </c>
      <c r="D15340" t="s">
        <v>185</v>
      </c>
      <c r="E15340" t="s">
        <v>8</v>
      </c>
      <c r="F15340">
        <v>10.294565200805664</v>
      </c>
    </row>
    <row r="15341" spans="2:6">
      <c r="B15341">
        <v>2008</v>
      </c>
      <c r="C15341" t="s">
        <v>165</v>
      </c>
      <c r="D15341" t="s">
        <v>185</v>
      </c>
      <c r="E15341" t="s">
        <v>9</v>
      </c>
      <c r="F15341">
        <v>0.85830038785934448</v>
      </c>
    </row>
    <row r="15342" spans="2:6">
      <c r="B15342">
        <v>2008</v>
      </c>
      <c r="C15342" t="s">
        <v>165</v>
      </c>
      <c r="D15342" t="s">
        <v>185</v>
      </c>
      <c r="E15342" t="s">
        <v>10</v>
      </c>
      <c r="F15342">
        <v>62.080001831054688</v>
      </c>
    </row>
    <row r="15343" spans="2:6">
      <c r="B15343">
        <v>2008</v>
      </c>
      <c r="C15343" t="s">
        <v>165</v>
      </c>
      <c r="D15343" t="s">
        <v>185</v>
      </c>
      <c r="E15343" t="s">
        <v>11</v>
      </c>
      <c r="F15343">
        <v>0.83814042806625366</v>
      </c>
    </row>
    <row r="15344" spans="2:6">
      <c r="B15344">
        <v>2008</v>
      </c>
      <c r="C15344" t="s">
        <v>165</v>
      </c>
      <c r="D15344" t="s">
        <v>185</v>
      </c>
      <c r="E15344" t="s">
        <v>12</v>
      </c>
      <c r="F15344">
        <v>8.661196380853653E-2</v>
      </c>
    </row>
    <row r="15345" spans="2:6">
      <c r="B15345">
        <v>2008</v>
      </c>
      <c r="C15345" t="s">
        <v>165</v>
      </c>
      <c r="D15345" t="s">
        <v>185</v>
      </c>
      <c r="E15345" t="s">
        <v>13</v>
      </c>
      <c r="F15345">
        <v>0.9588281512260437</v>
      </c>
    </row>
    <row r="15346" spans="2:6">
      <c r="B15346">
        <v>2008</v>
      </c>
      <c r="C15346" t="s">
        <v>165</v>
      </c>
      <c r="D15346" t="s">
        <v>185</v>
      </c>
      <c r="E15346" t="s">
        <v>14</v>
      </c>
      <c r="F15346">
        <v>0.81719750165939331</v>
      </c>
    </row>
    <row r="15347" spans="2:6">
      <c r="B15347">
        <v>2008</v>
      </c>
      <c r="C15347" t="s">
        <v>165</v>
      </c>
      <c r="D15347" t="s">
        <v>185</v>
      </c>
      <c r="E15347" t="s">
        <v>15</v>
      </c>
      <c r="F15347">
        <v>0.18378980457782745</v>
      </c>
    </row>
    <row r="15348" spans="2:6">
      <c r="B15348">
        <v>2011</v>
      </c>
      <c r="C15348" t="s">
        <v>165</v>
      </c>
      <c r="D15348" t="s">
        <v>185</v>
      </c>
      <c r="E15348" t="s">
        <v>7</v>
      </c>
      <c r="F15348">
        <v>6.5187458992004395</v>
      </c>
    </row>
    <row r="15349" spans="2:6">
      <c r="B15349">
        <v>2011</v>
      </c>
      <c r="C15349" t="s">
        <v>165</v>
      </c>
      <c r="D15349" t="s">
        <v>185</v>
      </c>
      <c r="E15349" t="s">
        <v>8</v>
      </c>
      <c r="F15349">
        <v>10.262997627258301</v>
      </c>
    </row>
    <row r="15350" spans="2:6">
      <c r="B15350">
        <v>2011</v>
      </c>
      <c r="C15350" t="s">
        <v>165</v>
      </c>
      <c r="D15350" t="s">
        <v>185</v>
      </c>
      <c r="E15350" t="s">
        <v>9</v>
      </c>
      <c r="F15350">
        <v>0.8628385066986084</v>
      </c>
    </row>
    <row r="15351" spans="2:6">
      <c r="B15351">
        <v>2011</v>
      </c>
      <c r="C15351" t="s">
        <v>165</v>
      </c>
      <c r="D15351" t="s">
        <v>185</v>
      </c>
      <c r="E15351" t="s">
        <v>10</v>
      </c>
      <c r="F15351">
        <v>62.540000915527344</v>
      </c>
    </row>
    <row r="15352" spans="2:6">
      <c r="B15352">
        <v>2011</v>
      </c>
      <c r="C15352" t="s">
        <v>165</v>
      </c>
      <c r="D15352" t="s">
        <v>185</v>
      </c>
      <c r="E15352" t="s">
        <v>11</v>
      </c>
      <c r="F15352">
        <v>0.77539187669754028</v>
      </c>
    </row>
    <row r="15353" spans="2:6">
      <c r="B15353">
        <v>2011</v>
      </c>
      <c r="C15353" t="s">
        <v>165</v>
      </c>
      <c r="D15353" t="s">
        <v>185</v>
      </c>
      <c r="E15353" t="s">
        <v>12</v>
      </c>
      <c r="F15353">
        <v>7.7539555728435516E-2</v>
      </c>
    </row>
    <row r="15354" spans="2:6">
      <c r="B15354">
        <v>2011</v>
      </c>
      <c r="C15354" t="s">
        <v>165</v>
      </c>
      <c r="D15354" t="s">
        <v>185</v>
      </c>
      <c r="E15354" t="s">
        <v>13</v>
      </c>
      <c r="F15354">
        <v>0.89995652437210083</v>
      </c>
    </row>
    <row r="15355" spans="2:6">
      <c r="B15355">
        <v>2011</v>
      </c>
      <c r="C15355" t="s">
        <v>165</v>
      </c>
      <c r="D15355" t="s">
        <v>185</v>
      </c>
      <c r="E15355" t="s">
        <v>14</v>
      </c>
      <c r="F15355">
        <v>0.90617847442626953</v>
      </c>
    </row>
    <row r="15356" spans="2:6">
      <c r="B15356">
        <v>2011</v>
      </c>
      <c r="C15356" t="s">
        <v>165</v>
      </c>
      <c r="D15356" t="s">
        <v>185</v>
      </c>
      <c r="E15356" t="s">
        <v>15</v>
      </c>
      <c r="F15356">
        <v>0.13409063220024109</v>
      </c>
    </row>
    <row r="15357" spans="2:6">
      <c r="B15357">
        <v>2013</v>
      </c>
      <c r="C15357" t="s">
        <v>165</v>
      </c>
      <c r="D15357" t="s">
        <v>185</v>
      </c>
      <c r="E15357" t="s">
        <v>7</v>
      </c>
      <c r="F15357">
        <v>6.1677069664001465</v>
      </c>
    </row>
    <row r="15358" spans="2:6">
      <c r="B15358">
        <v>2013</v>
      </c>
      <c r="C15358" t="s">
        <v>165</v>
      </c>
      <c r="D15358" t="s">
        <v>185</v>
      </c>
      <c r="E15358" t="s">
        <v>8</v>
      </c>
      <c r="F15358">
        <v>10.284635543823242</v>
      </c>
    </row>
    <row r="15359" spans="2:6">
      <c r="B15359">
        <v>2013</v>
      </c>
      <c r="C15359" t="s">
        <v>165</v>
      </c>
      <c r="D15359" t="s">
        <v>185</v>
      </c>
      <c r="E15359" t="s">
        <v>9</v>
      </c>
      <c r="F15359">
        <v>0.88318049907684326</v>
      </c>
    </row>
    <row r="15360" spans="2:6">
      <c r="B15360">
        <v>2013</v>
      </c>
      <c r="C15360" t="s">
        <v>165</v>
      </c>
      <c r="D15360" t="s">
        <v>185</v>
      </c>
      <c r="E15360" t="s">
        <v>10</v>
      </c>
      <c r="F15360">
        <v>62.819999694824219</v>
      </c>
    </row>
    <row r="15361" spans="2:6">
      <c r="B15361">
        <v>2013</v>
      </c>
      <c r="C15361" t="s">
        <v>165</v>
      </c>
      <c r="D15361" t="s">
        <v>185</v>
      </c>
      <c r="E15361" t="s">
        <v>11</v>
      </c>
      <c r="F15361">
        <v>0.84694147109985352</v>
      </c>
    </row>
    <row r="15362" spans="2:6">
      <c r="B15362">
        <v>2013</v>
      </c>
      <c r="C15362" t="s">
        <v>165</v>
      </c>
      <c r="D15362" t="s">
        <v>185</v>
      </c>
      <c r="E15362" t="s">
        <v>12</v>
      </c>
      <c r="F15362">
        <v>0.12774580717086792</v>
      </c>
    </row>
    <row r="15363" spans="2:6">
      <c r="B15363">
        <v>2013</v>
      </c>
      <c r="C15363" t="s">
        <v>165</v>
      </c>
      <c r="D15363" t="s">
        <v>185</v>
      </c>
      <c r="E15363" t="s">
        <v>13</v>
      </c>
      <c r="F15363">
        <v>0.94767403602600098</v>
      </c>
    </row>
    <row r="15364" spans="2:6">
      <c r="B15364">
        <v>2013</v>
      </c>
      <c r="C15364" t="s">
        <v>165</v>
      </c>
      <c r="D15364" t="s">
        <v>185</v>
      </c>
      <c r="E15364" t="s">
        <v>14</v>
      </c>
      <c r="F15364">
        <v>0.83250266313552856</v>
      </c>
    </row>
    <row r="15365" spans="2:6">
      <c r="B15365">
        <v>2013</v>
      </c>
      <c r="C15365" t="s">
        <v>165</v>
      </c>
      <c r="D15365" t="s">
        <v>185</v>
      </c>
      <c r="E15365" t="s">
        <v>15</v>
      </c>
      <c r="F15365">
        <v>0.28592944145202637</v>
      </c>
    </row>
    <row r="15366" spans="2:6">
      <c r="B15366">
        <v>2017</v>
      </c>
      <c r="C15366" t="s">
        <v>165</v>
      </c>
      <c r="D15366" t="s">
        <v>185</v>
      </c>
      <c r="E15366" t="s">
        <v>7</v>
      </c>
      <c r="F15366">
        <v>6.1918597221374512</v>
      </c>
    </row>
    <row r="15367" spans="2:6">
      <c r="B15367">
        <v>2017</v>
      </c>
      <c r="C15367" t="s">
        <v>165</v>
      </c>
      <c r="D15367" t="s">
        <v>185</v>
      </c>
      <c r="E15367" t="s">
        <v>8</v>
      </c>
      <c r="F15367">
        <v>10.182920455932617</v>
      </c>
    </row>
    <row r="15368" spans="2:6">
      <c r="B15368">
        <v>2017</v>
      </c>
      <c r="C15368" t="s">
        <v>165</v>
      </c>
      <c r="D15368" t="s">
        <v>185</v>
      </c>
      <c r="E15368" t="s">
        <v>9</v>
      </c>
      <c r="F15368">
        <v>0.91602903604507446</v>
      </c>
    </row>
    <row r="15369" spans="2:6">
      <c r="B15369">
        <v>2017</v>
      </c>
      <c r="C15369" t="s">
        <v>165</v>
      </c>
      <c r="D15369" t="s">
        <v>185</v>
      </c>
      <c r="E15369" t="s">
        <v>10</v>
      </c>
      <c r="F15369">
        <v>63.5</v>
      </c>
    </row>
    <row r="15370" spans="2:6">
      <c r="B15370">
        <v>2017</v>
      </c>
      <c r="C15370" t="s">
        <v>165</v>
      </c>
      <c r="D15370" t="s">
        <v>185</v>
      </c>
      <c r="E15370" t="s">
        <v>11</v>
      </c>
      <c r="F15370">
        <v>0.85914045572280884</v>
      </c>
    </row>
    <row r="15371" spans="2:6">
      <c r="B15371">
        <v>2017</v>
      </c>
      <c r="C15371" t="s">
        <v>165</v>
      </c>
      <c r="D15371" t="s">
        <v>185</v>
      </c>
      <c r="E15371" t="s">
        <v>12</v>
      </c>
      <c r="F15371">
        <v>1.4855396002531052E-2</v>
      </c>
    </row>
    <row r="15372" spans="2:6">
      <c r="B15372">
        <v>2017</v>
      </c>
      <c r="C15372" t="s">
        <v>165</v>
      </c>
      <c r="D15372" t="s">
        <v>185</v>
      </c>
      <c r="E15372" t="s">
        <v>13</v>
      </c>
      <c r="F15372">
        <v>0.91133636236190796</v>
      </c>
    </row>
    <row r="15373" spans="2:6">
      <c r="B15373">
        <v>2017</v>
      </c>
      <c r="C15373" t="s">
        <v>165</v>
      </c>
      <c r="D15373" t="s">
        <v>185</v>
      </c>
      <c r="E15373" t="s">
        <v>14</v>
      </c>
      <c r="F15373">
        <v>0.84646707773208618</v>
      </c>
    </row>
    <row r="15374" spans="2:6">
      <c r="B15374">
        <v>2017</v>
      </c>
      <c r="C15374" t="s">
        <v>165</v>
      </c>
      <c r="D15374" t="s">
        <v>185</v>
      </c>
      <c r="E15374" t="s">
        <v>15</v>
      </c>
      <c r="F15374">
        <v>0.24809880554676056</v>
      </c>
    </row>
    <row r="15375" spans="2:6">
      <c r="B15375">
        <v>2009</v>
      </c>
      <c r="C15375" t="s">
        <v>166</v>
      </c>
      <c r="D15375" t="s">
        <v>184</v>
      </c>
      <c r="E15375" t="s">
        <v>7</v>
      </c>
      <c r="F15375">
        <v>5.0254702568054199</v>
      </c>
    </row>
    <row r="15376" spans="2:6">
      <c r="B15376">
        <v>2009</v>
      </c>
      <c r="C15376" t="s">
        <v>166</v>
      </c>
      <c r="D15376" t="s">
        <v>184</v>
      </c>
      <c r="E15376" t="s">
        <v>8</v>
      </c>
      <c r="F15376">
        <v>9.1974620819091797</v>
      </c>
    </row>
    <row r="15377" spans="2:6">
      <c r="B15377">
        <v>2009</v>
      </c>
      <c r="C15377" t="s">
        <v>166</v>
      </c>
      <c r="D15377" t="s">
        <v>184</v>
      </c>
      <c r="E15377" t="s">
        <v>10</v>
      </c>
      <c r="F15377">
        <v>64.959999084472656</v>
      </c>
    </row>
    <row r="15378" spans="2:6">
      <c r="B15378">
        <v>2009</v>
      </c>
      <c r="C15378" t="s">
        <v>166</v>
      </c>
      <c r="D15378" t="s">
        <v>184</v>
      </c>
      <c r="E15378" t="s">
        <v>11</v>
      </c>
      <c r="F15378">
        <v>0.78149628639221191</v>
      </c>
    </row>
    <row r="15379" spans="2:6">
      <c r="B15379">
        <v>2009</v>
      </c>
      <c r="C15379" t="s">
        <v>166</v>
      </c>
      <c r="D15379" t="s">
        <v>184</v>
      </c>
      <c r="E15379" t="s">
        <v>12</v>
      </c>
      <c r="F15379">
        <v>-0.11856985092163086</v>
      </c>
    </row>
    <row r="15380" spans="2:6">
      <c r="B15380">
        <v>2009</v>
      </c>
      <c r="C15380" t="s">
        <v>166</v>
      </c>
      <c r="D15380" t="s">
        <v>184</v>
      </c>
      <c r="E15380" t="s">
        <v>13</v>
      </c>
      <c r="F15380">
        <v>0.72221064567565918</v>
      </c>
    </row>
    <row r="15381" spans="2:6">
      <c r="B15381">
        <v>2010</v>
      </c>
      <c r="C15381" t="s">
        <v>166</v>
      </c>
      <c r="D15381" t="s">
        <v>184</v>
      </c>
      <c r="E15381" t="s">
        <v>7</v>
      </c>
      <c r="F15381">
        <v>5.1305208206176758</v>
      </c>
    </row>
    <row r="15382" spans="2:6">
      <c r="B15382">
        <v>2010</v>
      </c>
      <c r="C15382" t="s">
        <v>166</v>
      </c>
      <c r="D15382" t="s">
        <v>184</v>
      </c>
      <c r="E15382" t="s">
        <v>8</v>
      </c>
      <c r="F15382">
        <v>9.2216119766235352</v>
      </c>
    </row>
    <row r="15383" spans="2:6">
      <c r="B15383">
        <v>2010</v>
      </c>
      <c r="C15383" t="s">
        <v>166</v>
      </c>
      <c r="D15383" t="s">
        <v>184</v>
      </c>
      <c r="E15383" t="s">
        <v>9</v>
      </c>
      <c r="F15383">
        <v>0.86318767070770264</v>
      </c>
    </row>
    <row r="15384" spans="2:6">
      <c r="B15384">
        <v>2010</v>
      </c>
      <c r="C15384" t="s">
        <v>166</v>
      </c>
      <c r="D15384" t="s">
        <v>184</v>
      </c>
      <c r="E15384" t="s">
        <v>10</v>
      </c>
      <c r="F15384">
        <v>65.099998474121094</v>
      </c>
    </row>
    <row r="15385" spans="2:6">
      <c r="B15385">
        <v>2010</v>
      </c>
      <c r="C15385" t="s">
        <v>166</v>
      </c>
      <c r="D15385" t="s">
        <v>184</v>
      </c>
      <c r="E15385" t="s">
        <v>11</v>
      </c>
      <c r="F15385">
        <v>0.62359285354614258</v>
      </c>
    </row>
    <row r="15386" spans="2:6">
      <c r="B15386">
        <v>2010</v>
      </c>
      <c r="C15386" t="s">
        <v>166</v>
      </c>
      <c r="D15386" t="s">
        <v>184</v>
      </c>
      <c r="E15386" t="s">
        <v>12</v>
      </c>
      <c r="F15386">
        <v>-0.13516892492771149</v>
      </c>
    </row>
    <row r="15387" spans="2:6">
      <c r="B15387">
        <v>2010</v>
      </c>
      <c r="C15387" t="s">
        <v>166</v>
      </c>
      <c r="D15387" t="s">
        <v>184</v>
      </c>
      <c r="E15387" t="s">
        <v>13</v>
      </c>
      <c r="F15387">
        <v>0.7323792576789856</v>
      </c>
    </row>
    <row r="15388" spans="2:6">
      <c r="B15388">
        <v>2010</v>
      </c>
      <c r="C15388" t="s">
        <v>166</v>
      </c>
      <c r="D15388" t="s">
        <v>184</v>
      </c>
      <c r="E15388" t="s">
        <v>14</v>
      </c>
      <c r="F15388">
        <v>0.72458118200302124</v>
      </c>
    </row>
    <row r="15389" spans="2:6">
      <c r="B15389">
        <v>2010</v>
      </c>
      <c r="C15389" t="s">
        <v>166</v>
      </c>
      <c r="D15389" t="s">
        <v>184</v>
      </c>
      <c r="E15389" t="s">
        <v>15</v>
      </c>
      <c r="F15389">
        <v>0.24891281127929688</v>
      </c>
    </row>
    <row r="15390" spans="2:6">
      <c r="B15390">
        <v>2011</v>
      </c>
      <c r="C15390" t="s">
        <v>166</v>
      </c>
      <c r="D15390" t="s">
        <v>184</v>
      </c>
      <c r="E15390" t="s">
        <v>7</v>
      </c>
      <c r="F15390">
        <v>4.8764820098876953</v>
      </c>
    </row>
    <row r="15391" spans="2:6">
      <c r="B15391">
        <v>2011</v>
      </c>
      <c r="C15391" t="s">
        <v>166</v>
      </c>
      <c r="D15391" t="s">
        <v>184</v>
      </c>
      <c r="E15391" t="s">
        <v>8</v>
      </c>
      <c r="F15391">
        <v>9.1922769546508789</v>
      </c>
    </row>
    <row r="15392" spans="2:6">
      <c r="B15392">
        <v>2011</v>
      </c>
      <c r="C15392" t="s">
        <v>166</v>
      </c>
      <c r="D15392" t="s">
        <v>184</v>
      </c>
      <c r="E15392" t="s">
        <v>9</v>
      </c>
      <c r="F15392">
        <v>0.71489143371582031</v>
      </c>
    </row>
    <row r="15393" spans="2:6">
      <c r="B15393">
        <v>2011</v>
      </c>
      <c r="C15393" t="s">
        <v>166</v>
      </c>
      <c r="D15393" t="s">
        <v>184</v>
      </c>
      <c r="E15393" t="s">
        <v>10</v>
      </c>
      <c r="F15393">
        <v>65.279998779296875</v>
      </c>
    </row>
    <row r="15394" spans="2:6">
      <c r="B15394">
        <v>2011</v>
      </c>
      <c r="C15394" t="s">
        <v>166</v>
      </c>
      <c r="D15394" t="s">
        <v>184</v>
      </c>
      <c r="E15394" t="s">
        <v>11</v>
      </c>
      <c r="F15394">
        <v>0.60312366485595703</v>
      </c>
    </row>
    <row r="15395" spans="2:6">
      <c r="B15395">
        <v>2011</v>
      </c>
      <c r="C15395" t="s">
        <v>166</v>
      </c>
      <c r="D15395" t="s">
        <v>184</v>
      </c>
      <c r="E15395" t="s">
        <v>12</v>
      </c>
      <c r="F15395">
        <v>-0.19872467219829559</v>
      </c>
    </row>
    <row r="15396" spans="2:6">
      <c r="B15396">
        <v>2011</v>
      </c>
      <c r="C15396" t="s">
        <v>166</v>
      </c>
      <c r="D15396" t="s">
        <v>184</v>
      </c>
      <c r="E15396" t="s">
        <v>13</v>
      </c>
      <c r="F15396">
        <v>0.91265690326690674</v>
      </c>
    </row>
    <row r="15397" spans="2:6">
      <c r="B15397">
        <v>2011</v>
      </c>
      <c r="C15397" t="s">
        <v>166</v>
      </c>
      <c r="D15397" t="s">
        <v>184</v>
      </c>
      <c r="E15397" t="s">
        <v>14</v>
      </c>
      <c r="F15397">
        <v>0.58768045902252197</v>
      </c>
    </row>
    <row r="15398" spans="2:6">
      <c r="B15398">
        <v>2011</v>
      </c>
      <c r="C15398" t="s">
        <v>166</v>
      </c>
      <c r="D15398" t="s">
        <v>184</v>
      </c>
      <c r="E15398" t="s">
        <v>15</v>
      </c>
      <c r="F15398">
        <v>0.24819697439670563</v>
      </c>
    </row>
    <row r="15399" spans="2:6">
      <c r="B15399">
        <v>2012</v>
      </c>
      <c r="C15399" t="s">
        <v>166</v>
      </c>
      <c r="D15399" t="s">
        <v>184</v>
      </c>
      <c r="E15399" t="s">
        <v>7</v>
      </c>
      <c r="F15399">
        <v>4.4635310173034668</v>
      </c>
    </row>
    <row r="15400" spans="2:6">
      <c r="B15400">
        <v>2012</v>
      </c>
      <c r="C15400" t="s">
        <v>166</v>
      </c>
      <c r="D15400" t="s">
        <v>184</v>
      </c>
      <c r="E15400" t="s">
        <v>8</v>
      </c>
      <c r="F15400">
        <v>9.2217369079589844</v>
      </c>
    </row>
    <row r="15401" spans="2:6">
      <c r="B15401">
        <v>2012</v>
      </c>
      <c r="C15401" t="s">
        <v>166</v>
      </c>
      <c r="D15401" t="s">
        <v>184</v>
      </c>
      <c r="E15401" t="s">
        <v>9</v>
      </c>
      <c r="F15401">
        <v>0.61442279815673828</v>
      </c>
    </row>
    <row r="15402" spans="2:6">
      <c r="B15402">
        <v>2012</v>
      </c>
      <c r="C15402" t="s">
        <v>166</v>
      </c>
      <c r="D15402" t="s">
        <v>184</v>
      </c>
      <c r="E15402" t="s">
        <v>10</v>
      </c>
      <c r="F15402">
        <v>65.459999084472656</v>
      </c>
    </row>
    <row r="15403" spans="2:6">
      <c r="B15403">
        <v>2012</v>
      </c>
      <c r="C15403" t="s">
        <v>166</v>
      </c>
      <c r="D15403" t="s">
        <v>184</v>
      </c>
      <c r="E15403" t="s">
        <v>11</v>
      </c>
      <c r="F15403">
        <v>0.56773722171783447</v>
      </c>
    </row>
    <row r="15404" spans="2:6">
      <c r="B15404">
        <v>2012</v>
      </c>
      <c r="C15404" t="s">
        <v>166</v>
      </c>
      <c r="D15404" t="s">
        <v>184</v>
      </c>
      <c r="E15404" t="s">
        <v>12</v>
      </c>
      <c r="F15404">
        <v>-0.17622476816177368</v>
      </c>
    </row>
    <row r="15405" spans="2:6">
      <c r="B15405">
        <v>2012</v>
      </c>
      <c r="C15405" t="s">
        <v>166</v>
      </c>
      <c r="D15405" t="s">
        <v>184</v>
      </c>
      <c r="E15405" t="s">
        <v>13</v>
      </c>
      <c r="F15405">
        <v>0.89945316314697266</v>
      </c>
    </row>
    <row r="15406" spans="2:6">
      <c r="B15406">
        <v>2012</v>
      </c>
      <c r="C15406" t="s">
        <v>166</v>
      </c>
      <c r="D15406" t="s">
        <v>184</v>
      </c>
      <c r="E15406" t="s">
        <v>14</v>
      </c>
      <c r="F15406">
        <v>0.52091413736343384</v>
      </c>
    </row>
    <row r="15407" spans="2:6">
      <c r="B15407">
        <v>2012</v>
      </c>
      <c r="C15407" t="s">
        <v>166</v>
      </c>
      <c r="D15407" t="s">
        <v>184</v>
      </c>
      <c r="E15407" t="s">
        <v>15</v>
      </c>
      <c r="F15407">
        <v>0.32699981331825256</v>
      </c>
    </row>
    <row r="15408" spans="2:6">
      <c r="B15408">
        <v>2013</v>
      </c>
      <c r="C15408" t="s">
        <v>166</v>
      </c>
      <c r="D15408" t="s">
        <v>184</v>
      </c>
      <c r="E15408" t="s">
        <v>7</v>
      </c>
      <c r="F15408">
        <v>5.2456049919128418</v>
      </c>
    </row>
    <row r="15409" spans="2:6">
      <c r="B15409">
        <v>2013</v>
      </c>
      <c r="C15409" t="s">
        <v>166</v>
      </c>
      <c r="D15409" t="s">
        <v>184</v>
      </c>
      <c r="E15409" t="s">
        <v>8</v>
      </c>
      <c r="F15409">
        <v>9.2403659820556641</v>
      </c>
    </row>
    <row r="15410" spans="2:6">
      <c r="B15410">
        <v>2013</v>
      </c>
      <c r="C15410" t="s">
        <v>166</v>
      </c>
      <c r="D15410" t="s">
        <v>184</v>
      </c>
      <c r="E15410" t="s">
        <v>9</v>
      </c>
      <c r="F15410">
        <v>0.64796745777130127</v>
      </c>
    </row>
    <row r="15411" spans="2:6">
      <c r="B15411">
        <v>2013</v>
      </c>
      <c r="C15411" t="s">
        <v>166</v>
      </c>
      <c r="D15411" t="s">
        <v>184</v>
      </c>
      <c r="E15411" t="s">
        <v>10</v>
      </c>
      <c r="F15411">
        <v>65.639999389648438</v>
      </c>
    </row>
    <row r="15412" spans="2:6">
      <c r="B15412">
        <v>2013</v>
      </c>
      <c r="C15412" t="s">
        <v>166</v>
      </c>
      <c r="D15412" t="s">
        <v>184</v>
      </c>
      <c r="E15412" t="s">
        <v>11</v>
      </c>
      <c r="F15412">
        <v>0.53628772497177124</v>
      </c>
    </row>
    <row r="15413" spans="2:6">
      <c r="B15413">
        <v>2013</v>
      </c>
      <c r="C15413" t="s">
        <v>166</v>
      </c>
      <c r="D15413" t="s">
        <v>184</v>
      </c>
      <c r="E15413" t="s">
        <v>12</v>
      </c>
      <c r="F15413">
        <v>-0.20691141486167908</v>
      </c>
    </row>
    <row r="15414" spans="2:6">
      <c r="B15414">
        <v>2013</v>
      </c>
      <c r="C15414" t="s">
        <v>166</v>
      </c>
      <c r="D15414" t="s">
        <v>184</v>
      </c>
      <c r="E15414" t="s">
        <v>13</v>
      </c>
      <c r="F15414">
        <v>0.88602691888809204</v>
      </c>
    </row>
    <row r="15415" spans="2:6">
      <c r="B15415">
        <v>2013</v>
      </c>
      <c r="C15415" t="s">
        <v>166</v>
      </c>
      <c r="D15415" t="s">
        <v>184</v>
      </c>
      <c r="E15415" t="s">
        <v>14</v>
      </c>
      <c r="F15415">
        <v>0.51731902360916138</v>
      </c>
    </row>
    <row r="15416" spans="2:6">
      <c r="B15416">
        <v>2013</v>
      </c>
      <c r="C15416" t="s">
        <v>166</v>
      </c>
      <c r="D15416" t="s">
        <v>184</v>
      </c>
      <c r="E15416" t="s">
        <v>15</v>
      </c>
      <c r="F15416">
        <v>0.23915638029575348</v>
      </c>
    </row>
    <row r="15417" spans="2:6">
      <c r="B15417">
        <v>2014</v>
      </c>
      <c r="C15417" t="s">
        <v>166</v>
      </c>
      <c r="D15417" t="s">
        <v>184</v>
      </c>
      <c r="E15417" t="s">
        <v>7</v>
      </c>
      <c r="F15417">
        <v>4.7635946273803711</v>
      </c>
    </row>
    <row r="15418" spans="2:6">
      <c r="B15418">
        <v>2014</v>
      </c>
      <c r="C15418" t="s">
        <v>166</v>
      </c>
      <c r="D15418" t="s">
        <v>184</v>
      </c>
      <c r="E15418" t="s">
        <v>8</v>
      </c>
      <c r="F15418">
        <v>9.2596311569213867</v>
      </c>
    </row>
    <row r="15419" spans="2:6">
      <c r="B15419">
        <v>2014</v>
      </c>
      <c r="C15419" t="s">
        <v>166</v>
      </c>
      <c r="D15419" t="s">
        <v>184</v>
      </c>
      <c r="E15419" t="s">
        <v>9</v>
      </c>
      <c r="F15419">
        <v>0.68026059865951538</v>
      </c>
    </row>
    <row r="15420" spans="2:6">
      <c r="B15420">
        <v>2014</v>
      </c>
      <c r="C15420" t="s">
        <v>166</v>
      </c>
      <c r="D15420" t="s">
        <v>184</v>
      </c>
      <c r="E15420" t="s">
        <v>10</v>
      </c>
      <c r="F15420">
        <v>65.819999694824219</v>
      </c>
    </row>
    <row r="15421" spans="2:6">
      <c r="B15421">
        <v>2014</v>
      </c>
      <c r="C15421" t="s">
        <v>166</v>
      </c>
      <c r="D15421" t="s">
        <v>184</v>
      </c>
      <c r="E15421" t="s">
        <v>11</v>
      </c>
      <c r="F15421">
        <v>0.58893424272537231</v>
      </c>
    </row>
    <row r="15422" spans="2:6">
      <c r="B15422">
        <v>2014</v>
      </c>
      <c r="C15422" t="s">
        <v>166</v>
      </c>
      <c r="D15422" t="s">
        <v>184</v>
      </c>
      <c r="E15422" t="s">
        <v>12</v>
      </c>
      <c r="F15422">
        <v>-0.23192760348320007</v>
      </c>
    </row>
    <row r="15423" spans="2:6">
      <c r="B15423">
        <v>2014</v>
      </c>
      <c r="C15423" t="s">
        <v>166</v>
      </c>
      <c r="D15423" t="s">
        <v>184</v>
      </c>
      <c r="E15423" t="s">
        <v>13</v>
      </c>
      <c r="F15423">
        <v>0.78313416242599487</v>
      </c>
    </row>
    <row r="15424" spans="2:6">
      <c r="B15424">
        <v>2014</v>
      </c>
      <c r="C15424" t="s">
        <v>166</v>
      </c>
      <c r="D15424" t="s">
        <v>184</v>
      </c>
      <c r="E15424" t="s">
        <v>14</v>
      </c>
      <c r="F15424">
        <v>0.5027279257774353</v>
      </c>
    </row>
    <row r="15425" spans="2:6">
      <c r="B15425">
        <v>2014</v>
      </c>
      <c r="C15425" t="s">
        <v>166</v>
      </c>
      <c r="D15425" t="s">
        <v>184</v>
      </c>
      <c r="E15425" t="s">
        <v>15</v>
      </c>
      <c r="F15425">
        <v>0.32077047228813171</v>
      </c>
    </row>
    <row r="15426" spans="2:6">
      <c r="B15426">
        <v>2015</v>
      </c>
      <c r="C15426" t="s">
        <v>166</v>
      </c>
      <c r="D15426" t="s">
        <v>184</v>
      </c>
      <c r="E15426" t="s">
        <v>7</v>
      </c>
      <c r="F15426">
        <v>5.1316118240356445</v>
      </c>
    </row>
    <row r="15427" spans="2:6">
      <c r="B15427">
        <v>2015</v>
      </c>
      <c r="C15427" t="s">
        <v>166</v>
      </c>
      <c r="D15427" t="s">
        <v>184</v>
      </c>
      <c r="E15427" t="s">
        <v>8</v>
      </c>
      <c r="F15427">
        <v>9.2610082626342773</v>
      </c>
    </row>
    <row r="15428" spans="2:6">
      <c r="B15428">
        <v>2015</v>
      </c>
      <c r="C15428" t="s">
        <v>166</v>
      </c>
      <c r="D15428" t="s">
        <v>184</v>
      </c>
      <c r="E15428" t="s">
        <v>9</v>
      </c>
      <c r="F15428">
        <v>0.60947000980377197</v>
      </c>
    </row>
    <row r="15429" spans="2:6">
      <c r="B15429">
        <v>2015</v>
      </c>
      <c r="C15429" t="s">
        <v>166</v>
      </c>
      <c r="D15429" t="s">
        <v>184</v>
      </c>
      <c r="E15429" t="s">
        <v>10</v>
      </c>
      <c r="F15429">
        <v>66</v>
      </c>
    </row>
    <row r="15430" spans="2:6">
      <c r="B15430">
        <v>2015</v>
      </c>
      <c r="C15430" t="s">
        <v>166</v>
      </c>
      <c r="D15430" t="s">
        <v>184</v>
      </c>
      <c r="E15430" t="s">
        <v>11</v>
      </c>
      <c r="F15430">
        <v>0.71137338876724243</v>
      </c>
    </row>
    <row r="15431" spans="2:6">
      <c r="B15431">
        <v>2015</v>
      </c>
      <c r="C15431" t="s">
        <v>166</v>
      </c>
      <c r="D15431" t="s">
        <v>184</v>
      </c>
      <c r="E15431" t="s">
        <v>12</v>
      </c>
      <c r="F15431">
        <v>-0.22603139281272888</v>
      </c>
    </row>
    <row r="15432" spans="2:6">
      <c r="B15432">
        <v>2015</v>
      </c>
      <c r="C15432" t="s">
        <v>166</v>
      </c>
      <c r="D15432" t="s">
        <v>184</v>
      </c>
      <c r="E15432" t="s">
        <v>13</v>
      </c>
      <c r="F15432">
        <v>0.81482499837875366</v>
      </c>
    </row>
    <row r="15433" spans="2:6">
      <c r="B15433">
        <v>2015</v>
      </c>
      <c r="C15433" t="s">
        <v>166</v>
      </c>
      <c r="D15433" t="s">
        <v>184</v>
      </c>
      <c r="E15433" t="s">
        <v>14</v>
      </c>
      <c r="F15433">
        <v>0.57295554876327515</v>
      </c>
    </row>
    <row r="15434" spans="2:6">
      <c r="B15434">
        <v>2015</v>
      </c>
      <c r="C15434" t="s">
        <v>166</v>
      </c>
      <c r="D15434" t="s">
        <v>184</v>
      </c>
      <c r="E15434" t="s">
        <v>15</v>
      </c>
      <c r="F15434">
        <v>0.31954225897789001</v>
      </c>
    </row>
    <row r="15435" spans="2:6">
      <c r="B15435">
        <v>2016</v>
      </c>
      <c r="C15435" t="s">
        <v>166</v>
      </c>
      <c r="D15435" t="s">
        <v>184</v>
      </c>
      <c r="E15435" t="s">
        <v>7</v>
      </c>
      <c r="F15435">
        <v>4.5214533805847168</v>
      </c>
    </row>
    <row r="15436" spans="2:6">
      <c r="B15436">
        <v>2016</v>
      </c>
      <c r="C15436" t="s">
        <v>166</v>
      </c>
      <c r="D15436" t="s">
        <v>184</v>
      </c>
      <c r="E15436" t="s">
        <v>8</v>
      </c>
      <c r="F15436">
        <v>9.2615079879760742</v>
      </c>
    </row>
    <row r="15437" spans="2:6">
      <c r="B15437">
        <v>2016</v>
      </c>
      <c r="C15437" t="s">
        <v>166</v>
      </c>
      <c r="D15437" t="s">
        <v>184</v>
      </c>
      <c r="E15437" t="s">
        <v>9</v>
      </c>
      <c r="F15437">
        <v>0.70182210206985474</v>
      </c>
    </row>
    <row r="15438" spans="2:6">
      <c r="B15438">
        <v>2016</v>
      </c>
      <c r="C15438" t="s">
        <v>166</v>
      </c>
      <c r="D15438" t="s">
        <v>184</v>
      </c>
      <c r="E15438" t="s">
        <v>10</v>
      </c>
      <c r="F15438">
        <v>66.300003051757813</v>
      </c>
    </row>
    <row r="15439" spans="2:6">
      <c r="B15439">
        <v>2016</v>
      </c>
      <c r="C15439" t="s">
        <v>166</v>
      </c>
      <c r="D15439" t="s">
        <v>184</v>
      </c>
      <c r="E15439" t="s">
        <v>11</v>
      </c>
      <c r="F15439">
        <v>0.61443835496902466</v>
      </c>
    </row>
    <row r="15440" spans="2:6">
      <c r="B15440">
        <v>2016</v>
      </c>
      <c r="C15440" t="s">
        <v>166</v>
      </c>
      <c r="D15440" t="s">
        <v>184</v>
      </c>
      <c r="E15440" t="s">
        <v>12</v>
      </c>
      <c r="F15440">
        <v>-0.16495002806186676</v>
      </c>
    </row>
    <row r="15441" spans="2:6">
      <c r="B15441">
        <v>2016</v>
      </c>
      <c r="C15441" t="s">
        <v>166</v>
      </c>
      <c r="D15441" t="s">
        <v>184</v>
      </c>
      <c r="E15441" t="s">
        <v>13</v>
      </c>
      <c r="F15441">
        <v>0.81074565649032593</v>
      </c>
    </row>
    <row r="15442" spans="2:6">
      <c r="B15442">
        <v>2016</v>
      </c>
      <c r="C15442" t="s">
        <v>166</v>
      </c>
      <c r="D15442" t="s">
        <v>184</v>
      </c>
      <c r="E15442" t="s">
        <v>14</v>
      </c>
      <c r="F15442">
        <v>0.61234110593795776</v>
      </c>
    </row>
    <row r="15443" spans="2:6">
      <c r="B15443">
        <v>2016</v>
      </c>
      <c r="C15443" t="s">
        <v>166</v>
      </c>
      <c r="D15443" t="s">
        <v>184</v>
      </c>
      <c r="E15443" t="s">
        <v>15</v>
      </c>
      <c r="F15443">
        <v>0.37810826301574707</v>
      </c>
    </row>
    <row r="15444" spans="2:6">
      <c r="B15444">
        <v>2017</v>
      </c>
      <c r="C15444" t="s">
        <v>166</v>
      </c>
      <c r="D15444" t="s">
        <v>184</v>
      </c>
      <c r="E15444" t="s">
        <v>7</v>
      </c>
      <c r="F15444">
        <v>4.1243429183959961</v>
      </c>
    </row>
    <row r="15445" spans="2:6">
      <c r="B15445">
        <v>2017</v>
      </c>
      <c r="C15445" t="s">
        <v>166</v>
      </c>
      <c r="D15445" t="s">
        <v>184</v>
      </c>
      <c r="E15445" t="s">
        <v>8</v>
      </c>
      <c r="F15445">
        <v>9.2691049575805664</v>
      </c>
    </row>
    <row r="15446" spans="2:6">
      <c r="B15446">
        <v>2017</v>
      </c>
      <c r="C15446" t="s">
        <v>166</v>
      </c>
      <c r="D15446" t="s">
        <v>184</v>
      </c>
      <c r="E15446" t="s">
        <v>9</v>
      </c>
      <c r="F15446">
        <v>0.71738159656524658</v>
      </c>
    </row>
    <row r="15447" spans="2:6">
      <c r="B15447">
        <v>2017</v>
      </c>
      <c r="C15447" t="s">
        <v>166</v>
      </c>
      <c r="D15447" t="s">
        <v>184</v>
      </c>
      <c r="E15447" t="s">
        <v>10</v>
      </c>
      <c r="F15447">
        <v>66.599998474121094</v>
      </c>
    </row>
    <row r="15448" spans="2:6">
      <c r="B15448">
        <v>2017</v>
      </c>
      <c r="C15448" t="s">
        <v>166</v>
      </c>
      <c r="D15448" t="s">
        <v>184</v>
      </c>
      <c r="E15448" t="s">
        <v>11</v>
      </c>
      <c r="F15448">
        <v>0.47795665264129639</v>
      </c>
    </row>
    <row r="15449" spans="2:6">
      <c r="B15449">
        <v>2017</v>
      </c>
      <c r="C15449" t="s">
        <v>166</v>
      </c>
      <c r="D15449" t="s">
        <v>184</v>
      </c>
      <c r="E15449" t="s">
        <v>12</v>
      </c>
      <c r="F15449">
        <v>-0.21860024333000183</v>
      </c>
    </row>
    <row r="15450" spans="2:6">
      <c r="B15450">
        <v>2017</v>
      </c>
      <c r="C15450" t="s">
        <v>166</v>
      </c>
      <c r="D15450" t="s">
        <v>184</v>
      </c>
      <c r="E15450" t="s">
        <v>13</v>
      </c>
      <c r="F15450">
        <v>0.86882674694061279</v>
      </c>
    </row>
    <row r="15451" spans="2:6">
      <c r="B15451">
        <v>2017</v>
      </c>
      <c r="C15451" t="s">
        <v>166</v>
      </c>
      <c r="D15451" t="s">
        <v>184</v>
      </c>
      <c r="E15451" t="s">
        <v>14</v>
      </c>
      <c r="F15451">
        <v>0.4209618866443634</v>
      </c>
    </row>
    <row r="15452" spans="2:6">
      <c r="B15452">
        <v>2017</v>
      </c>
      <c r="C15452" t="s">
        <v>166</v>
      </c>
      <c r="D15452" t="s">
        <v>184</v>
      </c>
      <c r="E15452" t="s">
        <v>15</v>
      </c>
      <c r="F15452">
        <v>0.37719684839248657</v>
      </c>
    </row>
    <row r="15453" spans="2:6">
      <c r="B15453">
        <v>2018</v>
      </c>
      <c r="C15453" t="s">
        <v>166</v>
      </c>
      <c r="D15453" t="s">
        <v>184</v>
      </c>
      <c r="E15453" t="s">
        <v>7</v>
      </c>
      <c r="F15453">
        <v>4.7411322593688965</v>
      </c>
    </row>
    <row r="15454" spans="2:6">
      <c r="B15454">
        <v>2018</v>
      </c>
      <c r="C15454" t="s">
        <v>166</v>
      </c>
      <c r="D15454" t="s">
        <v>184</v>
      </c>
      <c r="E15454" t="s">
        <v>8</v>
      </c>
      <c r="F15454">
        <v>9.2839422225952148</v>
      </c>
    </row>
    <row r="15455" spans="2:6">
      <c r="B15455">
        <v>2018</v>
      </c>
      <c r="C15455" t="s">
        <v>166</v>
      </c>
      <c r="D15455" t="s">
        <v>184</v>
      </c>
      <c r="E15455" t="s">
        <v>9</v>
      </c>
      <c r="F15455">
        <v>0.73295354843139648</v>
      </c>
    </row>
    <row r="15456" spans="2:6">
      <c r="B15456">
        <v>2018</v>
      </c>
      <c r="C15456" t="s">
        <v>166</v>
      </c>
      <c r="D15456" t="s">
        <v>184</v>
      </c>
      <c r="E15456" t="s">
        <v>10</v>
      </c>
      <c r="F15456">
        <v>66.900001525878906</v>
      </c>
    </row>
    <row r="15457" spans="2:6">
      <c r="B15457">
        <v>2018</v>
      </c>
      <c r="C15457" t="s">
        <v>166</v>
      </c>
      <c r="D15457" t="s">
        <v>184</v>
      </c>
      <c r="E15457" t="s">
        <v>11</v>
      </c>
      <c r="F15457">
        <v>0.64968007802963257</v>
      </c>
    </row>
    <row r="15458" spans="2:6">
      <c r="B15458">
        <v>2018</v>
      </c>
      <c r="C15458" t="s">
        <v>166</v>
      </c>
      <c r="D15458" t="s">
        <v>184</v>
      </c>
      <c r="E15458" t="s">
        <v>12</v>
      </c>
      <c r="F15458">
        <v>-0.19105876982212067</v>
      </c>
    </row>
    <row r="15459" spans="2:6">
      <c r="B15459">
        <v>2018</v>
      </c>
      <c r="C15459" t="s">
        <v>166</v>
      </c>
      <c r="D15459" t="s">
        <v>184</v>
      </c>
      <c r="E15459" t="s">
        <v>13</v>
      </c>
      <c r="F15459">
        <v>0.84011662006378174</v>
      </c>
    </row>
    <row r="15460" spans="2:6">
      <c r="B15460">
        <v>2018</v>
      </c>
      <c r="C15460" t="s">
        <v>166</v>
      </c>
      <c r="D15460" t="s">
        <v>184</v>
      </c>
      <c r="E15460" t="s">
        <v>14</v>
      </c>
      <c r="F15460">
        <v>0.59172660112380981</v>
      </c>
    </row>
    <row r="15461" spans="2:6">
      <c r="B15461">
        <v>2018</v>
      </c>
      <c r="C15461" t="s">
        <v>166</v>
      </c>
      <c r="D15461" t="s">
        <v>184</v>
      </c>
      <c r="E15461" t="s">
        <v>15</v>
      </c>
      <c r="F15461">
        <v>0.36501428484916687</v>
      </c>
    </row>
    <row r="15462" spans="2:6">
      <c r="B15462">
        <v>2019</v>
      </c>
      <c r="C15462" t="s">
        <v>166</v>
      </c>
      <c r="D15462" t="s">
        <v>184</v>
      </c>
      <c r="E15462" t="s">
        <v>7</v>
      </c>
      <c r="F15462">
        <v>4.3154797554016113</v>
      </c>
    </row>
    <row r="15463" spans="2:6">
      <c r="B15463">
        <v>2019</v>
      </c>
      <c r="C15463" t="s">
        <v>166</v>
      </c>
      <c r="D15463" t="s">
        <v>184</v>
      </c>
      <c r="E15463" t="s">
        <v>8</v>
      </c>
      <c r="F15463">
        <v>9.2831802368164063</v>
      </c>
    </row>
    <row r="15464" spans="2:6">
      <c r="B15464">
        <v>2019</v>
      </c>
      <c r="C15464" t="s">
        <v>166</v>
      </c>
      <c r="D15464" t="s">
        <v>184</v>
      </c>
      <c r="E15464" t="s">
        <v>9</v>
      </c>
      <c r="F15464">
        <v>0.60958927869796753</v>
      </c>
    </row>
    <row r="15465" spans="2:6">
      <c r="B15465">
        <v>2019</v>
      </c>
      <c r="C15465" t="s">
        <v>166</v>
      </c>
      <c r="D15465" t="s">
        <v>184</v>
      </c>
      <c r="E15465" t="s">
        <v>10</v>
      </c>
      <c r="F15465">
        <v>67.199996948242188</v>
      </c>
    </row>
    <row r="15466" spans="2:6">
      <c r="B15466">
        <v>2019</v>
      </c>
      <c r="C15466" t="s">
        <v>166</v>
      </c>
      <c r="D15466" t="s">
        <v>184</v>
      </c>
      <c r="E15466" t="s">
        <v>11</v>
      </c>
      <c r="F15466">
        <v>0.65933173894882202</v>
      </c>
    </row>
    <row r="15467" spans="2:6">
      <c r="B15467">
        <v>2019</v>
      </c>
      <c r="C15467" t="s">
        <v>166</v>
      </c>
      <c r="D15467" t="s">
        <v>184</v>
      </c>
      <c r="E15467" t="s">
        <v>12</v>
      </c>
      <c r="F15467">
        <v>-0.20886524021625519</v>
      </c>
    </row>
    <row r="15468" spans="2:6">
      <c r="B15468">
        <v>2019</v>
      </c>
      <c r="C15468" t="s">
        <v>166</v>
      </c>
      <c r="D15468" t="s">
        <v>184</v>
      </c>
      <c r="E15468" t="s">
        <v>13</v>
      </c>
      <c r="F15468">
        <v>0.88890475034713745</v>
      </c>
    </row>
    <row r="15469" spans="2:6">
      <c r="B15469">
        <v>2019</v>
      </c>
      <c r="C15469" t="s">
        <v>166</v>
      </c>
      <c r="D15469" t="s">
        <v>184</v>
      </c>
      <c r="E15469" t="s">
        <v>14</v>
      </c>
      <c r="F15469">
        <v>0.53893542289733887</v>
      </c>
    </row>
    <row r="15470" spans="2:6">
      <c r="B15470">
        <v>2019</v>
      </c>
      <c r="C15470" t="s">
        <v>166</v>
      </c>
      <c r="D15470" t="s">
        <v>184</v>
      </c>
      <c r="E15470" t="s">
        <v>15</v>
      </c>
      <c r="F15470">
        <v>0.43341347575187683</v>
      </c>
    </row>
    <row r="15471" spans="2:6">
      <c r="B15471">
        <v>2020</v>
      </c>
      <c r="C15471" t="s">
        <v>166</v>
      </c>
      <c r="D15471" t="s">
        <v>184</v>
      </c>
      <c r="E15471" t="s">
        <v>7</v>
      </c>
      <c r="F15471">
        <v>4.7308111190795898</v>
      </c>
    </row>
    <row r="15472" spans="2:6">
      <c r="B15472">
        <v>2020</v>
      </c>
      <c r="C15472" t="s">
        <v>166</v>
      </c>
      <c r="D15472" t="s">
        <v>184</v>
      </c>
      <c r="E15472" t="s">
        <v>8</v>
      </c>
      <c r="F15472">
        <v>9.2306241989135742</v>
      </c>
    </row>
    <row r="15473" spans="2:6">
      <c r="B15473">
        <v>2020</v>
      </c>
      <c r="C15473" t="s">
        <v>166</v>
      </c>
      <c r="D15473" t="s">
        <v>184</v>
      </c>
      <c r="E15473" t="s">
        <v>9</v>
      </c>
      <c r="F15473">
        <v>0.71901321411132813</v>
      </c>
    </row>
    <row r="15474" spans="2:6">
      <c r="B15474">
        <v>2020</v>
      </c>
      <c r="C15474" t="s">
        <v>166</v>
      </c>
      <c r="D15474" t="s">
        <v>184</v>
      </c>
      <c r="E15474" t="s">
        <v>10</v>
      </c>
      <c r="F15474">
        <v>67.5</v>
      </c>
    </row>
    <row r="15475" spans="2:6">
      <c r="B15475">
        <v>2020</v>
      </c>
      <c r="C15475" t="s">
        <v>166</v>
      </c>
      <c r="D15475" t="s">
        <v>184</v>
      </c>
      <c r="E15475" t="s">
        <v>11</v>
      </c>
      <c r="F15475">
        <v>0.66775810718536377</v>
      </c>
    </row>
    <row r="15476" spans="2:6">
      <c r="B15476">
        <v>2020</v>
      </c>
      <c r="C15476" t="s">
        <v>166</v>
      </c>
      <c r="D15476" t="s">
        <v>184</v>
      </c>
      <c r="E15476" t="s">
        <v>12</v>
      </c>
      <c r="F15476">
        <v>-0.20181423425674438</v>
      </c>
    </row>
    <row r="15477" spans="2:6">
      <c r="B15477">
        <v>2020</v>
      </c>
      <c r="C15477" t="s">
        <v>166</v>
      </c>
      <c r="D15477" t="s">
        <v>184</v>
      </c>
      <c r="E15477" t="s">
        <v>13</v>
      </c>
      <c r="F15477">
        <v>0.87735408544540405</v>
      </c>
    </row>
    <row r="15478" spans="2:6">
      <c r="B15478">
        <v>2020</v>
      </c>
      <c r="C15478" t="s">
        <v>166</v>
      </c>
      <c r="D15478" t="s">
        <v>184</v>
      </c>
      <c r="E15478" t="s">
        <v>14</v>
      </c>
      <c r="F15478">
        <v>0.58463388681411743</v>
      </c>
    </row>
    <row r="15479" spans="2:6">
      <c r="B15479">
        <v>2020</v>
      </c>
      <c r="C15479" t="s">
        <v>166</v>
      </c>
      <c r="D15479" t="s">
        <v>184</v>
      </c>
      <c r="E15479" t="s">
        <v>15</v>
      </c>
      <c r="F15479">
        <v>0.43877434730529785</v>
      </c>
    </row>
    <row r="15480" spans="2:6">
      <c r="B15480">
        <v>2005</v>
      </c>
      <c r="C15480" t="s">
        <v>167</v>
      </c>
      <c r="D15480" t="s">
        <v>183</v>
      </c>
      <c r="E15480" t="s">
        <v>7</v>
      </c>
      <c r="F15480">
        <v>4.7187337875366211</v>
      </c>
    </row>
    <row r="15481" spans="2:6">
      <c r="B15481">
        <v>2005</v>
      </c>
      <c r="C15481" t="s">
        <v>167</v>
      </c>
      <c r="D15481" t="s">
        <v>183</v>
      </c>
      <c r="E15481" t="s">
        <v>8</v>
      </c>
      <c r="F15481">
        <v>9.8092517852783203</v>
      </c>
    </row>
    <row r="15482" spans="2:6">
      <c r="B15482">
        <v>2005</v>
      </c>
      <c r="C15482" t="s">
        <v>167</v>
      </c>
      <c r="D15482" t="s">
        <v>183</v>
      </c>
      <c r="E15482" t="s">
        <v>9</v>
      </c>
      <c r="F15482">
        <v>0.81993639469146729</v>
      </c>
    </row>
    <row r="15483" spans="2:6">
      <c r="B15483">
        <v>2005</v>
      </c>
      <c r="C15483" t="s">
        <v>167</v>
      </c>
      <c r="D15483" t="s">
        <v>183</v>
      </c>
      <c r="E15483" t="s">
        <v>10</v>
      </c>
      <c r="F15483">
        <v>62.599998474121094</v>
      </c>
    </row>
    <row r="15484" spans="2:6">
      <c r="B15484">
        <v>2005</v>
      </c>
      <c r="C15484" t="s">
        <v>167</v>
      </c>
      <c r="D15484" t="s">
        <v>183</v>
      </c>
      <c r="E15484" t="s">
        <v>11</v>
      </c>
      <c r="F15484">
        <v>0.6231149435043335</v>
      </c>
    </row>
    <row r="15485" spans="2:6">
      <c r="B15485">
        <v>2005</v>
      </c>
      <c r="C15485" t="s">
        <v>167</v>
      </c>
      <c r="D15485" t="s">
        <v>183</v>
      </c>
      <c r="E15485" t="s">
        <v>13</v>
      </c>
      <c r="F15485">
        <v>0.87699860334396362</v>
      </c>
    </row>
    <row r="15486" spans="2:6">
      <c r="B15486">
        <v>2005</v>
      </c>
      <c r="C15486" t="s">
        <v>167</v>
      </c>
      <c r="D15486" t="s">
        <v>183</v>
      </c>
      <c r="E15486" t="s">
        <v>14</v>
      </c>
      <c r="F15486">
        <v>0.55658137798309326</v>
      </c>
    </row>
    <row r="15487" spans="2:6">
      <c r="B15487">
        <v>2007</v>
      </c>
      <c r="C15487" t="s">
        <v>167</v>
      </c>
      <c r="D15487" t="s">
        <v>183</v>
      </c>
      <c r="E15487" t="s">
        <v>7</v>
      </c>
      <c r="F15487">
        <v>5.623471736907959</v>
      </c>
    </row>
    <row r="15488" spans="2:6">
      <c r="B15488">
        <v>2007</v>
      </c>
      <c r="C15488" t="s">
        <v>167</v>
      </c>
      <c r="D15488" t="s">
        <v>183</v>
      </c>
      <c r="E15488" t="s">
        <v>8</v>
      </c>
      <c r="F15488">
        <v>9.9025983810424805</v>
      </c>
    </row>
    <row r="15489" spans="2:6">
      <c r="B15489">
        <v>2007</v>
      </c>
      <c r="C15489" t="s">
        <v>167</v>
      </c>
      <c r="D15489" t="s">
        <v>183</v>
      </c>
      <c r="E15489" t="s">
        <v>9</v>
      </c>
      <c r="F15489">
        <v>0.79227280616760254</v>
      </c>
    </row>
    <row r="15490" spans="2:6">
      <c r="B15490">
        <v>2007</v>
      </c>
      <c r="C15490" t="s">
        <v>167</v>
      </c>
      <c r="D15490" t="s">
        <v>183</v>
      </c>
      <c r="E15490" t="s">
        <v>10</v>
      </c>
      <c r="F15490">
        <v>63.319999694824219</v>
      </c>
    </row>
    <row r="15491" spans="2:6">
      <c r="B15491">
        <v>2007</v>
      </c>
      <c r="C15491" t="s">
        <v>167</v>
      </c>
      <c r="D15491" t="s">
        <v>183</v>
      </c>
      <c r="E15491" t="s">
        <v>11</v>
      </c>
      <c r="F15491">
        <v>0.45931151509284973</v>
      </c>
    </row>
    <row r="15492" spans="2:6">
      <c r="B15492">
        <v>2007</v>
      </c>
      <c r="C15492" t="s">
        <v>167</v>
      </c>
      <c r="D15492" t="s">
        <v>183</v>
      </c>
      <c r="E15492" t="s">
        <v>12</v>
      </c>
      <c r="F15492">
        <v>-0.17824725806713104</v>
      </c>
    </row>
    <row r="15493" spans="2:6">
      <c r="B15493">
        <v>2007</v>
      </c>
      <c r="C15493" t="s">
        <v>167</v>
      </c>
      <c r="D15493" t="s">
        <v>183</v>
      </c>
      <c r="E15493" t="s">
        <v>13</v>
      </c>
      <c r="F15493">
        <v>0.79973334074020386</v>
      </c>
    </row>
    <row r="15494" spans="2:6">
      <c r="B15494">
        <v>2007</v>
      </c>
      <c r="C15494" t="s">
        <v>167</v>
      </c>
      <c r="D15494" t="s">
        <v>183</v>
      </c>
      <c r="E15494" t="s">
        <v>14</v>
      </c>
      <c r="F15494">
        <v>0.65095490217208862</v>
      </c>
    </row>
    <row r="15495" spans="2:6">
      <c r="B15495">
        <v>2007</v>
      </c>
      <c r="C15495" t="s">
        <v>167</v>
      </c>
      <c r="D15495" t="s">
        <v>183</v>
      </c>
      <c r="E15495" t="s">
        <v>15</v>
      </c>
      <c r="F15495">
        <v>0.39512717723846436</v>
      </c>
    </row>
    <row r="15496" spans="2:6">
      <c r="B15496">
        <v>2008</v>
      </c>
      <c r="C15496" t="s">
        <v>167</v>
      </c>
      <c r="D15496" t="s">
        <v>183</v>
      </c>
      <c r="E15496" t="s">
        <v>7</v>
      </c>
      <c r="F15496">
        <v>5.1182317733764648</v>
      </c>
    </row>
    <row r="15497" spans="2:6">
      <c r="B15497">
        <v>2008</v>
      </c>
      <c r="C15497" t="s">
        <v>167</v>
      </c>
      <c r="D15497" t="s">
        <v>183</v>
      </c>
      <c r="E15497" t="s">
        <v>8</v>
      </c>
      <c r="F15497">
        <v>9.8990621566772461</v>
      </c>
    </row>
    <row r="15498" spans="2:6">
      <c r="B15498">
        <v>2008</v>
      </c>
      <c r="C15498" t="s">
        <v>167</v>
      </c>
      <c r="D15498" t="s">
        <v>183</v>
      </c>
      <c r="E15498" t="s">
        <v>9</v>
      </c>
      <c r="F15498">
        <v>0.64487361907958984</v>
      </c>
    </row>
    <row r="15499" spans="2:6">
      <c r="B15499">
        <v>2008</v>
      </c>
      <c r="C15499" t="s">
        <v>167</v>
      </c>
      <c r="D15499" t="s">
        <v>183</v>
      </c>
      <c r="E15499" t="s">
        <v>10</v>
      </c>
      <c r="F15499">
        <v>63.680000305175781</v>
      </c>
    </row>
    <row r="15500" spans="2:6">
      <c r="B15500">
        <v>2008</v>
      </c>
      <c r="C15500" t="s">
        <v>167</v>
      </c>
      <c r="D15500" t="s">
        <v>183</v>
      </c>
      <c r="E15500" t="s">
        <v>11</v>
      </c>
      <c r="F15500">
        <v>0.41549786925315857</v>
      </c>
    </row>
    <row r="15501" spans="2:6">
      <c r="B15501">
        <v>2008</v>
      </c>
      <c r="C15501" t="s">
        <v>167</v>
      </c>
      <c r="D15501" t="s">
        <v>183</v>
      </c>
      <c r="E15501" t="s">
        <v>12</v>
      </c>
      <c r="F15501">
        <v>-0.18881674110889435</v>
      </c>
    </row>
    <row r="15502" spans="2:6">
      <c r="B15502">
        <v>2008</v>
      </c>
      <c r="C15502" t="s">
        <v>167</v>
      </c>
      <c r="D15502" t="s">
        <v>183</v>
      </c>
      <c r="E15502" t="s">
        <v>13</v>
      </c>
      <c r="F15502">
        <v>0.78539055585861206</v>
      </c>
    </row>
    <row r="15503" spans="2:6">
      <c r="B15503">
        <v>2008</v>
      </c>
      <c r="C15503" t="s">
        <v>167</v>
      </c>
      <c r="D15503" t="s">
        <v>183</v>
      </c>
      <c r="E15503" t="s">
        <v>14</v>
      </c>
      <c r="F15503">
        <v>0.61424851417541504</v>
      </c>
    </row>
    <row r="15504" spans="2:6">
      <c r="B15504">
        <v>2008</v>
      </c>
      <c r="C15504" t="s">
        <v>167</v>
      </c>
      <c r="D15504" t="s">
        <v>183</v>
      </c>
      <c r="E15504" t="s">
        <v>15</v>
      </c>
      <c r="F15504">
        <v>0.3453381359577179</v>
      </c>
    </row>
    <row r="15505" spans="2:6">
      <c r="B15505">
        <v>2009</v>
      </c>
      <c r="C15505" t="s">
        <v>167</v>
      </c>
      <c r="D15505" t="s">
        <v>183</v>
      </c>
      <c r="E15505" t="s">
        <v>7</v>
      </c>
      <c r="F15505">
        <v>5.2128415107727051</v>
      </c>
    </row>
    <row r="15506" spans="2:6">
      <c r="B15506">
        <v>2009</v>
      </c>
      <c r="C15506" t="s">
        <v>167</v>
      </c>
      <c r="D15506" t="s">
        <v>183</v>
      </c>
      <c r="E15506" t="s">
        <v>8</v>
      </c>
      <c r="F15506">
        <v>9.8381357192993164</v>
      </c>
    </row>
    <row r="15507" spans="2:6">
      <c r="B15507">
        <v>2009</v>
      </c>
      <c r="C15507" t="s">
        <v>167</v>
      </c>
      <c r="D15507" t="s">
        <v>183</v>
      </c>
      <c r="E15507" t="s">
        <v>9</v>
      </c>
      <c r="F15507">
        <v>0.75464552640914917</v>
      </c>
    </row>
    <row r="15508" spans="2:6">
      <c r="B15508">
        <v>2009</v>
      </c>
      <c r="C15508" t="s">
        <v>167</v>
      </c>
      <c r="D15508" t="s">
        <v>183</v>
      </c>
      <c r="E15508" t="s">
        <v>10</v>
      </c>
      <c r="F15508">
        <v>64.040000915527344</v>
      </c>
    </row>
    <row r="15509" spans="2:6">
      <c r="B15509">
        <v>2009</v>
      </c>
      <c r="C15509" t="s">
        <v>167</v>
      </c>
      <c r="D15509" t="s">
        <v>183</v>
      </c>
      <c r="E15509" t="s">
        <v>11</v>
      </c>
      <c r="F15509">
        <v>0.45581707358360291</v>
      </c>
    </row>
    <row r="15510" spans="2:6">
      <c r="B15510">
        <v>2009</v>
      </c>
      <c r="C15510" t="s">
        <v>167</v>
      </c>
      <c r="D15510" t="s">
        <v>183</v>
      </c>
      <c r="E15510" t="s">
        <v>12</v>
      </c>
      <c r="F15510">
        <v>-0.2271200567483902</v>
      </c>
    </row>
    <row r="15511" spans="2:6">
      <c r="B15511">
        <v>2009</v>
      </c>
      <c r="C15511" t="s">
        <v>167</v>
      </c>
      <c r="D15511" t="s">
        <v>183</v>
      </c>
      <c r="E15511" t="s">
        <v>13</v>
      </c>
      <c r="F15511">
        <v>0.85288715362548828</v>
      </c>
    </row>
    <row r="15512" spans="2:6">
      <c r="B15512">
        <v>2009</v>
      </c>
      <c r="C15512" t="s">
        <v>167</v>
      </c>
      <c r="D15512" t="s">
        <v>183</v>
      </c>
      <c r="E15512" t="s">
        <v>14</v>
      </c>
      <c r="F15512">
        <v>0.59829503297805786</v>
      </c>
    </row>
    <row r="15513" spans="2:6">
      <c r="B15513">
        <v>2009</v>
      </c>
      <c r="C15513" t="s">
        <v>167</v>
      </c>
      <c r="D15513" t="s">
        <v>183</v>
      </c>
      <c r="E15513" t="s">
        <v>15</v>
      </c>
      <c r="F15513">
        <v>0.3163018524646759</v>
      </c>
    </row>
    <row r="15514" spans="2:6">
      <c r="B15514">
        <v>2010</v>
      </c>
      <c r="C15514" t="s">
        <v>167</v>
      </c>
      <c r="D15514" t="s">
        <v>183</v>
      </c>
      <c r="E15514" t="s">
        <v>7</v>
      </c>
      <c r="F15514">
        <v>5.4903473854064941</v>
      </c>
    </row>
    <row r="15515" spans="2:6">
      <c r="B15515">
        <v>2010</v>
      </c>
      <c r="C15515" t="s">
        <v>167</v>
      </c>
      <c r="D15515" t="s">
        <v>183</v>
      </c>
      <c r="E15515" t="s">
        <v>8</v>
      </c>
      <c r="F15515">
        <v>9.9055986404418945</v>
      </c>
    </row>
    <row r="15516" spans="2:6">
      <c r="B15516">
        <v>2010</v>
      </c>
      <c r="C15516" t="s">
        <v>167</v>
      </c>
      <c r="D15516" t="s">
        <v>183</v>
      </c>
      <c r="E15516" t="s">
        <v>9</v>
      </c>
      <c r="F15516">
        <v>0.79490548372268677</v>
      </c>
    </row>
    <row r="15517" spans="2:6">
      <c r="B15517">
        <v>2010</v>
      </c>
      <c r="C15517" t="s">
        <v>167</v>
      </c>
      <c r="D15517" t="s">
        <v>183</v>
      </c>
      <c r="E15517" t="s">
        <v>10</v>
      </c>
      <c r="F15517">
        <v>64.400001525878906</v>
      </c>
    </row>
    <row r="15518" spans="2:6">
      <c r="B15518">
        <v>2010</v>
      </c>
      <c r="C15518" t="s">
        <v>167</v>
      </c>
      <c r="D15518" t="s">
        <v>183</v>
      </c>
      <c r="E15518" t="s">
        <v>11</v>
      </c>
      <c r="F15518">
        <v>0.51492035388946533</v>
      </c>
    </row>
    <row r="15519" spans="2:6">
      <c r="B15519">
        <v>2010</v>
      </c>
      <c r="C15519" t="s">
        <v>167</v>
      </c>
      <c r="D15519" t="s">
        <v>183</v>
      </c>
      <c r="E15519" t="s">
        <v>12</v>
      </c>
      <c r="F15519">
        <v>-0.18719609081745148</v>
      </c>
    </row>
    <row r="15520" spans="2:6">
      <c r="B15520">
        <v>2010</v>
      </c>
      <c r="C15520" t="s">
        <v>167</v>
      </c>
      <c r="D15520" t="s">
        <v>183</v>
      </c>
      <c r="E15520" t="s">
        <v>13</v>
      </c>
      <c r="F15520">
        <v>0.81089574098587036</v>
      </c>
    </row>
    <row r="15521" spans="2:6">
      <c r="B15521">
        <v>2010</v>
      </c>
      <c r="C15521" t="s">
        <v>167</v>
      </c>
      <c r="D15521" t="s">
        <v>183</v>
      </c>
      <c r="E15521" t="s">
        <v>14</v>
      </c>
      <c r="F15521">
        <v>0.65179258584976196</v>
      </c>
    </row>
    <row r="15522" spans="2:6">
      <c r="B15522">
        <v>2010</v>
      </c>
      <c r="C15522" t="s">
        <v>167</v>
      </c>
      <c r="D15522" t="s">
        <v>183</v>
      </c>
      <c r="E15522" t="s">
        <v>15</v>
      </c>
      <c r="F15522">
        <v>0.32706597447395325</v>
      </c>
    </row>
    <row r="15523" spans="2:6">
      <c r="B15523">
        <v>2011</v>
      </c>
      <c r="C15523" t="s">
        <v>167</v>
      </c>
      <c r="D15523" t="s">
        <v>183</v>
      </c>
      <c r="E15523" t="s">
        <v>7</v>
      </c>
      <c r="F15523">
        <v>5.2719440460205078</v>
      </c>
    </row>
    <row r="15524" spans="2:6">
      <c r="B15524">
        <v>2011</v>
      </c>
      <c r="C15524" t="s">
        <v>167</v>
      </c>
      <c r="D15524" t="s">
        <v>183</v>
      </c>
      <c r="E15524" t="s">
        <v>8</v>
      </c>
      <c r="F15524">
        <v>9.9956560134887695</v>
      </c>
    </row>
    <row r="15525" spans="2:6">
      <c r="B15525">
        <v>2011</v>
      </c>
      <c r="C15525" t="s">
        <v>167</v>
      </c>
      <c r="D15525" t="s">
        <v>183</v>
      </c>
      <c r="E15525" t="s">
        <v>9</v>
      </c>
      <c r="F15525">
        <v>0.69190168380737305</v>
      </c>
    </row>
    <row r="15526" spans="2:6">
      <c r="B15526">
        <v>2011</v>
      </c>
      <c r="C15526" t="s">
        <v>167</v>
      </c>
      <c r="D15526" t="s">
        <v>183</v>
      </c>
      <c r="E15526" t="s">
        <v>10</v>
      </c>
      <c r="F15526">
        <v>64.639999389648438</v>
      </c>
    </row>
    <row r="15527" spans="2:6">
      <c r="B15527">
        <v>2011</v>
      </c>
      <c r="C15527" t="s">
        <v>167</v>
      </c>
      <c r="D15527" t="s">
        <v>183</v>
      </c>
      <c r="E15527" t="s">
        <v>11</v>
      </c>
      <c r="F15527">
        <v>0.44560664892196655</v>
      </c>
    </row>
    <row r="15528" spans="2:6">
      <c r="B15528">
        <v>2011</v>
      </c>
      <c r="C15528" t="s">
        <v>167</v>
      </c>
      <c r="D15528" t="s">
        <v>183</v>
      </c>
      <c r="E15528" t="s">
        <v>12</v>
      </c>
      <c r="F15528">
        <v>-0.24187363684177399</v>
      </c>
    </row>
    <row r="15529" spans="2:6">
      <c r="B15529">
        <v>2011</v>
      </c>
      <c r="C15529" t="s">
        <v>167</v>
      </c>
      <c r="D15529" t="s">
        <v>183</v>
      </c>
      <c r="E15529" t="s">
        <v>13</v>
      </c>
      <c r="F15529">
        <v>0.64859622716903687</v>
      </c>
    </row>
    <row r="15530" spans="2:6">
      <c r="B15530">
        <v>2011</v>
      </c>
      <c r="C15530" t="s">
        <v>167</v>
      </c>
      <c r="D15530" t="s">
        <v>183</v>
      </c>
      <c r="E15530" t="s">
        <v>14</v>
      </c>
      <c r="F15530">
        <v>0.62129330635070801</v>
      </c>
    </row>
    <row r="15531" spans="2:6">
      <c r="B15531">
        <v>2011</v>
      </c>
      <c r="C15531" t="s">
        <v>167</v>
      </c>
      <c r="D15531" t="s">
        <v>183</v>
      </c>
      <c r="E15531" t="s">
        <v>15</v>
      </c>
      <c r="F15531">
        <v>0.37978431582450867</v>
      </c>
    </row>
    <row r="15532" spans="2:6">
      <c r="B15532">
        <v>2012</v>
      </c>
      <c r="C15532" t="s">
        <v>167</v>
      </c>
      <c r="D15532" t="s">
        <v>183</v>
      </c>
      <c r="E15532" t="s">
        <v>7</v>
      </c>
      <c r="F15532">
        <v>5.3090763092041016</v>
      </c>
    </row>
    <row r="15533" spans="2:6">
      <c r="B15533">
        <v>2012</v>
      </c>
      <c r="C15533" t="s">
        <v>167</v>
      </c>
      <c r="D15533" t="s">
        <v>183</v>
      </c>
      <c r="E15533" t="s">
        <v>8</v>
      </c>
      <c r="F15533">
        <v>10.026114463806152</v>
      </c>
    </row>
    <row r="15534" spans="2:6">
      <c r="B15534">
        <v>2012</v>
      </c>
      <c r="C15534" t="s">
        <v>167</v>
      </c>
      <c r="D15534" t="s">
        <v>183</v>
      </c>
      <c r="E15534" t="s">
        <v>9</v>
      </c>
      <c r="F15534">
        <v>0.7392805814743042</v>
      </c>
    </row>
    <row r="15535" spans="2:6">
      <c r="B15535">
        <v>2012</v>
      </c>
      <c r="C15535" t="s">
        <v>167</v>
      </c>
      <c r="D15535" t="s">
        <v>183</v>
      </c>
      <c r="E15535" t="s">
        <v>10</v>
      </c>
      <c r="F15535">
        <v>64.879997253417969</v>
      </c>
    </row>
    <row r="15536" spans="2:6">
      <c r="B15536">
        <v>2012</v>
      </c>
      <c r="C15536" t="s">
        <v>167</v>
      </c>
      <c r="D15536" t="s">
        <v>183</v>
      </c>
      <c r="E15536" t="s">
        <v>11</v>
      </c>
      <c r="F15536">
        <v>0.47090321779251099</v>
      </c>
    </row>
    <row r="15537" spans="2:6">
      <c r="B15537">
        <v>2012</v>
      </c>
      <c r="C15537" t="s">
        <v>167</v>
      </c>
      <c r="D15537" t="s">
        <v>183</v>
      </c>
      <c r="E15537" t="s">
        <v>12</v>
      </c>
      <c r="F15537">
        <v>-0.21560513973236084</v>
      </c>
    </row>
    <row r="15538" spans="2:6">
      <c r="B15538">
        <v>2012</v>
      </c>
      <c r="C15538" t="s">
        <v>167</v>
      </c>
      <c r="D15538" t="s">
        <v>183</v>
      </c>
      <c r="E15538" t="s">
        <v>13</v>
      </c>
      <c r="F15538">
        <v>0.70185023546218872</v>
      </c>
    </row>
    <row r="15539" spans="2:6">
      <c r="B15539">
        <v>2012</v>
      </c>
      <c r="C15539" t="s">
        <v>167</v>
      </c>
      <c r="D15539" t="s">
        <v>183</v>
      </c>
      <c r="E15539" t="s">
        <v>14</v>
      </c>
      <c r="F15539">
        <v>0.64478105306625366</v>
      </c>
    </row>
    <row r="15540" spans="2:6">
      <c r="B15540">
        <v>2012</v>
      </c>
      <c r="C15540" t="s">
        <v>167</v>
      </c>
      <c r="D15540" t="s">
        <v>183</v>
      </c>
      <c r="E15540" t="s">
        <v>15</v>
      </c>
      <c r="F15540">
        <v>0.3348328173160553</v>
      </c>
    </row>
    <row r="15541" spans="2:6">
      <c r="B15541">
        <v>2013</v>
      </c>
      <c r="C15541" t="s">
        <v>167</v>
      </c>
      <c r="D15541" t="s">
        <v>183</v>
      </c>
      <c r="E15541" t="s">
        <v>7</v>
      </c>
      <c r="F15541">
        <v>4.8881773948669434</v>
      </c>
    </row>
    <row r="15542" spans="2:6">
      <c r="B15542">
        <v>2013</v>
      </c>
      <c r="C15542" t="s">
        <v>167</v>
      </c>
      <c r="D15542" t="s">
        <v>183</v>
      </c>
      <c r="E15542" t="s">
        <v>8</v>
      </c>
      <c r="F15542">
        <v>10.090672492980957</v>
      </c>
    </row>
    <row r="15543" spans="2:6">
      <c r="B15543">
        <v>2013</v>
      </c>
      <c r="C15543" t="s">
        <v>167</v>
      </c>
      <c r="D15543" t="s">
        <v>183</v>
      </c>
      <c r="E15543" t="s">
        <v>9</v>
      </c>
      <c r="F15543">
        <v>0.79545116424560547</v>
      </c>
    </row>
    <row r="15544" spans="2:6">
      <c r="B15544">
        <v>2013</v>
      </c>
      <c r="C15544" t="s">
        <v>167</v>
      </c>
      <c r="D15544" t="s">
        <v>183</v>
      </c>
      <c r="E15544" t="s">
        <v>10</v>
      </c>
      <c r="F15544">
        <v>65.120002746582031</v>
      </c>
    </row>
    <row r="15545" spans="2:6">
      <c r="B15545">
        <v>2013</v>
      </c>
      <c r="C15545" t="s">
        <v>167</v>
      </c>
      <c r="D15545" t="s">
        <v>183</v>
      </c>
      <c r="E15545" t="s">
        <v>11</v>
      </c>
      <c r="F15545">
        <v>0.54072338342666626</v>
      </c>
    </row>
    <row r="15546" spans="2:6">
      <c r="B15546">
        <v>2013</v>
      </c>
      <c r="C15546" t="s">
        <v>167</v>
      </c>
      <c r="D15546" t="s">
        <v>183</v>
      </c>
      <c r="E15546" t="s">
        <v>12</v>
      </c>
      <c r="F15546">
        <v>-0.22933900356292725</v>
      </c>
    </row>
    <row r="15547" spans="2:6">
      <c r="B15547">
        <v>2013</v>
      </c>
      <c r="C15547" t="s">
        <v>167</v>
      </c>
      <c r="D15547" t="s">
        <v>183</v>
      </c>
      <c r="E15547" t="s">
        <v>13</v>
      </c>
      <c r="F15547">
        <v>0.69806480407714844</v>
      </c>
    </row>
    <row r="15548" spans="2:6">
      <c r="B15548">
        <v>2013</v>
      </c>
      <c r="C15548" t="s">
        <v>167</v>
      </c>
      <c r="D15548" t="s">
        <v>183</v>
      </c>
      <c r="E15548" t="s">
        <v>14</v>
      </c>
      <c r="F15548">
        <v>0.63461536169052124</v>
      </c>
    </row>
    <row r="15549" spans="2:6">
      <c r="B15549">
        <v>2013</v>
      </c>
      <c r="C15549" t="s">
        <v>167</v>
      </c>
      <c r="D15549" t="s">
        <v>183</v>
      </c>
      <c r="E15549" t="s">
        <v>15</v>
      </c>
      <c r="F15549">
        <v>0.39187383651733398</v>
      </c>
    </row>
    <row r="15550" spans="2:6">
      <c r="B15550">
        <v>2014</v>
      </c>
      <c r="C15550" t="s">
        <v>167</v>
      </c>
      <c r="D15550" t="s">
        <v>183</v>
      </c>
      <c r="E15550" t="s">
        <v>7</v>
      </c>
      <c r="F15550">
        <v>5.5797944068908691</v>
      </c>
    </row>
    <row r="15551" spans="2:6">
      <c r="B15551">
        <v>2014</v>
      </c>
      <c r="C15551" t="s">
        <v>167</v>
      </c>
      <c r="D15551" t="s">
        <v>183</v>
      </c>
      <c r="E15551" t="s">
        <v>8</v>
      </c>
      <c r="F15551">
        <v>10.124029159545898</v>
      </c>
    </row>
    <row r="15552" spans="2:6">
      <c r="B15552">
        <v>2014</v>
      </c>
      <c r="C15552" t="s">
        <v>167</v>
      </c>
      <c r="D15552" t="s">
        <v>183</v>
      </c>
      <c r="E15552" t="s">
        <v>9</v>
      </c>
      <c r="F15552">
        <v>0.8632882833480835</v>
      </c>
    </row>
    <row r="15553" spans="2:6">
      <c r="B15553">
        <v>2014</v>
      </c>
      <c r="C15553" t="s">
        <v>167</v>
      </c>
      <c r="D15553" t="s">
        <v>183</v>
      </c>
      <c r="E15553" t="s">
        <v>10</v>
      </c>
      <c r="F15553">
        <v>65.360000610351563</v>
      </c>
    </row>
    <row r="15554" spans="2:6">
      <c r="B15554">
        <v>2014</v>
      </c>
      <c r="C15554" t="s">
        <v>167</v>
      </c>
      <c r="D15554" t="s">
        <v>183</v>
      </c>
      <c r="E15554" t="s">
        <v>11</v>
      </c>
      <c r="F15554">
        <v>0.6491960883140564</v>
      </c>
    </row>
    <row r="15555" spans="2:6">
      <c r="B15555">
        <v>2014</v>
      </c>
      <c r="C15555" t="s">
        <v>167</v>
      </c>
      <c r="D15555" t="s">
        <v>183</v>
      </c>
      <c r="E15555" t="s">
        <v>12</v>
      </c>
      <c r="F15555">
        <v>-2.3702450096607208E-2</v>
      </c>
    </row>
    <row r="15556" spans="2:6">
      <c r="B15556">
        <v>2014</v>
      </c>
      <c r="C15556" t="s">
        <v>167</v>
      </c>
      <c r="D15556" t="s">
        <v>183</v>
      </c>
      <c r="E15556" t="s">
        <v>13</v>
      </c>
      <c r="F15556">
        <v>0.76401352882385254</v>
      </c>
    </row>
    <row r="15557" spans="2:6">
      <c r="B15557">
        <v>2014</v>
      </c>
      <c r="C15557" t="s">
        <v>167</v>
      </c>
      <c r="D15557" t="s">
        <v>183</v>
      </c>
      <c r="E15557" t="s">
        <v>14</v>
      </c>
      <c r="F15557">
        <v>0.48335877060890198</v>
      </c>
    </row>
    <row r="15558" spans="2:6">
      <c r="B15558">
        <v>2014</v>
      </c>
      <c r="C15558" t="s">
        <v>167</v>
      </c>
      <c r="D15558" t="s">
        <v>183</v>
      </c>
      <c r="E15558" t="s">
        <v>15</v>
      </c>
      <c r="F15558">
        <v>0.37732493877410889</v>
      </c>
    </row>
    <row r="15559" spans="2:6">
      <c r="B15559">
        <v>2015</v>
      </c>
      <c r="C15559" t="s">
        <v>167</v>
      </c>
      <c r="D15559" t="s">
        <v>183</v>
      </c>
      <c r="E15559" t="s">
        <v>7</v>
      </c>
      <c r="F15559">
        <v>5.51446533203125</v>
      </c>
    </row>
    <row r="15560" spans="2:6">
      <c r="B15560">
        <v>2015</v>
      </c>
      <c r="C15560" t="s">
        <v>167</v>
      </c>
      <c r="D15560" t="s">
        <v>183</v>
      </c>
      <c r="E15560" t="s">
        <v>8</v>
      </c>
      <c r="F15560">
        <v>10.166447639465332</v>
      </c>
    </row>
    <row r="15561" spans="2:6">
      <c r="B15561">
        <v>2015</v>
      </c>
      <c r="C15561" t="s">
        <v>167</v>
      </c>
      <c r="D15561" t="s">
        <v>183</v>
      </c>
      <c r="E15561" t="s">
        <v>9</v>
      </c>
      <c r="F15561">
        <v>0.85122460126876831</v>
      </c>
    </row>
    <row r="15562" spans="2:6">
      <c r="B15562">
        <v>2015</v>
      </c>
      <c r="C15562" t="s">
        <v>167</v>
      </c>
      <c r="D15562" t="s">
        <v>183</v>
      </c>
      <c r="E15562" t="s">
        <v>10</v>
      </c>
      <c r="F15562">
        <v>65.599998474121094</v>
      </c>
    </row>
    <row r="15563" spans="2:6">
      <c r="B15563">
        <v>2015</v>
      </c>
      <c r="C15563" t="s">
        <v>167</v>
      </c>
      <c r="D15563" t="s">
        <v>183</v>
      </c>
      <c r="E15563" t="s">
        <v>11</v>
      </c>
      <c r="F15563">
        <v>0.65319675207138062</v>
      </c>
    </row>
    <row r="15564" spans="2:6">
      <c r="B15564">
        <v>2015</v>
      </c>
      <c r="C15564" t="s">
        <v>167</v>
      </c>
      <c r="D15564" t="s">
        <v>183</v>
      </c>
      <c r="E15564" t="s">
        <v>12</v>
      </c>
      <c r="F15564">
        <v>-1.6285767778754234E-2</v>
      </c>
    </row>
    <row r="15565" spans="2:6">
      <c r="B15565">
        <v>2015</v>
      </c>
      <c r="C15565" t="s">
        <v>167</v>
      </c>
      <c r="D15565" t="s">
        <v>183</v>
      </c>
      <c r="E15565" t="s">
        <v>13</v>
      </c>
      <c r="F15565">
        <v>0.80607622861862183</v>
      </c>
    </row>
    <row r="15566" spans="2:6">
      <c r="B15566">
        <v>2015</v>
      </c>
      <c r="C15566" t="s">
        <v>167</v>
      </c>
      <c r="D15566" t="s">
        <v>183</v>
      </c>
      <c r="E15566" t="s">
        <v>14</v>
      </c>
      <c r="F15566">
        <v>0.4602455198764801</v>
      </c>
    </row>
    <row r="15567" spans="2:6">
      <c r="B15567">
        <v>2015</v>
      </c>
      <c r="C15567" t="s">
        <v>167</v>
      </c>
      <c r="D15567" t="s">
        <v>183</v>
      </c>
      <c r="E15567" t="s">
        <v>15</v>
      </c>
      <c r="F15567">
        <v>0.38229098916053772</v>
      </c>
    </row>
    <row r="15568" spans="2:6">
      <c r="B15568">
        <v>2016</v>
      </c>
      <c r="C15568" t="s">
        <v>167</v>
      </c>
      <c r="D15568" t="s">
        <v>183</v>
      </c>
      <c r="E15568" t="s">
        <v>7</v>
      </c>
      <c r="F15568">
        <v>5.3262219429016113</v>
      </c>
    </row>
    <row r="15569" spans="2:6">
      <c r="B15569">
        <v>2016</v>
      </c>
      <c r="C15569" t="s">
        <v>167</v>
      </c>
      <c r="D15569" t="s">
        <v>183</v>
      </c>
      <c r="E15569" t="s">
        <v>8</v>
      </c>
      <c r="F15569">
        <v>10.181467056274414</v>
      </c>
    </row>
    <row r="15570" spans="2:6">
      <c r="B15570">
        <v>2016</v>
      </c>
      <c r="C15570" t="s">
        <v>167</v>
      </c>
      <c r="D15570" t="s">
        <v>183</v>
      </c>
      <c r="E15570" t="s">
        <v>9</v>
      </c>
      <c r="F15570">
        <v>0.87999463081359863</v>
      </c>
    </row>
    <row r="15571" spans="2:6">
      <c r="B15571">
        <v>2016</v>
      </c>
      <c r="C15571" t="s">
        <v>167</v>
      </c>
      <c r="D15571" t="s">
        <v>183</v>
      </c>
      <c r="E15571" t="s">
        <v>10</v>
      </c>
      <c r="F15571">
        <v>66</v>
      </c>
    </row>
    <row r="15572" spans="2:6">
      <c r="B15572">
        <v>2016</v>
      </c>
      <c r="C15572" t="s">
        <v>167</v>
      </c>
      <c r="D15572" t="s">
        <v>183</v>
      </c>
      <c r="E15572" t="s">
        <v>11</v>
      </c>
      <c r="F15572">
        <v>0.64414674043655396</v>
      </c>
    </row>
    <row r="15573" spans="2:6">
      <c r="B15573">
        <v>2016</v>
      </c>
      <c r="C15573" t="s">
        <v>167</v>
      </c>
      <c r="D15573" t="s">
        <v>183</v>
      </c>
      <c r="E15573" t="s">
        <v>12</v>
      </c>
      <c r="F15573">
        <v>-6.5028958022594452E-2</v>
      </c>
    </row>
    <row r="15574" spans="2:6">
      <c r="B15574">
        <v>2016</v>
      </c>
      <c r="C15574" t="s">
        <v>167</v>
      </c>
      <c r="D15574" t="s">
        <v>183</v>
      </c>
      <c r="E15574" t="s">
        <v>13</v>
      </c>
      <c r="F15574">
        <v>0.76370656490325928</v>
      </c>
    </row>
    <row r="15575" spans="2:6">
      <c r="B15575">
        <v>2016</v>
      </c>
      <c r="C15575" t="s">
        <v>167</v>
      </c>
      <c r="D15575" t="s">
        <v>183</v>
      </c>
      <c r="E15575" t="s">
        <v>14</v>
      </c>
      <c r="F15575">
        <v>0.46515065431594849</v>
      </c>
    </row>
    <row r="15576" spans="2:6">
      <c r="B15576">
        <v>2016</v>
      </c>
      <c r="C15576" t="s">
        <v>167</v>
      </c>
      <c r="D15576" t="s">
        <v>183</v>
      </c>
      <c r="E15576" t="s">
        <v>15</v>
      </c>
      <c r="F15576">
        <v>0.38996294140815735</v>
      </c>
    </row>
    <row r="15577" spans="2:6">
      <c r="B15577">
        <v>2017</v>
      </c>
      <c r="C15577" t="s">
        <v>167</v>
      </c>
      <c r="D15577" t="s">
        <v>183</v>
      </c>
      <c r="E15577" t="s">
        <v>7</v>
      </c>
      <c r="F15577">
        <v>5.607262134552002</v>
      </c>
    </row>
    <row r="15578" spans="2:6">
      <c r="B15578">
        <v>2017</v>
      </c>
      <c r="C15578" t="s">
        <v>167</v>
      </c>
      <c r="D15578" t="s">
        <v>183</v>
      </c>
      <c r="E15578" t="s">
        <v>8</v>
      </c>
      <c r="F15578">
        <v>10.237606048583984</v>
      </c>
    </row>
    <row r="15579" spans="2:6">
      <c r="B15579">
        <v>2017</v>
      </c>
      <c r="C15579" t="s">
        <v>167</v>
      </c>
      <c r="D15579" t="s">
        <v>183</v>
      </c>
      <c r="E15579" t="s">
        <v>9</v>
      </c>
      <c r="F15579">
        <v>0.87646782398223877</v>
      </c>
    </row>
    <row r="15580" spans="2:6">
      <c r="B15580">
        <v>2017</v>
      </c>
      <c r="C15580" t="s">
        <v>167</v>
      </c>
      <c r="D15580" t="s">
        <v>183</v>
      </c>
      <c r="E15580" t="s">
        <v>10</v>
      </c>
      <c r="F15580">
        <v>66.400001525878906</v>
      </c>
    </row>
    <row r="15581" spans="2:6">
      <c r="B15581">
        <v>2017</v>
      </c>
      <c r="C15581" t="s">
        <v>167</v>
      </c>
      <c r="D15581" t="s">
        <v>183</v>
      </c>
      <c r="E15581" t="s">
        <v>11</v>
      </c>
      <c r="F15581">
        <v>0.64443421363830566</v>
      </c>
    </row>
    <row r="15582" spans="2:6">
      <c r="B15582">
        <v>2017</v>
      </c>
      <c r="C15582" t="s">
        <v>167</v>
      </c>
      <c r="D15582" t="s">
        <v>183</v>
      </c>
      <c r="E15582" t="s">
        <v>12</v>
      </c>
      <c r="F15582">
        <v>-0.23721051216125488</v>
      </c>
    </row>
    <row r="15583" spans="2:6">
      <c r="B15583">
        <v>2017</v>
      </c>
      <c r="C15583" t="s">
        <v>167</v>
      </c>
      <c r="D15583" t="s">
        <v>183</v>
      </c>
      <c r="E15583" t="s">
        <v>13</v>
      </c>
      <c r="F15583">
        <v>0.6709105372428894</v>
      </c>
    </row>
    <row r="15584" spans="2:6">
      <c r="B15584">
        <v>2017</v>
      </c>
      <c r="C15584" t="s">
        <v>167</v>
      </c>
      <c r="D15584" t="s">
        <v>183</v>
      </c>
      <c r="E15584" t="s">
        <v>14</v>
      </c>
      <c r="F15584">
        <v>0.44980090856552124</v>
      </c>
    </row>
    <row r="15585" spans="2:6">
      <c r="B15585">
        <v>2017</v>
      </c>
      <c r="C15585" t="s">
        <v>167</v>
      </c>
      <c r="D15585" t="s">
        <v>183</v>
      </c>
      <c r="E15585" t="s">
        <v>15</v>
      </c>
      <c r="F15585">
        <v>0.31284612417221069</v>
      </c>
    </row>
    <row r="15586" spans="2:6">
      <c r="B15586">
        <v>2018</v>
      </c>
      <c r="C15586" t="s">
        <v>167</v>
      </c>
      <c r="D15586" t="s">
        <v>183</v>
      </c>
      <c r="E15586" t="s">
        <v>7</v>
      </c>
      <c r="F15586">
        <v>5.1856894493103027</v>
      </c>
    </row>
    <row r="15587" spans="2:6">
      <c r="B15587">
        <v>2018</v>
      </c>
      <c r="C15587" t="s">
        <v>167</v>
      </c>
      <c r="D15587" t="s">
        <v>183</v>
      </c>
      <c r="E15587" t="s">
        <v>8</v>
      </c>
      <c r="F15587">
        <v>10.250576972961426</v>
      </c>
    </row>
    <row r="15588" spans="2:6">
      <c r="B15588">
        <v>2018</v>
      </c>
      <c r="C15588" t="s">
        <v>167</v>
      </c>
      <c r="D15588" t="s">
        <v>183</v>
      </c>
      <c r="E15588" t="s">
        <v>9</v>
      </c>
      <c r="F15588">
        <v>0.84702730178833008</v>
      </c>
    </row>
    <row r="15589" spans="2:6">
      <c r="B15589">
        <v>2018</v>
      </c>
      <c r="C15589" t="s">
        <v>167</v>
      </c>
      <c r="D15589" t="s">
        <v>183</v>
      </c>
      <c r="E15589" t="s">
        <v>10</v>
      </c>
      <c r="F15589">
        <v>66.800003051757813</v>
      </c>
    </row>
    <row r="15590" spans="2:6">
      <c r="B15590">
        <v>2018</v>
      </c>
      <c r="C15590" t="s">
        <v>167</v>
      </c>
      <c r="D15590" t="s">
        <v>183</v>
      </c>
      <c r="E15590" t="s">
        <v>11</v>
      </c>
      <c r="F15590">
        <v>0.52862906455993652</v>
      </c>
    </row>
    <row r="15591" spans="2:6">
      <c r="B15591">
        <v>2018</v>
      </c>
      <c r="C15591" t="s">
        <v>167</v>
      </c>
      <c r="D15591" t="s">
        <v>183</v>
      </c>
      <c r="E15591" t="s">
        <v>12</v>
      </c>
      <c r="F15591">
        <v>-0.17557619512081146</v>
      </c>
    </row>
    <row r="15592" spans="2:6">
      <c r="B15592">
        <v>2018</v>
      </c>
      <c r="C15592" t="s">
        <v>167</v>
      </c>
      <c r="D15592" t="s">
        <v>183</v>
      </c>
      <c r="E15592" t="s">
        <v>13</v>
      </c>
      <c r="F15592">
        <v>0.80487853288650513</v>
      </c>
    </row>
    <row r="15593" spans="2:6">
      <c r="B15593">
        <v>2018</v>
      </c>
      <c r="C15593" t="s">
        <v>167</v>
      </c>
      <c r="D15593" t="s">
        <v>183</v>
      </c>
      <c r="E15593" t="s">
        <v>14</v>
      </c>
      <c r="F15593">
        <v>0.43465429544448853</v>
      </c>
    </row>
    <row r="15594" spans="2:6">
      <c r="B15594">
        <v>2018</v>
      </c>
      <c r="C15594" t="s">
        <v>167</v>
      </c>
      <c r="D15594" t="s">
        <v>183</v>
      </c>
      <c r="E15594" t="s">
        <v>15</v>
      </c>
      <c r="F15594">
        <v>0.35077309608459473</v>
      </c>
    </row>
    <row r="15595" spans="2:6">
      <c r="B15595">
        <v>2019</v>
      </c>
      <c r="C15595" t="s">
        <v>167</v>
      </c>
      <c r="D15595" t="s">
        <v>183</v>
      </c>
      <c r="E15595" t="s">
        <v>7</v>
      </c>
      <c r="F15595">
        <v>4.8720736503601074</v>
      </c>
    </row>
    <row r="15596" spans="2:6">
      <c r="B15596">
        <v>2019</v>
      </c>
      <c r="C15596" t="s">
        <v>167</v>
      </c>
      <c r="D15596" t="s">
        <v>183</v>
      </c>
      <c r="E15596" t="s">
        <v>8</v>
      </c>
      <c r="F15596">
        <v>10.245920181274414</v>
      </c>
    </row>
    <row r="15597" spans="2:6">
      <c r="B15597">
        <v>2019</v>
      </c>
      <c r="C15597" t="s">
        <v>167</v>
      </c>
      <c r="D15597" t="s">
        <v>183</v>
      </c>
      <c r="E15597" t="s">
        <v>9</v>
      </c>
      <c r="F15597">
        <v>0.79165619611740112</v>
      </c>
    </row>
    <row r="15598" spans="2:6">
      <c r="B15598">
        <v>2019</v>
      </c>
      <c r="C15598" t="s">
        <v>167</v>
      </c>
      <c r="D15598" t="s">
        <v>183</v>
      </c>
      <c r="E15598" t="s">
        <v>10</v>
      </c>
      <c r="F15598">
        <v>67.199996948242188</v>
      </c>
    </row>
    <row r="15599" spans="2:6">
      <c r="B15599">
        <v>2019</v>
      </c>
      <c r="C15599" t="s">
        <v>167</v>
      </c>
      <c r="D15599" t="s">
        <v>183</v>
      </c>
      <c r="E15599" t="s">
        <v>11</v>
      </c>
      <c r="F15599">
        <v>0.63108378648757935</v>
      </c>
    </row>
    <row r="15600" spans="2:6">
      <c r="B15600">
        <v>2019</v>
      </c>
      <c r="C15600" t="s">
        <v>167</v>
      </c>
      <c r="D15600" t="s">
        <v>183</v>
      </c>
      <c r="E15600" t="s">
        <v>12</v>
      </c>
      <c r="F15600">
        <v>-0.13558274507522583</v>
      </c>
    </row>
    <row r="15601" spans="2:6">
      <c r="B15601">
        <v>2019</v>
      </c>
      <c r="C15601" t="s">
        <v>167</v>
      </c>
      <c r="D15601" t="s">
        <v>183</v>
      </c>
      <c r="E15601" t="s">
        <v>13</v>
      </c>
      <c r="F15601">
        <v>0.76044219732284546</v>
      </c>
    </row>
    <row r="15602" spans="2:6">
      <c r="B15602">
        <v>2019</v>
      </c>
      <c r="C15602" t="s">
        <v>167</v>
      </c>
      <c r="D15602" t="s">
        <v>183</v>
      </c>
      <c r="E15602" t="s">
        <v>14</v>
      </c>
      <c r="F15602">
        <v>0.42222747206687927</v>
      </c>
    </row>
    <row r="15603" spans="2:6">
      <c r="B15603">
        <v>2019</v>
      </c>
      <c r="C15603" t="s">
        <v>167</v>
      </c>
      <c r="D15603" t="s">
        <v>183</v>
      </c>
      <c r="E15603" t="s">
        <v>15</v>
      </c>
      <c r="F15603">
        <v>0.36808866262435913</v>
      </c>
    </row>
    <row r="15604" spans="2:6">
      <c r="B15604">
        <v>2020</v>
      </c>
      <c r="C15604" t="s">
        <v>167</v>
      </c>
      <c r="D15604" t="s">
        <v>183</v>
      </c>
      <c r="E15604" t="s">
        <v>7</v>
      </c>
      <c r="F15604">
        <v>4.8615541458129883</v>
      </c>
    </row>
    <row r="15605" spans="2:6">
      <c r="B15605">
        <v>2020</v>
      </c>
      <c r="C15605" t="s">
        <v>167</v>
      </c>
      <c r="D15605" t="s">
        <v>183</v>
      </c>
      <c r="E15605" t="s">
        <v>8</v>
      </c>
      <c r="F15605">
        <v>10.219083786010742</v>
      </c>
    </row>
    <row r="15606" spans="2:6">
      <c r="B15606">
        <v>2020</v>
      </c>
      <c r="C15606" t="s">
        <v>167</v>
      </c>
      <c r="D15606" t="s">
        <v>183</v>
      </c>
      <c r="E15606" t="s">
        <v>9</v>
      </c>
      <c r="F15606">
        <v>0.85673022270202637</v>
      </c>
    </row>
    <row r="15607" spans="2:6">
      <c r="B15607">
        <v>2020</v>
      </c>
      <c r="C15607" t="s">
        <v>167</v>
      </c>
      <c r="D15607" t="s">
        <v>183</v>
      </c>
      <c r="E15607" t="s">
        <v>10</v>
      </c>
      <c r="F15607">
        <v>67.599998474121094</v>
      </c>
    </row>
    <row r="15608" spans="2:6">
      <c r="B15608">
        <v>2020</v>
      </c>
      <c r="C15608" t="s">
        <v>167</v>
      </c>
      <c r="D15608" t="s">
        <v>183</v>
      </c>
      <c r="E15608" t="s">
        <v>11</v>
      </c>
      <c r="F15608">
        <v>0.51038587093353271</v>
      </c>
    </row>
    <row r="15609" spans="2:6">
      <c r="B15609">
        <v>2020</v>
      </c>
      <c r="C15609" t="s">
        <v>167</v>
      </c>
      <c r="D15609" t="s">
        <v>183</v>
      </c>
      <c r="E15609" t="s">
        <v>12</v>
      </c>
      <c r="F15609">
        <v>-0.11088898777961731</v>
      </c>
    </row>
    <row r="15610" spans="2:6">
      <c r="B15610">
        <v>2020</v>
      </c>
      <c r="C15610" t="s">
        <v>167</v>
      </c>
      <c r="D15610" t="s">
        <v>183</v>
      </c>
      <c r="E15610" t="s">
        <v>13</v>
      </c>
      <c r="F15610">
        <v>0.77441716194152832</v>
      </c>
    </row>
    <row r="15611" spans="2:6">
      <c r="B15611">
        <v>2020</v>
      </c>
      <c r="C15611" t="s">
        <v>167</v>
      </c>
      <c r="D15611" t="s">
        <v>183</v>
      </c>
      <c r="E15611" t="s">
        <v>14</v>
      </c>
      <c r="F15611">
        <v>0.38429245352745056</v>
      </c>
    </row>
    <row r="15612" spans="2:6">
      <c r="B15612">
        <v>2020</v>
      </c>
      <c r="C15612" t="s">
        <v>167</v>
      </c>
      <c r="D15612" t="s">
        <v>183</v>
      </c>
      <c r="E15612" t="s">
        <v>15</v>
      </c>
      <c r="F15612">
        <v>0.4403873085975647</v>
      </c>
    </row>
    <row r="15613" spans="2:6">
      <c r="B15613">
        <v>2009</v>
      </c>
      <c r="C15613" t="s">
        <v>168</v>
      </c>
      <c r="D15613" t="s">
        <v>182</v>
      </c>
      <c r="E15613" t="s">
        <v>7</v>
      </c>
      <c r="F15613">
        <v>6.5677132606506348</v>
      </c>
    </row>
    <row r="15614" spans="2:6">
      <c r="B15614">
        <v>2009</v>
      </c>
      <c r="C15614" t="s">
        <v>168</v>
      </c>
      <c r="D15614" t="s">
        <v>182</v>
      </c>
      <c r="E15614" t="s">
        <v>8</v>
      </c>
      <c r="F15614">
        <v>8.989171028137207</v>
      </c>
    </row>
    <row r="15615" spans="2:6">
      <c r="B15615">
        <v>2009</v>
      </c>
      <c r="C15615" t="s">
        <v>168</v>
      </c>
      <c r="D15615" t="s">
        <v>182</v>
      </c>
      <c r="E15615" t="s">
        <v>9</v>
      </c>
      <c r="F15615">
        <v>0.92384564876556396</v>
      </c>
    </row>
    <row r="15616" spans="2:6">
      <c r="B15616">
        <v>2009</v>
      </c>
      <c r="C15616" t="s">
        <v>168</v>
      </c>
      <c r="D15616" t="s">
        <v>182</v>
      </c>
      <c r="E15616" t="s">
        <v>10</v>
      </c>
      <c r="F15616">
        <v>59.439998626708984</v>
      </c>
    </row>
    <row r="15617" spans="2:6">
      <c r="B15617">
        <v>2009</v>
      </c>
      <c r="C15617" t="s">
        <v>168</v>
      </c>
      <c r="D15617" t="s">
        <v>182</v>
      </c>
      <c r="E15617" t="s">
        <v>12</v>
      </c>
      <c r="F15617">
        <v>-0.10168436169624329</v>
      </c>
    </row>
    <row r="15618" spans="2:6">
      <c r="B15618">
        <v>2009</v>
      </c>
      <c r="C15618" t="s">
        <v>168</v>
      </c>
      <c r="D15618" t="s">
        <v>182</v>
      </c>
      <c r="E15618" t="s">
        <v>14</v>
      </c>
      <c r="F15618">
        <v>0.78076964616775513</v>
      </c>
    </row>
    <row r="15619" spans="2:6">
      <c r="B15619">
        <v>2009</v>
      </c>
      <c r="C15619" t="s">
        <v>168</v>
      </c>
      <c r="D15619" t="s">
        <v>182</v>
      </c>
      <c r="E15619" t="s">
        <v>15</v>
      </c>
      <c r="F15619">
        <v>0.15158361196517944</v>
      </c>
    </row>
    <row r="15620" spans="2:6">
      <c r="B15620">
        <v>2011</v>
      </c>
      <c r="C15620" t="s">
        <v>168</v>
      </c>
      <c r="D15620" t="s">
        <v>182</v>
      </c>
      <c r="E15620" t="s">
        <v>7</v>
      </c>
      <c r="F15620">
        <v>5.7917547225952148</v>
      </c>
    </row>
    <row r="15621" spans="2:6">
      <c r="B15621">
        <v>2011</v>
      </c>
      <c r="C15621" t="s">
        <v>168</v>
      </c>
      <c r="D15621" t="s">
        <v>182</v>
      </c>
      <c r="E15621" t="s">
        <v>8</v>
      </c>
      <c r="F15621">
        <v>9.181696891784668</v>
      </c>
    </row>
    <row r="15622" spans="2:6">
      <c r="B15622">
        <v>2011</v>
      </c>
      <c r="C15622" t="s">
        <v>168</v>
      </c>
      <c r="D15622" t="s">
        <v>182</v>
      </c>
      <c r="E15622" t="s">
        <v>9</v>
      </c>
      <c r="F15622">
        <v>0.96441870927810669</v>
      </c>
    </row>
    <row r="15623" spans="2:6">
      <c r="B15623">
        <v>2011</v>
      </c>
      <c r="C15623" t="s">
        <v>168</v>
      </c>
      <c r="D15623" t="s">
        <v>182</v>
      </c>
      <c r="E15623" t="s">
        <v>10</v>
      </c>
      <c r="F15623">
        <v>60.040000915527344</v>
      </c>
    </row>
    <row r="15624" spans="2:6">
      <c r="B15624">
        <v>2011</v>
      </c>
      <c r="C15624" t="s">
        <v>168</v>
      </c>
      <c r="D15624" t="s">
        <v>182</v>
      </c>
      <c r="E15624" t="s">
        <v>12</v>
      </c>
      <c r="F15624">
        <v>1.8397098407149315E-2</v>
      </c>
    </row>
    <row r="15625" spans="2:6">
      <c r="B15625">
        <v>2011</v>
      </c>
      <c r="C15625" t="s">
        <v>168</v>
      </c>
      <c r="D15625" t="s">
        <v>182</v>
      </c>
      <c r="E15625" t="s">
        <v>14</v>
      </c>
      <c r="F15625">
        <v>0.63903272151947021</v>
      </c>
    </row>
    <row r="15626" spans="2:6">
      <c r="B15626">
        <v>2011</v>
      </c>
      <c r="C15626" t="s">
        <v>168</v>
      </c>
      <c r="D15626" t="s">
        <v>182</v>
      </c>
      <c r="E15626" t="s">
        <v>15</v>
      </c>
      <c r="F15626">
        <v>0.12206799536943436</v>
      </c>
    </row>
    <row r="15627" spans="2:6">
      <c r="B15627">
        <v>2012</v>
      </c>
      <c r="C15627" t="s">
        <v>168</v>
      </c>
      <c r="D15627" t="s">
        <v>182</v>
      </c>
      <c r="E15627" t="s">
        <v>7</v>
      </c>
      <c r="F15627">
        <v>5.4638271331787109</v>
      </c>
    </row>
    <row r="15628" spans="2:6">
      <c r="B15628">
        <v>2012</v>
      </c>
      <c r="C15628" t="s">
        <v>168</v>
      </c>
      <c r="D15628" t="s">
        <v>182</v>
      </c>
      <c r="E15628" t="s">
        <v>8</v>
      </c>
      <c r="F15628">
        <v>9.2689876556396484</v>
      </c>
    </row>
    <row r="15629" spans="2:6">
      <c r="B15629">
        <v>2012</v>
      </c>
      <c r="C15629" t="s">
        <v>168</v>
      </c>
      <c r="D15629" t="s">
        <v>182</v>
      </c>
      <c r="E15629" t="s">
        <v>9</v>
      </c>
      <c r="F15629">
        <v>0.94584125280380249</v>
      </c>
    </row>
    <row r="15630" spans="2:6">
      <c r="B15630">
        <v>2012</v>
      </c>
      <c r="C15630" t="s">
        <v>168</v>
      </c>
      <c r="D15630" t="s">
        <v>182</v>
      </c>
      <c r="E15630" t="s">
        <v>10</v>
      </c>
      <c r="F15630">
        <v>60.279998779296875</v>
      </c>
    </row>
    <row r="15631" spans="2:6">
      <c r="B15631">
        <v>2012</v>
      </c>
      <c r="C15631" t="s">
        <v>168</v>
      </c>
      <c r="D15631" t="s">
        <v>182</v>
      </c>
      <c r="E15631" t="s">
        <v>11</v>
      </c>
      <c r="F15631">
        <v>0.78556334972381592</v>
      </c>
    </row>
    <row r="15632" spans="2:6">
      <c r="B15632">
        <v>2012</v>
      </c>
      <c r="C15632" t="s">
        <v>168</v>
      </c>
      <c r="D15632" t="s">
        <v>182</v>
      </c>
      <c r="E15632" t="s">
        <v>12</v>
      </c>
      <c r="F15632">
        <v>-0.1228119432926178</v>
      </c>
    </row>
    <row r="15633" spans="2:6">
      <c r="B15633">
        <v>2012</v>
      </c>
      <c r="C15633" t="s">
        <v>168</v>
      </c>
      <c r="D15633" t="s">
        <v>182</v>
      </c>
      <c r="E15633" t="s">
        <v>14</v>
      </c>
      <c r="F15633">
        <v>0.58444833755493164</v>
      </c>
    </row>
    <row r="15634" spans="2:6">
      <c r="B15634">
        <v>2012</v>
      </c>
      <c r="C15634" t="s">
        <v>168</v>
      </c>
      <c r="D15634" t="s">
        <v>182</v>
      </c>
      <c r="E15634" t="s">
        <v>15</v>
      </c>
      <c r="F15634">
        <v>0.11688069999217987</v>
      </c>
    </row>
    <row r="15635" spans="2:6">
      <c r="B15635">
        <v>2013</v>
      </c>
      <c r="C15635" t="s">
        <v>168</v>
      </c>
      <c r="D15635" t="s">
        <v>182</v>
      </c>
      <c r="E15635" t="s">
        <v>7</v>
      </c>
      <c r="F15635">
        <v>5.3917627334594727</v>
      </c>
    </row>
    <row r="15636" spans="2:6">
      <c r="B15636">
        <v>2013</v>
      </c>
      <c r="C15636" t="s">
        <v>168</v>
      </c>
      <c r="D15636" t="s">
        <v>182</v>
      </c>
      <c r="E15636" t="s">
        <v>8</v>
      </c>
      <c r="F15636">
        <v>9.3475933074951172</v>
      </c>
    </row>
    <row r="15637" spans="2:6">
      <c r="B15637">
        <v>2013</v>
      </c>
      <c r="C15637" t="s">
        <v>168</v>
      </c>
      <c r="D15637" t="s">
        <v>182</v>
      </c>
      <c r="E15637" t="s">
        <v>9</v>
      </c>
      <c r="F15637">
        <v>0.8457331657409668</v>
      </c>
    </row>
    <row r="15638" spans="2:6">
      <c r="B15638">
        <v>2013</v>
      </c>
      <c r="C15638" t="s">
        <v>168</v>
      </c>
      <c r="D15638" t="s">
        <v>182</v>
      </c>
      <c r="E15638" t="s">
        <v>10</v>
      </c>
      <c r="F15638">
        <v>60.520000457763672</v>
      </c>
    </row>
    <row r="15639" spans="2:6">
      <c r="B15639">
        <v>2013</v>
      </c>
      <c r="C15639" t="s">
        <v>168</v>
      </c>
      <c r="D15639" t="s">
        <v>182</v>
      </c>
      <c r="E15639" t="s">
        <v>11</v>
      </c>
      <c r="F15639">
        <v>0.70452946424484253</v>
      </c>
    </row>
    <row r="15640" spans="2:6">
      <c r="B15640">
        <v>2013</v>
      </c>
      <c r="C15640" t="s">
        <v>168</v>
      </c>
      <c r="D15640" t="s">
        <v>182</v>
      </c>
      <c r="E15640" t="s">
        <v>12</v>
      </c>
      <c r="F15640">
        <v>-7.1448177099227905E-2</v>
      </c>
    </row>
    <row r="15641" spans="2:6">
      <c r="B15641">
        <v>2013</v>
      </c>
      <c r="C15641" t="s">
        <v>168</v>
      </c>
      <c r="D15641" t="s">
        <v>182</v>
      </c>
      <c r="E15641" t="s">
        <v>14</v>
      </c>
      <c r="F15641">
        <v>0.59871596097946167</v>
      </c>
    </row>
    <row r="15642" spans="2:6">
      <c r="B15642">
        <v>2013</v>
      </c>
      <c r="C15642" t="s">
        <v>168</v>
      </c>
      <c r="D15642" t="s">
        <v>182</v>
      </c>
      <c r="E15642" t="s">
        <v>15</v>
      </c>
      <c r="F15642">
        <v>0.15960615873336792</v>
      </c>
    </row>
    <row r="15643" spans="2:6">
      <c r="B15643">
        <v>2014</v>
      </c>
      <c r="C15643" t="s">
        <v>168</v>
      </c>
      <c r="D15643" t="s">
        <v>182</v>
      </c>
      <c r="E15643" t="s">
        <v>7</v>
      </c>
      <c r="F15643">
        <v>5.787379264831543</v>
      </c>
    </row>
    <row r="15644" spans="2:6">
      <c r="B15644">
        <v>2014</v>
      </c>
      <c r="C15644" t="s">
        <v>168</v>
      </c>
      <c r="D15644" t="s">
        <v>182</v>
      </c>
      <c r="E15644" t="s">
        <v>8</v>
      </c>
      <c r="F15644">
        <v>9.4271726608276367</v>
      </c>
    </row>
    <row r="15645" spans="2:6">
      <c r="B15645">
        <v>2014</v>
      </c>
      <c r="C15645" t="s">
        <v>168</v>
      </c>
      <c r="D15645" t="s">
        <v>182</v>
      </c>
      <c r="E15645" t="s">
        <v>9</v>
      </c>
      <c r="F15645">
        <v>0.90892744064331055</v>
      </c>
    </row>
    <row r="15646" spans="2:6">
      <c r="B15646">
        <v>2014</v>
      </c>
      <c r="C15646" t="s">
        <v>168</v>
      </c>
      <c r="D15646" t="s">
        <v>182</v>
      </c>
      <c r="E15646" t="s">
        <v>10</v>
      </c>
      <c r="F15646">
        <v>60.759998321533203</v>
      </c>
    </row>
    <row r="15647" spans="2:6">
      <c r="B15647">
        <v>2014</v>
      </c>
      <c r="C15647" t="s">
        <v>168</v>
      </c>
      <c r="D15647" t="s">
        <v>182</v>
      </c>
      <c r="E15647" t="s">
        <v>11</v>
      </c>
      <c r="F15647">
        <v>0.80467808246612549</v>
      </c>
    </row>
    <row r="15648" spans="2:6">
      <c r="B15648">
        <v>2014</v>
      </c>
      <c r="C15648" t="s">
        <v>168</v>
      </c>
      <c r="D15648" t="s">
        <v>182</v>
      </c>
      <c r="E15648" t="s">
        <v>12</v>
      </c>
      <c r="F15648">
        <v>3.1970910727977753E-2</v>
      </c>
    </row>
    <row r="15649" spans="2:6">
      <c r="B15649">
        <v>2014</v>
      </c>
      <c r="C15649" t="s">
        <v>168</v>
      </c>
      <c r="D15649" t="s">
        <v>182</v>
      </c>
      <c r="E15649" t="s">
        <v>14</v>
      </c>
      <c r="F15649">
        <v>0.69521623849868774</v>
      </c>
    </row>
    <row r="15650" spans="2:6">
      <c r="B15650">
        <v>2014</v>
      </c>
      <c r="C15650" t="s">
        <v>168</v>
      </c>
      <c r="D15650" t="s">
        <v>182</v>
      </c>
      <c r="E15650" t="s">
        <v>15</v>
      </c>
      <c r="F15650">
        <v>0.15394973754882813</v>
      </c>
    </row>
    <row r="15651" spans="2:6">
      <c r="B15651">
        <v>2015</v>
      </c>
      <c r="C15651" t="s">
        <v>168</v>
      </c>
      <c r="D15651" t="s">
        <v>182</v>
      </c>
      <c r="E15651" t="s">
        <v>7</v>
      </c>
      <c r="F15651">
        <v>5.7914600372314453</v>
      </c>
    </row>
    <row r="15652" spans="2:6">
      <c r="B15652">
        <v>2015</v>
      </c>
      <c r="C15652" t="s">
        <v>168</v>
      </c>
      <c r="D15652" t="s">
        <v>182</v>
      </c>
      <c r="E15652" t="s">
        <v>8</v>
      </c>
      <c r="F15652">
        <v>9.4722061157226563</v>
      </c>
    </row>
    <row r="15653" spans="2:6">
      <c r="B15653">
        <v>2015</v>
      </c>
      <c r="C15653" t="s">
        <v>168</v>
      </c>
      <c r="D15653" t="s">
        <v>182</v>
      </c>
      <c r="E15653" t="s">
        <v>9</v>
      </c>
      <c r="F15653">
        <v>0.96015846729278564</v>
      </c>
    </row>
    <row r="15654" spans="2:6">
      <c r="B15654">
        <v>2015</v>
      </c>
      <c r="C15654" t="s">
        <v>168</v>
      </c>
      <c r="D15654" t="s">
        <v>182</v>
      </c>
      <c r="E15654" t="s">
        <v>10</v>
      </c>
      <c r="F15654">
        <v>61</v>
      </c>
    </row>
    <row r="15655" spans="2:6">
      <c r="B15655">
        <v>2015</v>
      </c>
      <c r="C15655" t="s">
        <v>168</v>
      </c>
      <c r="D15655" t="s">
        <v>182</v>
      </c>
      <c r="E15655" t="s">
        <v>11</v>
      </c>
      <c r="F15655">
        <v>0.7013583779335022</v>
      </c>
    </row>
    <row r="15656" spans="2:6">
      <c r="B15656">
        <v>2015</v>
      </c>
      <c r="C15656" t="s">
        <v>168</v>
      </c>
      <c r="D15656" t="s">
        <v>182</v>
      </c>
      <c r="E15656" t="s">
        <v>12</v>
      </c>
      <c r="F15656">
        <v>9.2775270342826843E-2</v>
      </c>
    </row>
    <row r="15657" spans="2:6">
      <c r="B15657">
        <v>2015</v>
      </c>
      <c r="C15657" t="s">
        <v>168</v>
      </c>
      <c r="D15657" t="s">
        <v>182</v>
      </c>
      <c r="E15657" t="s">
        <v>14</v>
      </c>
      <c r="F15657">
        <v>0.70534783601760864</v>
      </c>
    </row>
    <row r="15658" spans="2:6">
      <c r="B15658">
        <v>2015</v>
      </c>
      <c r="C15658" t="s">
        <v>168</v>
      </c>
      <c r="D15658" t="s">
        <v>182</v>
      </c>
      <c r="E15658" t="s">
        <v>15</v>
      </c>
      <c r="F15658">
        <v>0.30103889107704163</v>
      </c>
    </row>
    <row r="15659" spans="2:6">
      <c r="B15659">
        <v>2016</v>
      </c>
      <c r="C15659" t="s">
        <v>168</v>
      </c>
      <c r="D15659" t="s">
        <v>182</v>
      </c>
      <c r="E15659" t="s">
        <v>7</v>
      </c>
      <c r="F15659">
        <v>5.8870515823364258</v>
      </c>
    </row>
    <row r="15660" spans="2:6">
      <c r="B15660">
        <v>2016</v>
      </c>
      <c r="C15660" t="s">
        <v>168</v>
      </c>
      <c r="D15660" t="s">
        <v>182</v>
      </c>
      <c r="E15660" t="s">
        <v>8</v>
      </c>
      <c r="F15660">
        <v>9.5150661468505859</v>
      </c>
    </row>
    <row r="15661" spans="2:6">
      <c r="B15661">
        <v>2016</v>
      </c>
      <c r="C15661" t="s">
        <v>168</v>
      </c>
      <c r="D15661" t="s">
        <v>182</v>
      </c>
      <c r="E15661" t="s">
        <v>9</v>
      </c>
      <c r="F15661">
        <v>0.92903226613998413</v>
      </c>
    </row>
    <row r="15662" spans="2:6">
      <c r="B15662">
        <v>2016</v>
      </c>
      <c r="C15662" t="s">
        <v>168</v>
      </c>
      <c r="D15662" t="s">
        <v>182</v>
      </c>
      <c r="E15662" t="s">
        <v>10</v>
      </c>
      <c r="F15662">
        <v>61.400001525878906</v>
      </c>
    </row>
    <row r="15663" spans="2:6">
      <c r="B15663">
        <v>2016</v>
      </c>
      <c r="C15663" t="s">
        <v>168</v>
      </c>
      <c r="D15663" t="s">
        <v>182</v>
      </c>
      <c r="E15663" t="s">
        <v>11</v>
      </c>
      <c r="F15663">
        <v>0.7485044002532959</v>
      </c>
    </row>
    <row r="15664" spans="2:6">
      <c r="B15664">
        <v>2016</v>
      </c>
      <c r="C15664" t="s">
        <v>168</v>
      </c>
      <c r="D15664" t="s">
        <v>182</v>
      </c>
      <c r="E15664" t="s">
        <v>12</v>
      </c>
      <c r="F15664">
        <v>4.6243569813668728E-3</v>
      </c>
    </row>
    <row r="15665" spans="2:6">
      <c r="B15665">
        <v>2016</v>
      </c>
      <c r="C15665" t="s">
        <v>168</v>
      </c>
      <c r="D15665" t="s">
        <v>182</v>
      </c>
      <c r="E15665" t="s">
        <v>14</v>
      </c>
      <c r="F15665">
        <v>0.63638865947723389</v>
      </c>
    </row>
    <row r="15666" spans="2:6">
      <c r="B15666">
        <v>2016</v>
      </c>
      <c r="C15666" t="s">
        <v>168</v>
      </c>
      <c r="D15666" t="s">
        <v>182</v>
      </c>
      <c r="E15666" t="s">
        <v>15</v>
      </c>
      <c r="F15666">
        <v>0.25549924373626709</v>
      </c>
    </row>
    <row r="15667" spans="2:6">
      <c r="B15667">
        <v>2017</v>
      </c>
      <c r="C15667" t="s">
        <v>168</v>
      </c>
      <c r="D15667" t="s">
        <v>182</v>
      </c>
      <c r="E15667" t="s">
        <v>7</v>
      </c>
      <c r="F15667">
        <v>5.2291488647460938</v>
      </c>
    </row>
    <row r="15668" spans="2:6">
      <c r="B15668">
        <v>2017</v>
      </c>
      <c r="C15668" t="s">
        <v>168</v>
      </c>
      <c r="D15668" t="s">
        <v>182</v>
      </c>
      <c r="E15668" t="s">
        <v>8</v>
      </c>
      <c r="F15668">
        <v>9.5613508224487305</v>
      </c>
    </row>
    <row r="15669" spans="2:6">
      <c r="B15669">
        <v>2017</v>
      </c>
      <c r="C15669" t="s">
        <v>168</v>
      </c>
      <c r="D15669" t="s">
        <v>182</v>
      </c>
      <c r="E15669" t="s">
        <v>9</v>
      </c>
      <c r="F15669">
        <v>0.90845489501953125</v>
      </c>
    </row>
    <row r="15670" spans="2:6">
      <c r="B15670">
        <v>2017</v>
      </c>
      <c r="C15670" t="s">
        <v>168</v>
      </c>
      <c r="D15670" t="s">
        <v>182</v>
      </c>
      <c r="E15670" t="s">
        <v>10</v>
      </c>
      <c r="F15670">
        <v>61.799999237060547</v>
      </c>
    </row>
    <row r="15671" spans="2:6">
      <c r="B15671">
        <v>2017</v>
      </c>
      <c r="C15671" t="s">
        <v>168</v>
      </c>
      <c r="D15671" t="s">
        <v>182</v>
      </c>
      <c r="E15671" t="s">
        <v>11</v>
      </c>
      <c r="F15671">
        <v>0.72039920091629028</v>
      </c>
    </row>
    <row r="15672" spans="2:6">
      <c r="B15672">
        <v>2017</v>
      </c>
      <c r="C15672" t="s">
        <v>168</v>
      </c>
      <c r="D15672" t="s">
        <v>182</v>
      </c>
      <c r="E15672" t="s">
        <v>12</v>
      </c>
      <c r="F15672">
        <v>6.6040843725204468E-2</v>
      </c>
    </row>
    <row r="15673" spans="2:6">
      <c r="B15673">
        <v>2017</v>
      </c>
      <c r="C15673" t="s">
        <v>168</v>
      </c>
      <c r="D15673" t="s">
        <v>182</v>
      </c>
      <c r="E15673" t="s">
        <v>14</v>
      </c>
      <c r="F15673">
        <v>0.52088510990142822</v>
      </c>
    </row>
    <row r="15674" spans="2:6">
      <c r="B15674">
        <v>2017</v>
      </c>
      <c r="C15674" t="s">
        <v>168</v>
      </c>
      <c r="D15674" t="s">
        <v>182</v>
      </c>
      <c r="E15674" t="s">
        <v>15</v>
      </c>
      <c r="F15674">
        <v>0.34962767362594604</v>
      </c>
    </row>
    <row r="15675" spans="2:6">
      <c r="B15675">
        <v>2018</v>
      </c>
      <c r="C15675" t="s">
        <v>168</v>
      </c>
      <c r="D15675" t="s">
        <v>182</v>
      </c>
      <c r="E15675" t="s">
        <v>7</v>
      </c>
      <c r="F15675">
        <v>4.6206016540527344</v>
      </c>
    </row>
    <row r="15676" spans="2:6">
      <c r="B15676">
        <v>2018</v>
      </c>
      <c r="C15676" t="s">
        <v>168</v>
      </c>
      <c r="D15676" t="s">
        <v>182</v>
      </c>
      <c r="E15676" t="s">
        <v>8</v>
      </c>
      <c r="F15676">
        <v>9.6054401397705078</v>
      </c>
    </row>
    <row r="15677" spans="2:6">
      <c r="B15677">
        <v>2018</v>
      </c>
      <c r="C15677" t="s">
        <v>168</v>
      </c>
      <c r="D15677" t="s">
        <v>182</v>
      </c>
      <c r="E15677" t="s">
        <v>9</v>
      </c>
      <c r="F15677">
        <v>0.98448896408081055</v>
      </c>
    </row>
    <row r="15678" spans="2:6">
      <c r="B15678">
        <v>2018</v>
      </c>
      <c r="C15678" t="s">
        <v>168</v>
      </c>
      <c r="D15678" t="s">
        <v>182</v>
      </c>
      <c r="E15678" t="s">
        <v>10</v>
      </c>
      <c r="F15678">
        <v>62.200000762939453</v>
      </c>
    </row>
    <row r="15679" spans="2:6">
      <c r="B15679">
        <v>2018</v>
      </c>
      <c r="C15679" t="s">
        <v>168</v>
      </c>
      <c r="D15679" t="s">
        <v>182</v>
      </c>
      <c r="E15679" t="s">
        <v>11</v>
      </c>
      <c r="F15679">
        <v>0.85777407884597778</v>
      </c>
    </row>
    <row r="15680" spans="2:6">
      <c r="B15680">
        <v>2018</v>
      </c>
      <c r="C15680" t="s">
        <v>168</v>
      </c>
      <c r="D15680" t="s">
        <v>182</v>
      </c>
      <c r="E15680" t="s">
        <v>12</v>
      </c>
      <c r="F15680">
        <v>0.25965872406959534</v>
      </c>
    </row>
    <row r="15681" spans="2:6">
      <c r="B15681">
        <v>2018</v>
      </c>
      <c r="C15681" t="s">
        <v>168</v>
      </c>
      <c r="D15681" t="s">
        <v>182</v>
      </c>
      <c r="E15681" t="s">
        <v>14</v>
      </c>
      <c r="F15681">
        <v>0.61221027374267578</v>
      </c>
    </row>
    <row r="15682" spans="2:6">
      <c r="B15682">
        <v>2018</v>
      </c>
      <c r="C15682" t="s">
        <v>168</v>
      </c>
      <c r="D15682" t="s">
        <v>182</v>
      </c>
      <c r="E15682" t="s">
        <v>15</v>
      </c>
      <c r="F15682">
        <v>0.18902453780174255</v>
      </c>
    </row>
    <row r="15683" spans="2:6">
      <c r="B15683">
        <v>2019</v>
      </c>
      <c r="C15683" t="s">
        <v>168</v>
      </c>
      <c r="D15683" t="s">
        <v>182</v>
      </c>
      <c r="E15683" t="s">
        <v>7</v>
      </c>
      <c r="F15683">
        <v>5.4742999076843262</v>
      </c>
    </row>
    <row r="15684" spans="2:6">
      <c r="B15684">
        <v>2019</v>
      </c>
      <c r="C15684" t="s">
        <v>168</v>
      </c>
      <c r="D15684" t="s">
        <v>182</v>
      </c>
      <c r="E15684" t="s">
        <v>8</v>
      </c>
      <c r="F15684">
        <v>9.65118408203125</v>
      </c>
    </row>
    <row r="15685" spans="2:6">
      <c r="B15685">
        <v>2019</v>
      </c>
      <c r="C15685" t="s">
        <v>168</v>
      </c>
      <c r="D15685" t="s">
        <v>182</v>
      </c>
      <c r="E15685" t="s">
        <v>9</v>
      </c>
      <c r="F15685">
        <v>0.98150175809860229</v>
      </c>
    </row>
    <row r="15686" spans="2:6">
      <c r="B15686">
        <v>2019</v>
      </c>
      <c r="C15686" t="s">
        <v>168</v>
      </c>
      <c r="D15686" t="s">
        <v>182</v>
      </c>
      <c r="E15686" t="s">
        <v>10</v>
      </c>
      <c r="F15686">
        <v>62.599998474121094</v>
      </c>
    </row>
    <row r="15687" spans="2:6">
      <c r="B15687">
        <v>2019</v>
      </c>
      <c r="C15687" t="s">
        <v>168</v>
      </c>
      <c r="D15687" t="s">
        <v>182</v>
      </c>
      <c r="E15687" t="s">
        <v>11</v>
      </c>
      <c r="F15687">
        <v>0.89152687788009644</v>
      </c>
    </row>
    <row r="15688" spans="2:6">
      <c r="B15688">
        <v>2019</v>
      </c>
      <c r="C15688" t="s">
        <v>168</v>
      </c>
      <c r="D15688" t="s">
        <v>182</v>
      </c>
      <c r="E15688" t="s">
        <v>12</v>
      </c>
      <c r="F15688">
        <v>0.28488063812255859</v>
      </c>
    </row>
    <row r="15689" spans="2:6">
      <c r="B15689">
        <v>2019</v>
      </c>
      <c r="C15689" t="s">
        <v>168</v>
      </c>
      <c r="D15689" t="s">
        <v>182</v>
      </c>
      <c r="E15689" t="s">
        <v>14</v>
      </c>
      <c r="F15689">
        <v>0.50991451740264893</v>
      </c>
    </row>
    <row r="15690" spans="2:6">
      <c r="B15690">
        <v>2019</v>
      </c>
      <c r="C15690" t="s">
        <v>168</v>
      </c>
      <c r="D15690" t="s">
        <v>182</v>
      </c>
      <c r="E15690" t="s">
        <v>15</v>
      </c>
      <c r="F15690">
        <v>0.18334324657917023</v>
      </c>
    </row>
    <row r="15691" spans="2:6">
      <c r="B15691">
        <v>2006</v>
      </c>
      <c r="C15691" t="s">
        <v>169</v>
      </c>
      <c r="D15691" t="s">
        <v>184</v>
      </c>
      <c r="E15691" t="s">
        <v>7</v>
      </c>
      <c r="F15691">
        <v>3.733583927154541</v>
      </c>
    </row>
    <row r="15692" spans="2:6">
      <c r="B15692">
        <v>2006</v>
      </c>
      <c r="C15692" t="s">
        <v>169</v>
      </c>
      <c r="D15692" t="s">
        <v>184</v>
      </c>
      <c r="E15692" t="s">
        <v>8</v>
      </c>
      <c r="F15692">
        <v>7.3698654174804688</v>
      </c>
    </row>
    <row r="15693" spans="2:6">
      <c r="B15693">
        <v>2006</v>
      </c>
      <c r="C15693" t="s">
        <v>169</v>
      </c>
      <c r="D15693" t="s">
        <v>184</v>
      </c>
      <c r="E15693" t="s">
        <v>9</v>
      </c>
      <c r="F15693">
        <v>0.76025551557540894</v>
      </c>
    </row>
    <row r="15694" spans="2:6">
      <c r="B15694">
        <v>2006</v>
      </c>
      <c r="C15694" t="s">
        <v>169</v>
      </c>
      <c r="D15694" t="s">
        <v>184</v>
      </c>
      <c r="E15694" t="s">
        <v>10</v>
      </c>
      <c r="F15694">
        <v>46.479999542236328</v>
      </c>
    </row>
    <row r="15695" spans="2:6">
      <c r="B15695">
        <v>2006</v>
      </c>
      <c r="C15695" t="s">
        <v>169</v>
      </c>
      <c r="D15695" t="s">
        <v>184</v>
      </c>
      <c r="E15695" t="s">
        <v>11</v>
      </c>
      <c r="F15695">
        <v>0.74672281742095947</v>
      </c>
    </row>
    <row r="15696" spans="2:6">
      <c r="B15696">
        <v>2006</v>
      </c>
      <c r="C15696" t="s">
        <v>169</v>
      </c>
      <c r="D15696" t="s">
        <v>184</v>
      </c>
      <c r="E15696" t="s">
        <v>12</v>
      </c>
      <c r="F15696">
        <v>-4.104321077466011E-2</v>
      </c>
    </row>
    <row r="15697" spans="2:6">
      <c r="B15697">
        <v>2006</v>
      </c>
      <c r="C15697" t="s">
        <v>169</v>
      </c>
      <c r="D15697" t="s">
        <v>184</v>
      </c>
      <c r="E15697" t="s">
        <v>13</v>
      </c>
      <c r="F15697">
        <v>0.80658859014511108</v>
      </c>
    </row>
    <row r="15698" spans="2:6">
      <c r="B15698">
        <v>2006</v>
      </c>
      <c r="C15698" t="s">
        <v>169</v>
      </c>
      <c r="D15698" t="s">
        <v>184</v>
      </c>
      <c r="E15698" t="s">
        <v>14</v>
      </c>
      <c r="F15698">
        <v>0.58965134620666504</v>
      </c>
    </row>
    <row r="15699" spans="2:6">
      <c r="B15699">
        <v>2006</v>
      </c>
      <c r="C15699" t="s">
        <v>169</v>
      </c>
      <c r="D15699" t="s">
        <v>184</v>
      </c>
      <c r="E15699" t="s">
        <v>15</v>
      </c>
      <c r="F15699">
        <v>0.25441795587539673</v>
      </c>
    </row>
    <row r="15700" spans="2:6">
      <c r="B15700">
        <v>2007</v>
      </c>
      <c r="C15700" t="s">
        <v>169</v>
      </c>
      <c r="D15700" t="s">
        <v>184</v>
      </c>
      <c r="E15700" t="s">
        <v>7</v>
      </c>
      <c r="F15700">
        <v>4.455838680267334</v>
      </c>
    </row>
    <row r="15701" spans="2:6">
      <c r="B15701">
        <v>2007</v>
      </c>
      <c r="C15701" t="s">
        <v>169</v>
      </c>
      <c r="D15701" t="s">
        <v>184</v>
      </c>
      <c r="E15701" t="s">
        <v>8</v>
      </c>
      <c r="F15701">
        <v>7.4191198348999023</v>
      </c>
    </row>
    <row r="15702" spans="2:6">
      <c r="B15702">
        <v>2007</v>
      </c>
      <c r="C15702" t="s">
        <v>169</v>
      </c>
      <c r="D15702" t="s">
        <v>184</v>
      </c>
      <c r="E15702" t="s">
        <v>9</v>
      </c>
      <c r="F15702">
        <v>0.84487909078598022</v>
      </c>
    </row>
    <row r="15703" spans="2:6">
      <c r="B15703">
        <v>2007</v>
      </c>
      <c r="C15703" t="s">
        <v>169</v>
      </c>
      <c r="D15703" t="s">
        <v>184</v>
      </c>
      <c r="E15703" t="s">
        <v>10</v>
      </c>
      <c r="F15703">
        <v>47.459999084472656</v>
      </c>
    </row>
    <row r="15704" spans="2:6">
      <c r="B15704">
        <v>2007</v>
      </c>
      <c r="C15704" t="s">
        <v>169</v>
      </c>
      <c r="D15704" t="s">
        <v>184</v>
      </c>
      <c r="E15704" t="s">
        <v>11</v>
      </c>
      <c r="F15704">
        <v>0.70796054601669312</v>
      </c>
    </row>
    <row r="15705" spans="2:6">
      <c r="B15705">
        <v>2007</v>
      </c>
      <c r="C15705" t="s">
        <v>169</v>
      </c>
      <c r="D15705" t="s">
        <v>184</v>
      </c>
      <c r="E15705" t="s">
        <v>12</v>
      </c>
      <c r="F15705">
        <v>-8.3394563989713788E-4</v>
      </c>
    </row>
    <row r="15706" spans="2:6">
      <c r="B15706">
        <v>2007</v>
      </c>
      <c r="C15706" t="s">
        <v>169</v>
      </c>
      <c r="D15706" t="s">
        <v>184</v>
      </c>
      <c r="E15706" t="s">
        <v>13</v>
      </c>
      <c r="F15706">
        <v>0.88052880764007568</v>
      </c>
    </row>
    <row r="15707" spans="2:6">
      <c r="B15707">
        <v>2007</v>
      </c>
      <c r="C15707" t="s">
        <v>169</v>
      </c>
      <c r="D15707" t="s">
        <v>184</v>
      </c>
      <c r="E15707" t="s">
        <v>14</v>
      </c>
      <c r="F15707">
        <v>0.70805776119232178</v>
      </c>
    </row>
    <row r="15708" spans="2:6">
      <c r="B15708">
        <v>2007</v>
      </c>
      <c r="C15708" t="s">
        <v>169</v>
      </c>
      <c r="D15708" t="s">
        <v>184</v>
      </c>
      <c r="E15708" t="s">
        <v>15</v>
      </c>
      <c r="F15708">
        <v>0.2278781533241272</v>
      </c>
    </row>
    <row r="15709" spans="2:6">
      <c r="B15709">
        <v>2008</v>
      </c>
      <c r="C15709" t="s">
        <v>169</v>
      </c>
      <c r="D15709" t="s">
        <v>184</v>
      </c>
      <c r="E15709" t="s">
        <v>7</v>
      </c>
      <c r="F15709">
        <v>4.5686192512512207</v>
      </c>
    </row>
    <row r="15710" spans="2:6">
      <c r="B15710">
        <v>2008</v>
      </c>
      <c r="C15710" t="s">
        <v>169</v>
      </c>
      <c r="D15710" t="s">
        <v>184</v>
      </c>
      <c r="E15710" t="s">
        <v>8</v>
      </c>
      <c r="F15710">
        <v>7.4710626602172852</v>
      </c>
    </row>
    <row r="15711" spans="2:6">
      <c r="B15711">
        <v>2008</v>
      </c>
      <c r="C15711" t="s">
        <v>169</v>
      </c>
      <c r="D15711" t="s">
        <v>184</v>
      </c>
      <c r="E15711" t="s">
        <v>9</v>
      </c>
      <c r="F15711">
        <v>0.81282812356948853</v>
      </c>
    </row>
    <row r="15712" spans="2:6">
      <c r="B15712">
        <v>2008</v>
      </c>
      <c r="C15712" t="s">
        <v>169</v>
      </c>
      <c r="D15712" t="s">
        <v>184</v>
      </c>
      <c r="E15712" t="s">
        <v>10</v>
      </c>
      <c r="F15712">
        <v>48.439998626708984</v>
      </c>
    </row>
    <row r="15713" spans="2:6">
      <c r="B15713">
        <v>2008</v>
      </c>
      <c r="C15713" t="s">
        <v>169</v>
      </c>
      <c r="D15713" t="s">
        <v>184</v>
      </c>
      <c r="E15713" t="s">
        <v>11</v>
      </c>
      <c r="F15713">
        <v>0.57793372869491577</v>
      </c>
    </row>
    <row r="15714" spans="2:6">
      <c r="B15714">
        <v>2008</v>
      </c>
      <c r="C15714" t="s">
        <v>169</v>
      </c>
      <c r="D15714" t="s">
        <v>184</v>
      </c>
      <c r="E15714" t="s">
        <v>12</v>
      </c>
      <c r="F15714">
        <v>-5.4835595190525055E-2</v>
      </c>
    </row>
    <row r="15715" spans="2:6">
      <c r="B15715">
        <v>2008</v>
      </c>
      <c r="C15715" t="s">
        <v>169</v>
      </c>
      <c r="D15715" t="s">
        <v>184</v>
      </c>
      <c r="E15715" t="s">
        <v>13</v>
      </c>
      <c r="F15715">
        <v>0.84845852851867676</v>
      </c>
    </row>
    <row r="15716" spans="2:6">
      <c r="B15716">
        <v>2008</v>
      </c>
      <c r="C15716" t="s">
        <v>169</v>
      </c>
      <c r="D15716" t="s">
        <v>184</v>
      </c>
      <c r="E15716" t="s">
        <v>14</v>
      </c>
      <c r="F15716">
        <v>0.64057707786560059</v>
      </c>
    </row>
    <row r="15717" spans="2:6">
      <c r="B15717">
        <v>2008</v>
      </c>
      <c r="C15717" t="s">
        <v>169</v>
      </c>
      <c r="D15717" t="s">
        <v>184</v>
      </c>
      <c r="E15717" t="s">
        <v>15</v>
      </c>
      <c r="F15717">
        <v>0.2395729124546051</v>
      </c>
    </row>
    <row r="15718" spans="2:6">
      <c r="B15718">
        <v>2009</v>
      </c>
      <c r="C15718" t="s">
        <v>169</v>
      </c>
      <c r="D15718" t="s">
        <v>184</v>
      </c>
      <c r="E15718" t="s">
        <v>7</v>
      </c>
      <c r="F15718">
        <v>4.6119856834411621</v>
      </c>
    </row>
    <row r="15719" spans="2:6">
      <c r="B15719">
        <v>2009</v>
      </c>
      <c r="C15719" t="s">
        <v>169</v>
      </c>
      <c r="D15719" t="s">
        <v>184</v>
      </c>
      <c r="E15719" t="s">
        <v>8</v>
      </c>
      <c r="F15719">
        <v>7.5051894187927246</v>
      </c>
    </row>
    <row r="15720" spans="2:6">
      <c r="B15720">
        <v>2009</v>
      </c>
      <c r="C15720" t="s">
        <v>169</v>
      </c>
      <c r="D15720" t="s">
        <v>184</v>
      </c>
      <c r="E15720" t="s">
        <v>9</v>
      </c>
      <c r="F15720">
        <v>0.85208702087402344</v>
      </c>
    </row>
    <row r="15721" spans="2:6">
      <c r="B15721">
        <v>2009</v>
      </c>
      <c r="C15721" t="s">
        <v>169</v>
      </c>
      <c r="D15721" t="s">
        <v>184</v>
      </c>
      <c r="E15721" t="s">
        <v>10</v>
      </c>
      <c r="F15721">
        <v>49.419998168945313</v>
      </c>
    </row>
    <row r="15722" spans="2:6">
      <c r="B15722">
        <v>2009</v>
      </c>
      <c r="C15722" t="s">
        <v>169</v>
      </c>
      <c r="D15722" t="s">
        <v>184</v>
      </c>
      <c r="E15722" t="s">
        <v>11</v>
      </c>
      <c r="F15722">
        <v>0.76023149490356445</v>
      </c>
    </row>
    <row r="15723" spans="2:6">
      <c r="B15723">
        <v>2009</v>
      </c>
      <c r="C15723" t="s">
        <v>169</v>
      </c>
      <c r="D15723" t="s">
        <v>184</v>
      </c>
      <c r="E15723" t="s">
        <v>12</v>
      </c>
      <c r="F15723">
        <v>-3.7408933043479919E-2</v>
      </c>
    </row>
    <row r="15724" spans="2:6">
      <c r="B15724">
        <v>2009</v>
      </c>
      <c r="C15724" t="s">
        <v>169</v>
      </c>
      <c r="D15724" t="s">
        <v>184</v>
      </c>
      <c r="E15724" t="s">
        <v>13</v>
      </c>
      <c r="F15724">
        <v>0.84042280912399292</v>
      </c>
    </row>
    <row r="15725" spans="2:6">
      <c r="B15725">
        <v>2009</v>
      </c>
      <c r="C15725" t="s">
        <v>169</v>
      </c>
      <c r="D15725" t="s">
        <v>184</v>
      </c>
      <c r="E15725" t="s">
        <v>14</v>
      </c>
      <c r="F15725">
        <v>0.64040970802307129</v>
      </c>
    </row>
    <row r="15726" spans="2:6">
      <c r="B15726">
        <v>2009</v>
      </c>
      <c r="C15726" t="s">
        <v>169</v>
      </c>
      <c r="D15726" t="s">
        <v>184</v>
      </c>
      <c r="E15726" t="s">
        <v>15</v>
      </c>
      <c r="F15726">
        <v>0.29611557722091675</v>
      </c>
    </row>
    <row r="15727" spans="2:6">
      <c r="B15727">
        <v>2010</v>
      </c>
      <c r="C15727" t="s">
        <v>169</v>
      </c>
      <c r="D15727" t="s">
        <v>184</v>
      </c>
      <c r="E15727" t="s">
        <v>7</v>
      </c>
      <c r="F15727">
        <v>4.1928820610046387</v>
      </c>
    </row>
    <row r="15728" spans="2:6">
      <c r="B15728">
        <v>2010</v>
      </c>
      <c r="C15728" t="s">
        <v>169</v>
      </c>
      <c r="D15728" t="s">
        <v>184</v>
      </c>
      <c r="E15728" t="s">
        <v>8</v>
      </c>
      <c r="F15728">
        <v>7.528167724609375</v>
      </c>
    </row>
    <row r="15729" spans="2:6">
      <c r="B15729">
        <v>2010</v>
      </c>
      <c r="C15729" t="s">
        <v>169</v>
      </c>
      <c r="D15729" t="s">
        <v>184</v>
      </c>
      <c r="E15729" t="s">
        <v>9</v>
      </c>
      <c r="F15729">
        <v>0.83015549182891846</v>
      </c>
    </row>
    <row r="15730" spans="2:6">
      <c r="B15730">
        <v>2010</v>
      </c>
      <c r="C15730" t="s">
        <v>169</v>
      </c>
      <c r="D15730" t="s">
        <v>184</v>
      </c>
      <c r="E15730" t="s">
        <v>10</v>
      </c>
      <c r="F15730">
        <v>50.400001525878906</v>
      </c>
    </row>
    <row r="15731" spans="2:6">
      <c r="B15731">
        <v>2010</v>
      </c>
      <c r="C15731" t="s">
        <v>169</v>
      </c>
      <c r="D15731" t="s">
        <v>184</v>
      </c>
      <c r="E15731" t="s">
        <v>11</v>
      </c>
      <c r="F15731">
        <v>0.80066728591918945</v>
      </c>
    </row>
    <row r="15732" spans="2:6">
      <c r="B15732">
        <v>2010</v>
      </c>
      <c r="C15732" t="s">
        <v>169</v>
      </c>
      <c r="D15732" t="s">
        <v>184</v>
      </c>
      <c r="E15732" t="s">
        <v>12</v>
      </c>
      <c r="F15732">
        <v>-1.4678716659545898E-2</v>
      </c>
    </row>
    <row r="15733" spans="2:6">
      <c r="B15733">
        <v>2010</v>
      </c>
      <c r="C15733" t="s">
        <v>169</v>
      </c>
      <c r="D15733" t="s">
        <v>184</v>
      </c>
      <c r="E15733" t="s">
        <v>13</v>
      </c>
      <c r="F15733">
        <v>0.85499191284179688</v>
      </c>
    </row>
    <row r="15734" spans="2:6">
      <c r="B15734">
        <v>2010</v>
      </c>
      <c r="C15734" t="s">
        <v>169</v>
      </c>
      <c r="D15734" t="s">
        <v>184</v>
      </c>
      <c r="E15734" t="s">
        <v>14</v>
      </c>
      <c r="F15734">
        <v>0.64765411615371704</v>
      </c>
    </row>
    <row r="15735" spans="2:6">
      <c r="B15735">
        <v>2010</v>
      </c>
      <c r="C15735" t="s">
        <v>169</v>
      </c>
      <c r="D15735" t="s">
        <v>184</v>
      </c>
      <c r="E15735" t="s">
        <v>15</v>
      </c>
      <c r="F15735">
        <v>0.25124198198318481</v>
      </c>
    </row>
    <row r="15736" spans="2:6">
      <c r="B15736">
        <v>2011</v>
      </c>
      <c r="C15736" t="s">
        <v>169</v>
      </c>
      <c r="D15736" t="s">
        <v>184</v>
      </c>
      <c r="E15736" t="s">
        <v>7</v>
      </c>
      <c r="F15736">
        <v>4.8260011672973633</v>
      </c>
    </row>
    <row r="15737" spans="2:6">
      <c r="B15737">
        <v>2011</v>
      </c>
      <c r="C15737" t="s">
        <v>169</v>
      </c>
      <c r="D15737" t="s">
        <v>184</v>
      </c>
      <c r="E15737" t="s">
        <v>8</v>
      </c>
      <c r="F15737">
        <v>7.5861034393310547</v>
      </c>
    </row>
    <row r="15738" spans="2:6">
      <c r="B15738">
        <v>2011</v>
      </c>
      <c r="C15738" t="s">
        <v>169</v>
      </c>
      <c r="D15738" t="s">
        <v>184</v>
      </c>
      <c r="E15738" t="s">
        <v>9</v>
      </c>
      <c r="F15738">
        <v>0.88175135850906372</v>
      </c>
    </row>
    <row r="15739" spans="2:6">
      <c r="B15739">
        <v>2011</v>
      </c>
      <c r="C15739" t="s">
        <v>169</v>
      </c>
      <c r="D15739" t="s">
        <v>184</v>
      </c>
      <c r="E15739" t="s">
        <v>10</v>
      </c>
      <c r="F15739">
        <v>51.220001220703125</v>
      </c>
    </row>
    <row r="15740" spans="2:6">
      <c r="B15740">
        <v>2011</v>
      </c>
      <c r="C15740" t="s">
        <v>169</v>
      </c>
      <c r="D15740" t="s">
        <v>184</v>
      </c>
      <c r="E15740" t="s">
        <v>11</v>
      </c>
      <c r="F15740">
        <v>0.73297399282455444</v>
      </c>
    </row>
    <row r="15741" spans="2:6">
      <c r="B15741">
        <v>2011</v>
      </c>
      <c r="C15741" t="s">
        <v>169</v>
      </c>
      <c r="D15741" t="s">
        <v>184</v>
      </c>
      <c r="E15741" t="s">
        <v>12</v>
      </c>
      <c r="F15741">
        <v>3.1504485756158829E-2</v>
      </c>
    </row>
    <row r="15742" spans="2:6">
      <c r="B15742">
        <v>2011</v>
      </c>
      <c r="C15742" t="s">
        <v>169</v>
      </c>
      <c r="D15742" t="s">
        <v>184</v>
      </c>
      <c r="E15742" t="s">
        <v>13</v>
      </c>
      <c r="F15742">
        <v>0.8301239013671875</v>
      </c>
    </row>
    <row r="15743" spans="2:6">
      <c r="B15743">
        <v>2011</v>
      </c>
      <c r="C15743" t="s">
        <v>169</v>
      </c>
      <c r="D15743" t="s">
        <v>184</v>
      </c>
      <c r="E15743" t="s">
        <v>14</v>
      </c>
      <c r="F15743">
        <v>0.67821270227432251</v>
      </c>
    </row>
    <row r="15744" spans="2:6">
      <c r="B15744">
        <v>2011</v>
      </c>
      <c r="C15744" t="s">
        <v>169</v>
      </c>
      <c r="D15744" t="s">
        <v>184</v>
      </c>
      <c r="E15744" t="s">
        <v>15</v>
      </c>
      <c r="F15744">
        <v>0.2544822096824646</v>
      </c>
    </row>
    <row r="15745" spans="2:6">
      <c r="B15745">
        <v>2012</v>
      </c>
      <c r="C15745" t="s">
        <v>169</v>
      </c>
      <c r="D15745" t="s">
        <v>184</v>
      </c>
      <c r="E15745" t="s">
        <v>7</v>
      </c>
      <c r="F15745">
        <v>4.3092379570007324</v>
      </c>
    </row>
    <row r="15746" spans="2:6">
      <c r="B15746">
        <v>2012</v>
      </c>
      <c r="C15746" t="s">
        <v>169</v>
      </c>
      <c r="D15746" t="s">
        <v>184</v>
      </c>
      <c r="E15746" t="s">
        <v>8</v>
      </c>
      <c r="F15746">
        <v>7.5919432640075684</v>
      </c>
    </row>
    <row r="15747" spans="2:6">
      <c r="B15747">
        <v>2012</v>
      </c>
      <c r="C15747" t="s">
        <v>169</v>
      </c>
      <c r="D15747" t="s">
        <v>184</v>
      </c>
      <c r="E15747" t="s">
        <v>9</v>
      </c>
      <c r="F15747">
        <v>0.88472169637680054</v>
      </c>
    </row>
    <row r="15748" spans="2:6">
      <c r="B15748">
        <v>2012</v>
      </c>
      <c r="C15748" t="s">
        <v>169</v>
      </c>
      <c r="D15748" t="s">
        <v>184</v>
      </c>
      <c r="E15748" t="s">
        <v>10</v>
      </c>
      <c r="F15748">
        <v>52.040000915527344</v>
      </c>
    </row>
    <row r="15749" spans="2:6">
      <c r="B15749">
        <v>2012</v>
      </c>
      <c r="C15749" t="s">
        <v>169</v>
      </c>
      <c r="D15749" t="s">
        <v>184</v>
      </c>
      <c r="E15749" t="s">
        <v>11</v>
      </c>
      <c r="F15749">
        <v>0.6494632363319397</v>
      </c>
    </row>
    <row r="15750" spans="2:6">
      <c r="B15750">
        <v>2012</v>
      </c>
      <c r="C15750" t="s">
        <v>169</v>
      </c>
      <c r="D15750" t="s">
        <v>184</v>
      </c>
      <c r="E15750" t="s">
        <v>12</v>
      </c>
      <c r="F15750">
        <v>8.1126682460308075E-2</v>
      </c>
    </row>
    <row r="15751" spans="2:6">
      <c r="B15751">
        <v>2012</v>
      </c>
      <c r="C15751" t="s">
        <v>169</v>
      </c>
      <c r="D15751" t="s">
        <v>184</v>
      </c>
      <c r="E15751" t="s">
        <v>13</v>
      </c>
      <c r="F15751">
        <v>0.83754587173461914</v>
      </c>
    </row>
    <row r="15752" spans="2:6">
      <c r="B15752">
        <v>2012</v>
      </c>
      <c r="C15752" t="s">
        <v>169</v>
      </c>
      <c r="D15752" t="s">
        <v>184</v>
      </c>
      <c r="E15752" t="s">
        <v>14</v>
      </c>
      <c r="F15752">
        <v>0.75398397445678711</v>
      </c>
    </row>
    <row r="15753" spans="2:6">
      <c r="B15753">
        <v>2012</v>
      </c>
      <c r="C15753" t="s">
        <v>169</v>
      </c>
      <c r="D15753" t="s">
        <v>184</v>
      </c>
      <c r="E15753" t="s">
        <v>15</v>
      </c>
      <c r="F15753">
        <v>0.26532238721847534</v>
      </c>
    </row>
    <row r="15754" spans="2:6">
      <c r="B15754">
        <v>2013</v>
      </c>
      <c r="C15754" t="s">
        <v>169</v>
      </c>
      <c r="D15754" t="s">
        <v>184</v>
      </c>
      <c r="E15754" t="s">
        <v>7</v>
      </c>
      <c r="F15754">
        <v>3.7095787525177002</v>
      </c>
    </row>
    <row r="15755" spans="2:6">
      <c r="B15755">
        <v>2013</v>
      </c>
      <c r="C15755" t="s">
        <v>169</v>
      </c>
      <c r="D15755" t="s">
        <v>184</v>
      </c>
      <c r="E15755" t="s">
        <v>8</v>
      </c>
      <c r="F15755">
        <v>7.5948390960693359</v>
      </c>
    </row>
    <row r="15756" spans="2:6">
      <c r="B15756">
        <v>2013</v>
      </c>
      <c r="C15756" t="s">
        <v>169</v>
      </c>
      <c r="D15756" t="s">
        <v>184</v>
      </c>
      <c r="E15756" t="s">
        <v>9</v>
      </c>
      <c r="F15756">
        <v>0.87827521562576294</v>
      </c>
    </row>
    <row r="15757" spans="2:6">
      <c r="B15757">
        <v>2013</v>
      </c>
      <c r="C15757" t="s">
        <v>169</v>
      </c>
      <c r="D15757" t="s">
        <v>184</v>
      </c>
      <c r="E15757" t="s">
        <v>10</v>
      </c>
      <c r="F15757">
        <v>52.860000610351563</v>
      </c>
    </row>
    <row r="15758" spans="2:6">
      <c r="B15758">
        <v>2013</v>
      </c>
      <c r="C15758" t="s">
        <v>169</v>
      </c>
      <c r="D15758" t="s">
        <v>184</v>
      </c>
      <c r="E15758" t="s">
        <v>11</v>
      </c>
      <c r="F15758">
        <v>0.76302134990692139</v>
      </c>
    </row>
    <row r="15759" spans="2:6">
      <c r="B15759">
        <v>2013</v>
      </c>
      <c r="C15759" t="s">
        <v>169</v>
      </c>
      <c r="D15759" t="s">
        <v>184</v>
      </c>
      <c r="E15759" t="s">
        <v>12</v>
      </c>
      <c r="F15759">
        <v>5.2719399333000183E-2</v>
      </c>
    </row>
    <row r="15760" spans="2:6">
      <c r="B15760">
        <v>2013</v>
      </c>
      <c r="C15760" t="s">
        <v>169</v>
      </c>
      <c r="D15760" t="s">
        <v>184</v>
      </c>
      <c r="E15760" t="s">
        <v>13</v>
      </c>
      <c r="F15760">
        <v>0.8204808235168457</v>
      </c>
    </row>
    <row r="15761" spans="2:6">
      <c r="B15761">
        <v>2013</v>
      </c>
      <c r="C15761" t="s">
        <v>169</v>
      </c>
      <c r="D15761" t="s">
        <v>184</v>
      </c>
      <c r="E15761" t="s">
        <v>14</v>
      </c>
      <c r="F15761">
        <v>0.67563623189926147</v>
      </c>
    </row>
    <row r="15762" spans="2:6">
      <c r="B15762">
        <v>2013</v>
      </c>
      <c r="C15762" t="s">
        <v>169</v>
      </c>
      <c r="D15762" t="s">
        <v>184</v>
      </c>
      <c r="E15762" t="s">
        <v>15</v>
      </c>
      <c r="F15762">
        <v>0.34635674953460693</v>
      </c>
    </row>
    <row r="15763" spans="2:6">
      <c r="B15763">
        <v>2014</v>
      </c>
      <c r="C15763" t="s">
        <v>169</v>
      </c>
      <c r="D15763" t="s">
        <v>184</v>
      </c>
      <c r="E15763" t="s">
        <v>7</v>
      </c>
      <c r="F15763">
        <v>3.7699191570281982</v>
      </c>
    </row>
    <row r="15764" spans="2:6">
      <c r="B15764">
        <v>2014</v>
      </c>
      <c r="C15764" t="s">
        <v>169</v>
      </c>
      <c r="D15764" t="s">
        <v>184</v>
      </c>
      <c r="E15764" t="s">
        <v>8</v>
      </c>
      <c r="F15764">
        <v>7.6111183166503906</v>
      </c>
    </row>
    <row r="15765" spans="2:6">
      <c r="B15765">
        <v>2014</v>
      </c>
      <c r="C15765" t="s">
        <v>169</v>
      </c>
      <c r="D15765" t="s">
        <v>184</v>
      </c>
      <c r="E15765" t="s">
        <v>9</v>
      </c>
      <c r="F15765">
        <v>0.82120579481124878</v>
      </c>
    </row>
    <row r="15766" spans="2:6">
      <c r="B15766">
        <v>2014</v>
      </c>
      <c r="C15766" t="s">
        <v>169</v>
      </c>
      <c r="D15766" t="s">
        <v>184</v>
      </c>
      <c r="E15766" t="s">
        <v>10</v>
      </c>
      <c r="F15766">
        <v>53.680000305175781</v>
      </c>
    </row>
    <row r="15767" spans="2:6">
      <c r="B15767">
        <v>2014</v>
      </c>
      <c r="C15767" t="s">
        <v>169</v>
      </c>
      <c r="D15767" t="s">
        <v>184</v>
      </c>
      <c r="E15767" t="s">
        <v>11</v>
      </c>
      <c r="F15767">
        <v>0.83417439460754395</v>
      </c>
    </row>
    <row r="15768" spans="2:6">
      <c r="B15768">
        <v>2014</v>
      </c>
      <c r="C15768" t="s">
        <v>169</v>
      </c>
      <c r="D15768" t="s">
        <v>184</v>
      </c>
      <c r="E15768" t="s">
        <v>12</v>
      </c>
      <c r="F15768">
        <v>9.2755183577537537E-3</v>
      </c>
    </row>
    <row r="15769" spans="2:6">
      <c r="B15769">
        <v>2014</v>
      </c>
      <c r="C15769" t="s">
        <v>169</v>
      </c>
      <c r="D15769" t="s">
        <v>184</v>
      </c>
      <c r="E15769" t="s">
        <v>13</v>
      </c>
      <c r="F15769">
        <v>0.89799541234970093</v>
      </c>
    </row>
    <row r="15770" spans="2:6">
      <c r="B15770">
        <v>2014</v>
      </c>
      <c r="C15770" t="s">
        <v>169</v>
      </c>
      <c r="D15770" t="s">
        <v>184</v>
      </c>
      <c r="E15770" t="s">
        <v>14</v>
      </c>
      <c r="F15770">
        <v>0.68073046207427979</v>
      </c>
    </row>
    <row r="15771" spans="2:6">
      <c r="B15771">
        <v>2014</v>
      </c>
      <c r="C15771" t="s">
        <v>169</v>
      </c>
      <c r="D15771" t="s">
        <v>184</v>
      </c>
      <c r="E15771" t="s">
        <v>15</v>
      </c>
      <c r="F15771">
        <v>0.39671978354454041</v>
      </c>
    </row>
    <row r="15772" spans="2:6">
      <c r="B15772">
        <v>2015</v>
      </c>
      <c r="C15772" t="s">
        <v>169</v>
      </c>
      <c r="D15772" t="s">
        <v>184</v>
      </c>
      <c r="E15772" t="s">
        <v>7</v>
      </c>
      <c r="F15772">
        <v>4.2376866340637207</v>
      </c>
    </row>
    <row r="15773" spans="2:6">
      <c r="B15773">
        <v>2015</v>
      </c>
      <c r="C15773" t="s">
        <v>169</v>
      </c>
      <c r="D15773" t="s">
        <v>184</v>
      </c>
      <c r="E15773" t="s">
        <v>8</v>
      </c>
      <c r="F15773">
        <v>7.6267352104187012</v>
      </c>
    </row>
    <row r="15774" spans="2:6">
      <c r="B15774">
        <v>2015</v>
      </c>
      <c r="C15774" t="s">
        <v>169</v>
      </c>
      <c r="D15774" t="s">
        <v>184</v>
      </c>
      <c r="E15774" t="s">
        <v>9</v>
      </c>
      <c r="F15774">
        <v>0.74663311243057251</v>
      </c>
    </row>
    <row r="15775" spans="2:6">
      <c r="B15775">
        <v>2015</v>
      </c>
      <c r="C15775" t="s">
        <v>169</v>
      </c>
      <c r="D15775" t="s">
        <v>184</v>
      </c>
      <c r="E15775" t="s">
        <v>10</v>
      </c>
      <c r="F15775">
        <v>54.5</v>
      </c>
    </row>
    <row r="15776" spans="2:6">
      <c r="B15776">
        <v>2015</v>
      </c>
      <c r="C15776" t="s">
        <v>169</v>
      </c>
      <c r="D15776" t="s">
        <v>184</v>
      </c>
      <c r="E15776" t="s">
        <v>11</v>
      </c>
      <c r="F15776">
        <v>0.75783532857894897</v>
      </c>
    </row>
    <row r="15777" spans="2:6">
      <c r="B15777">
        <v>2015</v>
      </c>
      <c r="C15777" t="s">
        <v>169</v>
      </c>
      <c r="D15777" t="s">
        <v>184</v>
      </c>
      <c r="E15777" t="s">
        <v>12</v>
      </c>
      <c r="F15777">
        <v>0.13505652546882629</v>
      </c>
    </row>
    <row r="15778" spans="2:6">
      <c r="B15778">
        <v>2015</v>
      </c>
      <c r="C15778" t="s">
        <v>169</v>
      </c>
      <c r="D15778" t="s">
        <v>184</v>
      </c>
      <c r="E15778" t="s">
        <v>13</v>
      </c>
      <c r="F15778">
        <v>0.87274038791656494</v>
      </c>
    </row>
    <row r="15779" spans="2:6">
      <c r="B15779">
        <v>2015</v>
      </c>
      <c r="C15779" t="s">
        <v>169</v>
      </c>
      <c r="D15779" t="s">
        <v>184</v>
      </c>
      <c r="E15779" t="s">
        <v>14</v>
      </c>
      <c r="F15779">
        <v>0.70290541648864746</v>
      </c>
    </row>
    <row r="15780" spans="2:6">
      <c r="B15780">
        <v>2015</v>
      </c>
      <c r="C15780" t="s">
        <v>169</v>
      </c>
      <c r="D15780" t="s">
        <v>184</v>
      </c>
      <c r="E15780" t="s">
        <v>15</v>
      </c>
      <c r="F15780">
        <v>0.35284754633903503</v>
      </c>
    </row>
    <row r="15781" spans="2:6">
      <c r="B15781">
        <v>2016</v>
      </c>
      <c r="C15781" t="s">
        <v>169</v>
      </c>
      <c r="D15781" t="s">
        <v>184</v>
      </c>
      <c r="E15781" t="s">
        <v>7</v>
      </c>
      <c r="F15781">
        <v>4.2332611083984375</v>
      </c>
    </row>
    <row r="15782" spans="2:6">
      <c r="B15782">
        <v>2016</v>
      </c>
      <c r="C15782" t="s">
        <v>169</v>
      </c>
      <c r="D15782" t="s">
        <v>184</v>
      </c>
      <c r="E15782" t="s">
        <v>8</v>
      </c>
      <c r="F15782">
        <v>7.6369109153747559</v>
      </c>
    </row>
    <row r="15783" spans="2:6">
      <c r="B15783">
        <v>2016</v>
      </c>
      <c r="C15783" t="s">
        <v>169</v>
      </c>
      <c r="D15783" t="s">
        <v>184</v>
      </c>
      <c r="E15783" t="s">
        <v>9</v>
      </c>
      <c r="F15783">
        <v>0.75354021787643433</v>
      </c>
    </row>
    <row r="15784" spans="2:6">
      <c r="B15784">
        <v>2016</v>
      </c>
      <c r="C15784" t="s">
        <v>169</v>
      </c>
      <c r="D15784" t="s">
        <v>184</v>
      </c>
      <c r="E15784" t="s">
        <v>10</v>
      </c>
      <c r="F15784">
        <v>54.900001525878906</v>
      </c>
    </row>
    <row r="15785" spans="2:6">
      <c r="B15785">
        <v>2016</v>
      </c>
      <c r="C15785" t="s">
        <v>169</v>
      </c>
      <c r="D15785" t="s">
        <v>184</v>
      </c>
      <c r="E15785" t="s">
        <v>11</v>
      </c>
      <c r="F15785">
        <v>0.73940974473953247</v>
      </c>
    </row>
    <row r="15786" spans="2:6">
      <c r="B15786">
        <v>2016</v>
      </c>
      <c r="C15786" t="s">
        <v>169</v>
      </c>
      <c r="D15786" t="s">
        <v>184</v>
      </c>
      <c r="E15786" t="s">
        <v>12</v>
      </c>
      <c r="F15786">
        <v>0.13175912201404572</v>
      </c>
    </row>
    <row r="15787" spans="2:6">
      <c r="B15787">
        <v>2016</v>
      </c>
      <c r="C15787" t="s">
        <v>169</v>
      </c>
      <c r="D15787" t="s">
        <v>184</v>
      </c>
      <c r="E15787" t="s">
        <v>13</v>
      </c>
      <c r="F15787">
        <v>0.8110697865486145</v>
      </c>
    </row>
    <row r="15788" spans="2:6">
      <c r="B15788">
        <v>2016</v>
      </c>
      <c r="C15788" t="s">
        <v>169</v>
      </c>
      <c r="D15788" t="s">
        <v>184</v>
      </c>
      <c r="E15788" t="s">
        <v>14</v>
      </c>
      <c r="F15788">
        <v>0.66797614097595215</v>
      </c>
    </row>
    <row r="15789" spans="2:6">
      <c r="B15789">
        <v>2016</v>
      </c>
      <c r="C15789" t="s">
        <v>169</v>
      </c>
      <c r="D15789" t="s">
        <v>184</v>
      </c>
      <c r="E15789" t="s">
        <v>15</v>
      </c>
      <c r="F15789">
        <v>0.41006666421890259</v>
      </c>
    </row>
    <row r="15790" spans="2:6">
      <c r="B15790">
        <v>2017</v>
      </c>
      <c r="C15790" t="s">
        <v>169</v>
      </c>
      <c r="D15790" t="s">
        <v>184</v>
      </c>
      <c r="E15790" t="s">
        <v>7</v>
      </c>
      <c r="F15790">
        <v>4.0005168914794922</v>
      </c>
    </row>
    <row r="15791" spans="2:6">
      <c r="B15791">
        <v>2017</v>
      </c>
      <c r="C15791" t="s">
        <v>169</v>
      </c>
      <c r="D15791" t="s">
        <v>184</v>
      </c>
      <c r="E15791" t="s">
        <v>8</v>
      </c>
      <c r="F15791">
        <v>7.6376490592956543</v>
      </c>
    </row>
    <row r="15792" spans="2:6">
      <c r="B15792">
        <v>2017</v>
      </c>
      <c r="C15792" t="s">
        <v>169</v>
      </c>
      <c r="D15792" t="s">
        <v>184</v>
      </c>
      <c r="E15792" t="s">
        <v>9</v>
      </c>
      <c r="F15792">
        <v>0.73995614051818848</v>
      </c>
    </row>
    <row r="15793" spans="2:6">
      <c r="B15793">
        <v>2017</v>
      </c>
      <c r="C15793" t="s">
        <v>169</v>
      </c>
      <c r="D15793" t="s">
        <v>184</v>
      </c>
      <c r="E15793" t="s">
        <v>10</v>
      </c>
      <c r="F15793">
        <v>55.299999237060547</v>
      </c>
    </row>
    <row r="15794" spans="2:6">
      <c r="B15794">
        <v>2017</v>
      </c>
      <c r="C15794" t="s">
        <v>169</v>
      </c>
      <c r="D15794" t="s">
        <v>184</v>
      </c>
      <c r="E15794" t="s">
        <v>11</v>
      </c>
      <c r="F15794">
        <v>0.77234411239624023</v>
      </c>
    </row>
    <row r="15795" spans="2:6">
      <c r="B15795">
        <v>2017</v>
      </c>
      <c r="C15795" t="s">
        <v>169</v>
      </c>
      <c r="D15795" t="s">
        <v>184</v>
      </c>
      <c r="E15795" t="s">
        <v>12</v>
      </c>
      <c r="F15795">
        <v>5.9688836336135864E-2</v>
      </c>
    </row>
    <row r="15796" spans="2:6">
      <c r="B15796">
        <v>2017</v>
      </c>
      <c r="C15796" t="s">
        <v>169</v>
      </c>
      <c r="D15796" t="s">
        <v>184</v>
      </c>
      <c r="E15796" t="s">
        <v>13</v>
      </c>
      <c r="F15796">
        <v>0.81577003002166748</v>
      </c>
    </row>
    <row r="15797" spans="2:6">
      <c r="B15797">
        <v>2017</v>
      </c>
      <c r="C15797" t="s">
        <v>169</v>
      </c>
      <c r="D15797" t="s">
        <v>184</v>
      </c>
      <c r="E15797" t="s">
        <v>14</v>
      </c>
      <c r="F15797">
        <v>0.70337563753128052</v>
      </c>
    </row>
    <row r="15798" spans="2:6">
      <c r="B15798">
        <v>2017</v>
      </c>
      <c r="C15798" t="s">
        <v>169</v>
      </c>
      <c r="D15798" t="s">
        <v>184</v>
      </c>
      <c r="E15798" t="s">
        <v>15</v>
      </c>
      <c r="F15798">
        <v>0.40002572536468506</v>
      </c>
    </row>
    <row r="15799" spans="2:6">
      <c r="B15799">
        <v>2018</v>
      </c>
      <c r="C15799" t="s">
        <v>169</v>
      </c>
      <c r="D15799" t="s">
        <v>184</v>
      </c>
      <c r="E15799" t="s">
        <v>7</v>
      </c>
      <c r="F15799">
        <v>4.3217148780822754</v>
      </c>
    </row>
    <row r="15800" spans="2:6">
      <c r="B15800">
        <v>2018</v>
      </c>
      <c r="C15800" t="s">
        <v>169</v>
      </c>
      <c r="D15800" t="s">
        <v>184</v>
      </c>
      <c r="E15800" t="s">
        <v>8</v>
      </c>
      <c r="F15800">
        <v>7.6601662635803223</v>
      </c>
    </row>
    <row r="15801" spans="2:6">
      <c r="B15801">
        <v>2018</v>
      </c>
      <c r="C15801" t="s">
        <v>169</v>
      </c>
      <c r="D15801" t="s">
        <v>184</v>
      </c>
      <c r="E15801" t="s">
        <v>9</v>
      </c>
      <c r="F15801">
        <v>0.7398410439491272</v>
      </c>
    </row>
    <row r="15802" spans="2:6">
      <c r="B15802">
        <v>2018</v>
      </c>
      <c r="C15802" t="s">
        <v>169</v>
      </c>
      <c r="D15802" t="s">
        <v>184</v>
      </c>
      <c r="E15802" t="s">
        <v>10</v>
      </c>
      <c r="F15802">
        <v>55.700000762939453</v>
      </c>
    </row>
    <row r="15803" spans="2:6">
      <c r="B15803">
        <v>2018</v>
      </c>
      <c r="C15803" t="s">
        <v>169</v>
      </c>
      <c r="D15803" t="s">
        <v>184</v>
      </c>
      <c r="E15803" t="s">
        <v>11</v>
      </c>
      <c r="F15803">
        <v>0.72851276397705078</v>
      </c>
    </row>
    <row r="15804" spans="2:6">
      <c r="B15804">
        <v>2018</v>
      </c>
      <c r="C15804" t="s">
        <v>169</v>
      </c>
      <c r="D15804" t="s">
        <v>184</v>
      </c>
      <c r="E15804" t="s">
        <v>12</v>
      </c>
      <c r="F15804">
        <v>7.8885309398174286E-2</v>
      </c>
    </row>
    <row r="15805" spans="2:6">
      <c r="B15805">
        <v>2018</v>
      </c>
      <c r="C15805" t="s">
        <v>169</v>
      </c>
      <c r="D15805" t="s">
        <v>184</v>
      </c>
      <c r="E15805" t="s">
        <v>13</v>
      </c>
      <c r="F15805">
        <v>0.8561062216758728</v>
      </c>
    </row>
    <row r="15806" spans="2:6">
      <c r="B15806">
        <v>2018</v>
      </c>
      <c r="C15806" t="s">
        <v>169</v>
      </c>
      <c r="D15806" t="s">
        <v>184</v>
      </c>
      <c r="E15806" t="s">
        <v>14</v>
      </c>
      <c r="F15806">
        <v>0.68516850471496582</v>
      </c>
    </row>
    <row r="15807" spans="2:6">
      <c r="B15807">
        <v>2018</v>
      </c>
      <c r="C15807" t="s">
        <v>169</v>
      </c>
      <c r="D15807" t="s">
        <v>184</v>
      </c>
      <c r="E15807" t="s">
        <v>15</v>
      </c>
      <c r="F15807">
        <v>0.39031922817230225</v>
      </c>
    </row>
    <row r="15808" spans="2:6">
      <c r="B15808">
        <v>2019</v>
      </c>
      <c r="C15808" t="s">
        <v>169</v>
      </c>
      <c r="D15808" t="s">
        <v>184</v>
      </c>
      <c r="E15808" t="s">
        <v>7</v>
      </c>
      <c r="F15808">
        <v>4.9480514526367188</v>
      </c>
    </row>
    <row r="15809" spans="2:6">
      <c r="B15809">
        <v>2019</v>
      </c>
      <c r="C15809" t="s">
        <v>169</v>
      </c>
      <c r="D15809" t="s">
        <v>184</v>
      </c>
      <c r="E15809" t="s">
        <v>8</v>
      </c>
      <c r="F15809">
        <v>7.687652587890625</v>
      </c>
    </row>
    <row r="15810" spans="2:6">
      <c r="B15810">
        <v>2019</v>
      </c>
      <c r="C15810" t="s">
        <v>169</v>
      </c>
      <c r="D15810" t="s">
        <v>184</v>
      </c>
      <c r="E15810" t="s">
        <v>9</v>
      </c>
      <c r="F15810">
        <v>0.80548739433288574</v>
      </c>
    </row>
    <row r="15811" spans="2:6">
      <c r="B15811">
        <v>2019</v>
      </c>
      <c r="C15811" t="s">
        <v>169</v>
      </c>
      <c r="D15811" t="s">
        <v>184</v>
      </c>
      <c r="E15811" t="s">
        <v>10</v>
      </c>
      <c r="F15811">
        <v>56.099998474121094</v>
      </c>
    </row>
    <row r="15812" spans="2:6">
      <c r="B15812">
        <v>2019</v>
      </c>
      <c r="C15812" t="s">
        <v>169</v>
      </c>
      <c r="D15812" t="s">
        <v>184</v>
      </c>
      <c r="E15812" t="s">
        <v>11</v>
      </c>
      <c r="F15812">
        <v>0.70437663793563843</v>
      </c>
    </row>
    <row r="15813" spans="2:6">
      <c r="B15813">
        <v>2019</v>
      </c>
      <c r="C15813" t="s">
        <v>169</v>
      </c>
      <c r="D15813" t="s">
        <v>184</v>
      </c>
      <c r="E15813" t="s">
        <v>12</v>
      </c>
      <c r="F15813">
        <v>0.13882128894329071</v>
      </c>
    </row>
    <row r="15814" spans="2:6">
      <c r="B15814">
        <v>2019</v>
      </c>
      <c r="C15814" t="s">
        <v>169</v>
      </c>
      <c r="D15814" t="s">
        <v>184</v>
      </c>
      <c r="E15814" t="s">
        <v>13</v>
      </c>
      <c r="F15814">
        <v>0.82561260461807251</v>
      </c>
    </row>
    <row r="15815" spans="2:6">
      <c r="B15815">
        <v>2019</v>
      </c>
      <c r="C15815" t="s">
        <v>169</v>
      </c>
      <c r="D15815" t="s">
        <v>184</v>
      </c>
      <c r="E15815" t="s">
        <v>14</v>
      </c>
      <c r="F15815">
        <v>0.69308245182037354</v>
      </c>
    </row>
    <row r="15816" spans="2:6">
      <c r="B15816">
        <v>2019</v>
      </c>
      <c r="C15816" t="s">
        <v>169</v>
      </c>
      <c r="D15816" t="s">
        <v>184</v>
      </c>
      <c r="E15816" t="s">
        <v>15</v>
      </c>
      <c r="F15816">
        <v>0.38522079586982727</v>
      </c>
    </row>
    <row r="15817" spans="2:6">
      <c r="B15817">
        <v>2020</v>
      </c>
      <c r="C15817" t="s">
        <v>169</v>
      </c>
      <c r="D15817" t="s">
        <v>184</v>
      </c>
      <c r="E15817" t="s">
        <v>7</v>
      </c>
      <c r="F15817">
        <v>4.6409096717834473</v>
      </c>
    </row>
    <row r="15818" spans="2:6">
      <c r="B15818">
        <v>2020</v>
      </c>
      <c r="C15818" t="s">
        <v>169</v>
      </c>
      <c r="D15818" t="s">
        <v>184</v>
      </c>
      <c r="E15818" t="s">
        <v>8</v>
      </c>
      <c r="F15818">
        <v>7.6844501495361328</v>
      </c>
    </row>
    <row r="15819" spans="2:6">
      <c r="B15819">
        <v>2020</v>
      </c>
      <c r="C15819" t="s">
        <v>169</v>
      </c>
      <c r="D15819" t="s">
        <v>184</v>
      </c>
      <c r="E15819" t="s">
        <v>9</v>
      </c>
      <c r="F15819">
        <v>0.80046117305755615</v>
      </c>
    </row>
    <row r="15820" spans="2:6">
      <c r="B15820">
        <v>2020</v>
      </c>
      <c r="C15820" t="s">
        <v>169</v>
      </c>
      <c r="D15820" t="s">
        <v>184</v>
      </c>
      <c r="E15820" t="s">
        <v>10</v>
      </c>
      <c r="F15820">
        <v>56.5</v>
      </c>
    </row>
    <row r="15821" spans="2:6">
      <c r="B15821">
        <v>2020</v>
      </c>
      <c r="C15821" t="s">
        <v>169</v>
      </c>
      <c r="D15821" t="s">
        <v>184</v>
      </c>
      <c r="E15821" t="s">
        <v>11</v>
      </c>
      <c r="F15821">
        <v>0.68748211860656738</v>
      </c>
    </row>
    <row r="15822" spans="2:6">
      <c r="B15822">
        <v>2020</v>
      </c>
      <c r="C15822" t="s">
        <v>169</v>
      </c>
      <c r="D15822" t="s">
        <v>184</v>
      </c>
      <c r="E15822" t="s">
        <v>12</v>
      </c>
      <c r="F15822">
        <v>0.14711755514144897</v>
      </c>
    </row>
    <row r="15823" spans="2:6">
      <c r="B15823">
        <v>2020</v>
      </c>
      <c r="C15823" t="s">
        <v>169</v>
      </c>
      <c r="D15823" t="s">
        <v>184</v>
      </c>
      <c r="E15823" t="s">
        <v>13</v>
      </c>
      <c r="F15823">
        <v>0.87758725881576538</v>
      </c>
    </row>
    <row r="15824" spans="2:6">
      <c r="B15824">
        <v>2020</v>
      </c>
      <c r="C15824" t="s">
        <v>169</v>
      </c>
      <c r="D15824" t="s">
        <v>184</v>
      </c>
      <c r="E15824" t="s">
        <v>14</v>
      </c>
      <c r="F15824">
        <v>0.69894886016845703</v>
      </c>
    </row>
    <row r="15825" spans="2:6">
      <c r="B15825">
        <v>2020</v>
      </c>
      <c r="C15825" t="s">
        <v>169</v>
      </c>
      <c r="D15825" t="s">
        <v>184</v>
      </c>
      <c r="E15825" t="s">
        <v>15</v>
      </c>
      <c r="F15825">
        <v>0.42470666766166687</v>
      </c>
    </row>
    <row r="15826" spans="2:6">
      <c r="B15826">
        <v>2006</v>
      </c>
      <c r="C15826" t="s">
        <v>170</v>
      </c>
      <c r="D15826" t="s">
        <v>183</v>
      </c>
      <c r="E15826" t="s">
        <v>7</v>
      </c>
      <c r="F15826">
        <v>4.8039541244506836</v>
      </c>
    </row>
    <row r="15827" spans="2:6">
      <c r="B15827">
        <v>2006</v>
      </c>
      <c r="C15827" t="s">
        <v>170</v>
      </c>
      <c r="D15827" t="s">
        <v>183</v>
      </c>
      <c r="E15827" t="s">
        <v>8</v>
      </c>
      <c r="F15827">
        <v>9.3803071975708008</v>
      </c>
    </row>
    <row r="15828" spans="2:6">
      <c r="B15828">
        <v>2006</v>
      </c>
      <c r="C15828" t="s">
        <v>170</v>
      </c>
      <c r="D15828" t="s">
        <v>183</v>
      </c>
      <c r="E15828" t="s">
        <v>9</v>
      </c>
      <c r="F15828">
        <v>0.85245335102081299</v>
      </c>
    </row>
    <row r="15829" spans="2:6">
      <c r="B15829">
        <v>2006</v>
      </c>
      <c r="C15829" t="s">
        <v>170</v>
      </c>
      <c r="D15829" t="s">
        <v>183</v>
      </c>
      <c r="E15829" t="s">
        <v>10</v>
      </c>
      <c r="F15829">
        <v>60.119998931884766</v>
      </c>
    </row>
    <row r="15830" spans="2:6">
      <c r="B15830">
        <v>2006</v>
      </c>
      <c r="C15830" t="s">
        <v>170</v>
      </c>
      <c r="D15830" t="s">
        <v>183</v>
      </c>
      <c r="E15830" t="s">
        <v>11</v>
      </c>
      <c r="F15830">
        <v>0.62381410598754883</v>
      </c>
    </row>
    <row r="15831" spans="2:6">
      <c r="B15831">
        <v>2006</v>
      </c>
      <c r="C15831" t="s">
        <v>170</v>
      </c>
      <c r="D15831" t="s">
        <v>183</v>
      </c>
      <c r="E15831" t="s">
        <v>12</v>
      </c>
      <c r="F15831">
        <v>-0.25710868835449219</v>
      </c>
    </row>
    <row r="15832" spans="2:6">
      <c r="B15832">
        <v>2006</v>
      </c>
      <c r="C15832" t="s">
        <v>170</v>
      </c>
      <c r="D15832" t="s">
        <v>183</v>
      </c>
      <c r="E15832" t="s">
        <v>13</v>
      </c>
      <c r="F15832">
        <v>0.9294314980506897</v>
      </c>
    </row>
    <row r="15833" spans="2:6">
      <c r="B15833">
        <v>2006</v>
      </c>
      <c r="C15833" t="s">
        <v>170</v>
      </c>
      <c r="D15833" t="s">
        <v>183</v>
      </c>
      <c r="E15833" t="s">
        <v>14</v>
      </c>
      <c r="F15833">
        <v>0.62152010202407837</v>
      </c>
    </row>
    <row r="15834" spans="2:6">
      <c r="B15834">
        <v>2006</v>
      </c>
      <c r="C15834" t="s">
        <v>170</v>
      </c>
      <c r="D15834" t="s">
        <v>183</v>
      </c>
      <c r="E15834" t="s">
        <v>15</v>
      </c>
      <c r="F15834">
        <v>0.24923405051231384</v>
      </c>
    </row>
    <row r="15835" spans="2:6">
      <c r="B15835">
        <v>2007</v>
      </c>
      <c r="C15835" t="s">
        <v>170</v>
      </c>
      <c r="D15835" t="s">
        <v>183</v>
      </c>
      <c r="E15835" t="s">
        <v>7</v>
      </c>
      <c r="F15835">
        <v>5.2521815299987793</v>
      </c>
    </row>
    <row r="15836" spans="2:6">
      <c r="B15836">
        <v>2007</v>
      </c>
      <c r="C15836" t="s">
        <v>170</v>
      </c>
      <c r="D15836" t="s">
        <v>183</v>
      </c>
      <c r="E15836" t="s">
        <v>8</v>
      </c>
      <c r="F15836">
        <v>9.4594659805297852</v>
      </c>
    </row>
    <row r="15837" spans="2:6">
      <c r="B15837">
        <v>2007</v>
      </c>
      <c r="C15837" t="s">
        <v>170</v>
      </c>
      <c r="D15837" t="s">
        <v>183</v>
      </c>
      <c r="E15837" t="s">
        <v>9</v>
      </c>
      <c r="F15837">
        <v>0.82009434700012207</v>
      </c>
    </row>
    <row r="15838" spans="2:6">
      <c r="B15838">
        <v>2007</v>
      </c>
      <c r="C15838" t="s">
        <v>170</v>
      </c>
      <c r="D15838" t="s">
        <v>183</v>
      </c>
      <c r="E15838" t="s">
        <v>10</v>
      </c>
      <c r="F15838">
        <v>60.639999389648438</v>
      </c>
    </row>
    <row r="15839" spans="2:6">
      <c r="B15839">
        <v>2007</v>
      </c>
      <c r="C15839" t="s">
        <v>170</v>
      </c>
      <c r="D15839" t="s">
        <v>183</v>
      </c>
      <c r="E15839" t="s">
        <v>11</v>
      </c>
      <c r="F15839">
        <v>0.49392247200012207</v>
      </c>
    </row>
    <row r="15840" spans="2:6">
      <c r="B15840">
        <v>2007</v>
      </c>
      <c r="C15840" t="s">
        <v>170</v>
      </c>
      <c r="D15840" t="s">
        <v>183</v>
      </c>
      <c r="E15840" t="s">
        <v>12</v>
      </c>
      <c r="F15840">
        <v>-0.24067531526088715</v>
      </c>
    </row>
    <row r="15841" spans="2:6">
      <c r="B15841">
        <v>2007</v>
      </c>
      <c r="C15841" t="s">
        <v>170</v>
      </c>
      <c r="D15841" t="s">
        <v>183</v>
      </c>
      <c r="E15841" t="s">
        <v>13</v>
      </c>
      <c r="F15841">
        <v>0.96793955564498901</v>
      </c>
    </row>
    <row r="15842" spans="2:6">
      <c r="B15842">
        <v>2007</v>
      </c>
      <c r="C15842" t="s">
        <v>170</v>
      </c>
      <c r="D15842" t="s">
        <v>183</v>
      </c>
      <c r="E15842" t="s">
        <v>14</v>
      </c>
      <c r="F15842">
        <v>0.63616955280303955</v>
      </c>
    </row>
    <row r="15843" spans="2:6">
      <c r="B15843">
        <v>2007</v>
      </c>
      <c r="C15843" t="s">
        <v>170</v>
      </c>
      <c r="D15843" t="s">
        <v>183</v>
      </c>
      <c r="E15843" t="s">
        <v>15</v>
      </c>
      <c r="F15843">
        <v>0.20765180885791779</v>
      </c>
    </row>
    <row r="15844" spans="2:6">
      <c r="B15844">
        <v>2008</v>
      </c>
      <c r="C15844" t="s">
        <v>170</v>
      </c>
      <c r="D15844" t="s">
        <v>183</v>
      </c>
      <c r="E15844" t="s">
        <v>7</v>
      </c>
      <c r="F15844">
        <v>5.1723804473876953</v>
      </c>
    </row>
    <row r="15845" spans="2:6">
      <c r="B15845">
        <v>2008</v>
      </c>
      <c r="C15845" t="s">
        <v>170</v>
      </c>
      <c r="D15845" t="s">
        <v>183</v>
      </c>
      <c r="E15845" t="s">
        <v>8</v>
      </c>
      <c r="F15845">
        <v>9.4876594543457031</v>
      </c>
    </row>
    <row r="15846" spans="2:6">
      <c r="B15846">
        <v>2008</v>
      </c>
      <c r="C15846" t="s">
        <v>170</v>
      </c>
      <c r="D15846" t="s">
        <v>183</v>
      </c>
      <c r="E15846" t="s">
        <v>9</v>
      </c>
      <c r="F15846">
        <v>0.86001378297805786</v>
      </c>
    </row>
    <row r="15847" spans="2:6">
      <c r="B15847">
        <v>2008</v>
      </c>
      <c r="C15847" t="s">
        <v>170</v>
      </c>
      <c r="D15847" t="s">
        <v>183</v>
      </c>
      <c r="E15847" t="s">
        <v>10</v>
      </c>
      <c r="F15847">
        <v>61.159999847412109</v>
      </c>
    </row>
    <row r="15848" spans="2:6">
      <c r="B15848">
        <v>2008</v>
      </c>
      <c r="C15848" t="s">
        <v>170</v>
      </c>
      <c r="D15848" t="s">
        <v>183</v>
      </c>
      <c r="E15848" t="s">
        <v>11</v>
      </c>
      <c r="F15848">
        <v>0.48662698268890381</v>
      </c>
    </row>
    <row r="15849" spans="2:6">
      <c r="B15849">
        <v>2008</v>
      </c>
      <c r="C15849" t="s">
        <v>170</v>
      </c>
      <c r="D15849" t="s">
        <v>183</v>
      </c>
      <c r="E15849" t="s">
        <v>12</v>
      </c>
      <c r="F15849">
        <v>-0.26471278071403503</v>
      </c>
    </row>
    <row r="15850" spans="2:6">
      <c r="B15850">
        <v>2008</v>
      </c>
      <c r="C15850" t="s">
        <v>170</v>
      </c>
      <c r="D15850" t="s">
        <v>183</v>
      </c>
      <c r="E15850" t="s">
        <v>13</v>
      </c>
      <c r="F15850">
        <v>0.92917519807815552</v>
      </c>
    </row>
    <row r="15851" spans="2:6">
      <c r="B15851">
        <v>2008</v>
      </c>
      <c r="C15851" t="s">
        <v>170</v>
      </c>
      <c r="D15851" t="s">
        <v>183</v>
      </c>
      <c r="E15851" t="s">
        <v>14</v>
      </c>
      <c r="F15851">
        <v>0.57315266132354736</v>
      </c>
    </row>
    <row r="15852" spans="2:6">
      <c r="B15852">
        <v>2008</v>
      </c>
      <c r="C15852" t="s">
        <v>170</v>
      </c>
      <c r="D15852" t="s">
        <v>183</v>
      </c>
      <c r="E15852" t="s">
        <v>15</v>
      </c>
      <c r="F15852">
        <v>0.18580593168735504</v>
      </c>
    </row>
    <row r="15853" spans="2:6">
      <c r="B15853">
        <v>2009</v>
      </c>
      <c r="C15853" t="s">
        <v>170</v>
      </c>
      <c r="D15853" t="s">
        <v>183</v>
      </c>
      <c r="E15853" t="s">
        <v>7</v>
      </c>
      <c r="F15853">
        <v>5.1656394004821777</v>
      </c>
    </row>
    <row r="15854" spans="2:6">
      <c r="B15854">
        <v>2009</v>
      </c>
      <c r="C15854" t="s">
        <v>170</v>
      </c>
      <c r="D15854" t="s">
        <v>183</v>
      </c>
      <c r="E15854" t="s">
        <v>8</v>
      </c>
      <c r="F15854">
        <v>9.3324155807495117</v>
      </c>
    </row>
    <row r="15855" spans="2:6">
      <c r="B15855">
        <v>2009</v>
      </c>
      <c r="C15855" t="s">
        <v>170</v>
      </c>
      <c r="D15855" t="s">
        <v>183</v>
      </c>
      <c r="E15855" t="s">
        <v>9</v>
      </c>
      <c r="F15855">
        <v>0.84529322385787964</v>
      </c>
    </row>
    <row r="15856" spans="2:6">
      <c r="B15856">
        <v>2009</v>
      </c>
      <c r="C15856" t="s">
        <v>170</v>
      </c>
      <c r="D15856" t="s">
        <v>183</v>
      </c>
      <c r="E15856" t="s">
        <v>10</v>
      </c>
      <c r="F15856">
        <v>61.680000305175781</v>
      </c>
    </row>
    <row r="15857" spans="2:6">
      <c r="B15857">
        <v>2009</v>
      </c>
      <c r="C15857" t="s">
        <v>170</v>
      </c>
      <c r="D15857" t="s">
        <v>183</v>
      </c>
      <c r="E15857" t="s">
        <v>11</v>
      </c>
      <c r="F15857">
        <v>0.46034848690032959</v>
      </c>
    </row>
    <row r="15858" spans="2:6">
      <c r="B15858">
        <v>2009</v>
      </c>
      <c r="C15858" t="s">
        <v>170</v>
      </c>
      <c r="D15858" t="s">
        <v>183</v>
      </c>
      <c r="E15858" t="s">
        <v>12</v>
      </c>
      <c r="F15858">
        <v>-0.2414010763168335</v>
      </c>
    </row>
    <row r="15859" spans="2:6">
      <c r="B15859">
        <v>2009</v>
      </c>
      <c r="C15859" t="s">
        <v>170</v>
      </c>
      <c r="D15859" t="s">
        <v>183</v>
      </c>
      <c r="E15859" t="s">
        <v>13</v>
      </c>
      <c r="F15859">
        <v>0.96224445104598999</v>
      </c>
    </row>
    <row r="15860" spans="2:6">
      <c r="B15860">
        <v>2009</v>
      </c>
      <c r="C15860" t="s">
        <v>170</v>
      </c>
      <c r="D15860" t="s">
        <v>183</v>
      </c>
      <c r="E15860" t="s">
        <v>14</v>
      </c>
      <c r="F15860">
        <v>0.5830731987953186</v>
      </c>
    </row>
    <row r="15861" spans="2:6">
      <c r="B15861">
        <v>2009</v>
      </c>
      <c r="C15861" t="s">
        <v>170</v>
      </c>
      <c r="D15861" t="s">
        <v>183</v>
      </c>
      <c r="E15861" t="s">
        <v>15</v>
      </c>
      <c r="F15861">
        <v>0.18901385366916656</v>
      </c>
    </row>
    <row r="15862" spans="2:6">
      <c r="B15862">
        <v>2010</v>
      </c>
      <c r="C15862" t="s">
        <v>170</v>
      </c>
      <c r="D15862" t="s">
        <v>183</v>
      </c>
      <c r="E15862" t="s">
        <v>7</v>
      </c>
      <c r="F15862">
        <v>5.0575613975524902</v>
      </c>
    </row>
    <row r="15863" spans="2:6">
      <c r="B15863">
        <v>2010</v>
      </c>
      <c r="C15863" t="s">
        <v>170</v>
      </c>
      <c r="D15863" t="s">
        <v>183</v>
      </c>
      <c r="E15863" t="s">
        <v>8</v>
      </c>
      <c r="F15863">
        <v>9.3740148544311523</v>
      </c>
    </row>
    <row r="15864" spans="2:6">
      <c r="B15864">
        <v>2010</v>
      </c>
      <c r="C15864" t="s">
        <v>170</v>
      </c>
      <c r="D15864" t="s">
        <v>183</v>
      </c>
      <c r="E15864" t="s">
        <v>9</v>
      </c>
      <c r="F15864">
        <v>0.88355511426925659</v>
      </c>
    </row>
    <row r="15865" spans="2:6">
      <c r="B15865">
        <v>2010</v>
      </c>
      <c r="C15865" t="s">
        <v>170</v>
      </c>
      <c r="D15865" t="s">
        <v>183</v>
      </c>
      <c r="E15865" t="s">
        <v>10</v>
      </c>
      <c r="F15865">
        <v>62.200000762939453</v>
      </c>
    </row>
    <row r="15866" spans="2:6">
      <c r="B15866">
        <v>2010</v>
      </c>
      <c r="C15866" t="s">
        <v>170</v>
      </c>
      <c r="D15866" t="s">
        <v>183</v>
      </c>
      <c r="E15866" t="s">
        <v>11</v>
      </c>
      <c r="F15866">
        <v>0.4838331937789917</v>
      </c>
    </row>
    <row r="15867" spans="2:6">
      <c r="B15867">
        <v>2010</v>
      </c>
      <c r="C15867" t="s">
        <v>170</v>
      </c>
      <c r="D15867" t="s">
        <v>183</v>
      </c>
      <c r="E15867" t="s">
        <v>12</v>
      </c>
      <c r="F15867">
        <v>-0.18866029381752014</v>
      </c>
    </row>
    <row r="15868" spans="2:6">
      <c r="B15868">
        <v>2010</v>
      </c>
      <c r="C15868" t="s">
        <v>170</v>
      </c>
      <c r="D15868" t="s">
        <v>183</v>
      </c>
      <c r="E15868" t="s">
        <v>13</v>
      </c>
      <c r="F15868">
        <v>0.95375227928161621</v>
      </c>
    </row>
    <row r="15869" spans="2:6">
      <c r="B15869">
        <v>2010</v>
      </c>
      <c r="C15869" t="s">
        <v>170</v>
      </c>
      <c r="D15869" t="s">
        <v>183</v>
      </c>
      <c r="E15869" t="s">
        <v>14</v>
      </c>
      <c r="F15869">
        <v>0.51268285512924194</v>
      </c>
    </row>
    <row r="15870" spans="2:6">
      <c r="B15870">
        <v>2010</v>
      </c>
      <c r="C15870" t="s">
        <v>170</v>
      </c>
      <c r="D15870" t="s">
        <v>183</v>
      </c>
      <c r="E15870" t="s">
        <v>15</v>
      </c>
      <c r="F15870">
        <v>0.22720043361186981</v>
      </c>
    </row>
    <row r="15871" spans="2:6">
      <c r="B15871">
        <v>2011</v>
      </c>
      <c r="C15871" t="s">
        <v>170</v>
      </c>
      <c r="D15871" t="s">
        <v>183</v>
      </c>
      <c r="E15871" t="s">
        <v>7</v>
      </c>
      <c r="F15871">
        <v>5.0831327438354492</v>
      </c>
    </row>
    <row r="15872" spans="2:6">
      <c r="B15872">
        <v>2011</v>
      </c>
      <c r="C15872" t="s">
        <v>170</v>
      </c>
      <c r="D15872" t="s">
        <v>183</v>
      </c>
      <c r="E15872" t="s">
        <v>8</v>
      </c>
      <c r="F15872">
        <v>9.4308252334594727</v>
      </c>
    </row>
    <row r="15873" spans="2:6">
      <c r="B15873">
        <v>2011</v>
      </c>
      <c r="C15873" t="s">
        <v>170</v>
      </c>
      <c r="D15873" t="s">
        <v>183</v>
      </c>
      <c r="E15873" t="s">
        <v>9</v>
      </c>
      <c r="F15873">
        <v>0.85945868492126465</v>
      </c>
    </row>
    <row r="15874" spans="2:6">
      <c r="B15874">
        <v>2011</v>
      </c>
      <c r="C15874" t="s">
        <v>170</v>
      </c>
      <c r="D15874" t="s">
        <v>183</v>
      </c>
      <c r="E15874" t="s">
        <v>10</v>
      </c>
      <c r="F15874">
        <v>62.5</v>
      </c>
    </row>
    <row r="15875" spans="2:6">
      <c r="B15875">
        <v>2011</v>
      </c>
      <c r="C15875" t="s">
        <v>170</v>
      </c>
      <c r="D15875" t="s">
        <v>183</v>
      </c>
      <c r="E15875" t="s">
        <v>11</v>
      </c>
      <c r="F15875">
        <v>0.57866930961608887</v>
      </c>
    </row>
    <row r="15876" spans="2:6">
      <c r="B15876">
        <v>2011</v>
      </c>
      <c r="C15876" t="s">
        <v>170</v>
      </c>
      <c r="D15876" t="s">
        <v>183</v>
      </c>
      <c r="E15876" t="s">
        <v>12</v>
      </c>
      <c r="F15876">
        <v>-0.22761216759681702</v>
      </c>
    </row>
    <row r="15877" spans="2:6">
      <c r="B15877">
        <v>2011</v>
      </c>
      <c r="C15877" t="s">
        <v>170</v>
      </c>
      <c r="D15877" t="s">
        <v>183</v>
      </c>
      <c r="E15877" t="s">
        <v>13</v>
      </c>
      <c r="F15877">
        <v>0.93253529071807861</v>
      </c>
    </row>
    <row r="15878" spans="2:6">
      <c r="B15878">
        <v>2011</v>
      </c>
      <c r="C15878" t="s">
        <v>170</v>
      </c>
      <c r="D15878" t="s">
        <v>183</v>
      </c>
      <c r="E15878" t="s">
        <v>14</v>
      </c>
      <c r="F15878">
        <v>0.59043014049530029</v>
      </c>
    </row>
    <row r="15879" spans="2:6">
      <c r="B15879">
        <v>2011</v>
      </c>
      <c r="C15879" t="s">
        <v>170</v>
      </c>
      <c r="D15879" t="s">
        <v>183</v>
      </c>
      <c r="E15879" t="s">
        <v>15</v>
      </c>
      <c r="F15879">
        <v>0.21964775025844574</v>
      </c>
    </row>
    <row r="15880" spans="2:6">
      <c r="B15880">
        <v>2012</v>
      </c>
      <c r="C15880" t="s">
        <v>170</v>
      </c>
      <c r="D15880" t="s">
        <v>183</v>
      </c>
      <c r="E15880" t="s">
        <v>7</v>
      </c>
      <c r="F15880">
        <v>5.0303421020507813</v>
      </c>
    </row>
    <row r="15881" spans="2:6">
      <c r="B15881">
        <v>2012</v>
      </c>
      <c r="C15881" t="s">
        <v>170</v>
      </c>
      <c r="D15881" t="s">
        <v>183</v>
      </c>
      <c r="E15881" t="s">
        <v>8</v>
      </c>
      <c r="F15881">
        <v>9.4356784820556641</v>
      </c>
    </row>
    <row r="15882" spans="2:6">
      <c r="B15882">
        <v>2012</v>
      </c>
      <c r="C15882" t="s">
        <v>170</v>
      </c>
      <c r="D15882" t="s">
        <v>183</v>
      </c>
      <c r="E15882" t="s">
        <v>9</v>
      </c>
      <c r="F15882">
        <v>0.89757347106933594</v>
      </c>
    </row>
    <row r="15883" spans="2:6">
      <c r="B15883">
        <v>2012</v>
      </c>
      <c r="C15883" t="s">
        <v>170</v>
      </c>
      <c r="D15883" t="s">
        <v>183</v>
      </c>
      <c r="E15883" t="s">
        <v>10</v>
      </c>
      <c r="F15883">
        <v>62.799999237060547</v>
      </c>
    </row>
    <row r="15884" spans="2:6">
      <c r="B15884">
        <v>2012</v>
      </c>
      <c r="C15884" t="s">
        <v>170</v>
      </c>
      <c r="D15884" t="s">
        <v>183</v>
      </c>
      <c r="E15884" t="s">
        <v>11</v>
      </c>
      <c r="F15884">
        <v>0.56364977359771729</v>
      </c>
    </row>
    <row r="15885" spans="2:6">
      <c r="B15885">
        <v>2012</v>
      </c>
      <c r="C15885" t="s">
        <v>170</v>
      </c>
      <c r="D15885" t="s">
        <v>183</v>
      </c>
      <c r="E15885" t="s">
        <v>12</v>
      </c>
      <c r="F15885">
        <v>-0.22311291098594666</v>
      </c>
    </row>
    <row r="15886" spans="2:6">
      <c r="B15886">
        <v>2012</v>
      </c>
      <c r="C15886" t="s">
        <v>170</v>
      </c>
      <c r="D15886" t="s">
        <v>183</v>
      </c>
      <c r="E15886" t="s">
        <v>13</v>
      </c>
      <c r="F15886">
        <v>0.89623701572418213</v>
      </c>
    </row>
    <row r="15887" spans="2:6">
      <c r="B15887">
        <v>2012</v>
      </c>
      <c r="C15887" t="s">
        <v>170</v>
      </c>
      <c r="D15887" t="s">
        <v>183</v>
      </c>
      <c r="E15887" t="s">
        <v>14</v>
      </c>
      <c r="F15887">
        <v>0.57033765316009521</v>
      </c>
    </row>
    <row r="15888" spans="2:6">
      <c r="B15888">
        <v>2012</v>
      </c>
      <c r="C15888" t="s">
        <v>170</v>
      </c>
      <c r="D15888" t="s">
        <v>183</v>
      </c>
      <c r="E15888" t="s">
        <v>15</v>
      </c>
      <c r="F15888">
        <v>0.19281907379627228</v>
      </c>
    </row>
    <row r="15889" spans="2:6">
      <c r="B15889">
        <v>2013</v>
      </c>
      <c r="C15889" t="s">
        <v>170</v>
      </c>
      <c r="D15889" t="s">
        <v>183</v>
      </c>
      <c r="E15889" t="s">
        <v>7</v>
      </c>
      <c r="F15889">
        <v>4.7108025550842285</v>
      </c>
    </row>
    <row r="15890" spans="2:6">
      <c r="B15890">
        <v>2013</v>
      </c>
      <c r="C15890" t="s">
        <v>170</v>
      </c>
      <c r="D15890" t="s">
        <v>183</v>
      </c>
      <c r="E15890" t="s">
        <v>8</v>
      </c>
      <c r="F15890">
        <v>9.4376888275146484</v>
      </c>
    </row>
    <row r="15891" spans="2:6">
      <c r="B15891">
        <v>2013</v>
      </c>
      <c r="C15891" t="s">
        <v>170</v>
      </c>
      <c r="D15891" t="s">
        <v>183</v>
      </c>
      <c r="E15891" t="s">
        <v>9</v>
      </c>
      <c r="F15891">
        <v>0.89651042222976685</v>
      </c>
    </row>
    <row r="15892" spans="2:6">
      <c r="B15892">
        <v>2013</v>
      </c>
      <c r="C15892" t="s">
        <v>170</v>
      </c>
      <c r="D15892" t="s">
        <v>183</v>
      </c>
      <c r="E15892" t="s">
        <v>10</v>
      </c>
      <c r="F15892">
        <v>63.099998474121094</v>
      </c>
    </row>
    <row r="15893" spans="2:6">
      <c r="B15893">
        <v>2013</v>
      </c>
      <c r="C15893" t="s">
        <v>170</v>
      </c>
      <c r="D15893" t="s">
        <v>183</v>
      </c>
      <c r="E15893" t="s">
        <v>11</v>
      </c>
      <c r="F15893">
        <v>0.56871569156646729</v>
      </c>
    </row>
    <row r="15894" spans="2:6">
      <c r="B15894">
        <v>2013</v>
      </c>
      <c r="C15894" t="s">
        <v>170</v>
      </c>
      <c r="D15894" t="s">
        <v>183</v>
      </c>
      <c r="E15894" t="s">
        <v>12</v>
      </c>
      <c r="F15894">
        <v>-0.21628621220588684</v>
      </c>
    </row>
    <row r="15895" spans="2:6">
      <c r="B15895">
        <v>2013</v>
      </c>
      <c r="C15895" t="s">
        <v>170</v>
      </c>
      <c r="D15895" t="s">
        <v>183</v>
      </c>
      <c r="E15895" t="s">
        <v>13</v>
      </c>
      <c r="F15895">
        <v>0.93732428550720215</v>
      </c>
    </row>
    <row r="15896" spans="2:6">
      <c r="B15896">
        <v>2013</v>
      </c>
      <c r="C15896" t="s">
        <v>170</v>
      </c>
      <c r="D15896" t="s">
        <v>183</v>
      </c>
      <c r="E15896" t="s">
        <v>14</v>
      </c>
      <c r="F15896">
        <v>0.64346158504486084</v>
      </c>
    </row>
    <row r="15897" spans="2:6">
      <c r="B15897">
        <v>2013</v>
      </c>
      <c r="C15897" t="s">
        <v>170</v>
      </c>
      <c r="D15897" t="s">
        <v>183</v>
      </c>
      <c r="E15897" t="s">
        <v>15</v>
      </c>
      <c r="F15897">
        <v>0.22459550201892853</v>
      </c>
    </row>
    <row r="15898" spans="2:6">
      <c r="B15898">
        <v>2014</v>
      </c>
      <c r="C15898" t="s">
        <v>170</v>
      </c>
      <c r="D15898" t="s">
        <v>183</v>
      </c>
      <c r="E15898" t="s">
        <v>7</v>
      </c>
      <c r="F15898">
        <v>4.2973299026489258</v>
      </c>
    </row>
    <row r="15899" spans="2:6">
      <c r="B15899">
        <v>2014</v>
      </c>
      <c r="C15899" t="s">
        <v>170</v>
      </c>
      <c r="D15899" t="s">
        <v>183</v>
      </c>
      <c r="E15899" t="s">
        <v>8</v>
      </c>
      <c r="F15899">
        <v>9.426173210144043</v>
      </c>
    </row>
    <row r="15900" spans="2:6">
      <c r="B15900">
        <v>2014</v>
      </c>
      <c r="C15900" t="s">
        <v>170</v>
      </c>
      <c r="D15900" t="s">
        <v>183</v>
      </c>
      <c r="E15900" t="s">
        <v>9</v>
      </c>
      <c r="F15900">
        <v>0.87676018476486206</v>
      </c>
    </row>
    <row r="15901" spans="2:6">
      <c r="B15901">
        <v>2014</v>
      </c>
      <c r="C15901" t="s">
        <v>170</v>
      </c>
      <c r="D15901" t="s">
        <v>183</v>
      </c>
      <c r="E15901" t="s">
        <v>10</v>
      </c>
      <c r="F15901">
        <v>63.400001525878906</v>
      </c>
    </row>
    <row r="15902" spans="2:6">
      <c r="B15902">
        <v>2014</v>
      </c>
      <c r="C15902" t="s">
        <v>170</v>
      </c>
      <c r="D15902" t="s">
        <v>183</v>
      </c>
      <c r="E15902" t="s">
        <v>11</v>
      </c>
      <c r="F15902">
        <v>0.53326749801635742</v>
      </c>
    </row>
    <row r="15903" spans="2:6">
      <c r="B15903">
        <v>2014</v>
      </c>
      <c r="C15903" t="s">
        <v>170</v>
      </c>
      <c r="D15903" t="s">
        <v>183</v>
      </c>
      <c r="E15903" t="s">
        <v>12</v>
      </c>
      <c r="F15903">
        <v>8.3829350769519806E-2</v>
      </c>
    </row>
    <row r="15904" spans="2:6">
      <c r="B15904">
        <v>2014</v>
      </c>
      <c r="C15904" t="s">
        <v>170</v>
      </c>
      <c r="D15904" t="s">
        <v>183</v>
      </c>
      <c r="E15904" t="s">
        <v>13</v>
      </c>
      <c r="F15904">
        <v>0.92678892612457275</v>
      </c>
    </row>
    <row r="15905" spans="2:6">
      <c r="B15905">
        <v>2014</v>
      </c>
      <c r="C15905" t="s">
        <v>170</v>
      </c>
      <c r="D15905" t="s">
        <v>183</v>
      </c>
      <c r="E15905" t="s">
        <v>14</v>
      </c>
      <c r="F15905">
        <v>0.59433698654174805</v>
      </c>
    </row>
    <row r="15906" spans="2:6">
      <c r="B15906">
        <v>2014</v>
      </c>
      <c r="C15906" t="s">
        <v>170</v>
      </c>
      <c r="D15906" t="s">
        <v>183</v>
      </c>
      <c r="E15906" t="s">
        <v>15</v>
      </c>
      <c r="F15906">
        <v>0.24856005609035492</v>
      </c>
    </row>
    <row r="15907" spans="2:6">
      <c r="B15907">
        <v>2015</v>
      </c>
      <c r="C15907" t="s">
        <v>170</v>
      </c>
      <c r="D15907" t="s">
        <v>183</v>
      </c>
      <c r="E15907" t="s">
        <v>7</v>
      </c>
      <c r="F15907">
        <v>3.9645428657531738</v>
      </c>
    </row>
    <row r="15908" spans="2:6">
      <c r="B15908">
        <v>2015</v>
      </c>
      <c r="C15908" t="s">
        <v>170</v>
      </c>
      <c r="D15908" t="s">
        <v>183</v>
      </c>
      <c r="E15908" t="s">
        <v>8</v>
      </c>
      <c r="F15908">
        <v>9.3269739151000977</v>
      </c>
    </row>
    <row r="15909" spans="2:6">
      <c r="B15909">
        <v>2015</v>
      </c>
      <c r="C15909" t="s">
        <v>170</v>
      </c>
      <c r="D15909" t="s">
        <v>183</v>
      </c>
      <c r="E15909" t="s">
        <v>9</v>
      </c>
      <c r="F15909">
        <v>0.90943974256515503</v>
      </c>
    </row>
    <row r="15910" spans="2:6">
      <c r="B15910">
        <v>2015</v>
      </c>
      <c r="C15910" t="s">
        <v>170</v>
      </c>
      <c r="D15910" t="s">
        <v>183</v>
      </c>
      <c r="E15910" t="s">
        <v>10</v>
      </c>
      <c r="F15910">
        <v>63.700000762939453</v>
      </c>
    </row>
    <row r="15911" spans="2:6">
      <c r="B15911">
        <v>2015</v>
      </c>
      <c r="C15911" t="s">
        <v>170</v>
      </c>
      <c r="D15911" t="s">
        <v>183</v>
      </c>
      <c r="E15911" t="s">
        <v>11</v>
      </c>
      <c r="F15911">
        <v>0.43059203028678894</v>
      </c>
    </row>
    <row r="15912" spans="2:6">
      <c r="B15912">
        <v>2015</v>
      </c>
      <c r="C15912" t="s">
        <v>170</v>
      </c>
      <c r="D15912" t="s">
        <v>183</v>
      </c>
      <c r="E15912" t="s">
        <v>12</v>
      </c>
      <c r="F15912">
        <v>-3.3401824533939362E-2</v>
      </c>
    </row>
    <row r="15913" spans="2:6">
      <c r="B15913">
        <v>2015</v>
      </c>
      <c r="C15913" t="s">
        <v>170</v>
      </c>
      <c r="D15913" t="s">
        <v>183</v>
      </c>
      <c r="E15913" t="s">
        <v>13</v>
      </c>
      <c r="F15913">
        <v>0.9524727463722229</v>
      </c>
    </row>
    <row r="15914" spans="2:6">
      <c r="B15914">
        <v>2015</v>
      </c>
      <c r="C15914" t="s">
        <v>170</v>
      </c>
      <c r="D15914" t="s">
        <v>183</v>
      </c>
      <c r="E15914" t="s">
        <v>14</v>
      </c>
      <c r="F15914">
        <v>0.57407605648040771</v>
      </c>
    </row>
    <row r="15915" spans="2:6">
      <c r="B15915">
        <v>2015</v>
      </c>
      <c r="C15915" t="s">
        <v>170</v>
      </c>
      <c r="D15915" t="s">
        <v>183</v>
      </c>
      <c r="E15915" t="s">
        <v>15</v>
      </c>
      <c r="F15915">
        <v>0.24107585847377777</v>
      </c>
    </row>
    <row r="15916" spans="2:6">
      <c r="B15916">
        <v>2016</v>
      </c>
      <c r="C15916" t="s">
        <v>170</v>
      </c>
      <c r="D15916" t="s">
        <v>183</v>
      </c>
      <c r="E15916" t="s">
        <v>7</v>
      </c>
      <c r="F15916">
        <v>4.0286903381347656</v>
      </c>
    </row>
    <row r="15917" spans="2:6">
      <c r="B15917">
        <v>2016</v>
      </c>
      <c r="C15917" t="s">
        <v>170</v>
      </c>
      <c r="D15917" t="s">
        <v>183</v>
      </c>
      <c r="E15917" t="s">
        <v>8</v>
      </c>
      <c r="F15917">
        <v>9.3531093597412109</v>
      </c>
    </row>
    <row r="15918" spans="2:6">
      <c r="B15918">
        <v>2016</v>
      </c>
      <c r="C15918" t="s">
        <v>170</v>
      </c>
      <c r="D15918" t="s">
        <v>183</v>
      </c>
      <c r="E15918" t="s">
        <v>9</v>
      </c>
      <c r="F15918">
        <v>0.88496136665344238</v>
      </c>
    </row>
    <row r="15919" spans="2:6">
      <c r="B15919">
        <v>2016</v>
      </c>
      <c r="C15919" t="s">
        <v>170</v>
      </c>
      <c r="D15919" t="s">
        <v>183</v>
      </c>
      <c r="E15919" t="s">
        <v>10</v>
      </c>
      <c r="F15919">
        <v>64</v>
      </c>
    </row>
    <row r="15920" spans="2:6">
      <c r="B15920">
        <v>2016</v>
      </c>
      <c r="C15920" t="s">
        <v>170</v>
      </c>
      <c r="D15920" t="s">
        <v>183</v>
      </c>
      <c r="E15920" t="s">
        <v>11</v>
      </c>
      <c r="F15920">
        <v>0.50254189968109131</v>
      </c>
    </row>
    <row r="15921" spans="2:6">
      <c r="B15921">
        <v>2016</v>
      </c>
      <c r="C15921" t="s">
        <v>170</v>
      </c>
      <c r="D15921" t="s">
        <v>183</v>
      </c>
      <c r="E15921" t="s">
        <v>12</v>
      </c>
      <c r="F15921">
        <v>1.0512580163776875E-2</v>
      </c>
    </row>
    <row r="15922" spans="2:6">
      <c r="B15922">
        <v>2016</v>
      </c>
      <c r="C15922" t="s">
        <v>170</v>
      </c>
      <c r="D15922" t="s">
        <v>183</v>
      </c>
      <c r="E15922" t="s">
        <v>13</v>
      </c>
      <c r="F15922">
        <v>0.89107513427734375</v>
      </c>
    </row>
    <row r="15923" spans="2:6">
      <c r="B15923">
        <v>2016</v>
      </c>
      <c r="C15923" t="s">
        <v>170</v>
      </c>
      <c r="D15923" t="s">
        <v>183</v>
      </c>
      <c r="E15923" t="s">
        <v>14</v>
      </c>
      <c r="F15923">
        <v>0.58872169256210327</v>
      </c>
    </row>
    <row r="15924" spans="2:6">
      <c r="B15924">
        <v>2016</v>
      </c>
      <c r="C15924" t="s">
        <v>170</v>
      </c>
      <c r="D15924" t="s">
        <v>183</v>
      </c>
      <c r="E15924" t="s">
        <v>15</v>
      </c>
      <c r="F15924">
        <v>0.21962425112724304</v>
      </c>
    </row>
    <row r="15925" spans="2:6">
      <c r="B15925">
        <v>2017</v>
      </c>
      <c r="C15925" t="s">
        <v>170</v>
      </c>
      <c r="D15925" t="s">
        <v>183</v>
      </c>
      <c r="E15925" t="s">
        <v>7</v>
      </c>
      <c r="F15925">
        <v>4.3110671043395996</v>
      </c>
    </row>
    <row r="15926" spans="2:6">
      <c r="B15926">
        <v>2017</v>
      </c>
      <c r="C15926" t="s">
        <v>170</v>
      </c>
      <c r="D15926" t="s">
        <v>183</v>
      </c>
      <c r="E15926" t="s">
        <v>8</v>
      </c>
      <c r="F15926">
        <v>9.3818645477294922</v>
      </c>
    </row>
    <row r="15927" spans="2:6">
      <c r="B15927">
        <v>2017</v>
      </c>
      <c r="C15927" t="s">
        <v>170</v>
      </c>
      <c r="D15927" t="s">
        <v>183</v>
      </c>
      <c r="E15927" t="s">
        <v>9</v>
      </c>
      <c r="F15927">
        <v>0.85832488536834717</v>
      </c>
    </row>
    <row r="15928" spans="2:6">
      <c r="B15928">
        <v>2017</v>
      </c>
      <c r="C15928" t="s">
        <v>170</v>
      </c>
      <c r="D15928" t="s">
        <v>183</v>
      </c>
      <c r="E15928" t="s">
        <v>10</v>
      </c>
      <c r="F15928">
        <v>64.300003051757813</v>
      </c>
    </row>
    <row r="15929" spans="2:6">
      <c r="B15929">
        <v>2017</v>
      </c>
      <c r="C15929" t="s">
        <v>170</v>
      </c>
      <c r="D15929" t="s">
        <v>183</v>
      </c>
      <c r="E15929" t="s">
        <v>11</v>
      </c>
      <c r="F15929">
        <v>0.59887552261352539</v>
      </c>
    </row>
    <row r="15930" spans="2:6">
      <c r="B15930">
        <v>2017</v>
      </c>
      <c r="C15930" t="s">
        <v>170</v>
      </c>
      <c r="D15930" t="s">
        <v>183</v>
      </c>
      <c r="E15930" t="s">
        <v>12</v>
      </c>
      <c r="F15930">
        <v>-2.2775360848754644E-3</v>
      </c>
    </row>
    <row r="15931" spans="2:6">
      <c r="B15931">
        <v>2017</v>
      </c>
      <c r="C15931" t="s">
        <v>170</v>
      </c>
      <c r="D15931" t="s">
        <v>183</v>
      </c>
      <c r="E15931" t="s">
        <v>13</v>
      </c>
      <c r="F15931">
        <v>0.93676400184631348</v>
      </c>
    </row>
    <row r="15932" spans="2:6">
      <c r="B15932">
        <v>2017</v>
      </c>
      <c r="C15932" t="s">
        <v>170</v>
      </c>
      <c r="D15932" t="s">
        <v>183</v>
      </c>
      <c r="E15932" t="s">
        <v>14</v>
      </c>
      <c r="F15932">
        <v>0.59711217880249023</v>
      </c>
    </row>
    <row r="15933" spans="2:6">
      <c r="B15933">
        <v>2017</v>
      </c>
      <c r="C15933" t="s">
        <v>170</v>
      </c>
      <c r="D15933" t="s">
        <v>183</v>
      </c>
      <c r="E15933" t="s">
        <v>15</v>
      </c>
      <c r="F15933">
        <v>0.23476383090019226</v>
      </c>
    </row>
    <row r="15934" spans="2:6">
      <c r="B15934">
        <v>2018</v>
      </c>
      <c r="C15934" t="s">
        <v>170</v>
      </c>
      <c r="D15934" t="s">
        <v>183</v>
      </c>
      <c r="E15934" t="s">
        <v>7</v>
      </c>
      <c r="F15934">
        <v>4.6619091033935547</v>
      </c>
    </row>
    <row r="15935" spans="2:6">
      <c r="B15935">
        <v>2018</v>
      </c>
      <c r="C15935" t="s">
        <v>170</v>
      </c>
      <c r="D15935" t="s">
        <v>183</v>
      </c>
      <c r="E15935" t="s">
        <v>8</v>
      </c>
      <c r="F15935">
        <v>9.4204397201538086</v>
      </c>
    </row>
    <row r="15936" spans="2:6">
      <c r="B15936">
        <v>2018</v>
      </c>
      <c r="C15936" t="s">
        <v>170</v>
      </c>
      <c r="D15936" t="s">
        <v>183</v>
      </c>
      <c r="E15936" t="s">
        <v>9</v>
      </c>
      <c r="F15936">
        <v>0.90093672275543213</v>
      </c>
    </row>
    <row r="15937" spans="2:6">
      <c r="B15937">
        <v>2018</v>
      </c>
      <c r="C15937" t="s">
        <v>170</v>
      </c>
      <c r="D15937" t="s">
        <v>183</v>
      </c>
      <c r="E15937" t="s">
        <v>10</v>
      </c>
      <c r="F15937">
        <v>64.599998474121094</v>
      </c>
    </row>
    <row r="15938" spans="2:6">
      <c r="B15938">
        <v>2018</v>
      </c>
      <c r="C15938" t="s">
        <v>170</v>
      </c>
      <c r="D15938" t="s">
        <v>183</v>
      </c>
      <c r="E15938" t="s">
        <v>11</v>
      </c>
      <c r="F15938">
        <v>0.66305506229400635</v>
      </c>
    </row>
    <row r="15939" spans="2:6">
      <c r="B15939">
        <v>2018</v>
      </c>
      <c r="C15939" t="s">
        <v>170</v>
      </c>
      <c r="D15939" t="s">
        <v>183</v>
      </c>
      <c r="E15939" t="s">
        <v>12</v>
      </c>
      <c r="F15939">
        <v>-7.4370712041854858E-2</v>
      </c>
    </row>
    <row r="15940" spans="2:6">
      <c r="B15940">
        <v>2018</v>
      </c>
      <c r="C15940" t="s">
        <v>170</v>
      </c>
      <c r="D15940" t="s">
        <v>183</v>
      </c>
      <c r="E15940" t="s">
        <v>13</v>
      </c>
      <c r="F15940">
        <v>0.94296073913574219</v>
      </c>
    </row>
    <row r="15941" spans="2:6">
      <c r="B15941">
        <v>2018</v>
      </c>
      <c r="C15941" t="s">
        <v>170</v>
      </c>
      <c r="D15941" t="s">
        <v>183</v>
      </c>
      <c r="E15941" t="s">
        <v>14</v>
      </c>
      <c r="F15941">
        <v>0.60877108573913574</v>
      </c>
    </row>
    <row r="15942" spans="2:6">
      <c r="B15942">
        <v>2018</v>
      </c>
      <c r="C15942" t="s">
        <v>170</v>
      </c>
      <c r="D15942" t="s">
        <v>183</v>
      </c>
      <c r="E15942" t="s">
        <v>15</v>
      </c>
      <c r="F15942">
        <v>0.22185148298740387</v>
      </c>
    </row>
    <row r="15943" spans="2:6">
      <c r="B15943">
        <v>2019</v>
      </c>
      <c r="C15943" t="s">
        <v>170</v>
      </c>
      <c r="D15943" t="s">
        <v>183</v>
      </c>
      <c r="E15943" t="s">
        <v>7</v>
      </c>
      <c r="F15943">
        <v>4.7017621994018555</v>
      </c>
    </row>
    <row r="15944" spans="2:6">
      <c r="B15944">
        <v>2019</v>
      </c>
      <c r="C15944" t="s">
        <v>170</v>
      </c>
      <c r="D15944" t="s">
        <v>183</v>
      </c>
      <c r="E15944" t="s">
        <v>8</v>
      </c>
      <c r="F15944">
        <v>9.4580039978027344</v>
      </c>
    </row>
    <row r="15945" spans="2:6">
      <c r="B15945">
        <v>2019</v>
      </c>
      <c r="C15945" t="s">
        <v>170</v>
      </c>
      <c r="D15945" t="s">
        <v>183</v>
      </c>
      <c r="E15945" t="s">
        <v>9</v>
      </c>
      <c r="F15945">
        <v>0.88272649049758911</v>
      </c>
    </row>
    <row r="15946" spans="2:6">
      <c r="B15946">
        <v>2019</v>
      </c>
      <c r="C15946" t="s">
        <v>170</v>
      </c>
      <c r="D15946" t="s">
        <v>183</v>
      </c>
      <c r="E15946" t="s">
        <v>10</v>
      </c>
      <c r="F15946">
        <v>64.900001525878906</v>
      </c>
    </row>
    <row r="15947" spans="2:6">
      <c r="B15947">
        <v>2019</v>
      </c>
      <c r="C15947" t="s">
        <v>170</v>
      </c>
      <c r="D15947" t="s">
        <v>183</v>
      </c>
      <c r="E15947" t="s">
        <v>11</v>
      </c>
      <c r="F15947">
        <v>0.71531176567077637</v>
      </c>
    </row>
    <row r="15948" spans="2:6">
      <c r="B15948">
        <v>2019</v>
      </c>
      <c r="C15948" t="s">
        <v>170</v>
      </c>
      <c r="D15948" t="s">
        <v>183</v>
      </c>
      <c r="E15948" t="s">
        <v>12</v>
      </c>
      <c r="F15948">
        <v>-8.1016689538955688E-2</v>
      </c>
    </row>
    <row r="15949" spans="2:6">
      <c r="B15949">
        <v>2019</v>
      </c>
      <c r="C15949" t="s">
        <v>170</v>
      </c>
      <c r="D15949" t="s">
        <v>183</v>
      </c>
      <c r="E15949" t="s">
        <v>13</v>
      </c>
      <c r="F15949">
        <v>0.88500493764877319</v>
      </c>
    </row>
    <row r="15950" spans="2:6">
      <c r="B15950">
        <v>2019</v>
      </c>
      <c r="C15950" t="s">
        <v>170</v>
      </c>
      <c r="D15950" t="s">
        <v>183</v>
      </c>
      <c r="E15950" t="s">
        <v>14</v>
      </c>
      <c r="F15950">
        <v>0.63422799110412598</v>
      </c>
    </row>
    <row r="15951" spans="2:6">
      <c r="B15951">
        <v>2019</v>
      </c>
      <c r="C15951" t="s">
        <v>170</v>
      </c>
      <c r="D15951" t="s">
        <v>183</v>
      </c>
      <c r="E15951" t="s">
        <v>15</v>
      </c>
      <c r="F15951">
        <v>0.20113173127174377</v>
      </c>
    </row>
    <row r="15952" spans="2:6">
      <c r="B15952">
        <v>2020</v>
      </c>
      <c r="C15952" t="s">
        <v>170</v>
      </c>
      <c r="D15952" t="s">
        <v>183</v>
      </c>
      <c r="E15952" t="s">
        <v>7</v>
      </c>
      <c r="F15952">
        <v>5.2696757316589355</v>
      </c>
    </row>
    <row r="15953" spans="2:6">
      <c r="B15953">
        <v>2020</v>
      </c>
      <c r="C15953" t="s">
        <v>170</v>
      </c>
      <c r="D15953" t="s">
        <v>183</v>
      </c>
      <c r="E15953" t="s">
        <v>8</v>
      </c>
      <c r="F15953">
        <v>9.4278736114501953</v>
      </c>
    </row>
    <row r="15954" spans="2:6">
      <c r="B15954">
        <v>2020</v>
      </c>
      <c r="C15954" t="s">
        <v>170</v>
      </c>
      <c r="D15954" t="s">
        <v>183</v>
      </c>
      <c r="E15954" t="s">
        <v>9</v>
      </c>
      <c r="F15954">
        <v>0.88468629121780396</v>
      </c>
    </row>
    <row r="15955" spans="2:6">
      <c r="B15955">
        <v>2020</v>
      </c>
      <c r="C15955" t="s">
        <v>170</v>
      </c>
      <c r="D15955" t="s">
        <v>183</v>
      </c>
      <c r="E15955" t="s">
        <v>10</v>
      </c>
      <c r="F15955">
        <v>65.199996948242188</v>
      </c>
    </row>
    <row r="15956" spans="2:6">
      <c r="B15956">
        <v>2020</v>
      </c>
      <c r="C15956" t="s">
        <v>170</v>
      </c>
      <c r="D15956" t="s">
        <v>183</v>
      </c>
      <c r="E15956" t="s">
        <v>11</v>
      </c>
      <c r="F15956">
        <v>0.78427344560623169</v>
      </c>
    </row>
    <row r="15957" spans="2:6">
      <c r="B15957">
        <v>2020</v>
      </c>
      <c r="C15957" t="s">
        <v>170</v>
      </c>
      <c r="D15957" t="s">
        <v>183</v>
      </c>
      <c r="E15957" t="s">
        <v>12</v>
      </c>
      <c r="F15957">
        <v>0.12634420394897461</v>
      </c>
    </row>
    <row r="15958" spans="2:6">
      <c r="B15958">
        <v>2020</v>
      </c>
      <c r="C15958" t="s">
        <v>170</v>
      </c>
      <c r="D15958" t="s">
        <v>183</v>
      </c>
      <c r="E15958" t="s">
        <v>13</v>
      </c>
      <c r="F15958">
        <v>0.94566899538040161</v>
      </c>
    </row>
    <row r="15959" spans="2:6">
      <c r="B15959">
        <v>2020</v>
      </c>
      <c r="C15959" t="s">
        <v>170</v>
      </c>
      <c r="D15959" t="s">
        <v>183</v>
      </c>
      <c r="E15959" t="s">
        <v>14</v>
      </c>
      <c r="F15959">
        <v>0.6877206563949585</v>
      </c>
    </row>
    <row r="15960" spans="2:6">
      <c r="B15960">
        <v>2020</v>
      </c>
      <c r="C15960" t="s">
        <v>170</v>
      </c>
      <c r="D15960" t="s">
        <v>183</v>
      </c>
      <c r="E15960" t="s">
        <v>15</v>
      </c>
      <c r="F15960">
        <v>0.28473618626594543</v>
      </c>
    </row>
    <row r="15961" spans="2:6">
      <c r="B15961">
        <v>2006</v>
      </c>
      <c r="C15961" t="s">
        <v>171</v>
      </c>
      <c r="D15961" t="s">
        <v>182</v>
      </c>
      <c r="E15961" t="s">
        <v>7</v>
      </c>
      <c r="F15961">
        <v>6.7342219352722168</v>
      </c>
    </row>
    <row r="15962" spans="2:6">
      <c r="B15962">
        <v>2006</v>
      </c>
      <c r="C15962" t="s">
        <v>171</v>
      </c>
      <c r="D15962" t="s">
        <v>182</v>
      </c>
      <c r="E15962" t="s">
        <v>8</v>
      </c>
      <c r="F15962">
        <v>11.367042541503906</v>
      </c>
    </row>
    <row r="15963" spans="2:6">
      <c r="B15963">
        <v>2006</v>
      </c>
      <c r="C15963" t="s">
        <v>171</v>
      </c>
      <c r="D15963" t="s">
        <v>182</v>
      </c>
      <c r="E15963" t="s">
        <v>9</v>
      </c>
      <c r="F15963">
        <v>0.90341043472290039</v>
      </c>
    </row>
    <row r="15964" spans="2:6">
      <c r="B15964">
        <v>2006</v>
      </c>
      <c r="C15964" t="s">
        <v>171</v>
      </c>
      <c r="D15964" t="s">
        <v>182</v>
      </c>
      <c r="E15964" t="s">
        <v>10</v>
      </c>
      <c r="F15964">
        <v>65.919998168945313</v>
      </c>
    </row>
    <row r="15965" spans="2:6">
      <c r="B15965">
        <v>2006</v>
      </c>
      <c r="C15965" t="s">
        <v>171</v>
      </c>
      <c r="D15965" t="s">
        <v>182</v>
      </c>
      <c r="E15965" t="s">
        <v>11</v>
      </c>
      <c r="F15965">
        <v>0.89755702018737793</v>
      </c>
    </row>
    <row r="15966" spans="2:6">
      <c r="B15966">
        <v>2006</v>
      </c>
      <c r="C15966" t="s">
        <v>171</v>
      </c>
      <c r="D15966" t="s">
        <v>182</v>
      </c>
      <c r="E15966" t="s">
        <v>12</v>
      </c>
      <c r="F15966">
        <v>-3.2504469156265259E-2</v>
      </c>
    </row>
    <row r="15967" spans="2:6">
      <c r="B15967">
        <v>2006</v>
      </c>
      <c r="C15967" t="s">
        <v>171</v>
      </c>
      <c r="D15967" t="s">
        <v>182</v>
      </c>
      <c r="E15967" t="s">
        <v>13</v>
      </c>
      <c r="F15967">
        <v>0.20335876941680908</v>
      </c>
    </row>
    <row r="15968" spans="2:6">
      <c r="B15968">
        <v>2006</v>
      </c>
      <c r="C15968" t="s">
        <v>171</v>
      </c>
      <c r="D15968" t="s">
        <v>182</v>
      </c>
      <c r="E15968" t="s">
        <v>14</v>
      </c>
      <c r="F15968">
        <v>0.74600094556808472</v>
      </c>
    </row>
    <row r="15969" spans="2:6">
      <c r="B15969">
        <v>2006</v>
      </c>
      <c r="C15969" t="s">
        <v>171</v>
      </c>
      <c r="D15969" t="s">
        <v>182</v>
      </c>
      <c r="E15969" t="s">
        <v>15</v>
      </c>
      <c r="F15969">
        <v>0.27525541186332703</v>
      </c>
    </row>
    <row r="15970" spans="2:6">
      <c r="B15970">
        <v>2009</v>
      </c>
      <c r="C15970" t="s">
        <v>171</v>
      </c>
      <c r="D15970" t="s">
        <v>182</v>
      </c>
      <c r="E15970" t="s">
        <v>7</v>
      </c>
      <c r="F15970">
        <v>6.8660626411437988</v>
      </c>
    </row>
    <row r="15971" spans="2:6">
      <c r="B15971">
        <v>2009</v>
      </c>
      <c r="C15971" t="s">
        <v>171</v>
      </c>
      <c r="D15971" t="s">
        <v>182</v>
      </c>
      <c r="E15971" t="s">
        <v>8</v>
      </c>
      <c r="F15971">
        <v>10.974636077880859</v>
      </c>
    </row>
    <row r="15972" spans="2:6">
      <c r="B15972">
        <v>2009</v>
      </c>
      <c r="C15972" t="s">
        <v>171</v>
      </c>
      <c r="D15972" t="s">
        <v>182</v>
      </c>
      <c r="E15972" t="s">
        <v>9</v>
      </c>
      <c r="F15972">
        <v>0.88508933782577515</v>
      </c>
    </row>
    <row r="15973" spans="2:6">
      <c r="B15973">
        <v>2009</v>
      </c>
      <c r="C15973" t="s">
        <v>171</v>
      </c>
      <c r="D15973" t="s">
        <v>182</v>
      </c>
      <c r="E15973" t="s">
        <v>10</v>
      </c>
      <c r="F15973">
        <v>66.279998779296875</v>
      </c>
    </row>
    <row r="15974" spans="2:6">
      <c r="B15974">
        <v>2009</v>
      </c>
      <c r="C15974" t="s">
        <v>171</v>
      </c>
      <c r="D15974" t="s">
        <v>182</v>
      </c>
      <c r="E15974" t="s">
        <v>11</v>
      </c>
      <c r="F15974">
        <v>0.84882187843322754</v>
      </c>
    </row>
    <row r="15975" spans="2:6">
      <c r="B15975">
        <v>2009</v>
      </c>
      <c r="C15975" t="s">
        <v>171</v>
      </c>
      <c r="D15975" t="s">
        <v>182</v>
      </c>
      <c r="E15975" t="s">
        <v>12</v>
      </c>
      <c r="F15975">
        <v>1.9040089100599289E-2</v>
      </c>
    </row>
    <row r="15976" spans="2:6">
      <c r="B15976">
        <v>2009</v>
      </c>
      <c r="C15976" t="s">
        <v>171</v>
      </c>
      <c r="D15976" t="s">
        <v>182</v>
      </c>
      <c r="E15976" t="s">
        <v>13</v>
      </c>
      <c r="F15976">
        <v>0.33887645602226257</v>
      </c>
    </row>
    <row r="15977" spans="2:6">
      <c r="B15977">
        <v>2009</v>
      </c>
      <c r="C15977" t="s">
        <v>171</v>
      </c>
      <c r="D15977" t="s">
        <v>182</v>
      </c>
      <c r="E15977" t="s">
        <v>14</v>
      </c>
      <c r="F15977">
        <v>0.7701183557510376</v>
      </c>
    </row>
    <row r="15978" spans="2:6">
      <c r="B15978">
        <v>2009</v>
      </c>
      <c r="C15978" t="s">
        <v>171</v>
      </c>
      <c r="D15978" t="s">
        <v>182</v>
      </c>
      <c r="E15978" t="s">
        <v>15</v>
      </c>
      <c r="F15978">
        <v>0.28707441687583923</v>
      </c>
    </row>
    <row r="15979" spans="2:6">
      <c r="B15979">
        <v>2010</v>
      </c>
      <c r="C15979" t="s">
        <v>171</v>
      </c>
      <c r="D15979" t="s">
        <v>182</v>
      </c>
      <c r="E15979" t="s">
        <v>7</v>
      </c>
      <c r="F15979">
        <v>7.0974555015563965</v>
      </c>
    </row>
    <row r="15980" spans="2:6">
      <c r="B15980">
        <v>2010</v>
      </c>
      <c r="C15980" t="s">
        <v>171</v>
      </c>
      <c r="D15980" t="s">
        <v>182</v>
      </c>
      <c r="E15980" t="s">
        <v>8</v>
      </c>
      <c r="F15980">
        <v>10.913666725158691</v>
      </c>
    </row>
    <row r="15981" spans="2:6">
      <c r="B15981">
        <v>2010</v>
      </c>
      <c r="C15981" t="s">
        <v>171</v>
      </c>
      <c r="D15981" t="s">
        <v>182</v>
      </c>
      <c r="E15981" t="s">
        <v>9</v>
      </c>
      <c r="F15981">
        <v>0.91176235675811768</v>
      </c>
    </row>
    <row r="15982" spans="2:6">
      <c r="B15982">
        <v>2010</v>
      </c>
      <c r="C15982" t="s">
        <v>171</v>
      </c>
      <c r="D15982" t="s">
        <v>182</v>
      </c>
      <c r="E15982" t="s">
        <v>10</v>
      </c>
      <c r="F15982">
        <v>66.400001525878906</v>
      </c>
    </row>
    <row r="15983" spans="2:6">
      <c r="B15983">
        <v>2010</v>
      </c>
      <c r="C15983" t="s">
        <v>171</v>
      </c>
      <c r="D15983" t="s">
        <v>182</v>
      </c>
      <c r="E15983" t="s">
        <v>11</v>
      </c>
      <c r="F15983">
        <v>0.87775075435638428</v>
      </c>
    </row>
    <row r="15984" spans="2:6">
      <c r="B15984">
        <v>2010</v>
      </c>
      <c r="C15984" t="s">
        <v>171</v>
      </c>
      <c r="D15984" t="s">
        <v>182</v>
      </c>
      <c r="E15984" t="s">
        <v>12</v>
      </c>
      <c r="F15984">
        <v>5.6746646761894226E-2</v>
      </c>
    </row>
    <row r="15985" spans="2:6">
      <c r="B15985">
        <v>2010</v>
      </c>
      <c r="C15985" t="s">
        <v>171</v>
      </c>
      <c r="D15985" t="s">
        <v>182</v>
      </c>
      <c r="E15985" t="s">
        <v>13</v>
      </c>
      <c r="F15985">
        <v>0.35511589050292969</v>
      </c>
    </row>
    <row r="15986" spans="2:6">
      <c r="B15986">
        <v>2010</v>
      </c>
      <c r="C15986" t="s">
        <v>171</v>
      </c>
      <c r="D15986" t="s">
        <v>182</v>
      </c>
      <c r="E15986" t="s">
        <v>14</v>
      </c>
      <c r="F15986">
        <v>0.76265233755111694</v>
      </c>
    </row>
    <row r="15987" spans="2:6">
      <c r="B15987">
        <v>2010</v>
      </c>
      <c r="C15987" t="s">
        <v>171</v>
      </c>
      <c r="D15987" t="s">
        <v>182</v>
      </c>
      <c r="E15987" t="s">
        <v>15</v>
      </c>
      <c r="F15987">
        <v>0.2330135703086853</v>
      </c>
    </row>
    <row r="15988" spans="2:6">
      <c r="B15988">
        <v>2011</v>
      </c>
      <c r="C15988" t="s">
        <v>171</v>
      </c>
      <c r="D15988" t="s">
        <v>182</v>
      </c>
      <c r="E15988" t="s">
        <v>7</v>
      </c>
      <c r="F15988">
        <v>7.1187014579772949</v>
      </c>
    </row>
    <row r="15989" spans="2:6">
      <c r="B15989">
        <v>2011</v>
      </c>
      <c r="C15989" t="s">
        <v>171</v>
      </c>
      <c r="D15989" t="s">
        <v>182</v>
      </c>
      <c r="E15989" t="s">
        <v>8</v>
      </c>
      <c r="F15989">
        <v>10.935309410095215</v>
      </c>
    </row>
    <row r="15990" spans="2:6">
      <c r="B15990">
        <v>2011</v>
      </c>
      <c r="C15990" t="s">
        <v>171</v>
      </c>
      <c r="D15990" t="s">
        <v>182</v>
      </c>
      <c r="E15990" t="s">
        <v>9</v>
      </c>
      <c r="F15990">
        <v>0.88136893510818481</v>
      </c>
    </row>
    <row r="15991" spans="2:6">
      <c r="B15991">
        <v>2011</v>
      </c>
      <c r="C15991" t="s">
        <v>171</v>
      </c>
      <c r="D15991" t="s">
        <v>182</v>
      </c>
      <c r="E15991" t="s">
        <v>10</v>
      </c>
      <c r="F15991">
        <v>66.419998168945313</v>
      </c>
    </row>
    <row r="15992" spans="2:6">
      <c r="B15992">
        <v>2011</v>
      </c>
      <c r="C15992" t="s">
        <v>171</v>
      </c>
      <c r="D15992" t="s">
        <v>182</v>
      </c>
      <c r="E15992" t="s">
        <v>11</v>
      </c>
      <c r="F15992">
        <v>0.88946348428726196</v>
      </c>
    </row>
    <row r="15993" spans="2:6">
      <c r="B15993">
        <v>2011</v>
      </c>
      <c r="C15993" t="s">
        <v>171</v>
      </c>
      <c r="D15993" t="s">
        <v>182</v>
      </c>
      <c r="E15993" t="s">
        <v>12</v>
      </c>
      <c r="F15993">
        <v>7.1289367973804474E-2</v>
      </c>
    </row>
    <row r="15994" spans="2:6">
      <c r="B15994">
        <v>2011</v>
      </c>
      <c r="C15994" t="s">
        <v>171</v>
      </c>
      <c r="D15994" t="s">
        <v>182</v>
      </c>
      <c r="E15994" t="s">
        <v>14</v>
      </c>
      <c r="F15994">
        <v>0.76283735036849976</v>
      </c>
    </row>
    <row r="15995" spans="2:6">
      <c r="B15995">
        <v>2011</v>
      </c>
      <c r="C15995" t="s">
        <v>171</v>
      </c>
      <c r="D15995" t="s">
        <v>182</v>
      </c>
      <c r="E15995" t="s">
        <v>15</v>
      </c>
      <c r="F15995">
        <v>0.21587003767490387</v>
      </c>
    </row>
    <row r="15996" spans="2:6">
      <c r="B15996">
        <v>2012</v>
      </c>
      <c r="C15996" t="s">
        <v>171</v>
      </c>
      <c r="D15996" t="s">
        <v>182</v>
      </c>
      <c r="E15996" t="s">
        <v>7</v>
      </c>
      <c r="F15996">
        <v>7.2177667617797852</v>
      </c>
    </row>
    <row r="15997" spans="2:6">
      <c r="B15997">
        <v>2012</v>
      </c>
      <c r="C15997" t="s">
        <v>171</v>
      </c>
      <c r="D15997" t="s">
        <v>182</v>
      </c>
      <c r="E15997" t="s">
        <v>8</v>
      </c>
      <c r="F15997">
        <v>10.957637786865234</v>
      </c>
    </row>
    <row r="15998" spans="2:6">
      <c r="B15998">
        <v>2012</v>
      </c>
      <c r="C15998" t="s">
        <v>171</v>
      </c>
      <c r="D15998" t="s">
        <v>182</v>
      </c>
      <c r="E15998" t="s">
        <v>9</v>
      </c>
      <c r="F15998">
        <v>0.85587680339813232</v>
      </c>
    </row>
    <row r="15999" spans="2:6">
      <c r="B15999">
        <v>2012</v>
      </c>
      <c r="C15999" t="s">
        <v>171</v>
      </c>
      <c r="D15999" t="s">
        <v>182</v>
      </c>
      <c r="E15999" t="s">
        <v>10</v>
      </c>
      <c r="F15999">
        <v>66.44000244140625</v>
      </c>
    </row>
    <row r="16000" spans="2:6">
      <c r="B16000">
        <v>2012</v>
      </c>
      <c r="C16000" t="s">
        <v>171</v>
      </c>
      <c r="D16000" t="s">
        <v>182</v>
      </c>
      <c r="E16000" t="s">
        <v>11</v>
      </c>
      <c r="F16000">
        <v>0.91979259252548218</v>
      </c>
    </row>
    <row r="16001" spans="2:6">
      <c r="B16001">
        <v>2012</v>
      </c>
      <c r="C16001" t="s">
        <v>171</v>
      </c>
      <c r="D16001" t="s">
        <v>182</v>
      </c>
      <c r="E16001" t="s">
        <v>14</v>
      </c>
      <c r="F16001">
        <v>0.767661452293396</v>
      </c>
    </row>
    <row r="16002" spans="2:6">
      <c r="B16002">
        <v>2012</v>
      </c>
      <c r="C16002" t="s">
        <v>171</v>
      </c>
      <c r="D16002" t="s">
        <v>182</v>
      </c>
      <c r="E16002" t="s">
        <v>15</v>
      </c>
      <c r="F16002">
        <v>0.22398534417152405</v>
      </c>
    </row>
    <row r="16003" spans="2:6">
      <c r="B16003">
        <v>2013</v>
      </c>
      <c r="C16003" t="s">
        <v>171</v>
      </c>
      <c r="D16003" t="s">
        <v>182</v>
      </c>
      <c r="E16003" t="s">
        <v>7</v>
      </c>
      <c r="F16003">
        <v>6.6209511756896973</v>
      </c>
    </row>
    <row r="16004" spans="2:6">
      <c r="B16004">
        <v>2013</v>
      </c>
      <c r="C16004" t="s">
        <v>171</v>
      </c>
      <c r="D16004" t="s">
        <v>182</v>
      </c>
      <c r="E16004" t="s">
        <v>8</v>
      </c>
      <c r="F16004">
        <v>11.000794410705566</v>
      </c>
    </row>
    <row r="16005" spans="2:6">
      <c r="B16005">
        <v>2013</v>
      </c>
      <c r="C16005" t="s">
        <v>171</v>
      </c>
      <c r="D16005" t="s">
        <v>182</v>
      </c>
      <c r="E16005" t="s">
        <v>9</v>
      </c>
      <c r="F16005">
        <v>0.8637157678604126</v>
      </c>
    </row>
    <row r="16006" spans="2:6">
      <c r="B16006">
        <v>2013</v>
      </c>
      <c r="C16006" t="s">
        <v>171</v>
      </c>
      <c r="D16006" t="s">
        <v>182</v>
      </c>
      <c r="E16006" t="s">
        <v>10</v>
      </c>
      <c r="F16006">
        <v>66.459999084472656</v>
      </c>
    </row>
    <row r="16007" spans="2:6">
      <c r="B16007">
        <v>2013</v>
      </c>
      <c r="C16007" t="s">
        <v>171</v>
      </c>
      <c r="D16007" t="s">
        <v>182</v>
      </c>
      <c r="E16007" t="s">
        <v>11</v>
      </c>
      <c r="F16007">
        <v>0.93597882986068726</v>
      </c>
    </row>
    <row r="16008" spans="2:6">
      <c r="B16008">
        <v>2013</v>
      </c>
      <c r="C16008" t="s">
        <v>171</v>
      </c>
      <c r="D16008" t="s">
        <v>182</v>
      </c>
      <c r="E16008" t="s">
        <v>15</v>
      </c>
      <c r="F16008">
        <v>0.29111284017562866</v>
      </c>
    </row>
    <row r="16009" spans="2:6">
      <c r="B16009">
        <v>2014</v>
      </c>
      <c r="C16009" t="s">
        <v>171</v>
      </c>
      <c r="D16009" t="s">
        <v>182</v>
      </c>
      <c r="E16009" t="s">
        <v>7</v>
      </c>
      <c r="F16009">
        <v>6.5398545265197754</v>
      </c>
    </row>
    <row r="16010" spans="2:6">
      <c r="B16010">
        <v>2014</v>
      </c>
      <c r="C16010" t="s">
        <v>171</v>
      </c>
      <c r="D16010" t="s">
        <v>182</v>
      </c>
      <c r="E16010" t="s">
        <v>8</v>
      </c>
      <c r="F16010">
        <v>11.04097843170166</v>
      </c>
    </row>
    <row r="16011" spans="2:6">
      <c r="B16011">
        <v>2014</v>
      </c>
      <c r="C16011" t="s">
        <v>171</v>
      </c>
      <c r="D16011" t="s">
        <v>182</v>
      </c>
      <c r="E16011" t="s">
        <v>10</v>
      </c>
      <c r="F16011">
        <v>66.480003356933594</v>
      </c>
    </row>
    <row r="16012" spans="2:6">
      <c r="B16012">
        <v>2015</v>
      </c>
      <c r="C16012" t="s">
        <v>171</v>
      </c>
      <c r="D16012" t="s">
        <v>182</v>
      </c>
      <c r="E16012" t="s">
        <v>7</v>
      </c>
      <c r="F16012">
        <v>6.5683975219726563</v>
      </c>
    </row>
    <row r="16013" spans="2:6">
      <c r="B16013">
        <v>2015</v>
      </c>
      <c r="C16013" t="s">
        <v>171</v>
      </c>
      <c r="D16013" t="s">
        <v>182</v>
      </c>
      <c r="E16013" t="s">
        <v>8</v>
      </c>
      <c r="F16013">
        <v>11.085502624511719</v>
      </c>
    </row>
    <row r="16014" spans="2:6">
      <c r="B16014">
        <v>2015</v>
      </c>
      <c r="C16014" t="s">
        <v>171</v>
      </c>
      <c r="D16014" t="s">
        <v>182</v>
      </c>
      <c r="E16014" t="s">
        <v>9</v>
      </c>
      <c r="F16014">
        <v>0.82413667440414429</v>
      </c>
    </row>
    <row r="16015" spans="2:6">
      <c r="B16015">
        <v>2015</v>
      </c>
      <c r="C16015" t="s">
        <v>171</v>
      </c>
      <c r="D16015" t="s">
        <v>182</v>
      </c>
      <c r="E16015" t="s">
        <v>10</v>
      </c>
      <c r="F16015">
        <v>66.5</v>
      </c>
    </row>
    <row r="16016" spans="2:6">
      <c r="B16016">
        <v>2015</v>
      </c>
      <c r="C16016" t="s">
        <v>171</v>
      </c>
      <c r="D16016" t="s">
        <v>182</v>
      </c>
      <c r="E16016" t="s">
        <v>11</v>
      </c>
      <c r="F16016">
        <v>0.91503620147705078</v>
      </c>
    </row>
    <row r="16017" spans="2:6">
      <c r="B16017">
        <v>2015</v>
      </c>
      <c r="C16017" t="s">
        <v>171</v>
      </c>
      <c r="D16017" t="s">
        <v>182</v>
      </c>
      <c r="E16017" t="s">
        <v>12</v>
      </c>
      <c r="F16017">
        <v>0.20111078023910522</v>
      </c>
    </row>
    <row r="16018" spans="2:6">
      <c r="B16018">
        <v>2015</v>
      </c>
      <c r="C16018" t="s">
        <v>171</v>
      </c>
      <c r="D16018" t="s">
        <v>182</v>
      </c>
      <c r="E16018" t="s">
        <v>14</v>
      </c>
      <c r="F16018">
        <v>0.76050037145614624</v>
      </c>
    </row>
    <row r="16019" spans="2:6">
      <c r="B16019">
        <v>2015</v>
      </c>
      <c r="C16019" t="s">
        <v>171</v>
      </c>
      <c r="D16019" t="s">
        <v>182</v>
      </c>
      <c r="E16019" t="s">
        <v>15</v>
      </c>
      <c r="F16019">
        <v>0.29573297500610352</v>
      </c>
    </row>
    <row r="16020" spans="2:6">
      <c r="B16020">
        <v>2016</v>
      </c>
      <c r="C16020" t="s">
        <v>171</v>
      </c>
      <c r="D16020" t="s">
        <v>182</v>
      </c>
      <c r="E16020" t="s">
        <v>7</v>
      </c>
      <c r="F16020">
        <v>6.8309502601623535</v>
      </c>
    </row>
    <row r="16021" spans="2:6">
      <c r="B16021">
        <v>2016</v>
      </c>
      <c r="C16021" t="s">
        <v>171</v>
      </c>
      <c r="D16021" t="s">
        <v>182</v>
      </c>
      <c r="E16021" t="s">
        <v>8</v>
      </c>
      <c r="F16021">
        <v>11.105120658874512</v>
      </c>
    </row>
    <row r="16022" spans="2:6">
      <c r="B16022">
        <v>2016</v>
      </c>
      <c r="C16022" t="s">
        <v>171</v>
      </c>
      <c r="D16022" t="s">
        <v>182</v>
      </c>
      <c r="E16022" t="s">
        <v>9</v>
      </c>
      <c r="F16022">
        <v>0.84937983751296997</v>
      </c>
    </row>
    <row r="16023" spans="2:6">
      <c r="B16023">
        <v>2016</v>
      </c>
      <c r="C16023" t="s">
        <v>171</v>
      </c>
      <c r="D16023" t="s">
        <v>182</v>
      </c>
      <c r="E16023" t="s">
        <v>10</v>
      </c>
      <c r="F16023">
        <v>66.699996948242188</v>
      </c>
    </row>
    <row r="16024" spans="2:6">
      <c r="B16024">
        <v>2016</v>
      </c>
      <c r="C16024" t="s">
        <v>171</v>
      </c>
      <c r="D16024" t="s">
        <v>182</v>
      </c>
      <c r="E16024" t="s">
        <v>11</v>
      </c>
      <c r="F16024">
        <v>0.94911950826644897</v>
      </c>
    </row>
    <row r="16025" spans="2:6">
      <c r="B16025">
        <v>2016</v>
      </c>
      <c r="C16025" t="s">
        <v>171</v>
      </c>
      <c r="D16025" t="s">
        <v>182</v>
      </c>
      <c r="E16025" t="s">
        <v>12</v>
      </c>
      <c r="F16025">
        <v>0.13105912506580353</v>
      </c>
    </row>
    <row r="16026" spans="2:6">
      <c r="B16026">
        <v>2016</v>
      </c>
      <c r="C16026" t="s">
        <v>171</v>
      </c>
      <c r="D16026" t="s">
        <v>182</v>
      </c>
      <c r="E16026" t="s">
        <v>14</v>
      </c>
      <c r="F16026">
        <v>0.77512848377227783</v>
      </c>
    </row>
    <row r="16027" spans="2:6">
      <c r="B16027">
        <v>2016</v>
      </c>
      <c r="C16027" t="s">
        <v>171</v>
      </c>
      <c r="D16027" t="s">
        <v>182</v>
      </c>
      <c r="E16027" t="s">
        <v>15</v>
      </c>
      <c r="F16027">
        <v>0.2446679025888443</v>
      </c>
    </row>
    <row r="16028" spans="2:6">
      <c r="B16028">
        <v>2017</v>
      </c>
      <c r="C16028" t="s">
        <v>171</v>
      </c>
      <c r="D16028" t="s">
        <v>182</v>
      </c>
      <c r="E16028" t="s">
        <v>7</v>
      </c>
      <c r="F16028">
        <v>7.0394196510314941</v>
      </c>
    </row>
    <row r="16029" spans="2:6">
      <c r="B16029">
        <v>2017</v>
      </c>
      <c r="C16029" t="s">
        <v>171</v>
      </c>
      <c r="D16029" t="s">
        <v>182</v>
      </c>
      <c r="E16029" t="s">
        <v>8</v>
      </c>
      <c r="F16029">
        <v>11.115184783935547</v>
      </c>
    </row>
    <row r="16030" spans="2:6">
      <c r="B16030">
        <v>2017</v>
      </c>
      <c r="C16030" t="s">
        <v>171</v>
      </c>
      <c r="D16030" t="s">
        <v>182</v>
      </c>
      <c r="E16030" t="s">
        <v>9</v>
      </c>
      <c r="F16030">
        <v>0.83552736043930054</v>
      </c>
    </row>
    <row r="16031" spans="2:6">
      <c r="B16031">
        <v>2017</v>
      </c>
      <c r="C16031" t="s">
        <v>171</v>
      </c>
      <c r="D16031" t="s">
        <v>182</v>
      </c>
      <c r="E16031" t="s">
        <v>10</v>
      </c>
      <c r="F16031">
        <v>66.900001525878906</v>
      </c>
    </row>
    <row r="16032" spans="2:6">
      <c r="B16032">
        <v>2017</v>
      </c>
      <c r="C16032" t="s">
        <v>171</v>
      </c>
      <c r="D16032" t="s">
        <v>182</v>
      </c>
      <c r="E16032" t="s">
        <v>11</v>
      </c>
      <c r="F16032">
        <v>0.96201664209365845</v>
      </c>
    </row>
    <row r="16033" spans="2:6">
      <c r="B16033">
        <v>2017</v>
      </c>
      <c r="C16033" t="s">
        <v>171</v>
      </c>
      <c r="D16033" t="s">
        <v>182</v>
      </c>
      <c r="E16033" t="s">
        <v>12</v>
      </c>
      <c r="F16033">
        <v>0.215842604637146</v>
      </c>
    </row>
    <row r="16034" spans="2:6">
      <c r="B16034">
        <v>2017</v>
      </c>
      <c r="C16034" t="s">
        <v>171</v>
      </c>
      <c r="D16034" t="s">
        <v>182</v>
      </c>
      <c r="E16034" t="s">
        <v>14</v>
      </c>
      <c r="F16034">
        <v>0.79503488540649414</v>
      </c>
    </row>
    <row r="16035" spans="2:6">
      <c r="B16035">
        <v>2017</v>
      </c>
      <c r="C16035" t="s">
        <v>171</v>
      </c>
      <c r="D16035" t="s">
        <v>182</v>
      </c>
      <c r="E16035" t="s">
        <v>15</v>
      </c>
      <c r="F16035">
        <v>0.20759844779968262</v>
      </c>
    </row>
    <row r="16036" spans="2:6">
      <c r="B16036">
        <v>2018</v>
      </c>
      <c r="C16036" t="s">
        <v>171</v>
      </c>
      <c r="D16036" t="s">
        <v>182</v>
      </c>
      <c r="E16036" t="s">
        <v>7</v>
      </c>
      <c r="F16036">
        <v>6.6037435531616211</v>
      </c>
    </row>
    <row r="16037" spans="2:6">
      <c r="B16037">
        <v>2018</v>
      </c>
      <c r="C16037" t="s">
        <v>171</v>
      </c>
      <c r="D16037" t="s">
        <v>182</v>
      </c>
      <c r="E16037" t="s">
        <v>8</v>
      </c>
      <c r="F16037">
        <v>11.111974716186523</v>
      </c>
    </row>
    <row r="16038" spans="2:6">
      <c r="B16038">
        <v>2018</v>
      </c>
      <c r="C16038" t="s">
        <v>171</v>
      </c>
      <c r="D16038" t="s">
        <v>182</v>
      </c>
      <c r="E16038" t="s">
        <v>9</v>
      </c>
      <c r="F16038">
        <v>0.85104131698608398</v>
      </c>
    </row>
    <row r="16039" spans="2:6">
      <c r="B16039">
        <v>2018</v>
      </c>
      <c r="C16039" t="s">
        <v>171</v>
      </c>
      <c r="D16039" t="s">
        <v>182</v>
      </c>
      <c r="E16039" t="s">
        <v>10</v>
      </c>
      <c r="F16039">
        <v>67.099998474121094</v>
      </c>
    </row>
    <row r="16040" spans="2:6">
      <c r="B16040">
        <v>2018</v>
      </c>
      <c r="C16040" t="s">
        <v>171</v>
      </c>
      <c r="D16040" t="s">
        <v>182</v>
      </c>
      <c r="E16040" t="s">
        <v>11</v>
      </c>
      <c r="F16040">
        <v>0.94366437196731567</v>
      </c>
    </row>
    <row r="16041" spans="2:6">
      <c r="B16041">
        <v>2018</v>
      </c>
      <c r="C16041" t="s">
        <v>171</v>
      </c>
      <c r="D16041" t="s">
        <v>182</v>
      </c>
      <c r="E16041" t="s">
        <v>12</v>
      </c>
      <c r="F16041">
        <v>5.3972024470567703E-2</v>
      </c>
    </row>
    <row r="16042" spans="2:6">
      <c r="B16042">
        <v>2018</v>
      </c>
      <c r="C16042" t="s">
        <v>171</v>
      </c>
      <c r="D16042" t="s">
        <v>182</v>
      </c>
      <c r="E16042" t="s">
        <v>14</v>
      </c>
      <c r="F16042">
        <v>0.78724348545074463</v>
      </c>
    </row>
    <row r="16043" spans="2:6">
      <c r="B16043">
        <v>2018</v>
      </c>
      <c r="C16043" t="s">
        <v>171</v>
      </c>
      <c r="D16043" t="s">
        <v>182</v>
      </c>
      <c r="E16043" t="s">
        <v>15</v>
      </c>
      <c r="F16043">
        <v>0.30204182863235474</v>
      </c>
    </row>
    <row r="16044" spans="2:6">
      <c r="B16044">
        <v>2019</v>
      </c>
      <c r="C16044" t="s">
        <v>171</v>
      </c>
      <c r="D16044" t="s">
        <v>182</v>
      </c>
      <c r="E16044" t="s">
        <v>7</v>
      </c>
      <c r="F16044">
        <v>6.710782527923584</v>
      </c>
    </row>
    <row r="16045" spans="2:6">
      <c r="B16045">
        <v>2019</v>
      </c>
      <c r="C16045" t="s">
        <v>171</v>
      </c>
      <c r="D16045" t="s">
        <v>182</v>
      </c>
      <c r="E16045" t="s">
        <v>8</v>
      </c>
      <c r="F16045">
        <v>11.114224433898926</v>
      </c>
    </row>
    <row r="16046" spans="2:6">
      <c r="B16046">
        <v>2019</v>
      </c>
      <c r="C16046" t="s">
        <v>171</v>
      </c>
      <c r="D16046" t="s">
        <v>182</v>
      </c>
      <c r="E16046" t="s">
        <v>9</v>
      </c>
      <c r="F16046">
        <v>0.86153328418731689</v>
      </c>
    </row>
    <row r="16047" spans="2:6">
      <c r="B16047">
        <v>2019</v>
      </c>
      <c r="C16047" t="s">
        <v>171</v>
      </c>
      <c r="D16047" t="s">
        <v>182</v>
      </c>
      <c r="E16047" t="s">
        <v>10</v>
      </c>
      <c r="F16047">
        <v>67.300003051757813</v>
      </c>
    </row>
    <row r="16048" spans="2:6">
      <c r="B16048">
        <v>2019</v>
      </c>
      <c r="C16048" t="s">
        <v>171</v>
      </c>
      <c r="D16048" t="s">
        <v>182</v>
      </c>
      <c r="E16048" t="s">
        <v>11</v>
      </c>
      <c r="F16048">
        <v>0.91141951084136963</v>
      </c>
    </row>
    <row r="16049" spans="2:6">
      <c r="B16049">
        <v>2019</v>
      </c>
      <c r="C16049" t="s">
        <v>171</v>
      </c>
      <c r="D16049" t="s">
        <v>182</v>
      </c>
      <c r="E16049" t="s">
        <v>12</v>
      </c>
      <c r="F16049">
        <v>0.12872491776943207</v>
      </c>
    </row>
    <row r="16050" spans="2:6">
      <c r="B16050">
        <v>2019</v>
      </c>
      <c r="C16050" t="s">
        <v>171</v>
      </c>
      <c r="D16050" t="s">
        <v>182</v>
      </c>
      <c r="E16050" t="s">
        <v>14</v>
      </c>
      <c r="F16050">
        <v>0.79317712783813477</v>
      </c>
    </row>
    <row r="16051" spans="2:6">
      <c r="B16051">
        <v>2019</v>
      </c>
      <c r="C16051" t="s">
        <v>171</v>
      </c>
      <c r="D16051" t="s">
        <v>182</v>
      </c>
      <c r="E16051" t="s">
        <v>15</v>
      </c>
      <c r="F16051">
        <v>0.28376328945159912</v>
      </c>
    </row>
    <row r="16052" spans="2:6">
      <c r="B16052">
        <v>2020</v>
      </c>
      <c r="C16052" t="s">
        <v>171</v>
      </c>
      <c r="D16052" t="s">
        <v>182</v>
      </c>
      <c r="E16052" t="s">
        <v>7</v>
      </c>
      <c r="F16052">
        <v>6.4583921432495117</v>
      </c>
    </row>
    <row r="16053" spans="2:6">
      <c r="B16053">
        <v>2020</v>
      </c>
      <c r="C16053" t="s">
        <v>171</v>
      </c>
      <c r="D16053" t="s">
        <v>182</v>
      </c>
      <c r="E16053" t="s">
        <v>8</v>
      </c>
      <c r="F16053">
        <v>11.052889823913574</v>
      </c>
    </row>
    <row r="16054" spans="2:6">
      <c r="B16054">
        <v>2020</v>
      </c>
      <c r="C16054" t="s">
        <v>171</v>
      </c>
      <c r="D16054" t="s">
        <v>182</v>
      </c>
      <c r="E16054" t="s">
        <v>9</v>
      </c>
      <c r="F16054">
        <v>0.8267555832862854</v>
      </c>
    </row>
    <row r="16055" spans="2:6">
      <c r="B16055">
        <v>2020</v>
      </c>
      <c r="C16055" t="s">
        <v>171</v>
      </c>
      <c r="D16055" t="s">
        <v>182</v>
      </c>
      <c r="E16055" t="s">
        <v>10</v>
      </c>
      <c r="F16055">
        <v>67.5</v>
      </c>
    </row>
    <row r="16056" spans="2:6">
      <c r="B16056">
        <v>2020</v>
      </c>
      <c r="C16056" t="s">
        <v>171</v>
      </c>
      <c r="D16056" t="s">
        <v>182</v>
      </c>
      <c r="E16056" t="s">
        <v>11</v>
      </c>
      <c r="F16056">
        <v>0.94216150045394897</v>
      </c>
    </row>
    <row r="16057" spans="2:6">
      <c r="B16057">
        <v>2020</v>
      </c>
      <c r="C16057" t="s">
        <v>171</v>
      </c>
      <c r="D16057" t="s">
        <v>182</v>
      </c>
      <c r="E16057" t="s">
        <v>12</v>
      </c>
      <c r="F16057">
        <v>6.0019660741090775E-2</v>
      </c>
    </row>
    <row r="16058" spans="2:6">
      <c r="B16058">
        <v>2020</v>
      </c>
      <c r="C16058" t="s">
        <v>171</v>
      </c>
      <c r="D16058" t="s">
        <v>182</v>
      </c>
      <c r="E16058" t="s">
        <v>14</v>
      </c>
      <c r="F16058">
        <v>0.75165992975234985</v>
      </c>
    </row>
    <row r="16059" spans="2:6">
      <c r="B16059">
        <v>2020</v>
      </c>
      <c r="C16059" t="s">
        <v>171</v>
      </c>
      <c r="D16059" t="s">
        <v>182</v>
      </c>
      <c r="E16059" t="s">
        <v>15</v>
      </c>
      <c r="F16059">
        <v>0.29848030209541321</v>
      </c>
    </row>
    <row r="16060" spans="2:6">
      <c r="B16060">
        <v>2005</v>
      </c>
      <c r="C16060" t="s">
        <v>172</v>
      </c>
      <c r="D16060" t="s">
        <v>183</v>
      </c>
      <c r="E16060" t="s">
        <v>7</v>
      </c>
      <c r="F16060">
        <v>6.9835567474365234</v>
      </c>
    </row>
    <row r="16061" spans="2:6">
      <c r="B16061">
        <v>2005</v>
      </c>
      <c r="C16061" t="s">
        <v>172</v>
      </c>
      <c r="D16061" t="s">
        <v>183</v>
      </c>
      <c r="E16061" t="s">
        <v>8</v>
      </c>
      <c r="F16061">
        <v>10.662884712219238</v>
      </c>
    </row>
    <row r="16062" spans="2:6">
      <c r="B16062">
        <v>2005</v>
      </c>
      <c r="C16062" t="s">
        <v>172</v>
      </c>
      <c r="D16062" t="s">
        <v>183</v>
      </c>
      <c r="E16062" t="s">
        <v>9</v>
      </c>
      <c r="F16062">
        <v>0.97883975505828857</v>
      </c>
    </row>
    <row r="16063" spans="2:6">
      <c r="B16063">
        <v>2005</v>
      </c>
      <c r="C16063" t="s">
        <v>172</v>
      </c>
      <c r="D16063" t="s">
        <v>183</v>
      </c>
      <c r="E16063" t="s">
        <v>10</v>
      </c>
      <c r="F16063">
        <v>69.900001525878906</v>
      </c>
    </row>
    <row r="16064" spans="2:6">
      <c r="B16064">
        <v>2005</v>
      </c>
      <c r="C16064" t="s">
        <v>172</v>
      </c>
      <c r="D16064" t="s">
        <v>183</v>
      </c>
      <c r="E16064" t="s">
        <v>11</v>
      </c>
      <c r="F16064">
        <v>0.92235451936721802</v>
      </c>
    </row>
    <row r="16065" spans="2:6">
      <c r="B16065">
        <v>2005</v>
      </c>
      <c r="C16065" t="s">
        <v>172</v>
      </c>
      <c r="D16065" t="s">
        <v>183</v>
      </c>
      <c r="E16065" t="s">
        <v>13</v>
      </c>
      <c r="F16065">
        <v>0.398456871509552</v>
      </c>
    </row>
    <row r="16066" spans="2:6">
      <c r="B16066">
        <v>2005</v>
      </c>
      <c r="C16066" t="s">
        <v>172</v>
      </c>
      <c r="D16066" t="s">
        <v>183</v>
      </c>
      <c r="E16066" t="s">
        <v>14</v>
      </c>
      <c r="F16066">
        <v>0.86407607793807983</v>
      </c>
    </row>
    <row r="16067" spans="2:6">
      <c r="B16067">
        <v>2005</v>
      </c>
      <c r="C16067" t="s">
        <v>172</v>
      </c>
      <c r="D16067" t="s">
        <v>183</v>
      </c>
      <c r="E16067" t="s">
        <v>15</v>
      </c>
      <c r="F16067">
        <v>0.26173222064971924</v>
      </c>
    </row>
    <row r="16068" spans="2:6">
      <c r="B16068">
        <v>2007</v>
      </c>
      <c r="C16068" t="s">
        <v>172</v>
      </c>
      <c r="D16068" t="s">
        <v>183</v>
      </c>
      <c r="E16068" t="s">
        <v>7</v>
      </c>
      <c r="F16068">
        <v>6.8019309043884277</v>
      </c>
    </row>
    <row r="16069" spans="2:6">
      <c r="B16069">
        <v>2007</v>
      </c>
      <c r="C16069" t="s">
        <v>172</v>
      </c>
      <c r="D16069" t="s">
        <v>183</v>
      </c>
      <c r="E16069" t="s">
        <v>8</v>
      </c>
      <c r="F16069">
        <v>10.699263572692871</v>
      </c>
    </row>
    <row r="16070" spans="2:6">
      <c r="B16070">
        <v>2007</v>
      </c>
      <c r="C16070" t="s">
        <v>172</v>
      </c>
      <c r="D16070" t="s">
        <v>183</v>
      </c>
      <c r="E16070" t="s">
        <v>9</v>
      </c>
      <c r="F16070">
        <v>0.96986967325210571</v>
      </c>
    </row>
    <row r="16071" spans="2:6">
      <c r="B16071">
        <v>2007</v>
      </c>
      <c r="C16071" t="s">
        <v>172</v>
      </c>
      <c r="D16071" t="s">
        <v>183</v>
      </c>
      <c r="E16071" t="s">
        <v>10</v>
      </c>
      <c r="F16071">
        <v>70.459999084472656</v>
      </c>
    </row>
    <row r="16072" spans="2:6">
      <c r="B16072">
        <v>2007</v>
      </c>
      <c r="C16072" t="s">
        <v>172</v>
      </c>
      <c r="D16072" t="s">
        <v>183</v>
      </c>
      <c r="E16072" t="s">
        <v>11</v>
      </c>
      <c r="F16072">
        <v>0.83833163976669312</v>
      </c>
    </row>
    <row r="16073" spans="2:6">
      <c r="B16073">
        <v>2007</v>
      </c>
      <c r="C16073" t="s">
        <v>172</v>
      </c>
      <c r="D16073" t="s">
        <v>183</v>
      </c>
      <c r="E16073" t="s">
        <v>12</v>
      </c>
      <c r="F16073">
        <v>0.33625167608261108</v>
      </c>
    </row>
    <row r="16074" spans="2:6">
      <c r="B16074">
        <v>2007</v>
      </c>
      <c r="C16074" t="s">
        <v>172</v>
      </c>
      <c r="D16074" t="s">
        <v>183</v>
      </c>
      <c r="E16074" t="s">
        <v>13</v>
      </c>
      <c r="F16074">
        <v>0.49809342622756958</v>
      </c>
    </row>
    <row r="16075" spans="2:6">
      <c r="B16075">
        <v>2007</v>
      </c>
      <c r="C16075" t="s">
        <v>172</v>
      </c>
      <c r="D16075" t="s">
        <v>183</v>
      </c>
      <c r="E16075" t="s">
        <v>14</v>
      </c>
      <c r="F16075">
        <v>0.78235304355621338</v>
      </c>
    </row>
    <row r="16076" spans="2:6">
      <c r="B16076">
        <v>2007</v>
      </c>
      <c r="C16076" t="s">
        <v>172</v>
      </c>
      <c r="D16076" t="s">
        <v>183</v>
      </c>
      <c r="E16076" t="s">
        <v>15</v>
      </c>
      <c r="F16076">
        <v>0.2410520613193512</v>
      </c>
    </row>
    <row r="16077" spans="2:6">
      <c r="B16077">
        <v>2008</v>
      </c>
      <c r="C16077" t="s">
        <v>172</v>
      </c>
      <c r="D16077" t="s">
        <v>183</v>
      </c>
      <c r="E16077" t="s">
        <v>7</v>
      </c>
      <c r="F16077">
        <v>6.9864635467529297</v>
      </c>
    </row>
    <row r="16078" spans="2:6">
      <c r="B16078">
        <v>2008</v>
      </c>
      <c r="C16078" t="s">
        <v>172</v>
      </c>
      <c r="D16078" t="s">
        <v>183</v>
      </c>
      <c r="E16078" t="s">
        <v>8</v>
      </c>
      <c r="F16078">
        <v>10.688577651977539</v>
      </c>
    </row>
    <row r="16079" spans="2:6">
      <c r="B16079">
        <v>2008</v>
      </c>
      <c r="C16079" t="s">
        <v>172</v>
      </c>
      <c r="D16079" t="s">
        <v>183</v>
      </c>
      <c r="E16079" t="s">
        <v>9</v>
      </c>
      <c r="F16079">
        <v>0.95383858680725098</v>
      </c>
    </row>
    <row r="16080" spans="2:6">
      <c r="B16080">
        <v>2008</v>
      </c>
      <c r="C16080" t="s">
        <v>172</v>
      </c>
      <c r="D16080" t="s">
        <v>183</v>
      </c>
      <c r="E16080" t="s">
        <v>10</v>
      </c>
      <c r="F16080">
        <v>70.739997863769531</v>
      </c>
    </row>
    <row r="16081" spans="2:6">
      <c r="B16081">
        <v>2008</v>
      </c>
      <c r="C16081" t="s">
        <v>172</v>
      </c>
      <c r="D16081" t="s">
        <v>183</v>
      </c>
      <c r="E16081" t="s">
        <v>11</v>
      </c>
      <c r="F16081">
        <v>0.75914418697357178</v>
      </c>
    </row>
    <row r="16082" spans="2:6">
      <c r="B16082">
        <v>2008</v>
      </c>
      <c r="C16082" t="s">
        <v>172</v>
      </c>
      <c r="D16082" t="s">
        <v>183</v>
      </c>
      <c r="E16082" t="s">
        <v>12</v>
      </c>
      <c r="F16082">
        <v>0.33112406730651855</v>
      </c>
    </row>
    <row r="16083" spans="2:6">
      <c r="B16083">
        <v>2008</v>
      </c>
      <c r="C16083" t="s">
        <v>172</v>
      </c>
      <c r="D16083" t="s">
        <v>183</v>
      </c>
      <c r="E16083" t="s">
        <v>13</v>
      </c>
      <c r="F16083">
        <v>0.54776912927627563</v>
      </c>
    </row>
    <row r="16084" spans="2:6">
      <c r="B16084">
        <v>2008</v>
      </c>
      <c r="C16084" t="s">
        <v>172</v>
      </c>
      <c r="D16084" t="s">
        <v>183</v>
      </c>
      <c r="E16084" t="s">
        <v>14</v>
      </c>
      <c r="F16084">
        <v>0.8189505934715271</v>
      </c>
    </row>
    <row r="16085" spans="2:6">
      <c r="B16085">
        <v>2008</v>
      </c>
      <c r="C16085" t="s">
        <v>172</v>
      </c>
      <c r="D16085" t="s">
        <v>183</v>
      </c>
      <c r="E16085" t="s">
        <v>15</v>
      </c>
      <c r="F16085">
        <v>0.21829655766487122</v>
      </c>
    </row>
    <row r="16086" spans="2:6">
      <c r="B16086">
        <v>2009</v>
      </c>
      <c r="C16086" t="s">
        <v>172</v>
      </c>
      <c r="D16086" t="s">
        <v>183</v>
      </c>
      <c r="E16086" t="s">
        <v>7</v>
      </c>
      <c r="F16086">
        <v>6.9065470695495605</v>
      </c>
    </row>
    <row r="16087" spans="2:6">
      <c r="B16087">
        <v>2009</v>
      </c>
      <c r="C16087" t="s">
        <v>172</v>
      </c>
      <c r="D16087" t="s">
        <v>183</v>
      </c>
      <c r="E16087" t="s">
        <v>8</v>
      </c>
      <c r="F16087">
        <v>10.637607574462891</v>
      </c>
    </row>
    <row r="16088" spans="2:6">
      <c r="B16088">
        <v>2009</v>
      </c>
      <c r="C16088" t="s">
        <v>172</v>
      </c>
      <c r="D16088" t="s">
        <v>183</v>
      </c>
      <c r="E16088" t="s">
        <v>9</v>
      </c>
      <c r="F16088">
        <v>0.96442878246307373</v>
      </c>
    </row>
    <row r="16089" spans="2:6">
      <c r="B16089">
        <v>2009</v>
      </c>
      <c r="C16089" t="s">
        <v>172</v>
      </c>
      <c r="D16089" t="s">
        <v>183</v>
      </c>
      <c r="E16089" t="s">
        <v>10</v>
      </c>
      <c r="F16089">
        <v>71.019996643066406</v>
      </c>
    </row>
    <row r="16090" spans="2:6">
      <c r="B16090">
        <v>2009</v>
      </c>
      <c r="C16090" t="s">
        <v>172</v>
      </c>
      <c r="D16090" t="s">
        <v>183</v>
      </c>
      <c r="E16090" t="s">
        <v>11</v>
      </c>
      <c r="F16090">
        <v>0.81622880697250366</v>
      </c>
    </row>
    <row r="16091" spans="2:6">
      <c r="B16091">
        <v>2009</v>
      </c>
      <c r="C16091" t="s">
        <v>172</v>
      </c>
      <c r="D16091" t="s">
        <v>183</v>
      </c>
      <c r="E16091" t="s">
        <v>12</v>
      </c>
      <c r="F16091">
        <v>0.3414573073387146</v>
      </c>
    </row>
    <row r="16092" spans="2:6">
      <c r="B16092">
        <v>2009</v>
      </c>
      <c r="C16092" t="s">
        <v>172</v>
      </c>
      <c r="D16092" t="s">
        <v>183</v>
      </c>
      <c r="E16092" t="s">
        <v>13</v>
      </c>
      <c r="F16092">
        <v>0.55892729759216309</v>
      </c>
    </row>
    <row r="16093" spans="2:6">
      <c r="B16093">
        <v>2009</v>
      </c>
      <c r="C16093" t="s">
        <v>172</v>
      </c>
      <c r="D16093" t="s">
        <v>183</v>
      </c>
      <c r="E16093" t="s">
        <v>14</v>
      </c>
      <c r="F16093">
        <v>0.84637993574142456</v>
      </c>
    </row>
    <row r="16094" spans="2:6">
      <c r="B16094">
        <v>2009</v>
      </c>
      <c r="C16094" t="s">
        <v>172</v>
      </c>
      <c r="D16094" t="s">
        <v>183</v>
      </c>
      <c r="E16094" t="s">
        <v>15</v>
      </c>
      <c r="F16094">
        <v>0.23102866113185883</v>
      </c>
    </row>
    <row r="16095" spans="2:6">
      <c r="B16095">
        <v>2010</v>
      </c>
      <c r="C16095" t="s">
        <v>172</v>
      </c>
      <c r="D16095" t="s">
        <v>183</v>
      </c>
      <c r="E16095" t="s">
        <v>7</v>
      </c>
      <c r="F16095">
        <v>7.0293641090393066</v>
      </c>
    </row>
    <row r="16096" spans="2:6">
      <c r="B16096">
        <v>2010</v>
      </c>
      <c r="C16096" t="s">
        <v>172</v>
      </c>
      <c r="D16096" t="s">
        <v>183</v>
      </c>
      <c r="E16096" t="s">
        <v>8</v>
      </c>
      <c r="F16096">
        <v>10.649076461791992</v>
      </c>
    </row>
    <row r="16097" spans="2:6">
      <c r="B16097">
        <v>2010</v>
      </c>
      <c r="C16097" t="s">
        <v>172</v>
      </c>
      <c r="D16097" t="s">
        <v>183</v>
      </c>
      <c r="E16097" t="s">
        <v>9</v>
      </c>
      <c r="F16097">
        <v>0.95506817102432251</v>
      </c>
    </row>
    <row r="16098" spans="2:6">
      <c r="B16098">
        <v>2010</v>
      </c>
      <c r="C16098" t="s">
        <v>172</v>
      </c>
      <c r="D16098" t="s">
        <v>183</v>
      </c>
      <c r="E16098" t="s">
        <v>10</v>
      </c>
      <c r="F16098">
        <v>71.300003051757813</v>
      </c>
    </row>
    <row r="16099" spans="2:6">
      <c r="B16099">
        <v>2010</v>
      </c>
      <c r="C16099" t="s">
        <v>172</v>
      </c>
      <c r="D16099" t="s">
        <v>183</v>
      </c>
      <c r="E16099" t="s">
        <v>11</v>
      </c>
      <c r="F16099">
        <v>0.84130674600601196</v>
      </c>
    </row>
    <row r="16100" spans="2:6">
      <c r="B16100">
        <v>2010</v>
      </c>
      <c r="C16100" t="s">
        <v>172</v>
      </c>
      <c r="D16100" t="s">
        <v>183</v>
      </c>
      <c r="E16100" t="s">
        <v>12</v>
      </c>
      <c r="F16100">
        <v>0.40317288041114807</v>
      </c>
    </row>
    <row r="16101" spans="2:6">
      <c r="B16101">
        <v>2010</v>
      </c>
      <c r="C16101" t="s">
        <v>172</v>
      </c>
      <c r="D16101" t="s">
        <v>183</v>
      </c>
      <c r="E16101" t="s">
        <v>13</v>
      </c>
      <c r="F16101">
        <v>0.58681315183639526</v>
      </c>
    </row>
    <row r="16102" spans="2:6">
      <c r="B16102">
        <v>2010</v>
      </c>
      <c r="C16102" t="s">
        <v>172</v>
      </c>
      <c r="D16102" t="s">
        <v>183</v>
      </c>
      <c r="E16102" t="s">
        <v>14</v>
      </c>
      <c r="F16102">
        <v>0.8626207709312439</v>
      </c>
    </row>
    <row r="16103" spans="2:6">
      <c r="B16103">
        <v>2010</v>
      </c>
      <c r="C16103" t="s">
        <v>172</v>
      </c>
      <c r="D16103" t="s">
        <v>183</v>
      </c>
      <c r="E16103" t="s">
        <v>15</v>
      </c>
      <c r="F16103">
        <v>0.17634294927120209</v>
      </c>
    </row>
    <row r="16104" spans="2:6">
      <c r="B16104">
        <v>2011</v>
      </c>
      <c r="C16104" t="s">
        <v>172</v>
      </c>
      <c r="D16104" t="s">
        <v>183</v>
      </c>
      <c r="E16104" t="s">
        <v>7</v>
      </c>
      <c r="F16104">
        <v>6.8692488670349121</v>
      </c>
    </row>
    <row r="16105" spans="2:6">
      <c r="B16105">
        <v>2011</v>
      </c>
      <c r="C16105" t="s">
        <v>172</v>
      </c>
      <c r="D16105" t="s">
        <v>183</v>
      </c>
      <c r="E16105" t="s">
        <v>8</v>
      </c>
      <c r="F16105">
        <v>10.65654468536377</v>
      </c>
    </row>
    <row r="16106" spans="2:6">
      <c r="B16106">
        <v>2011</v>
      </c>
      <c r="C16106" t="s">
        <v>172</v>
      </c>
      <c r="D16106" t="s">
        <v>183</v>
      </c>
      <c r="E16106" t="s">
        <v>9</v>
      </c>
      <c r="F16106">
        <v>0.94871068000793457</v>
      </c>
    </row>
    <row r="16107" spans="2:6">
      <c r="B16107">
        <v>2011</v>
      </c>
      <c r="C16107" t="s">
        <v>172</v>
      </c>
      <c r="D16107" t="s">
        <v>183</v>
      </c>
      <c r="E16107" t="s">
        <v>10</v>
      </c>
      <c r="F16107">
        <v>71.379997253417969</v>
      </c>
    </row>
    <row r="16108" spans="2:6">
      <c r="B16108">
        <v>2011</v>
      </c>
      <c r="C16108" t="s">
        <v>172</v>
      </c>
      <c r="D16108" t="s">
        <v>183</v>
      </c>
      <c r="E16108" t="s">
        <v>11</v>
      </c>
      <c r="F16108">
        <v>0.89977443218231201</v>
      </c>
    </row>
    <row r="16109" spans="2:6">
      <c r="B16109">
        <v>2011</v>
      </c>
      <c r="C16109" t="s">
        <v>172</v>
      </c>
      <c r="D16109" t="s">
        <v>183</v>
      </c>
      <c r="E16109" t="s">
        <v>12</v>
      </c>
      <c r="F16109">
        <v>0.33604228496551514</v>
      </c>
    </row>
    <row r="16110" spans="2:6">
      <c r="B16110">
        <v>2011</v>
      </c>
      <c r="C16110" t="s">
        <v>172</v>
      </c>
      <c r="D16110" t="s">
        <v>183</v>
      </c>
      <c r="E16110" t="s">
        <v>13</v>
      </c>
      <c r="F16110">
        <v>0.43759530782699585</v>
      </c>
    </row>
    <row r="16111" spans="2:6">
      <c r="B16111">
        <v>2011</v>
      </c>
      <c r="C16111" t="s">
        <v>172</v>
      </c>
      <c r="D16111" t="s">
        <v>183</v>
      </c>
      <c r="E16111" t="s">
        <v>14</v>
      </c>
      <c r="F16111">
        <v>0.84449809789657593</v>
      </c>
    </row>
    <row r="16112" spans="2:6">
      <c r="B16112">
        <v>2011</v>
      </c>
      <c r="C16112" t="s">
        <v>172</v>
      </c>
      <c r="D16112" t="s">
        <v>183</v>
      </c>
      <c r="E16112" t="s">
        <v>15</v>
      </c>
      <c r="F16112">
        <v>0.17390841245651245</v>
      </c>
    </row>
    <row r="16113" spans="2:6">
      <c r="B16113">
        <v>2012</v>
      </c>
      <c r="C16113" t="s">
        <v>172</v>
      </c>
      <c r="D16113" t="s">
        <v>183</v>
      </c>
      <c r="E16113" t="s">
        <v>7</v>
      </c>
      <c r="F16113">
        <v>6.8807840347290039</v>
      </c>
    </row>
    <row r="16114" spans="2:6">
      <c r="B16114">
        <v>2012</v>
      </c>
      <c r="C16114" t="s">
        <v>172</v>
      </c>
      <c r="D16114" t="s">
        <v>183</v>
      </c>
      <c r="E16114" t="s">
        <v>8</v>
      </c>
      <c r="F16114">
        <v>10.664272308349609</v>
      </c>
    </row>
    <row r="16115" spans="2:6">
      <c r="B16115">
        <v>2012</v>
      </c>
      <c r="C16115" t="s">
        <v>172</v>
      </c>
      <c r="D16115" t="s">
        <v>183</v>
      </c>
      <c r="E16115" t="s">
        <v>9</v>
      </c>
      <c r="F16115">
        <v>0.93457496166229248</v>
      </c>
    </row>
    <row r="16116" spans="2:6">
      <c r="B16116">
        <v>2012</v>
      </c>
      <c r="C16116" t="s">
        <v>172</v>
      </c>
      <c r="D16116" t="s">
        <v>183</v>
      </c>
      <c r="E16116" t="s">
        <v>10</v>
      </c>
      <c r="F16116">
        <v>71.459999084472656</v>
      </c>
    </row>
    <row r="16117" spans="2:6">
      <c r="B16117">
        <v>2012</v>
      </c>
      <c r="C16117" t="s">
        <v>172</v>
      </c>
      <c r="D16117" t="s">
        <v>183</v>
      </c>
      <c r="E16117" t="s">
        <v>11</v>
      </c>
      <c r="F16117">
        <v>0.88897049427032471</v>
      </c>
    </row>
    <row r="16118" spans="2:6">
      <c r="B16118">
        <v>2012</v>
      </c>
      <c r="C16118" t="s">
        <v>172</v>
      </c>
      <c r="D16118" t="s">
        <v>183</v>
      </c>
      <c r="E16118" t="s">
        <v>12</v>
      </c>
      <c r="F16118">
        <v>0.37128815054893494</v>
      </c>
    </row>
    <row r="16119" spans="2:6">
      <c r="B16119">
        <v>2012</v>
      </c>
      <c r="C16119" t="s">
        <v>172</v>
      </c>
      <c r="D16119" t="s">
        <v>183</v>
      </c>
      <c r="E16119" t="s">
        <v>13</v>
      </c>
      <c r="F16119">
        <v>0.42516991496086121</v>
      </c>
    </row>
    <row r="16120" spans="2:6">
      <c r="B16120">
        <v>2012</v>
      </c>
      <c r="C16120" t="s">
        <v>172</v>
      </c>
      <c r="D16120" t="s">
        <v>183</v>
      </c>
      <c r="E16120" t="s">
        <v>14</v>
      </c>
      <c r="F16120">
        <v>0.84445220232009888</v>
      </c>
    </row>
    <row r="16121" spans="2:6">
      <c r="B16121">
        <v>2012</v>
      </c>
      <c r="C16121" t="s">
        <v>172</v>
      </c>
      <c r="D16121" t="s">
        <v>183</v>
      </c>
      <c r="E16121" t="s">
        <v>15</v>
      </c>
      <c r="F16121">
        <v>0.18424452841281891</v>
      </c>
    </row>
    <row r="16122" spans="2:6">
      <c r="B16122">
        <v>2013</v>
      </c>
      <c r="C16122" t="s">
        <v>172</v>
      </c>
      <c r="D16122" t="s">
        <v>183</v>
      </c>
      <c r="E16122" t="s">
        <v>7</v>
      </c>
      <c r="F16122">
        <v>6.9180550575256348</v>
      </c>
    </row>
    <row r="16123" spans="2:6">
      <c r="B16123">
        <v>2013</v>
      </c>
      <c r="C16123" t="s">
        <v>172</v>
      </c>
      <c r="D16123" t="s">
        <v>183</v>
      </c>
      <c r="E16123" t="s">
        <v>8</v>
      </c>
      <c r="F16123">
        <v>10.678744316101074</v>
      </c>
    </row>
    <row r="16124" spans="2:6">
      <c r="B16124">
        <v>2013</v>
      </c>
      <c r="C16124" t="s">
        <v>172</v>
      </c>
      <c r="D16124" t="s">
        <v>183</v>
      </c>
      <c r="E16124" t="s">
        <v>9</v>
      </c>
      <c r="F16124">
        <v>0.93688410520553589</v>
      </c>
    </row>
    <row r="16125" spans="2:6">
      <c r="B16125">
        <v>2013</v>
      </c>
      <c r="C16125" t="s">
        <v>172</v>
      </c>
      <c r="D16125" t="s">
        <v>183</v>
      </c>
      <c r="E16125" t="s">
        <v>10</v>
      </c>
      <c r="F16125">
        <v>71.540000915527344</v>
      </c>
    </row>
    <row r="16126" spans="2:6">
      <c r="B16126">
        <v>2013</v>
      </c>
      <c r="C16126" t="s">
        <v>172</v>
      </c>
      <c r="D16126" t="s">
        <v>183</v>
      </c>
      <c r="E16126" t="s">
        <v>11</v>
      </c>
      <c r="F16126">
        <v>0.90527802705764771</v>
      </c>
    </row>
    <row r="16127" spans="2:6">
      <c r="B16127">
        <v>2013</v>
      </c>
      <c r="C16127" t="s">
        <v>172</v>
      </c>
      <c r="D16127" t="s">
        <v>183</v>
      </c>
      <c r="E16127" t="s">
        <v>12</v>
      </c>
      <c r="F16127">
        <v>0.34628844261169434</v>
      </c>
    </row>
    <row r="16128" spans="2:6">
      <c r="B16128">
        <v>2013</v>
      </c>
      <c r="C16128" t="s">
        <v>172</v>
      </c>
      <c r="D16128" t="s">
        <v>183</v>
      </c>
      <c r="E16128" t="s">
        <v>13</v>
      </c>
      <c r="F16128">
        <v>0.56804317235946655</v>
      </c>
    </row>
    <row r="16129" spans="2:6">
      <c r="B16129">
        <v>2013</v>
      </c>
      <c r="C16129" t="s">
        <v>172</v>
      </c>
      <c r="D16129" t="s">
        <v>183</v>
      </c>
      <c r="E16129" t="s">
        <v>14</v>
      </c>
      <c r="F16129">
        <v>0.77574443817138672</v>
      </c>
    </row>
    <row r="16130" spans="2:6">
      <c r="B16130">
        <v>2013</v>
      </c>
      <c r="C16130" t="s">
        <v>172</v>
      </c>
      <c r="D16130" t="s">
        <v>183</v>
      </c>
      <c r="E16130" t="s">
        <v>15</v>
      </c>
      <c r="F16130">
        <v>0.2520957887172699</v>
      </c>
    </row>
    <row r="16131" spans="2:6">
      <c r="B16131">
        <v>2014</v>
      </c>
      <c r="C16131" t="s">
        <v>172</v>
      </c>
      <c r="D16131" t="s">
        <v>183</v>
      </c>
      <c r="E16131" t="s">
        <v>7</v>
      </c>
      <c r="F16131">
        <v>6.7581477165222168</v>
      </c>
    </row>
    <row r="16132" spans="2:6">
      <c r="B16132">
        <v>2014</v>
      </c>
      <c r="C16132" t="s">
        <v>172</v>
      </c>
      <c r="D16132" t="s">
        <v>183</v>
      </c>
      <c r="E16132" t="s">
        <v>8</v>
      </c>
      <c r="F16132">
        <v>10.697120666503906</v>
      </c>
    </row>
    <row r="16133" spans="2:6">
      <c r="B16133">
        <v>2014</v>
      </c>
      <c r="C16133" t="s">
        <v>172</v>
      </c>
      <c r="D16133" t="s">
        <v>183</v>
      </c>
      <c r="E16133" t="s">
        <v>9</v>
      </c>
      <c r="F16133">
        <v>0.9102473258972168</v>
      </c>
    </row>
    <row r="16134" spans="2:6">
      <c r="B16134">
        <v>2014</v>
      </c>
      <c r="C16134" t="s">
        <v>172</v>
      </c>
      <c r="D16134" t="s">
        <v>183</v>
      </c>
      <c r="E16134" t="s">
        <v>10</v>
      </c>
      <c r="F16134">
        <v>71.620002746582031</v>
      </c>
    </row>
    <row r="16135" spans="2:6">
      <c r="B16135">
        <v>2014</v>
      </c>
      <c r="C16135" t="s">
        <v>172</v>
      </c>
      <c r="D16135" t="s">
        <v>183</v>
      </c>
      <c r="E16135" t="s">
        <v>11</v>
      </c>
      <c r="F16135">
        <v>0.8570396900177002</v>
      </c>
    </row>
    <row r="16136" spans="2:6">
      <c r="B16136">
        <v>2014</v>
      </c>
      <c r="C16136" t="s">
        <v>172</v>
      </c>
      <c r="D16136" t="s">
        <v>183</v>
      </c>
      <c r="E16136" t="s">
        <v>12</v>
      </c>
      <c r="F16136">
        <v>0.35473775863647461</v>
      </c>
    </row>
    <row r="16137" spans="2:6">
      <c r="B16137">
        <v>2014</v>
      </c>
      <c r="C16137" t="s">
        <v>172</v>
      </c>
      <c r="D16137" t="s">
        <v>183</v>
      </c>
      <c r="E16137" t="s">
        <v>13</v>
      </c>
      <c r="F16137">
        <v>0.48411843180656433</v>
      </c>
    </row>
    <row r="16138" spans="2:6">
      <c r="B16138">
        <v>2014</v>
      </c>
      <c r="C16138" t="s">
        <v>172</v>
      </c>
      <c r="D16138" t="s">
        <v>183</v>
      </c>
      <c r="E16138" t="s">
        <v>14</v>
      </c>
      <c r="F16138">
        <v>0.79399269819259644</v>
      </c>
    </row>
    <row r="16139" spans="2:6">
      <c r="B16139">
        <v>2014</v>
      </c>
      <c r="C16139" t="s">
        <v>172</v>
      </c>
      <c r="D16139" t="s">
        <v>183</v>
      </c>
      <c r="E16139" t="s">
        <v>15</v>
      </c>
      <c r="F16139">
        <v>0.25114032626152039</v>
      </c>
    </row>
    <row r="16140" spans="2:6">
      <c r="B16140">
        <v>2015</v>
      </c>
      <c r="C16140" t="s">
        <v>172</v>
      </c>
      <c r="D16140" t="s">
        <v>183</v>
      </c>
      <c r="E16140" t="s">
        <v>7</v>
      </c>
      <c r="F16140">
        <v>6.5154452323913574</v>
      </c>
    </row>
    <row r="16141" spans="2:6">
      <c r="B16141">
        <v>2015</v>
      </c>
      <c r="C16141" t="s">
        <v>172</v>
      </c>
      <c r="D16141" t="s">
        <v>183</v>
      </c>
      <c r="E16141" t="s">
        <v>8</v>
      </c>
      <c r="F16141">
        <v>10.712478637695313</v>
      </c>
    </row>
    <row r="16142" spans="2:6">
      <c r="B16142">
        <v>2015</v>
      </c>
      <c r="C16142" t="s">
        <v>172</v>
      </c>
      <c r="D16142" t="s">
        <v>183</v>
      </c>
      <c r="E16142" t="s">
        <v>9</v>
      </c>
      <c r="F16142">
        <v>0.9359857439994812</v>
      </c>
    </row>
    <row r="16143" spans="2:6">
      <c r="B16143">
        <v>2015</v>
      </c>
      <c r="C16143" t="s">
        <v>172</v>
      </c>
      <c r="D16143" t="s">
        <v>183</v>
      </c>
      <c r="E16143" t="s">
        <v>10</v>
      </c>
      <c r="F16143">
        <v>71.699996948242188</v>
      </c>
    </row>
    <row r="16144" spans="2:6">
      <c r="B16144">
        <v>2015</v>
      </c>
      <c r="C16144" t="s">
        <v>172</v>
      </c>
      <c r="D16144" t="s">
        <v>183</v>
      </c>
      <c r="E16144" t="s">
        <v>11</v>
      </c>
      <c r="F16144">
        <v>0.83292609453201294</v>
      </c>
    </row>
    <row r="16145" spans="2:6">
      <c r="B16145">
        <v>2015</v>
      </c>
      <c r="C16145" t="s">
        <v>172</v>
      </c>
      <c r="D16145" t="s">
        <v>183</v>
      </c>
      <c r="E16145" t="s">
        <v>12</v>
      </c>
      <c r="F16145">
        <v>0.30010500550270081</v>
      </c>
    </row>
    <row r="16146" spans="2:6">
      <c r="B16146">
        <v>2015</v>
      </c>
      <c r="C16146" t="s">
        <v>172</v>
      </c>
      <c r="D16146" t="s">
        <v>183</v>
      </c>
      <c r="E16146" t="s">
        <v>13</v>
      </c>
      <c r="F16146">
        <v>0.45613372325897217</v>
      </c>
    </row>
    <row r="16147" spans="2:6">
      <c r="B16147">
        <v>2015</v>
      </c>
      <c r="C16147" t="s">
        <v>172</v>
      </c>
      <c r="D16147" t="s">
        <v>183</v>
      </c>
      <c r="E16147" t="s">
        <v>14</v>
      </c>
      <c r="F16147">
        <v>0.79778510332107544</v>
      </c>
    </row>
    <row r="16148" spans="2:6">
      <c r="B16148">
        <v>2015</v>
      </c>
      <c r="C16148" t="s">
        <v>172</v>
      </c>
      <c r="D16148" t="s">
        <v>183</v>
      </c>
      <c r="E16148" t="s">
        <v>15</v>
      </c>
      <c r="F16148">
        <v>0.21926185488700867</v>
      </c>
    </row>
    <row r="16149" spans="2:6">
      <c r="B16149">
        <v>2016</v>
      </c>
      <c r="C16149" t="s">
        <v>172</v>
      </c>
      <c r="D16149" t="s">
        <v>183</v>
      </c>
      <c r="E16149" t="s">
        <v>7</v>
      </c>
      <c r="F16149">
        <v>6.8242835998535156</v>
      </c>
    </row>
    <row r="16150" spans="2:6">
      <c r="B16150">
        <v>2016</v>
      </c>
      <c r="C16150" t="s">
        <v>172</v>
      </c>
      <c r="D16150" t="s">
        <v>183</v>
      </c>
      <c r="E16150" t="s">
        <v>8</v>
      </c>
      <c r="F16150">
        <v>10.723899841308594</v>
      </c>
    </row>
    <row r="16151" spans="2:6">
      <c r="B16151">
        <v>2016</v>
      </c>
      <c r="C16151" t="s">
        <v>172</v>
      </c>
      <c r="D16151" t="s">
        <v>183</v>
      </c>
      <c r="E16151" t="s">
        <v>9</v>
      </c>
      <c r="F16151">
        <v>0.95406818389892578</v>
      </c>
    </row>
    <row r="16152" spans="2:6">
      <c r="B16152">
        <v>2016</v>
      </c>
      <c r="C16152" t="s">
        <v>172</v>
      </c>
      <c r="D16152" t="s">
        <v>183</v>
      </c>
      <c r="E16152" t="s">
        <v>10</v>
      </c>
      <c r="F16152">
        <v>71.900001525878906</v>
      </c>
    </row>
    <row r="16153" spans="2:6">
      <c r="B16153">
        <v>2016</v>
      </c>
      <c r="C16153" t="s">
        <v>172</v>
      </c>
      <c r="D16153" t="s">
        <v>183</v>
      </c>
      <c r="E16153" t="s">
        <v>11</v>
      </c>
      <c r="F16153">
        <v>0.82119214534759521</v>
      </c>
    </row>
    <row r="16154" spans="2:6">
      <c r="B16154">
        <v>2016</v>
      </c>
      <c r="C16154" t="s">
        <v>172</v>
      </c>
      <c r="D16154" t="s">
        <v>183</v>
      </c>
      <c r="E16154" t="s">
        <v>12</v>
      </c>
      <c r="F16154">
        <v>0.25030779838562012</v>
      </c>
    </row>
    <row r="16155" spans="2:6">
      <c r="B16155">
        <v>2016</v>
      </c>
      <c r="C16155" t="s">
        <v>172</v>
      </c>
      <c r="D16155" t="s">
        <v>183</v>
      </c>
      <c r="E16155" t="s">
        <v>13</v>
      </c>
      <c r="F16155">
        <v>0.45831328630447388</v>
      </c>
    </row>
    <row r="16156" spans="2:6">
      <c r="B16156">
        <v>2016</v>
      </c>
      <c r="C16156" t="s">
        <v>172</v>
      </c>
      <c r="D16156" t="s">
        <v>183</v>
      </c>
      <c r="E16156" t="s">
        <v>14</v>
      </c>
      <c r="F16156">
        <v>0.77585315704345703</v>
      </c>
    </row>
    <row r="16157" spans="2:6">
      <c r="B16157">
        <v>2016</v>
      </c>
      <c r="C16157" t="s">
        <v>172</v>
      </c>
      <c r="D16157" t="s">
        <v>183</v>
      </c>
      <c r="E16157" t="s">
        <v>15</v>
      </c>
      <c r="F16157">
        <v>0.22958678007125854</v>
      </c>
    </row>
    <row r="16158" spans="2:6">
      <c r="B16158">
        <v>2017</v>
      </c>
      <c r="C16158" t="s">
        <v>172</v>
      </c>
      <c r="D16158" t="s">
        <v>183</v>
      </c>
      <c r="E16158" t="s">
        <v>7</v>
      </c>
      <c r="F16158">
        <v>7.1032733917236328</v>
      </c>
    </row>
    <row r="16159" spans="2:6">
      <c r="B16159">
        <v>2017</v>
      </c>
      <c r="C16159" t="s">
        <v>172</v>
      </c>
      <c r="D16159" t="s">
        <v>183</v>
      </c>
      <c r="E16159" t="s">
        <v>8</v>
      </c>
      <c r="F16159">
        <v>10.73585033416748</v>
      </c>
    </row>
    <row r="16160" spans="2:6">
      <c r="B16160">
        <v>2017</v>
      </c>
      <c r="C16160" t="s">
        <v>172</v>
      </c>
      <c r="D16160" t="s">
        <v>183</v>
      </c>
      <c r="E16160" t="s">
        <v>9</v>
      </c>
      <c r="F16160">
        <v>0.93749529123306274</v>
      </c>
    </row>
    <row r="16161" spans="2:6">
      <c r="B16161">
        <v>2017</v>
      </c>
      <c r="C16161" t="s">
        <v>172</v>
      </c>
      <c r="D16161" t="s">
        <v>183</v>
      </c>
      <c r="E16161" t="s">
        <v>10</v>
      </c>
      <c r="F16161">
        <v>72.099998474121094</v>
      </c>
    </row>
    <row r="16162" spans="2:6">
      <c r="B16162">
        <v>2017</v>
      </c>
      <c r="C16162" t="s">
        <v>172</v>
      </c>
      <c r="D16162" t="s">
        <v>183</v>
      </c>
      <c r="E16162" t="s">
        <v>11</v>
      </c>
      <c r="F16162">
        <v>0.81273329257965088</v>
      </c>
    </row>
    <row r="16163" spans="2:6">
      <c r="B16163">
        <v>2017</v>
      </c>
      <c r="C16163" t="s">
        <v>172</v>
      </c>
      <c r="D16163" t="s">
        <v>183</v>
      </c>
      <c r="E16163" t="s">
        <v>12</v>
      </c>
      <c r="F16163">
        <v>0.29123580455780029</v>
      </c>
    </row>
    <row r="16164" spans="2:6">
      <c r="B16164">
        <v>2017</v>
      </c>
      <c r="C16164" t="s">
        <v>172</v>
      </c>
      <c r="D16164" t="s">
        <v>183</v>
      </c>
      <c r="E16164" t="s">
        <v>13</v>
      </c>
      <c r="F16164">
        <v>0.41861134767532349</v>
      </c>
    </row>
    <row r="16165" spans="2:6">
      <c r="B16165">
        <v>2017</v>
      </c>
      <c r="C16165" t="s">
        <v>172</v>
      </c>
      <c r="D16165" t="s">
        <v>183</v>
      </c>
      <c r="E16165" t="s">
        <v>14</v>
      </c>
      <c r="F16165">
        <v>0.7585718035697937</v>
      </c>
    </row>
    <row r="16166" spans="2:6">
      <c r="B16166">
        <v>2017</v>
      </c>
      <c r="C16166" t="s">
        <v>172</v>
      </c>
      <c r="D16166" t="s">
        <v>183</v>
      </c>
      <c r="E16166" t="s">
        <v>15</v>
      </c>
      <c r="F16166">
        <v>0.20957241952419281</v>
      </c>
    </row>
    <row r="16167" spans="2:6">
      <c r="B16167">
        <v>2018</v>
      </c>
      <c r="C16167" t="s">
        <v>172</v>
      </c>
      <c r="D16167" t="s">
        <v>183</v>
      </c>
      <c r="E16167" t="s">
        <v>7</v>
      </c>
      <c r="F16167">
        <v>7.2334451675415039</v>
      </c>
    </row>
    <row r="16168" spans="2:6">
      <c r="B16168">
        <v>2018</v>
      </c>
      <c r="C16168" t="s">
        <v>172</v>
      </c>
      <c r="D16168" t="s">
        <v>183</v>
      </c>
      <c r="E16168" t="s">
        <v>8</v>
      </c>
      <c r="F16168">
        <v>10.743108749389648</v>
      </c>
    </row>
    <row r="16169" spans="2:6">
      <c r="B16169">
        <v>2018</v>
      </c>
      <c r="C16169" t="s">
        <v>172</v>
      </c>
      <c r="D16169" t="s">
        <v>183</v>
      </c>
      <c r="E16169" t="s">
        <v>9</v>
      </c>
      <c r="F16169">
        <v>0.92848390340805054</v>
      </c>
    </row>
    <row r="16170" spans="2:6">
      <c r="B16170">
        <v>2018</v>
      </c>
      <c r="C16170" t="s">
        <v>172</v>
      </c>
      <c r="D16170" t="s">
        <v>183</v>
      </c>
      <c r="E16170" t="s">
        <v>10</v>
      </c>
      <c r="F16170">
        <v>72.300003051757813</v>
      </c>
    </row>
    <row r="16171" spans="2:6">
      <c r="B16171">
        <v>2018</v>
      </c>
      <c r="C16171" t="s">
        <v>172</v>
      </c>
      <c r="D16171" t="s">
        <v>183</v>
      </c>
      <c r="E16171" t="s">
        <v>11</v>
      </c>
      <c r="F16171">
        <v>0.83750838041305542</v>
      </c>
    </row>
    <row r="16172" spans="2:6">
      <c r="B16172">
        <v>2018</v>
      </c>
      <c r="C16172" t="s">
        <v>172</v>
      </c>
      <c r="D16172" t="s">
        <v>183</v>
      </c>
      <c r="E16172" t="s">
        <v>12</v>
      </c>
      <c r="F16172">
        <v>0.22628350555896759</v>
      </c>
    </row>
    <row r="16173" spans="2:6">
      <c r="B16173">
        <v>2018</v>
      </c>
      <c r="C16173" t="s">
        <v>172</v>
      </c>
      <c r="D16173" t="s">
        <v>183</v>
      </c>
      <c r="E16173" t="s">
        <v>13</v>
      </c>
      <c r="F16173">
        <v>0.40427601337432861</v>
      </c>
    </row>
    <row r="16174" spans="2:6">
      <c r="B16174">
        <v>2018</v>
      </c>
      <c r="C16174" t="s">
        <v>172</v>
      </c>
      <c r="D16174" t="s">
        <v>183</v>
      </c>
      <c r="E16174" t="s">
        <v>14</v>
      </c>
      <c r="F16174">
        <v>0.78317183256149292</v>
      </c>
    </row>
    <row r="16175" spans="2:6">
      <c r="B16175">
        <v>2018</v>
      </c>
      <c r="C16175" t="s">
        <v>172</v>
      </c>
      <c r="D16175" t="s">
        <v>183</v>
      </c>
      <c r="E16175" t="s">
        <v>15</v>
      </c>
      <c r="F16175">
        <v>0.2282756119966507</v>
      </c>
    </row>
    <row r="16176" spans="2:6">
      <c r="B16176">
        <v>2019</v>
      </c>
      <c r="C16176" t="s">
        <v>172</v>
      </c>
      <c r="D16176" t="s">
        <v>183</v>
      </c>
      <c r="E16176" t="s">
        <v>7</v>
      </c>
      <c r="F16176">
        <v>7.1571512222290039</v>
      </c>
    </row>
    <row r="16177" spans="2:6">
      <c r="B16177">
        <v>2019</v>
      </c>
      <c r="C16177" t="s">
        <v>172</v>
      </c>
      <c r="D16177" t="s">
        <v>183</v>
      </c>
      <c r="E16177" t="s">
        <v>8</v>
      </c>
      <c r="F16177">
        <v>10.751484870910645</v>
      </c>
    </row>
    <row r="16178" spans="2:6">
      <c r="B16178">
        <v>2019</v>
      </c>
      <c r="C16178" t="s">
        <v>172</v>
      </c>
      <c r="D16178" t="s">
        <v>183</v>
      </c>
      <c r="E16178" t="s">
        <v>9</v>
      </c>
      <c r="F16178">
        <v>0.94268107414245605</v>
      </c>
    </row>
    <row r="16179" spans="2:6">
      <c r="B16179">
        <v>2019</v>
      </c>
      <c r="C16179" t="s">
        <v>172</v>
      </c>
      <c r="D16179" t="s">
        <v>183</v>
      </c>
      <c r="E16179" t="s">
        <v>10</v>
      </c>
      <c r="F16179">
        <v>72.5</v>
      </c>
    </row>
    <row r="16180" spans="2:6">
      <c r="B16180">
        <v>2019</v>
      </c>
      <c r="C16180" t="s">
        <v>172</v>
      </c>
      <c r="D16180" t="s">
        <v>183</v>
      </c>
      <c r="E16180" t="s">
        <v>11</v>
      </c>
      <c r="F16180">
        <v>0.85403954982757568</v>
      </c>
    </row>
    <row r="16181" spans="2:6">
      <c r="B16181">
        <v>2019</v>
      </c>
      <c r="C16181" t="s">
        <v>172</v>
      </c>
      <c r="D16181" t="s">
        <v>183</v>
      </c>
      <c r="E16181" t="s">
        <v>12</v>
      </c>
      <c r="F16181">
        <v>0.27055743336677551</v>
      </c>
    </row>
    <row r="16182" spans="2:6">
      <c r="B16182">
        <v>2019</v>
      </c>
      <c r="C16182" t="s">
        <v>172</v>
      </c>
      <c r="D16182" t="s">
        <v>183</v>
      </c>
      <c r="E16182" t="s">
        <v>13</v>
      </c>
      <c r="F16182">
        <v>0.48509228229522705</v>
      </c>
    </row>
    <row r="16183" spans="2:6">
      <c r="B16183">
        <v>2019</v>
      </c>
      <c r="C16183" t="s">
        <v>172</v>
      </c>
      <c r="D16183" t="s">
        <v>183</v>
      </c>
      <c r="E16183" t="s">
        <v>14</v>
      </c>
      <c r="F16183">
        <v>0.77520322799682617</v>
      </c>
    </row>
    <row r="16184" spans="2:6">
      <c r="B16184">
        <v>2019</v>
      </c>
      <c r="C16184" t="s">
        <v>172</v>
      </c>
      <c r="D16184" t="s">
        <v>183</v>
      </c>
      <c r="E16184" t="s">
        <v>15</v>
      </c>
      <c r="F16184">
        <v>0.25101444125175476</v>
      </c>
    </row>
    <row r="16185" spans="2:6">
      <c r="B16185">
        <v>2020</v>
      </c>
      <c r="C16185" t="s">
        <v>172</v>
      </c>
      <c r="D16185" t="s">
        <v>183</v>
      </c>
      <c r="E16185" t="s">
        <v>7</v>
      </c>
      <c r="F16185">
        <v>6.7981772422790527</v>
      </c>
    </row>
    <row r="16186" spans="2:6">
      <c r="B16186">
        <v>2020</v>
      </c>
      <c r="C16186" t="s">
        <v>172</v>
      </c>
      <c r="D16186" t="s">
        <v>183</v>
      </c>
      <c r="E16186" t="s">
        <v>8</v>
      </c>
      <c r="F16186">
        <v>10.625810623168945</v>
      </c>
    </row>
    <row r="16187" spans="2:6">
      <c r="B16187">
        <v>2020</v>
      </c>
      <c r="C16187" t="s">
        <v>172</v>
      </c>
      <c r="D16187" t="s">
        <v>183</v>
      </c>
      <c r="E16187" t="s">
        <v>9</v>
      </c>
      <c r="F16187">
        <v>0.92935323715209961</v>
      </c>
    </row>
    <row r="16188" spans="2:6">
      <c r="B16188">
        <v>2020</v>
      </c>
      <c r="C16188" t="s">
        <v>172</v>
      </c>
      <c r="D16188" t="s">
        <v>183</v>
      </c>
      <c r="E16188" t="s">
        <v>10</v>
      </c>
      <c r="F16188">
        <v>72.699996948242188</v>
      </c>
    </row>
    <row r="16189" spans="2:6">
      <c r="B16189">
        <v>2020</v>
      </c>
      <c r="C16189" t="s">
        <v>172</v>
      </c>
      <c r="D16189" t="s">
        <v>183</v>
      </c>
      <c r="E16189" t="s">
        <v>11</v>
      </c>
      <c r="F16189">
        <v>0.88462400436401367</v>
      </c>
    </row>
    <row r="16190" spans="2:6">
      <c r="B16190">
        <v>2020</v>
      </c>
      <c r="C16190" t="s">
        <v>172</v>
      </c>
      <c r="D16190" t="s">
        <v>183</v>
      </c>
      <c r="E16190" t="s">
        <v>12</v>
      </c>
      <c r="F16190">
        <v>0.20250841975212097</v>
      </c>
    </row>
    <row r="16191" spans="2:6">
      <c r="B16191">
        <v>2020</v>
      </c>
      <c r="C16191" t="s">
        <v>172</v>
      </c>
      <c r="D16191" t="s">
        <v>183</v>
      </c>
      <c r="E16191" t="s">
        <v>13</v>
      </c>
      <c r="F16191">
        <v>0.49020394682884216</v>
      </c>
    </row>
    <row r="16192" spans="2:6">
      <c r="B16192">
        <v>2020</v>
      </c>
      <c r="C16192" t="s">
        <v>172</v>
      </c>
      <c r="D16192" t="s">
        <v>183</v>
      </c>
      <c r="E16192" t="s">
        <v>14</v>
      </c>
      <c r="F16192">
        <v>0.75816357135772705</v>
      </c>
    </row>
    <row r="16193" spans="2:6">
      <c r="B16193">
        <v>2020</v>
      </c>
      <c r="C16193" t="s">
        <v>172</v>
      </c>
      <c r="D16193" t="s">
        <v>183</v>
      </c>
      <c r="E16193" t="s">
        <v>15</v>
      </c>
      <c r="F16193">
        <v>0.22465512156486511</v>
      </c>
    </row>
    <row r="16194" spans="2:6">
      <c r="B16194">
        <v>2006</v>
      </c>
      <c r="C16194" t="s">
        <v>173</v>
      </c>
      <c r="D16194" t="s">
        <v>185</v>
      </c>
      <c r="E16194" t="s">
        <v>7</v>
      </c>
      <c r="F16194">
        <v>7.1817936897277832</v>
      </c>
    </row>
    <row r="16195" spans="2:6">
      <c r="B16195">
        <v>2006</v>
      </c>
      <c r="C16195" t="s">
        <v>173</v>
      </c>
      <c r="D16195" t="s">
        <v>185</v>
      </c>
      <c r="E16195" t="s">
        <v>8</v>
      </c>
      <c r="F16195">
        <v>10.92397403717041</v>
      </c>
    </row>
    <row r="16196" spans="2:6">
      <c r="B16196">
        <v>2006</v>
      </c>
      <c r="C16196" t="s">
        <v>173</v>
      </c>
      <c r="D16196" t="s">
        <v>185</v>
      </c>
      <c r="E16196" t="s">
        <v>9</v>
      </c>
      <c r="F16196">
        <v>0.96457177400588989</v>
      </c>
    </row>
    <row r="16197" spans="2:6">
      <c r="B16197">
        <v>2006</v>
      </c>
      <c r="C16197" t="s">
        <v>173</v>
      </c>
      <c r="D16197" t="s">
        <v>185</v>
      </c>
      <c r="E16197" t="s">
        <v>10</v>
      </c>
      <c r="F16197">
        <v>68.05999755859375</v>
      </c>
    </row>
    <row r="16198" spans="2:6">
      <c r="B16198">
        <v>2006</v>
      </c>
      <c r="C16198" t="s">
        <v>173</v>
      </c>
      <c r="D16198" t="s">
        <v>185</v>
      </c>
      <c r="E16198" t="s">
        <v>11</v>
      </c>
      <c r="F16198">
        <v>0.91149610280990601</v>
      </c>
    </row>
    <row r="16199" spans="2:6">
      <c r="B16199">
        <v>2006</v>
      </c>
      <c r="C16199" t="s">
        <v>173</v>
      </c>
      <c r="D16199" t="s">
        <v>185</v>
      </c>
      <c r="E16199" t="s">
        <v>13</v>
      </c>
      <c r="F16199">
        <v>0.60030865669250488</v>
      </c>
    </row>
    <row r="16200" spans="2:6">
      <c r="B16200">
        <v>2006</v>
      </c>
      <c r="C16200" t="s">
        <v>173</v>
      </c>
      <c r="D16200" t="s">
        <v>185</v>
      </c>
      <c r="E16200" t="s">
        <v>14</v>
      </c>
      <c r="F16200">
        <v>0.82741719484329224</v>
      </c>
    </row>
    <row r="16201" spans="2:6">
      <c r="B16201">
        <v>2006</v>
      </c>
      <c r="C16201" t="s">
        <v>173</v>
      </c>
      <c r="D16201" t="s">
        <v>185</v>
      </c>
      <c r="E16201" t="s">
        <v>15</v>
      </c>
      <c r="F16201">
        <v>0.26051095128059387</v>
      </c>
    </row>
    <row r="16202" spans="2:6">
      <c r="B16202">
        <v>2007</v>
      </c>
      <c r="C16202" t="s">
        <v>173</v>
      </c>
      <c r="D16202" t="s">
        <v>185</v>
      </c>
      <c r="E16202" t="s">
        <v>7</v>
      </c>
      <c r="F16202">
        <v>7.5126876831054688</v>
      </c>
    </row>
    <row r="16203" spans="2:6">
      <c r="B16203">
        <v>2007</v>
      </c>
      <c r="C16203" t="s">
        <v>173</v>
      </c>
      <c r="D16203" t="s">
        <v>185</v>
      </c>
      <c r="E16203" t="s">
        <v>8</v>
      </c>
      <c r="F16203">
        <v>10.933051109313965</v>
      </c>
    </row>
    <row r="16204" spans="2:6">
      <c r="B16204">
        <v>2007</v>
      </c>
      <c r="C16204" t="s">
        <v>173</v>
      </c>
      <c r="D16204" t="s">
        <v>185</v>
      </c>
      <c r="E16204" t="s">
        <v>10</v>
      </c>
      <c r="F16204">
        <v>68.220001220703125</v>
      </c>
    </row>
    <row r="16205" spans="2:6">
      <c r="B16205">
        <v>2007</v>
      </c>
      <c r="C16205" t="s">
        <v>173</v>
      </c>
      <c r="D16205" t="s">
        <v>185</v>
      </c>
      <c r="E16205" t="s">
        <v>11</v>
      </c>
      <c r="F16205">
        <v>0.87190377712249756</v>
      </c>
    </row>
    <row r="16206" spans="2:6">
      <c r="B16206">
        <v>2007</v>
      </c>
      <c r="C16206" t="s">
        <v>173</v>
      </c>
      <c r="D16206" t="s">
        <v>185</v>
      </c>
      <c r="E16206" t="s">
        <v>12</v>
      </c>
      <c r="F16206">
        <v>0.19708435237407684</v>
      </c>
    </row>
    <row r="16207" spans="2:6">
      <c r="B16207">
        <v>2007</v>
      </c>
      <c r="C16207" t="s">
        <v>173</v>
      </c>
      <c r="D16207" t="s">
        <v>185</v>
      </c>
      <c r="E16207" t="s">
        <v>13</v>
      </c>
      <c r="F16207">
        <v>0.63303512334823608</v>
      </c>
    </row>
    <row r="16208" spans="2:6">
      <c r="B16208">
        <v>2007</v>
      </c>
      <c r="C16208" t="s">
        <v>173</v>
      </c>
      <c r="D16208" t="s">
        <v>185</v>
      </c>
      <c r="E16208" t="s">
        <v>14</v>
      </c>
      <c r="F16208">
        <v>0.82850342988967896</v>
      </c>
    </row>
    <row r="16209" spans="2:6">
      <c r="B16209">
        <v>2007</v>
      </c>
      <c r="C16209" t="s">
        <v>173</v>
      </c>
      <c r="D16209" t="s">
        <v>185</v>
      </c>
      <c r="E16209" t="s">
        <v>15</v>
      </c>
      <c r="F16209">
        <v>0.2316792905330658</v>
      </c>
    </row>
    <row r="16210" spans="2:6">
      <c r="B16210">
        <v>2008</v>
      </c>
      <c r="C16210" t="s">
        <v>173</v>
      </c>
      <c r="D16210" t="s">
        <v>185</v>
      </c>
      <c r="E16210" t="s">
        <v>7</v>
      </c>
      <c r="F16210">
        <v>7.2803859710693359</v>
      </c>
    </row>
    <row r="16211" spans="2:6">
      <c r="B16211">
        <v>2008</v>
      </c>
      <c r="C16211" t="s">
        <v>173</v>
      </c>
      <c r="D16211" t="s">
        <v>185</v>
      </c>
      <c r="E16211" t="s">
        <v>8</v>
      </c>
      <c r="F16211">
        <v>10.922225952148438</v>
      </c>
    </row>
    <row r="16212" spans="2:6">
      <c r="B16212">
        <v>2008</v>
      </c>
      <c r="C16212" t="s">
        <v>173</v>
      </c>
      <c r="D16212" t="s">
        <v>185</v>
      </c>
      <c r="E16212" t="s">
        <v>9</v>
      </c>
      <c r="F16212">
        <v>0.95258724689483643</v>
      </c>
    </row>
    <row r="16213" spans="2:6">
      <c r="B16213">
        <v>2008</v>
      </c>
      <c r="C16213" t="s">
        <v>173</v>
      </c>
      <c r="D16213" t="s">
        <v>185</v>
      </c>
      <c r="E16213" t="s">
        <v>10</v>
      </c>
      <c r="F16213">
        <v>68.379997253417969</v>
      </c>
    </row>
    <row r="16214" spans="2:6">
      <c r="B16214">
        <v>2008</v>
      </c>
      <c r="C16214" t="s">
        <v>173</v>
      </c>
      <c r="D16214" t="s">
        <v>185</v>
      </c>
      <c r="E16214" t="s">
        <v>11</v>
      </c>
      <c r="F16214">
        <v>0.87795627117156982</v>
      </c>
    </row>
    <row r="16215" spans="2:6">
      <c r="B16215">
        <v>2008</v>
      </c>
      <c r="C16215" t="s">
        <v>173</v>
      </c>
      <c r="D16215" t="s">
        <v>185</v>
      </c>
      <c r="E16215" t="s">
        <v>12</v>
      </c>
      <c r="F16215">
        <v>0.25469246506690979</v>
      </c>
    </row>
    <row r="16216" spans="2:6">
      <c r="B16216">
        <v>2008</v>
      </c>
      <c r="C16216" t="s">
        <v>173</v>
      </c>
      <c r="D16216" t="s">
        <v>185</v>
      </c>
      <c r="E16216" t="s">
        <v>13</v>
      </c>
      <c r="F16216">
        <v>0.66849547624588013</v>
      </c>
    </row>
    <row r="16217" spans="2:6">
      <c r="B16217">
        <v>2008</v>
      </c>
      <c r="C16217" t="s">
        <v>173</v>
      </c>
      <c r="D16217" t="s">
        <v>185</v>
      </c>
      <c r="E16217" t="s">
        <v>14</v>
      </c>
      <c r="F16217">
        <v>0.87196797132492065</v>
      </c>
    </row>
    <row r="16218" spans="2:6">
      <c r="B16218">
        <v>2008</v>
      </c>
      <c r="C16218" t="s">
        <v>173</v>
      </c>
      <c r="D16218" t="s">
        <v>185</v>
      </c>
      <c r="E16218" t="s">
        <v>15</v>
      </c>
      <c r="F16218">
        <v>0.22682304680347443</v>
      </c>
    </row>
    <row r="16219" spans="2:6">
      <c r="B16219">
        <v>2009</v>
      </c>
      <c r="C16219" t="s">
        <v>173</v>
      </c>
      <c r="D16219" t="s">
        <v>185</v>
      </c>
      <c r="E16219" t="s">
        <v>7</v>
      </c>
      <c r="F16219">
        <v>7.1580324172973633</v>
      </c>
    </row>
    <row r="16220" spans="2:6">
      <c r="B16220">
        <v>2009</v>
      </c>
      <c r="C16220" t="s">
        <v>173</v>
      </c>
      <c r="D16220" t="s">
        <v>185</v>
      </c>
      <c r="E16220" t="s">
        <v>8</v>
      </c>
      <c r="F16220">
        <v>10.887764930725098</v>
      </c>
    </row>
    <row r="16221" spans="2:6">
      <c r="B16221">
        <v>2009</v>
      </c>
      <c r="C16221" t="s">
        <v>173</v>
      </c>
      <c r="D16221" t="s">
        <v>185</v>
      </c>
      <c r="E16221" t="s">
        <v>9</v>
      </c>
      <c r="F16221">
        <v>0.91179376840591431</v>
      </c>
    </row>
    <row r="16222" spans="2:6">
      <c r="B16222">
        <v>2009</v>
      </c>
      <c r="C16222" t="s">
        <v>173</v>
      </c>
      <c r="D16222" t="s">
        <v>185</v>
      </c>
      <c r="E16222" t="s">
        <v>10</v>
      </c>
      <c r="F16222">
        <v>68.540000915527344</v>
      </c>
    </row>
    <row r="16223" spans="2:6">
      <c r="B16223">
        <v>2009</v>
      </c>
      <c r="C16223" t="s">
        <v>173</v>
      </c>
      <c r="D16223" t="s">
        <v>185</v>
      </c>
      <c r="E16223" t="s">
        <v>11</v>
      </c>
      <c r="F16223">
        <v>0.83068382740020752</v>
      </c>
    </row>
    <row r="16224" spans="2:6">
      <c r="B16224">
        <v>2009</v>
      </c>
      <c r="C16224" t="s">
        <v>173</v>
      </c>
      <c r="D16224" t="s">
        <v>185</v>
      </c>
      <c r="E16224" t="s">
        <v>12</v>
      </c>
      <c r="F16224">
        <v>0.20064258575439453</v>
      </c>
    </row>
    <row r="16225" spans="2:6">
      <c r="B16225">
        <v>2009</v>
      </c>
      <c r="C16225" t="s">
        <v>173</v>
      </c>
      <c r="D16225" t="s">
        <v>185</v>
      </c>
      <c r="E16225" t="s">
        <v>13</v>
      </c>
      <c r="F16225">
        <v>0.66539382934570313</v>
      </c>
    </row>
    <row r="16226" spans="2:6">
      <c r="B16226">
        <v>2009</v>
      </c>
      <c r="C16226" t="s">
        <v>173</v>
      </c>
      <c r="D16226" t="s">
        <v>185</v>
      </c>
      <c r="E16226" t="s">
        <v>14</v>
      </c>
      <c r="F16226">
        <v>0.84348404407501221</v>
      </c>
    </row>
    <row r="16227" spans="2:6">
      <c r="B16227">
        <v>2009</v>
      </c>
      <c r="C16227" t="s">
        <v>173</v>
      </c>
      <c r="D16227" t="s">
        <v>185</v>
      </c>
      <c r="E16227" t="s">
        <v>15</v>
      </c>
      <c r="F16227">
        <v>0.26166149973869324</v>
      </c>
    </row>
    <row r="16228" spans="2:6">
      <c r="B16228">
        <v>2010</v>
      </c>
      <c r="C16228" t="s">
        <v>173</v>
      </c>
      <c r="D16228" t="s">
        <v>185</v>
      </c>
      <c r="E16228" t="s">
        <v>7</v>
      </c>
      <c r="F16228">
        <v>7.1636161804199219</v>
      </c>
    </row>
    <row r="16229" spans="2:6">
      <c r="B16229">
        <v>2010</v>
      </c>
      <c r="C16229" t="s">
        <v>173</v>
      </c>
      <c r="D16229" t="s">
        <v>185</v>
      </c>
      <c r="E16229" t="s">
        <v>8</v>
      </c>
      <c r="F16229">
        <v>10.904800415039063</v>
      </c>
    </row>
    <row r="16230" spans="2:6">
      <c r="B16230">
        <v>2010</v>
      </c>
      <c r="C16230" t="s">
        <v>173</v>
      </c>
      <c r="D16230" t="s">
        <v>185</v>
      </c>
      <c r="E16230" t="s">
        <v>9</v>
      </c>
      <c r="F16230">
        <v>0.92615872621536255</v>
      </c>
    </row>
    <row r="16231" spans="2:6">
      <c r="B16231">
        <v>2010</v>
      </c>
      <c r="C16231" t="s">
        <v>173</v>
      </c>
      <c r="D16231" t="s">
        <v>185</v>
      </c>
      <c r="E16231" t="s">
        <v>10</v>
      </c>
      <c r="F16231">
        <v>68.699996948242188</v>
      </c>
    </row>
    <row r="16232" spans="2:6">
      <c r="B16232">
        <v>2010</v>
      </c>
      <c r="C16232" t="s">
        <v>173</v>
      </c>
      <c r="D16232" t="s">
        <v>185</v>
      </c>
      <c r="E16232" t="s">
        <v>11</v>
      </c>
      <c r="F16232">
        <v>0.8280443549156189</v>
      </c>
    </row>
    <row r="16233" spans="2:6">
      <c r="B16233">
        <v>2010</v>
      </c>
      <c r="C16233" t="s">
        <v>173</v>
      </c>
      <c r="D16233" t="s">
        <v>185</v>
      </c>
      <c r="E16233" t="s">
        <v>12</v>
      </c>
      <c r="F16233">
        <v>0.24392126500606537</v>
      </c>
    </row>
    <row r="16234" spans="2:6">
      <c r="B16234">
        <v>2010</v>
      </c>
      <c r="C16234" t="s">
        <v>173</v>
      </c>
      <c r="D16234" t="s">
        <v>185</v>
      </c>
      <c r="E16234" t="s">
        <v>13</v>
      </c>
      <c r="F16234">
        <v>0.68958258628845215</v>
      </c>
    </row>
    <row r="16235" spans="2:6">
      <c r="B16235">
        <v>2010</v>
      </c>
      <c r="C16235" t="s">
        <v>173</v>
      </c>
      <c r="D16235" t="s">
        <v>185</v>
      </c>
      <c r="E16235" t="s">
        <v>14</v>
      </c>
      <c r="F16235">
        <v>0.86064213514328003</v>
      </c>
    </row>
    <row r="16236" spans="2:6">
      <c r="B16236">
        <v>2010</v>
      </c>
      <c r="C16236" t="s">
        <v>173</v>
      </c>
      <c r="D16236" t="s">
        <v>185</v>
      </c>
      <c r="E16236" t="s">
        <v>15</v>
      </c>
      <c r="F16236">
        <v>0.23105263710021973</v>
      </c>
    </row>
    <row r="16237" spans="2:6">
      <c r="B16237">
        <v>2011</v>
      </c>
      <c r="C16237" t="s">
        <v>173</v>
      </c>
      <c r="D16237" t="s">
        <v>185</v>
      </c>
      <c r="E16237" t="s">
        <v>7</v>
      </c>
      <c r="F16237">
        <v>7.1151385307312012</v>
      </c>
    </row>
    <row r="16238" spans="2:6">
      <c r="B16238">
        <v>2011</v>
      </c>
      <c r="C16238" t="s">
        <v>173</v>
      </c>
      <c r="D16238" t="s">
        <v>185</v>
      </c>
      <c r="E16238" t="s">
        <v>8</v>
      </c>
      <c r="F16238">
        <v>10.912989616394043</v>
      </c>
    </row>
    <row r="16239" spans="2:6">
      <c r="B16239">
        <v>2011</v>
      </c>
      <c r="C16239" t="s">
        <v>173</v>
      </c>
      <c r="D16239" t="s">
        <v>185</v>
      </c>
      <c r="E16239" t="s">
        <v>9</v>
      </c>
      <c r="F16239">
        <v>0.92170500755310059</v>
      </c>
    </row>
    <row r="16240" spans="2:6">
      <c r="B16240">
        <v>2011</v>
      </c>
      <c r="C16240" t="s">
        <v>173</v>
      </c>
      <c r="D16240" t="s">
        <v>185</v>
      </c>
      <c r="E16240" t="s">
        <v>10</v>
      </c>
      <c r="F16240">
        <v>68.680000305175781</v>
      </c>
    </row>
    <row r="16241" spans="2:6">
      <c r="B16241">
        <v>2011</v>
      </c>
      <c r="C16241" t="s">
        <v>173</v>
      </c>
      <c r="D16241" t="s">
        <v>185</v>
      </c>
      <c r="E16241" t="s">
        <v>11</v>
      </c>
      <c r="F16241">
        <v>0.86320239305496216</v>
      </c>
    </row>
    <row r="16242" spans="2:6">
      <c r="B16242">
        <v>2011</v>
      </c>
      <c r="C16242" t="s">
        <v>173</v>
      </c>
      <c r="D16242" t="s">
        <v>185</v>
      </c>
      <c r="E16242" t="s">
        <v>12</v>
      </c>
      <c r="F16242">
        <v>0.16068419814109802</v>
      </c>
    </row>
    <row r="16243" spans="2:6">
      <c r="B16243">
        <v>2011</v>
      </c>
      <c r="C16243" t="s">
        <v>173</v>
      </c>
      <c r="D16243" t="s">
        <v>185</v>
      </c>
      <c r="E16243" t="s">
        <v>13</v>
      </c>
      <c r="F16243">
        <v>0.69692575931549072</v>
      </c>
    </row>
    <row r="16244" spans="2:6">
      <c r="B16244">
        <v>2011</v>
      </c>
      <c r="C16244" t="s">
        <v>173</v>
      </c>
      <c r="D16244" t="s">
        <v>185</v>
      </c>
      <c r="E16244" t="s">
        <v>14</v>
      </c>
      <c r="F16244">
        <v>0.83636033535003662</v>
      </c>
    </row>
    <row r="16245" spans="2:6">
      <c r="B16245">
        <v>2011</v>
      </c>
      <c r="C16245" t="s">
        <v>173</v>
      </c>
      <c r="D16245" t="s">
        <v>185</v>
      </c>
      <c r="E16245" t="s">
        <v>15</v>
      </c>
      <c r="F16245">
        <v>0.27337852120399475</v>
      </c>
    </row>
    <row r="16246" spans="2:6">
      <c r="B16246">
        <v>2012</v>
      </c>
      <c r="C16246" t="s">
        <v>173</v>
      </c>
      <c r="D16246" t="s">
        <v>185</v>
      </c>
      <c r="E16246" t="s">
        <v>7</v>
      </c>
      <c r="F16246">
        <v>7.0262269973754883</v>
      </c>
    </row>
    <row r="16247" spans="2:6">
      <c r="B16247">
        <v>2012</v>
      </c>
      <c r="C16247" t="s">
        <v>173</v>
      </c>
      <c r="D16247" t="s">
        <v>185</v>
      </c>
      <c r="E16247" t="s">
        <v>8</v>
      </c>
      <c r="F16247">
        <v>10.927963256835938</v>
      </c>
    </row>
    <row r="16248" spans="2:6">
      <c r="B16248">
        <v>2012</v>
      </c>
      <c r="C16248" t="s">
        <v>173</v>
      </c>
      <c r="D16248" t="s">
        <v>185</v>
      </c>
      <c r="E16248" t="s">
        <v>9</v>
      </c>
      <c r="F16248">
        <v>0.90319228172302246</v>
      </c>
    </row>
    <row r="16249" spans="2:6">
      <c r="B16249">
        <v>2012</v>
      </c>
      <c r="C16249" t="s">
        <v>173</v>
      </c>
      <c r="D16249" t="s">
        <v>185</v>
      </c>
      <c r="E16249" t="s">
        <v>10</v>
      </c>
      <c r="F16249">
        <v>68.660003662109375</v>
      </c>
    </row>
    <row r="16250" spans="2:6">
      <c r="B16250">
        <v>2012</v>
      </c>
      <c r="C16250" t="s">
        <v>173</v>
      </c>
      <c r="D16250" t="s">
        <v>185</v>
      </c>
      <c r="E16250" t="s">
        <v>11</v>
      </c>
      <c r="F16250">
        <v>0.82266229391098022</v>
      </c>
    </row>
    <row r="16251" spans="2:6">
      <c r="B16251">
        <v>2012</v>
      </c>
      <c r="C16251" t="s">
        <v>173</v>
      </c>
      <c r="D16251" t="s">
        <v>185</v>
      </c>
      <c r="E16251" t="s">
        <v>12</v>
      </c>
      <c r="F16251">
        <v>0.21469856798648834</v>
      </c>
    </row>
    <row r="16252" spans="2:6">
      <c r="B16252">
        <v>2012</v>
      </c>
      <c r="C16252" t="s">
        <v>173</v>
      </c>
      <c r="D16252" t="s">
        <v>185</v>
      </c>
      <c r="E16252" t="s">
        <v>13</v>
      </c>
      <c r="F16252">
        <v>0.71003443002700806</v>
      </c>
    </row>
    <row r="16253" spans="2:6">
      <c r="B16253">
        <v>2012</v>
      </c>
      <c r="C16253" t="s">
        <v>173</v>
      </c>
      <c r="D16253" t="s">
        <v>185</v>
      </c>
      <c r="E16253" t="s">
        <v>14</v>
      </c>
      <c r="F16253">
        <v>0.83377128839492798</v>
      </c>
    </row>
    <row r="16254" spans="2:6">
      <c r="B16254">
        <v>2012</v>
      </c>
      <c r="C16254" t="s">
        <v>173</v>
      </c>
      <c r="D16254" t="s">
        <v>185</v>
      </c>
      <c r="E16254" t="s">
        <v>15</v>
      </c>
      <c r="F16254">
        <v>0.25964385271072388</v>
      </c>
    </row>
    <row r="16255" spans="2:6">
      <c r="B16255">
        <v>2013</v>
      </c>
      <c r="C16255" t="s">
        <v>173</v>
      </c>
      <c r="D16255" t="s">
        <v>185</v>
      </c>
      <c r="E16255" t="s">
        <v>7</v>
      </c>
      <c r="F16255">
        <v>7.2492852210998535</v>
      </c>
    </row>
    <row r="16256" spans="2:6">
      <c r="B16256">
        <v>2013</v>
      </c>
      <c r="C16256" t="s">
        <v>173</v>
      </c>
      <c r="D16256" t="s">
        <v>185</v>
      </c>
      <c r="E16256" t="s">
        <v>8</v>
      </c>
      <c r="F16256">
        <v>10.939349174499512</v>
      </c>
    </row>
    <row r="16257" spans="2:6">
      <c r="B16257">
        <v>2013</v>
      </c>
      <c r="C16257" t="s">
        <v>173</v>
      </c>
      <c r="D16257" t="s">
        <v>185</v>
      </c>
      <c r="E16257" t="s">
        <v>9</v>
      </c>
      <c r="F16257">
        <v>0.92539685964584351</v>
      </c>
    </row>
    <row r="16258" spans="2:6">
      <c r="B16258">
        <v>2013</v>
      </c>
      <c r="C16258" t="s">
        <v>173</v>
      </c>
      <c r="D16258" t="s">
        <v>185</v>
      </c>
      <c r="E16258" t="s">
        <v>10</v>
      </c>
      <c r="F16258">
        <v>68.639999389648438</v>
      </c>
    </row>
    <row r="16259" spans="2:6">
      <c r="B16259">
        <v>2013</v>
      </c>
      <c r="C16259" t="s">
        <v>173</v>
      </c>
      <c r="D16259" t="s">
        <v>185</v>
      </c>
      <c r="E16259" t="s">
        <v>11</v>
      </c>
      <c r="F16259">
        <v>0.79225564002990723</v>
      </c>
    </row>
    <row r="16260" spans="2:6">
      <c r="B16260">
        <v>2013</v>
      </c>
      <c r="C16260" t="s">
        <v>173</v>
      </c>
      <c r="D16260" t="s">
        <v>185</v>
      </c>
      <c r="E16260" t="s">
        <v>12</v>
      </c>
      <c r="F16260">
        <v>0.273914635181427</v>
      </c>
    </row>
    <row r="16261" spans="2:6">
      <c r="B16261">
        <v>2013</v>
      </c>
      <c r="C16261" t="s">
        <v>173</v>
      </c>
      <c r="D16261" t="s">
        <v>185</v>
      </c>
      <c r="E16261" t="s">
        <v>13</v>
      </c>
      <c r="F16261">
        <v>0.74689406156539917</v>
      </c>
    </row>
    <row r="16262" spans="2:6">
      <c r="B16262">
        <v>2013</v>
      </c>
      <c r="C16262" t="s">
        <v>173</v>
      </c>
      <c r="D16262" t="s">
        <v>185</v>
      </c>
      <c r="E16262" t="s">
        <v>14</v>
      </c>
      <c r="F16262">
        <v>0.81367766857147217</v>
      </c>
    </row>
    <row r="16263" spans="2:6">
      <c r="B16263">
        <v>2013</v>
      </c>
      <c r="C16263" t="s">
        <v>173</v>
      </c>
      <c r="D16263" t="s">
        <v>185</v>
      </c>
      <c r="E16263" t="s">
        <v>15</v>
      </c>
      <c r="F16263">
        <v>0.26032835245132446</v>
      </c>
    </row>
    <row r="16264" spans="2:6">
      <c r="B16264">
        <v>2014</v>
      </c>
      <c r="C16264" t="s">
        <v>173</v>
      </c>
      <c r="D16264" t="s">
        <v>185</v>
      </c>
      <c r="E16264" t="s">
        <v>7</v>
      </c>
      <c r="F16264">
        <v>7.1511144638061523</v>
      </c>
    </row>
    <row r="16265" spans="2:6">
      <c r="B16265">
        <v>2014</v>
      </c>
      <c r="C16265" t="s">
        <v>173</v>
      </c>
      <c r="D16265" t="s">
        <v>185</v>
      </c>
      <c r="E16265" t="s">
        <v>8</v>
      </c>
      <c r="F16265">
        <v>10.956297874450684</v>
      </c>
    </row>
    <row r="16266" spans="2:6">
      <c r="B16266">
        <v>2014</v>
      </c>
      <c r="C16266" t="s">
        <v>173</v>
      </c>
      <c r="D16266" t="s">
        <v>185</v>
      </c>
      <c r="E16266" t="s">
        <v>9</v>
      </c>
      <c r="F16266">
        <v>0.90209704637527466</v>
      </c>
    </row>
    <row r="16267" spans="2:6">
      <c r="B16267">
        <v>2014</v>
      </c>
      <c r="C16267" t="s">
        <v>173</v>
      </c>
      <c r="D16267" t="s">
        <v>185</v>
      </c>
      <c r="E16267" t="s">
        <v>10</v>
      </c>
      <c r="F16267">
        <v>68.620002746582031</v>
      </c>
    </row>
    <row r="16268" spans="2:6">
      <c r="B16268">
        <v>2014</v>
      </c>
      <c r="C16268" t="s">
        <v>173</v>
      </c>
      <c r="D16268" t="s">
        <v>185</v>
      </c>
      <c r="E16268" t="s">
        <v>11</v>
      </c>
      <c r="F16268">
        <v>0.86607688665390015</v>
      </c>
    </row>
    <row r="16269" spans="2:6">
      <c r="B16269">
        <v>2014</v>
      </c>
      <c r="C16269" t="s">
        <v>173</v>
      </c>
      <c r="D16269" t="s">
        <v>185</v>
      </c>
      <c r="E16269" t="s">
        <v>12</v>
      </c>
      <c r="F16269">
        <v>0.2213398665189743</v>
      </c>
    </row>
    <row r="16270" spans="2:6">
      <c r="B16270">
        <v>2014</v>
      </c>
      <c r="C16270" t="s">
        <v>173</v>
      </c>
      <c r="D16270" t="s">
        <v>185</v>
      </c>
      <c r="E16270" t="s">
        <v>13</v>
      </c>
      <c r="F16270">
        <v>0.70226746797561646</v>
      </c>
    </row>
    <row r="16271" spans="2:6">
      <c r="B16271">
        <v>2014</v>
      </c>
      <c r="C16271" t="s">
        <v>173</v>
      </c>
      <c r="D16271" t="s">
        <v>185</v>
      </c>
      <c r="E16271" t="s">
        <v>14</v>
      </c>
      <c r="F16271">
        <v>0.83429443836212158</v>
      </c>
    </row>
    <row r="16272" spans="2:6">
      <c r="B16272">
        <v>2014</v>
      </c>
      <c r="C16272" t="s">
        <v>173</v>
      </c>
      <c r="D16272" t="s">
        <v>185</v>
      </c>
      <c r="E16272" t="s">
        <v>15</v>
      </c>
      <c r="F16272">
        <v>0.28126534819602966</v>
      </c>
    </row>
    <row r="16273" spans="2:6">
      <c r="B16273">
        <v>2015</v>
      </c>
      <c r="C16273" t="s">
        <v>173</v>
      </c>
      <c r="D16273" t="s">
        <v>185</v>
      </c>
      <c r="E16273" t="s">
        <v>7</v>
      </c>
      <c r="F16273">
        <v>6.8639469146728516</v>
      </c>
    </row>
    <row r="16274" spans="2:6">
      <c r="B16274">
        <v>2015</v>
      </c>
      <c r="C16274" t="s">
        <v>173</v>
      </c>
      <c r="D16274" t="s">
        <v>185</v>
      </c>
      <c r="E16274" t="s">
        <v>8</v>
      </c>
      <c r="F16274">
        <v>10.97739315032959</v>
      </c>
    </row>
    <row r="16275" spans="2:6">
      <c r="B16275">
        <v>2015</v>
      </c>
      <c r="C16275" t="s">
        <v>173</v>
      </c>
      <c r="D16275" t="s">
        <v>185</v>
      </c>
      <c r="E16275" t="s">
        <v>9</v>
      </c>
      <c r="F16275">
        <v>0.90357106924057007</v>
      </c>
    </row>
    <row r="16276" spans="2:6">
      <c r="B16276">
        <v>2015</v>
      </c>
      <c r="C16276" t="s">
        <v>173</v>
      </c>
      <c r="D16276" t="s">
        <v>185</v>
      </c>
      <c r="E16276" t="s">
        <v>10</v>
      </c>
      <c r="F16276">
        <v>68.599998474121094</v>
      </c>
    </row>
    <row r="16277" spans="2:6">
      <c r="B16277">
        <v>2015</v>
      </c>
      <c r="C16277" t="s">
        <v>173</v>
      </c>
      <c r="D16277" t="s">
        <v>185</v>
      </c>
      <c r="E16277" t="s">
        <v>11</v>
      </c>
      <c r="F16277">
        <v>0.84875345230102539</v>
      </c>
    </row>
    <row r="16278" spans="2:6">
      <c r="B16278">
        <v>2015</v>
      </c>
      <c r="C16278" t="s">
        <v>173</v>
      </c>
      <c r="D16278" t="s">
        <v>185</v>
      </c>
      <c r="E16278" t="s">
        <v>12</v>
      </c>
      <c r="F16278">
        <v>0.21945954859256744</v>
      </c>
    </row>
    <row r="16279" spans="2:6">
      <c r="B16279">
        <v>2015</v>
      </c>
      <c r="C16279" t="s">
        <v>173</v>
      </c>
      <c r="D16279" t="s">
        <v>185</v>
      </c>
      <c r="E16279" t="s">
        <v>13</v>
      </c>
      <c r="F16279">
        <v>0.69754260778427124</v>
      </c>
    </row>
    <row r="16280" spans="2:6">
      <c r="B16280">
        <v>2015</v>
      </c>
      <c r="C16280" t="s">
        <v>173</v>
      </c>
      <c r="D16280" t="s">
        <v>185</v>
      </c>
      <c r="E16280" t="s">
        <v>14</v>
      </c>
      <c r="F16280">
        <v>0.81390762329101563</v>
      </c>
    </row>
    <row r="16281" spans="2:6">
      <c r="B16281">
        <v>2015</v>
      </c>
      <c r="C16281" t="s">
        <v>173</v>
      </c>
      <c r="D16281" t="s">
        <v>185</v>
      </c>
      <c r="E16281" t="s">
        <v>15</v>
      </c>
      <c r="F16281">
        <v>0.27468776702880859</v>
      </c>
    </row>
    <row r="16282" spans="2:6">
      <c r="B16282">
        <v>2016</v>
      </c>
      <c r="C16282" t="s">
        <v>173</v>
      </c>
      <c r="D16282" t="s">
        <v>185</v>
      </c>
      <c r="E16282" t="s">
        <v>7</v>
      </c>
      <c r="F16282">
        <v>6.8035998344421387</v>
      </c>
    </row>
    <row r="16283" spans="2:6">
      <c r="B16283">
        <v>2016</v>
      </c>
      <c r="C16283" t="s">
        <v>173</v>
      </c>
      <c r="D16283" t="s">
        <v>185</v>
      </c>
      <c r="E16283" t="s">
        <v>8</v>
      </c>
      <c r="F16283">
        <v>10.985776901245117</v>
      </c>
    </row>
    <row r="16284" spans="2:6">
      <c r="B16284">
        <v>2016</v>
      </c>
      <c r="C16284" t="s">
        <v>173</v>
      </c>
      <c r="D16284" t="s">
        <v>185</v>
      </c>
      <c r="E16284" t="s">
        <v>9</v>
      </c>
      <c r="F16284">
        <v>0.8967512845993042</v>
      </c>
    </row>
    <row r="16285" spans="2:6">
      <c r="B16285">
        <v>2016</v>
      </c>
      <c r="C16285" t="s">
        <v>173</v>
      </c>
      <c r="D16285" t="s">
        <v>185</v>
      </c>
      <c r="E16285" t="s">
        <v>10</v>
      </c>
      <c r="F16285">
        <v>68.5</v>
      </c>
    </row>
    <row r="16286" spans="2:6">
      <c r="B16286">
        <v>2016</v>
      </c>
      <c r="C16286" t="s">
        <v>173</v>
      </c>
      <c r="D16286" t="s">
        <v>185</v>
      </c>
      <c r="E16286" t="s">
        <v>11</v>
      </c>
      <c r="F16286">
        <v>0.75789308547973633</v>
      </c>
    </row>
    <row r="16287" spans="2:6">
      <c r="B16287">
        <v>2016</v>
      </c>
      <c r="C16287" t="s">
        <v>173</v>
      </c>
      <c r="D16287" t="s">
        <v>185</v>
      </c>
      <c r="E16287" t="s">
        <v>12</v>
      </c>
      <c r="F16287">
        <v>0.14404797554016113</v>
      </c>
    </row>
    <row r="16288" spans="2:6">
      <c r="B16288">
        <v>2016</v>
      </c>
      <c r="C16288" t="s">
        <v>173</v>
      </c>
      <c r="D16288" t="s">
        <v>185</v>
      </c>
      <c r="E16288" t="s">
        <v>13</v>
      </c>
      <c r="F16288">
        <v>0.73891955614089966</v>
      </c>
    </row>
    <row r="16289" spans="2:6">
      <c r="B16289">
        <v>2016</v>
      </c>
      <c r="C16289" t="s">
        <v>173</v>
      </c>
      <c r="D16289" t="s">
        <v>185</v>
      </c>
      <c r="E16289" t="s">
        <v>14</v>
      </c>
      <c r="F16289">
        <v>0.80567353963851929</v>
      </c>
    </row>
    <row r="16290" spans="2:6">
      <c r="B16290">
        <v>2016</v>
      </c>
      <c r="C16290" t="s">
        <v>173</v>
      </c>
      <c r="D16290" t="s">
        <v>185</v>
      </c>
      <c r="E16290" t="s">
        <v>15</v>
      </c>
      <c r="F16290">
        <v>0.26420381665229797</v>
      </c>
    </row>
    <row r="16291" spans="2:6">
      <c r="B16291">
        <v>2017</v>
      </c>
      <c r="C16291" t="s">
        <v>173</v>
      </c>
      <c r="D16291" t="s">
        <v>185</v>
      </c>
      <c r="E16291" t="s">
        <v>7</v>
      </c>
      <c r="F16291">
        <v>6.9917593002319336</v>
      </c>
    </row>
    <row r="16292" spans="2:6">
      <c r="B16292">
        <v>2017</v>
      </c>
      <c r="C16292" t="s">
        <v>173</v>
      </c>
      <c r="D16292" t="s">
        <v>185</v>
      </c>
      <c r="E16292" t="s">
        <v>8</v>
      </c>
      <c r="F16292">
        <v>11.001395225524902</v>
      </c>
    </row>
    <row r="16293" spans="2:6">
      <c r="B16293">
        <v>2017</v>
      </c>
      <c r="C16293" t="s">
        <v>173</v>
      </c>
      <c r="D16293" t="s">
        <v>185</v>
      </c>
      <c r="E16293" t="s">
        <v>9</v>
      </c>
      <c r="F16293">
        <v>0.92100286483764648</v>
      </c>
    </row>
    <row r="16294" spans="2:6">
      <c r="B16294">
        <v>2017</v>
      </c>
      <c r="C16294" t="s">
        <v>173</v>
      </c>
      <c r="D16294" t="s">
        <v>185</v>
      </c>
      <c r="E16294" t="s">
        <v>10</v>
      </c>
      <c r="F16294">
        <v>68.400001525878906</v>
      </c>
    </row>
    <row r="16295" spans="2:6">
      <c r="B16295">
        <v>2017</v>
      </c>
      <c r="C16295" t="s">
        <v>173</v>
      </c>
      <c r="D16295" t="s">
        <v>185</v>
      </c>
      <c r="E16295" t="s">
        <v>11</v>
      </c>
      <c r="F16295">
        <v>0.86849671602249146</v>
      </c>
    </row>
    <row r="16296" spans="2:6">
      <c r="B16296">
        <v>2017</v>
      </c>
      <c r="C16296" t="s">
        <v>173</v>
      </c>
      <c r="D16296" t="s">
        <v>185</v>
      </c>
      <c r="E16296" t="s">
        <v>12</v>
      </c>
      <c r="F16296">
        <v>0.19731692969799042</v>
      </c>
    </row>
    <row r="16297" spans="2:6">
      <c r="B16297">
        <v>2017</v>
      </c>
      <c r="C16297" t="s">
        <v>173</v>
      </c>
      <c r="D16297" t="s">
        <v>185</v>
      </c>
      <c r="E16297" t="s">
        <v>13</v>
      </c>
      <c r="F16297">
        <v>0.68119126558303833</v>
      </c>
    </row>
    <row r="16298" spans="2:6">
      <c r="B16298">
        <v>2017</v>
      </c>
      <c r="C16298" t="s">
        <v>173</v>
      </c>
      <c r="D16298" t="s">
        <v>185</v>
      </c>
      <c r="E16298" t="s">
        <v>14</v>
      </c>
      <c r="F16298">
        <v>0.82655531167984009</v>
      </c>
    </row>
    <row r="16299" spans="2:6">
      <c r="B16299">
        <v>2017</v>
      </c>
      <c r="C16299" t="s">
        <v>173</v>
      </c>
      <c r="D16299" t="s">
        <v>185</v>
      </c>
      <c r="E16299" t="s">
        <v>15</v>
      </c>
      <c r="F16299">
        <v>0.26826906204223633</v>
      </c>
    </row>
    <row r="16300" spans="2:6">
      <c r="B16300">
        <v>2018</v>
      </c>
      <c r="C16300" t="s">
        <v>173</v>
      </c>
      <c r="D16300" t="s">
        <v>185</v>
      </c>
      <c r="E16300" t="s">
        <v>7</v>
      </c>
      <c r="F16300">
        <v>6.8826847076416016</v>
      </c>
    </row>
    <row r="16301" spans="2:6">
      <c r="B16301">
        <v>2018</v>
      </c>
      <c r="C16301" t="s">
        <v>173</v>
      </c>
      <c r="D16301" t="s">
        <v>185</v>
      </c>
      <c r="E16301" t="s">
        <v>8</v>
      </c>
      <c r="F16301">
        <v>11.0250244140625</v>
      </c>
    </row>
    <row r="16302" spans="2:6">
      <c r="B16302">
        <v>2018</v>
      </c>
      <c r="C16302" t="s">
        <v>173</v>
      </c>
      <c r="D16302" t="s">
        <v>185</v>
      </c>
      <c r="E16302" t="s">
        <v>9</v>
      </c>
      <c r="F16302">
        <v>0.90385603904724121</v>
      </c>
    </row>
    <row r="16303" spans="2:6">
      <c r="B16303">
        <v>2018</v>
      </c>
      <c r="C16303" t="s">
        <v>173</v>
      </c>
      <c r="D16303" t="s">
        <v>185</v>
      </c>
      <c r="E16303" t="s">
        <v>10</v>
      </c>
      <c r="F16303">
        <v>68.300003051757813</v>
      </c>
    </row>
    <row r="16304" spans="2:6">
      <c r="B16304">
        <v>2018</v>
      </c>
      <c r="C16304" t="s">
        <v>173</v>
      </c>
      <c r="D16304" t="s">
        <v>185</v>
      </c>
      <c r="E16304" t="s">
        <v>11</v>
      </c>
      <c r="F16304">
        <v>0.82460665702819824</v>
      </c>
    </row>
    <row r="16305" spans="2:6">
      <c r="B16305">
        <v>2018</v>
      </c>
      <c r="C16305" t="s">
        <v>173</v>
      </c>
      <c r="D16305" t="s">
        <v>185</v>
      </c>
      <c r="E16305" t="s">
        <v>12</v>
      </c>
      <c r="F16305">
        <v>0.11611639708280563</v>
      </c>
    </row>
    <row r="16306" spans="2:6">
      <c r="B16306">
        <v>2018</v>
      </c>
      <c r="C16306" t="s">
        <v>173</v>
      </c>
      <c r="D16306" t="s">
        <v>185</v>
      </c>
      <c r="E16306" t="s">
        <v>13</v>
      </c>
      <c r="F16306">
        <v>0.70992827415466309</v>
      </c>
    </row>
    <row r="16307" spans="2:6">
      <c r="B16307">
        <v>2018</v>
      </c>
      <c r="C16307" t="s">
        <v>173</v>
      </c>
      <c r="D16307" t="s">
        <v>185</v>
      </c>
      <c r="E16307" t="s">
        <v>14</v>
      </c>
      <c r="F16307">
        <v>0.81538259983062744</v>
      </c>
    </row>
    <row r="16308" spans="2:6">
      <c r="B16308">
        <v>2018</v>
      </c>
      <c r="C16308" t="s">
        <v>173</v>
      </c>
      <c r="D16308" t="s">
        <v>185</v>
      </c>
      <c r="E16308" t="s">
        <v>15</v>
      </c>
      <c r="F16308">
        <v>0.29222625494003296</v>
      </c>
    </row>
    <row r="16309" spans="2:6">
      <c r="B16309">
        <v>2019</v>
      </c>
      <c r="C16309" t="s">
        <v>173</v>
      </c>
      <c r="D16309" t="s">
        <v>185</v>
      </c>
      <c r="E16309" t="s">
        <v>7</v>
      </c>
      <c r="F16309">
        <v>6.9437012672424316</v>
      </c>
    </row>
    <row r="16310" spans="2:6">
      <c r="B16310">
        <v>2019</v>
      </c>
      <c r="C16310" t="s">
        <v>173</v>
      </c>
      <c r="D16310" t="s">
        <v>185</v>
      </c>
      <c r="E16310" t="s">
        <v>8</v>
      </c>
      <c r="F16310">
        <v>11.043353080749512</v>
      </c>
    </row>
    <row r="16311" spans="2:6">
      <c r="B16311">
        <v>2019</v>
      </c>
      <c r="C16311" t="s">
        <v>173</v>
      </c>
      <c r="D16311" t="s">
        <v>185</v>
      </c>
      <c r="E16311" t="s">
        <v>9</v>
      </c>
      <c r="F16311">
        <v>0.9166911244392395</v>
      </c>
    </row>
    <row r="16312" spans="2:6">
      <c r="B16312">
        <v>2019</v>
      </c>
      <c r="C16312" t="s">
        <v>173</v>
      </c>
      <c r="D16312" t="s">
        <v>185</v>
      </c>
      <c r="E16312" t="s">
        <v>10</v>
      </c>
      <c r="F16312">
        <v>68.199996948242188</v>
      </c>
    </row>
    <row r="16313" spans="2:6">
      <c r="B16313">
        <v>2019</v>
      </c>
      <c r="C16313" t="s">
        <v>173</v>
      </c>
      <c r="D16313" t="s">
        <v>185</v>
      </c>
      <c r="E16313" t="s">
        <v>11</v>
      </c>
      <c r="F16313">
        <v>0.8361390233039856</v>
      </c>
    </row>
    <row r="16314" spans="2:6">
      <c r="B16314">
        <v>2019</v>
      </c>
      <c r="C16314" t="s">
        <v>173</v>
      </c>
      <c r="D16314" t="s">
        <v>185</v>
      </c>
      <c r="E16314" t="s">
        <v>12</v>
      </c>
      <c r="F16314">
        <v>0.14429868757724762</v>
      </c>
    </row>
    <row r="16315" spans="2:6">
      <c r="B16315">
        <v>2019</v>
      </c>
      <c r="C16315" t="s">
        <v>173</v>
      </c>
      <c r="D16315" t="s">
        <v>185</v>
      </c>
      <c r="E16315" t="s">
        <v>13</v>
      </c>
      <c r="F16315">
        <v>0.70671552419662476</v>
      </c>
    </row>
    <row r="16316" spans="2:6">
      <c r="B16316">
        <v>2019</v>
      </c>
      <c r="C16316" t="s">
        <v>173</v>
      </c>
      <c r="D16316" t="s">
        <v>185</v>
      </c>
      <c r="E16316" t="s">
        <v>14</v>
      </c>
      <c r="F16316">
        <v>0.81498497724533081</v>
      </c>
    </row>
    <row r="16317" spans="2:6">
      <c r="B16317">
        <v>2019</v>
      </c>
      <c r="C16317" t="s">
        <v>173</v>
      </c>
      <c r="D16317" t="s">
        <v>185</v>
      </c>
      <c r="E16317" t="s">
        <v>15</v>
      </c>
      <c r="F16317">
        <v>0.24383366107940674</v>
      </c>
    </row>
    <row r="16318" spans="2:6">
      <c r="B16318">
        <v>2020</v>
      </c>
      <c r="C16318" t="s">
        <v>173</v>
      </c>
      <c r="D16318" t="s">
        <v>185</v>
      </c>
      <c r="E16318" t="s">
        <v>7</v>
      </c>
      <c r="F16318">
        <v>7.0280880928039551</v>
      </c>
    </row>
    <row r="16319" spans="2:6">
      <c r="B16319">
        <v>2020</v>
      </c>
      <c r="C16319" t="s">
        <v>173</v>
      </c>
      <c r="D16319" t="s">
        <v>185</v>
      </c>
      <c r="E16319" t="s">
        <v>8</v>
      </c>
      <c r="F16319">
        <v>11.000656127929688</v>
      </c>
    </row>
    <row r="16320" spans="2:6">
      <c r="B16320">
        <v>2020</v>
      </c>
      <c r="C16320" t="s">
        <v>173</v>
      </c>
      <c r="D16320" t="s">
        <v>185</v>
      </c>
      <c r="E16320" t="s">
        <v>9</v>
      </c>
      <c r="F16320">
        <v>0.93736982345581055</v>
      </c>
    </row>
    <row r="16321" spans="2:6">
      <c r="B16321">
        <v>2020</v>
      </c>
      <c r="C16321" t="s">
        <v>173</v>
      </c>
      <c r="D16321" t="s">
        <v>185</v>
      </c>
      <c r="E16321" t="s">
        <v>10</v>
      </c>
      <c r="F16321">
        <v>68.099998474121094</v>
      </c>
    </row>
    <row r="16322" spans="2:6">
      <c r="B16322">
        <v>2020</v>
      </c>
      <c r="C16322" t="s">
        <v>173</v>
      </c>
      <c r="D16322" t="s">
        <v>185</v>
      </c>
      <c r="E16322" t="s">
        <v>11</v>
      </c>
      <c r="F16322">
        <v>0.85044729709625244</v>
      </c>
    </row>
    <row r="16323" spans="2:6">
      <c r="B16323">
        <v>2020</v>
      </c>
      <c r="C16323" t="s">
        <v>173</v>
      </c>
      <c r="D16323" t="s">
        <v>185</v>
      </c>
      <c r="E16323" t="s">
        <v>12</v>
      </c>
      <c r="F16323">
        <v>3.4103352576494217E-2</v>
      </c>
    </row>
    <row r="16324" spans="2:6">
      <c r="B16324">
        <v>2020</v>
      </c>
      <c r="C16324" t="s">
        <v>173</v>
      </c>
      <c r="D16324" t="s">
        <v>185</v>
      </c>
      <c r="E16324" t="s">
        <v>13</v>
      </c>
      <c r="F16324">
        <v>0.67812460660934448</v>
      </c>
    </row>
    <row r="16325" spans="2:6">
      <c r="B16325">
        <v>2020</v>
      </c>
      <c r="C16325" t="s">
        <v>173</v>
      </c>
      <c r="D16325" t="s">
        <v>185</v>
      </c>
      <c r="E16325" t="s">
        <v>14</v>
      </c>
      <c r="F16325">
        <v>0.78737199306488037</v>
      </c>
    </row>
    <row r="16326" spans="2:6">
      <c r="B16326">
        <v>2020</v>
      </c>
      <c r="C16326" t="s">
        <v>173</v>
      </c>
      <c r="D16326" t="s">
        <v>185</v>
      </c>
      <c r="E16326" t="s">
        <v>15</v>
      </c>
      <c r="F16326">
        <v>0.29549902677536011</v>
      </c>
    </row>
    <row r="16327" spans="2:6">
      <c r="B16327">
        <v>2006</v>
      </c>
      <c r="C16327" t="s">
        <v>174</v>
      </c>
      <c r="D16327" t="s">
        <v>185</v>
      </c>
      <c r="E16327" t="s">
        <v>7</v>
      </c>
      <c r="F16327">
        <v>5.7858681678771973</v>
      </c>
    </row>
    <row r="16328" spans="2:6">
      <c r="B16328">
        <v>2006</v>
      </c>
      <c r="C16328" t="s">
        <v>174</v>
      </c>
      <c r="D16328" t="s">
        <v>185</v>
      </c>
      <c r="E16328" t="s">
        <v>8</v>
      </c>
      <c r="F16328">
        <v>9.5428171157836914</v>
      </c>
    </row>
    <row r="16329" spans="2:6">
      <c r="B16329">
        <v>2006</v>
      </c>
      <c r="C16329" t="s">
        <v>174</v>
      </c>
      <c r="D16329" t="s">
        <v>185</v>
      </c>
      <c r="E16329" t="s">
        <v>9</v>
      </c>
      <c r="F16329">
        <v>0.9118768572807312</v>
      </c>
    </row>
    <row r="16330" spans="2:6">
      <c r="B16330">
        <v>2006</v>
      </c>
      <c r="C16330" t="s">
        <v>174</v>
      </c>
      <c r="D16330" t="s">
        <v>185</v>
      </c>
      <c r="E16330" t="s">
        <v>10</v>
      </c>
      <c r="F16330">
        <v>67.44000244140625</v>
      </c>
    </row>
    <row r="16331" spans="2:6">
      <c r="B16331">
        <v>2006</v>
      </c>
      <c r="C16331" t="s">
        <v>174</v>
      </c>
      <c r="D16331" t="s">
        <v>185</v>
      </c>
      <c r="E16331" t="s">
        <v>11</v>
      </c>
      <c r="F16331">
        <v>0.80657923221588135</v>
      </c>
    </row>
    <row r="16332" spans="2:6">
      <c r="B16332">
        <v>2006</v>
      </c>
      <c r="C16332" t="s">
        <v>174</v>
      </c>
      <c r="D16332" t="s">
        <v>185</v>
      </c>
      <c r="E16332" t="s">
        <v>12</v>
      </c>
      <c r="F16332">
        <v>-0.11254404485225677</v>
      </c>
    </row>
    <row r="16333" spans="2:6">
      <c r="B16333">
        <v>2006</v>
      </c>
      <c r="C16333" t="s">
        <v>174</v>
      </c>
      <c r="D16333" t="s">
        <v>185</v>
      </c>
      <c r="E16333" t="s">
        <v>13</v>
      </c>
      <c r="F16333">
        <v>0.47662711143493652</v>
      </c>
    </row>
    <row r="16334" spans="2:6">
      <c r="B16334">
        <v>2006</v>
      </c>
      <c r="C16334" t="s">
        <v>174</v>
      </c>
      <c r="D16334" t="s">
        <v>185</v>
      </c>
      <c r="E16334" t="s">
        <v>14</v>
      </c>
      <c r="F16334">
        <v>0.78431403636932373</v>
      </c>
    </row>
    <row r="16335" spans="2:6">
      <c r="B16335">
        <v>2006</v>
      </c>
      <c r="C16335" t="s">
        <v>174</v>
      </c>
      <c r="D16335" t="s">
        <v>185</v>
      </c>
      <c r="E16335" t="s">
        <v>15</v>
      </c>
      <c r="F16335">
        <v>0.30615806579589844</v>
      </c>
    </row>
    <row r="16336" spans="2:6">
      <c r="B16336">
        <v>2007</v>
      </c>
      <c r="C16336" t="s">
        <v>174</v>
      </c>
      <c r="D16336" t="s">
        <v>185</v>
      </c>
      <c r="E16336" t="s">
        <v>7</v>
      </c>
      <c r="F16336">
        <v>5.6939458847045898</v>
      </c>
    </row>
    <row r="16337" spans="2:6">
      <c r="B16337">
        <v>2007</v>
      </c>
      <c r="C16337" t="s">
        <v>174</v>
      </c>
      <c r="D16337" t="s">
        <v>185</v>
      </c>
      <c r="E16337" t="s">
        <v>8</v>
      </c>
      <c r="F16337">
        <v>9.604273796081543</v>
      </c>
    </row>
    <row r="16338" spans="2:6">
      <c r="B16338">
        <v>2007</v>
      </c>
      <c r="C16338" t="s">
        <v>174</v>
      </c>
      <c r="D16338" t="s">
        <v>185</v>
      </c>
      <c r="E16338" t="s">
        <v>9</v>
      </c>
      <c r="F16338">
        <v>0.87457650899887085</v>
      </c>
    </row>
    <row r="16339" spans="2:6">
      <c r="B16339">
        <v>2007</v>
      </c>
      <c r="C16339" t="s">
        <v>174</v>
      </c>
      <c r="D16339" t="s">
        <v>185</v>
      </c>
      <c r="E16339" t="s">
        <v>10</v>
      </c>
      <c r="F16339">
        <v>67.580001831054688</v>
      </c>
    </row>
    <row r="16340" spans="2:6">
      <c r="B16340">
        <v>2007</v>
      </c>
      <c r="C16340" t="s">
        <v>174</v>
      </c>
      <c r="D16340" t="s">
        <v>185</v>
      </c>
      <c r="E16340" t="s">
        <v>11</v>
      </c>
      <c r="F16340">
        <v>0.78624862432479858</v>
      </c>
    </row>
    <row r="16341" spans="2:6">
      <c r="B16341">
        <v>2007</v>
      </c>
      <c r="C16341" t="s">
        <v>174</v>
      </c>
      <c r="D16341" t="s">
        <v>185</v>
      </c>
      <c r="E16341" t="s">
        <v>12</v>
      </c>
      <c r="F16341">
        <v>-0.16500188410282135</v>
      </c>
    </row>
    <row r="16342" spans="2:6">
      <c r="B16342">
        <v>2007</v>
      </c>
      <c r="C16342" t="s">
        <v>174</v>
      </c>
      <c r="D16342" t="s">
        <v>185</v>
      </c>
      <c r="E16342" t="s">
        <v>13</v>
      </c>
      <c r="F16342">
        <v>0.61402922868728638</v>
      </c>
    </row>
    <row r="16343" spans="2:6">
      <c r="B16343">
        <v>2007</v>
      </c>
      <c r="C16343" t="s">
        <v>174</v>
      </c>
      <c r="D16343" t="s">
        <v>185</v>
      </c>
      <c r="E16343" t="s">
        <v>14</v>
      </c>
      <c r="F16343">
        <v>0.77677911520004272</v>
      </c>
    </row>
    <row r="16344" spans="2:6">
      <c r="B16344">
        <v>2007</v>
      </c>
      <c r="C16344" t="s">
        <v>174</v>
      </c>
      <c r="D16344" t="s">
        <v>185</v>
      </c>
      <c r="E16344" t="s">
        <v>15</v>
      </c>
      <c r="F16344">
        <v>0.27357226610183716</v>
      </c>
    </row>
    <row r="16345" spans="2:6">
      <c r="B16345">
        <v>2008</v>
      </c>
      <c r="C16345" t="s">
        <v>174</v>
      </c>
      <c r="D16345" t="s">
        <v>185</v>
      </c>
      <c r="E16345" t="s">
        <v>7</v>
      </c>
      <c r="F16345">
        <v>5.6638698577880859</v>
      </c>
    </row>
    <row r="16346" spans="2:6">
      <c r="B16346">
        <v>2008</v>
      </c>
      <c r="C16346" t="s">
        <v>174</v>
      </c>
      <c r="D16346" t="s">
        <v>185</v>
      </c>
      <c r="E16346" t="s">
        <v>8</v>
      </c>
      <c r="F16346">
        <v>9.6710376739501953</v>
      </c>
    </row>
    <row r="16347" spans="2:6">
      <c r="B16347">
        <v>2008</v>
      </c>
      <c r="C16347" t="s">
        <v>174</v>
      </c>
      <c r="D16347" t="s">
        <v>185</v>
      </c>
      <c r="E16347" t="s">
        <v>9</v>
      </c>
      <c r="F16347">
        <v>0.87911385297775269</v>
      </c>
    </row>
    <row r="16348" spans="2:6">
      <c r="B16348">
        <v>2008</v>
      </c>
      <c r="C16348" t="s">
        <v>174</v>
      </c>
      <c r="D16348" t="s">
        <v>185</v>
      </c>
      <c r="E16348" t="s">
        <v>10</v>
      </c>
      <c r="F16348">
        <v>67.720001220703125</v>
      </c>
    </row>
    <row r="16349" spans="2:6">
      <c r="B16349">
        <v>2008</v>
      </c>
      <c r="C16349" t="s">
        <v>174</v>
      </c>
      <c r="D16349" t="s">
        <v>185</v>
      </c>
      <c r="E16349" t="s">
        <v>11</v>
      </c>
      <c r="F16349">
        <v>0.80793023109436035</v>
      </c>
    </row>
    <row r="16350" spans="2:6">
      <c r="B16350">
        <v>2008</v>
      </c>
      <c r="C16350" t="s">
        <v>174</v>
      </c>
      <c r="D16350" t="s">
        <v>185</v>
      </c>
      <c r="E16350" t="s">
        <v>12</v>
      </c>
      <c r="F16350">
        <v>-0.14287988841533661</v>
      </c>
    </row>
    <row r="16351" spans="2:6">
      <c r="B16351">
        <v>2008</v>
      </c>
      <c r="C16351" t="s">
        <v>174</v>
      </c>
      <c r="D16351" t="s">
        <v>185</v>
      </c>
      <c r="E16351" t="s">
        <v>13</v>
      </c>
      <c r="F16351">
        <v>0.59676694869995117</v>
      </c>
    </row>
    <row r="16352" spans="2:6">
      <c r="B16352">
        <v>2008</v>
      </c>
      <c r="C16352" t="s">
        <v>174</v>
      </c>
      <c r="D16352" t="s">
        <v>185</v>
      </c>
      <c r="E16352" t="s">
        <v>14</v>
      </c>
      <c r="F16352">
        <v>0.75116807222366333</v>
      </c>
    </row>
    <row r="16353" spans="2:6">
      <c r="B16353">
        <v>2008</v>
      </c>
      <c r="C16353" t="s">
        <v>174</v>
      </c>
      <c r="D16353" t="s">
        <v>185</v>
      </c>
      <c r="E16353" t="s">
        <v>15</v>
      </c>
      <c r="F16353">
        <v>0.26400578022003174</v>
      </c>
    </row>
    <row r="16354" spans="2:6">
      <c r="B16354">
        <v>2009</v>
      </c>
      <c r="C16354" t="s">
        <v>174</v>
      </c>
      <c r="D16354" t="s">
        <v>185</v>
      </c>
      <c r="E16354" t="s">
        <v>7</v>
      </c>
      <c r="F16354">
        <v>6.2962226867675781</v>
      </c>
    </row>
    <row r="16355" spans="2:6">
      <c r="B16355">
        <v>2009</v>
      </c>
      <c r="C16355" t="s">
        <v>174</v>
      </c>
      <c r="D16355" t="s">
        <v>185</v>
      </c>
      <c r="E16355" t="s">
        <v>8</v>
      </c>
      <c r="F16355">
        <v>9.7097711563110352</v>
      </c>
    </row>
    <row r="16356" spans="2:6">
      <c r="B16356">
        <v>2009</v>
      </c>
      <c r="C16356" t="s">
        <v>174</v>
      </c>
      <c r="D16356" t="s">
        <v>185</v>
      </c>
      <c r="E16356" t="s">
        <v>9</v>
      </c>
      <c r="F16356">
        <v>0.92386144399642944</v>
      </c>
    </row>
    <row r="16357" spans="2:6">
      <c r="B16357">
        <v>2009</v>
      </c>
      <c r="C16357" t="s">
        <v>174</v>
      </c>
      <c r="D16357" t="s">
        <v>185</v>
      </c>
      <c r="E16357" t="s">
        <v>10</v>
      </c>
      <c r="F16357">
        <v>67.860000610351563</v>
      </c>
    </row>
    <row r="16358" spans="2:6">
      <c r="B16358">
        <v>2009</v>
      </c>
      <c r="C16358" t="s">
        <v>174</v>
      </c>
      <c r="D16358" t="s">
        <v>185</v>
      </c>
      <c r="E16358" t="s">
        <v>11</v>
      </c>
      <c r="F16358">
        <v>0.82504945993423462</v>
      </c>
    </row>
    <row r="16359" spans="2:6">
      <c r="B16359">
        <v>2009</v>
      </c>
      <c r="C16359" t="s">
        <v>174</v>
      </c>
      <c r="D16359" t="s">
        <v>185</v>
      </c>
      <c r="E16359" t="s">
        <v>12</v>
      </c>
      <c r="F16359">
        <v>-0.11828844249248505</v>
      </c>
    </row>
    <row r="16360" spans="2:6">
      <c r="B16360">
        <v>2009</v>
      </c>
      <c r="C16360" t="s">
        <v>174</v>
      </c>
      <c r="D16360" t="s">
        <v>185</v>
      </c>
      <c r="E16360" t="s">
        <v>13</v>
      </c>
      <c r="F16360">
        <v>0.54394787549972534</v>
      </c>
    </row>
    <row r="16361" spans="2:6">
      <c r="B16361">
        <v>2009</v>
      </c>
      <c r="C16361" t="s">
        <v>174</v>
      </c>
      <c r="D16361" t="s">
        <v>185</v>
      </c>
      <c r="E16361" t="s">
        <v>14</v>
      </c>
      <c r="F16361">
        <v>0.7934308648109436</v>
      </c>
    </row>
    <row r="16362" spans="2:6">
      <c r="B16362">
        <v>2009</v>
      </c>
      <c r="C16362" t="s">
        <v>174</v>
      </c>
      <c r="D16362" t="s">
        <v>185</v>
      </c>
      <c r="E16362" t="s">
        <v>15</v>
      </c>
      <c r="F16362">
        <v>0.25454443693161011</v>
      </c>
    </row>
    <row r="16363" spans="2:6">
      <c r="B16363">
        <v>2010</v>
      </c>
      <c r="C16363" t="s">
        <v>174</v>
      </c>
      <c r="D16363" t="s">
        <v>185</v>
      </c>
      <c r="E16363" t="s">
        <v>7</v>
      </c>
      <c r="F16363">
        <v>6.0620107650756836</v>
      </c>
    </row>
    <row r="16364" spans="2:6">
      <c r="B16364">
        <v>2010</v>
      </c>
      <c r="C16364" t="s">
        <v>174</v>
      </c>
      <c r="D16364" t="s">
        <v>185</v>
      </c>
      <c r="E16364" t="s">
        <v>8</v>
      </c>
      <c r="F16364">
        <v>9.782048225402832</v>
      </c>
    </row>
    <row r="16365" spans="2:6">
      <c r="B16365">
        <v>2010</v>
      </c>
      <c r="C16365" t="s">
        <v>174</v>
      </c>
      <c r="D16365" t="s">
        <v>185</v>
      </c>
      <c r="E16365" t="s">
        <v>9</v>
      </c>
      <c r="F16365">
        <v>0.8930397629737854</v>
      </c>
    </row>
    <row r="16366" spans="2:6">
      <c r="B16366">
        <v>2010</v>
      </c>
      <c r="C16366" t="s">
        <v>174</v>
      </c>
      <c r="D16366" t="s">
        <v>185</v>
      </c>
      <c r="E16366" t="s">
        <v>10</v>
      </c>
      <c r="F16366">
        <v>68</v>
      </c>
    </row>
    <row r="16367" spans="2:6">
      <c r="B16367">
        <v>2010</v>
      </c>
      <c r="C16367" t="s">
        <v>174</v>
      </c>
      <c r="D16367" t="s">
        <v>185</v>
      </c>
      <c r="E16367" t="s">
        <v>11</v>
      </c>
      <c r="F16367">
        <v>0.83224135637283325</v>
      </c>
    </row>
    <row r="16368" spans="2:6">
      <c r="B16368">
        <v>2010</v>
      </c>
      <c r="C16368" t="s">
        <v>174</v>
      </c>
      <c r="D16368" t="s">
        <v>185</v>
      </c>
      <c r="E16368" t="s">
        <v>12</v>
      </c>
      <c r="F16368">
        <v>-0.15804964303970337</v>
      </c>
    </row>
    <row r="16369" spans="2:6">
      <c r="B16369">
        <v>2010</v>
      </c>
      <c r="C16369" t="s">
        <v>174</v>
      </c>
      <c r="D16369" t="s">
        <v>185</v>
      </c>
      <c r="E16369" t="s">
        <v>13</v>
      </c>
      <c r="F16369">
        <v>0.47137624025344849</v>
      </c>
    </row>
    <row r="16370" spans="2:6">
      <c r="B16370">
        <v>2010</v>
      </c>
      <c r="C16370" t="s">
        <v>174</v>
      </c>
      <c r="D16370" t="s">
        <v>185</v>
      </c>
      <c r="E16370" t="s">
        <v>14</v>
      </c>
      <c r="F16370">
        <v>0.80670696496963501</v>
      </c>
    </row>
    <row r="16371" spans="2:6">
      <c r="B16371">
        <v>2010</v>
      </c>
      <c r="C16371" t="s">
        <v>174</v>
      </c>
      <c r="D16371" t="s">
        <v>185</v>
      </c>
      <c r="E16371" t="s">
        <v>15</v>
      </c>
      <c r="F16371">
        <v>0.23117917776107788</v>
      </c>
    </row>
    <row r="16372" spans="2:6">
      <c r="B16372">
        <v>2011</v>
      </c>
      <c r="C16372" t="s">
        <v>174</v>
      </c>
      <c r="D16372" t="s">
        <v>185</v>
      </c>
      <c r="E16372" t="s">
        <v>7</v>
      </c>
      <c r="F16372">
        <v>6.5540471076965332</v>
      </c>
    </row>
    <row r="16373" spans="2:6">
      <c r="B16373">
        <v>2011</v>
      </c>
      <c r="C16373" t="s">
        <v>174</v>
      </c>
      <c r="D16373" t="s">
        <v>185</v>
      </c>
      <c r="E16373" t="s">
        <v>8</v>
      </c>
      <c r="F16373">
        <v>9.8295097351074219</v>
      </c>
    </row>
    <row r="16374" spans="2:6">
      <c r="B16374">
        <v>2011</v>
      </c>
      <c r="C16374" t="s">
        <v>174</v>
      </c>
      <c r="D16374" t="s">
        <v>185</v>
      </c>
      <c r="E16374" t="s">
        <v>9</v>
      </c>
      <c r="F16374">
        <v>0.89128243923187256</v>
      </c>
    </row>
    <row r="16375" spans="2:6">
      <c r="B16375">
        <v>2011</v>
      </c>
      <c r="C16375" t="s">
        <v>174</v>
      </c>
      <c r="D16375" t="s">
        <v>185</v>
      </c>
      <c r="E16375" t="s">
        <v>10</v>
      </c>
      <c r="F16375">
        <v>68.139999389648438</v>
      </c>
    </row>
    <row r="16376" spans="2:6">
      <c r="B16376">
        <v>2011</v>
      </c>
      <c r="C16376" t="s">
        <v>174</v>
      </c>
      <c r="D16376" t="s">
        <v>185</v>
      </c>
      <c r="E16376" t="s">
        <v>11</v>
      </c>
      <c r="F16376">
        <v>0.85144156217575073</v>
      </c>
    </row>
    <row r="16377" spans="2:6">
      <c r="B16377">
        <v>2011</v>
      </c>
      <c r="C16377" t="s">
        <v>174</v>
      </c>
      <c r="D16377" t="s">
        <v>185</v>
      </c>
      <c r="E16377" t="s">
        <v>12</v>
      </c>
      <c r="F16377">
        <v>-8.0015107989311218E-2</v>
      </c>
    </row>
    <row r="16378" spans="2:6">
      <c r="B16378">
        <v>2011</v>
      </c>
      <c r="C16378" t="s">
        <v>174</v>
      </c>
      <c r="D16378" t="s">
        <v>185</v>
      </c>
      <c r="E16378" t="s">
        <v>13</v>
      </c>
      <c r="F16378">
        <v>0.5562860369682312</v>
      </c>
    </row>
    <row r="16379" spans="2:6">
      <c r="B16379">
        <v>2011</v>
      </c>
      <c r="C16379" t="s">
        <v>174</v>
      </c>
      <c r="D16379" t="s">
        <v>185</v>
      </c>
      <c r="E16379" t="s">
        <v>14</v>
      </c>
      <c r="F16379">
        <v>0.80534565448760986</v>
      </c>
    </row>
    <row r="16380" spans="2:6">
      <c r="B16380">
        <v>2011</v>
      </c>
      <c r="C16380" t="s">
        <v>174</v>
      </c>
      <c r="D16380" t="s">
        <v>185</v>
      </c>
      <c r="E16380" t="s">
        <v>15</v>
      </c>
      <c r="F16380">
        <v>0.25225004553794861</v>
      </c>
    </row>
    <row r="16381" spans="2:6">
      <c r="B16381">
        <v>2012</v>
      </c>
      <c r="C16381" t="s">
        <v>174</v>
      </c>
      <c r="D16381" t="s">
        <v>185</v>
      </c>
      <c r="E16381" t="s">
        <v>7</v>
      </c>
      <c r="F16381">
        <v>6.4497284889221191</v>
      </c>
    </row>
    <row r="16382" spans="2:6">
      <c r="B16382">
        <v>2012</v>
      </c>
      <c r="C16382" t="s">
        <v>174</v>
      </c>
      <c r="D16382" t="s">
        <v>185</v>
      </c>
      <c r="E16382" t="s">
        <v>8</v>
      </c>
      <c r="F16382">
        <v>9.8613042831420898</v>
      </c>
    </row>
    <row r="16383" spans="2:6">
      <c r="B16383">
        <v>2012</v>
      </c>
      <c r="C16383" t="s">
        <v>174</v>
      </c>
      <c r="D16383" t="s">
        <v>185</v>
      </c>
      <c r="E16383" t="s">
        <v>9</v>
      </c>
      <c r="F16383">
        <v>0.86469370126724243</v>
      </c>
    </row>
    <row r="16384" spans="2:6">
      <c r="B16384">
        <v>2012</v>
      </c>
      <c r="C16384" t="s">
        <v>174</v>
      </c>
      <c r="D16384" t="s">
        <v>185</v>
      </c>
      <c r="E16384" t="s">
        <v>10</v>
      </c>
      <c r="F16384">
        <v>68.279998779296875</v>
      </c>
    </row>
    <row r="16385" spans="2:6">
      <c r="B16385">
        <v>2012</v>
      </c>
      <c r="C16385" t="s">
        <v>174</v>
      </c>
      <c r="D16385" t="s">
        <v>185</v>
      </c>
      <c r="E16385" t="s">
        <v>11</v>
      </c>
      <c r="F16385">
        <v>0.87059003114700317</v>
      </c>
    </row>
    <row r="16386" spans="2:6">
      <c r="B16386">
        <v>2012</v>
      </c>
      <c r="C16386" t="s">
        <v>174</v>
      </c>
      <c r="D16386" t="s">
        <v>185</v>
      </c>
      <c r="E16386" t="s">
        <v>12</v>
      </c>
      <c r="F16386">
        <v>6.7105211317539215E-2</v>
      </c>
    </row>
    <row r="16387" spans="2:6">
      <c r="B16387">
        <v>2012</v>
      </c>
      <c r="C16387" t="s">
        <v>174</v>
      </c>
      <c r="D16387" t="s">
        <v>185</v>
      </c>
      <c r="E16387" t="s">
        <v>13</v>
      </c>
      <c r="F16387">
        <v>0.61534959077835083</v>
      </c>
    </row>
    <row r="16388" spans="2:6">
      <c r="B16388">
        <v>2012</v>
      </c>
      <c r="C16388" t="s">
        <v>174</v>
      </c>
      <c r="D16388" t="s">
        <v>185</v>
      </c>
      <c r="E16388" t="s">
        <v>14</v>
      </c>
      <c r="F16388">
        <v>0.78786802291870117</v>
      </c>
    </row>
    <row r="16389" spans="2:6">
      <c r="B16389">
        <v>2012</v>
      </c>
      <c r="C16389" t="s">
        <v>174</v>
      </c>
      <c r="D16389" t="s">
        <v>185</v>
      </c>
      <c r="E16389" t="s">
        <v>15</v>
      </c>
      <c r="F16389">
        <v>0.21420274674892426</v>
      </c>
    </row>
    <row r="16390" spans="2:6">
      <c r="B16390">
        <v>2013</v>
      </c>
      <c r="C16390" t="s">
        <v>174</v>
      </c>
      <c r="D16390" t="s">
        <v>185</v>
      </c>
      <c r="E16390" t="s">
        <v>7</v>
      </c>
      <c r="F16390">
        <v>6.4444646835327148</v>
      </c>
    </row>
    <row r="16391" spans="2:6">
      <c r="B16391">
        <v>2013</v>
      </c>
      <c r="C16391" t="s">
        <v>174</v>
      </c>
      <c r="D16391" t="s">
        <v>185</v>
      </c>
      <c r="E16391" t="s">
        <v>8</v>
      </c>
      <c r="F16391">
        <v>9.9035444259643555</v>
      </c>
    </row>
    <row r="16392" spans="2:6">
      <c r="B16392">
        <v>2013</v>
      </c>
      <c r="C16392" t="s">
        <v>174</v>
      </c>
      <c r="D16392" t="s">
        <v>185</v>
      </c>
      <c r="E16392" t="s">
        <v>9</v>
      </c>
      <c r="F16392">
        <v>0.91727966070175171</v>
      </c>
    </row>
    <row r="16393" spans="2:6">
      <c r="B16393">
        <v>2013</v>
      </c>
      <c r="C16393" t="s">
        <v>174</v>
      </c>
      <c r="D16393" t="s">
        <v>185</v>
      </c>
      <c r="E16393" t="s">
        <v>10</v>
      </c>
      <c r="F16393">
        <v>68.419998168945313</v>
      </c>
    </row>
    <row r="16394" spans="2:6">
      <c r="B16394">
        <v>2013</v>
      </c>
      <c r="C16394" t="s">
        <v>174</v>
      </c>
      <c r="D16394" t="s">
        <v>185</v>
      </c>
      <c r="E16394" t="s">
        <v>11</v>
      </c>
      <c r="F16394">
        <v>0.88827800750732422</v>
      </c>
    </row>
    <row r="16395" spans="2:6">
      <c r="B16395">
        <v>2013</v>
      </c>
      <c r="C16395" t="s">
        <v>174</v>
      </c>
      <c r="D16395" t="s">
        <v>185</v>
      </c>
      <c r="E16395" t="s">
        <v>12</v>
      </c>
      <c r="F16395">
        <v>-4.3126463890075684E-2</v>
      </c>
    </row>
    <row r="16396" spans="2:6">
      <c r="B16396">
        <v>2013</v>
      </c>
      <c r="C16396" t="s">
        <v>174</v>
      </c>
      <c r="D16396" t="s">
        <v>185</v>
      </c>
      <c r="E16396" t="s">
        <v>13</v>
      </c>
      <c r="F16396">
        <v>0.58563226461410522</v>
      </c>
    </row>
    <row r="16397" spans="2:6">
      <c r="B16397">
        <v>2013</v>
      </c>
      <c r="C16397" t="s">
        <v>174</v>
      </c>
      <c r="D16397" t="s">
        <v>185</v>
      </c>
      <c r="E16397" t="s">
        <v>14</v>
      </c>
      <c r="F16397">
        <v>0.82639312744140625</v>
      </c>
    </row>
    <row r="16398" spans="2:6">
      <c r="B16398">
        <v>2013</v>
      </c>
      <c r="C16398" t="s">
        <v>174</v>
      </c>
      <c r="D16398" t="s">
        <v>185</v>
      </c>
      <c r="E16398" t="s">
        <v>15</v>
      </c>
      <c r="F16398">
        <v>0.25322851538658142</v>
      </c>
    </row>
    <row r="16399" spans="2:6">
      <c r="B16399">
        <v>2014</v>
      </c>
      <c r="C16399" t="s">
        <v>174</v>
      </c>
      <c r="D16399" t="s">
        <v>185</v>
      </c>
      <c r="E16399" t="s">
        <v>7</v>
      </c>
      <c r="F16399">
        <v>6.5614438056945801</v>
      </c>
    </row>
    <row r="16400" spans="2:6">
      <c r="B16400">
        <v>2014</v>
      </c>
      <c r="C16400" t="s">
        <v>174</v>
      </c>
      <c r="D16400" t="s">
        <v>185</v>
      </c>
      <c r="E16400" t="s">
        <v>8</v>
      </c>
      <c r="F16400">
        <v>9.9321804046630859</v>
      </c>
    </row>
    <row r="16401" spans="2:6">
      <c r="B16401">
        <v>2014</v>
      </c>
      <c r="C16401" t="s">
        <v>174</v>
      </c>
      <c r="D16401" t="s">
        <v>185</v>
      </c>
      <c r="E16401" t="s">
        <v>9</v>
      </c>
      <c r="F16401">
        <v>0.9018978476524353</v>
      </c>
    </row>
    <row r="16402" spans="2:6">
      <c r="B16402">
        <v>2014</v>
      </c>
      <c r="C16402" t="s">
        <v>174</v>
      </c>
      <c r="D16402" t="s">
        <v>185</v>
      </c>
      <c r="E16402" t="s">
        <v>10</v>
      </c>
      <c r="F16402">
        <v>68.55999755859375</v>
      </c>
    </row>
    <row r="16403" spans="2:6">
      <c r="B16403">
        <v>2014</v>
      </c>
      <c r="C16403" t="s">
        <v>174</v>
      </c>
      <c r="D16403" t="s">
        <v>185</v>
      </c>
      <c r="E16403" t="s">
        <v>11</v>
      </c>
      <c r="F16403">
        <v>0.90433287620544434</v>
      </c>
    </row>
    <row r="16404" spans="2:6">
      <c r="B16404">
        <v>2014</v>
      </c>
      <c r="C16404" t="s">
        <v>174</v>
      </c>
      <c r="D16404" t="s">
        <v>185</v>
      </c>
      <c r="E16404" t="s">
        <v>12</v>
      </c>
      <c r="F16404">
        <v>-7.2777442634105682E-2</v>
      </c>
    </row>
    <row r="16405" spans="2:6">
      <c r="B16405">
        <v>2014</v>
      </c>
      <c r="C16405" t="s">
        <v>174</v>
      </c>
      <c r="D16405" t="s">
        <v>185</v>
      </c>
      <c r="E16405" t="s">
        <v>13</v>
      </c>
      <c r="F16405">
        <v>0.53349488973617554</v>
      </c>
    </row>
    <row r="16406" spans="2:6">
      <c r="B16406">
        <v>2014</v>
      </c>
      <c r="C16406" t="s">
        <v>174</v>
      </c>
      <c r="D16406" t="s">
        <v>185</v>
      </c>
      <c r="E16406" t="s">
        <v>14</v>
      </c>
      <c r="F16406">
        <v>0.86924868822097778</v>
      </c>
    </row>
    <row r="16407" spans="2:6">
      <c r="B16407">
        <v>2014</v>
      </c>
      <c r="C16407" t="s">
        <v>174</v>
      </c>
      <c r="D16407" t="s">
        <v>185</v>
      </c>
      <c r="E16407" t="s">
        <v>15</v>
      </c>
      <c r="F16407">
        <v>0.25149890780448914</v>
      </c>
    </row>
    <row r="16408" spans="2:6">
      <c r="B16408">
        <v>2015</v>
      </c>
      <c r="C16408" t="s">
        <v>174</v>
      </c>
      <c r="D16408" t="s">
        <v>185</v>
      </c>
      <c r="E16408" t="s">
        <v>7</v>
      </c>
      <c r="F16408">
        <v>6.6280803680419922</v>
      </c>
    </row>
    <row r="16409" spans="2:6">
      <c r="B16409">
        <v>2015</v>
      </c>
      <c r="C16409" t="s">
        <v>174</v>
      </c>
      <c r="D16409" t="s">
        <v>185</v>
      </c>
      <c r="E16409" t="s">
        <v>8</v>
      </c>
      <c r="F16409">
        <v>9.9324827194213867</v>
      </c>
    </row>
    <row r="16410" spans="2:6">
      <c r="B16410">
        <v>2015</v>
      </c>
      <c r="C16410" t="s">
        <v>174</v>
      </c>
      <c r="D16410" t="s">
        <v>185</v>
      </c>
      <c r="E16410" t="s">
        <v>9</v>
      </c>
      <c r="F16410">
        <v>0.89149349927902222</v>
      </c>
    </row>
    <row r="16411" spans="2:6">
      <c r="B16411">
        <v>2015</v>
      </c>
      <c r="C16411" t="s">
        <v>174</v>
      </c>
      <c r="D16411" t="s">
        <v>185</v>
      </c>
      <c r="E16411" t="s">
        <v>10</v>
      </c>
      <c r="F16411">
        <v>68.699996948242188</v>
      </c>
    </row>
    <row r="16412" spans="2:6">
      <c r="B16412">
        <v>2015</v>
      </c>
      <c r="C16412" t="s">
        <v>174</v>
      </c>
      <c r="D16412" t="s">
        <v>185</v>
      </c>
      <c r="E16412" t="s">
        <v>11</v>
      </c>
      <c r="F16412">
        <v>0.91687965393066406</v>
      </c>
    </row>
    <row r="16413" spans="2:6">
      <c r="B16413">
        <v>2015</v>
      </c>
      <c r="C16413" t="s">
        <v>174</v>
      </c>
      <c r="D16413" t="s">
        <v>185</v>
      </c>
      <c r="E16413" t="s">
        <v>12</v>
      </c>
      <c r="F16413">
        <v>-3.2266486436128616E-2</v>
      </c>
    </row>
    <row r="16414" spans="2:6">
      <c r="B16414">
        <v>2015</v>
      </c>
      <c r="C16414" t="s">
        <v>174</v>
      </c>
      <c r="D16414" t="s">
        <v>185</v>
      </c>
      <c r="E16414" t="s">
        <v>13</v>
      </c>
      <c r="F16414">
        <v>0.67347568273544312</v>
      </c>
    </row>
    <row r="16415" spans="2:6">
      <c r="B16415">
        <v>2015</v>
      </c>
      <c r="C16415" t="s">
        <v>174</v>
      </c>
      <c r="D16415" t="s">
        <v>185</v>
      </c>
      <c r="E16415" t="s">
        <v>14</v>
      </c>
      <c r="F16415">
        <v>0.89266097545623779</v>
      </c>
    </row>
    <row r="16416" spans="2:6">
      <c r="B16416">
        <v>2015</v>
      </c>
      <c r="C16416" t="s">
        <v>174</v>
      </c>
      <c r="D16416" t="s">
        <v>185</v>
      </c>
      <c r="E16416" t="s">
        <v>15</v>
      </c>
      <c r="F16416">
        <v>0.29953810572624207</v>
      </c>
    </row>
    <row r="16417" spans="2:6">
      <c r="B16417">
        <v>2016</v>
      </c>
      <c r="C16417" t="s">
        <v>174</v>
      </c>
      <c r="D16417" t="s">
        <v>185</v>
      </c>
      <c r="E16417" t="s">
        <v>7</v>
      </c>
      <c r="F16417">
        <v>6.171485424041748</v>
      </c>
    </row>
    <row r="16418" spans="2:6">
      <c r="B16418">
        <v>2016</v>
      </c>
      <c r="C16418" t="s">
        <v>174</v>
      </c>
      <c r="D16418" t="s">
        <v>185</v>
      </c>
      <c r="E16418" t="s">
        <v>8</v>
      </c>
      <c r="F16418">
        <v>9.9456930160522461</v>
      </c>
    </row>
    <row r="16419" spans="2:6">
      <c r="B16419">
        <v>2016</v>
      </c>
      <c r="C16419" t="s">
        <v>174</v>
      </c>
      <c r="D16419" t="s">
        <v>185</v>
      </c>
      <c r="E16419" t="s">
        <v>9</v>
      </c>
      <c r="F16419">
        <v>0.90038090944290161</v>
      </c>
    </row>
    <row r="16420" spans="2:6">
      <c r="B16420">
        <v>2016</v>
      </c>
      <c r="C16420" t="s">
        <v>174</v>
      </c>
      <c r="D16420" t="s">
        <v>185</v>
      </c>
      <c r="E16420" t="s">
        <v>10</v>
      </c>
      <c r="F16420">
        <v>68.800003051757813</v>
      </c>
    </row>
    <row r="16421" spans="2:6">
      <c r="B16421">
        <v>2016</v>
      </c>
      <c r="C16421" t="s">
        <v>174</v>
      </c>
      <c r="D16421" t="s">
        <v>185</v>
      </c>
      <c r="E16421" t="s">
        <v>11</v>
      </c>
      <c r="F16421">
        <v>0.886371910572052</v>
      </c>
    </row>
    <row r="16422" spans="2:6">
      <c r="B16422">
        <v>2016</v>
      </c>
      <c r="C16422" t="s">
        <v>174</v>
      </c>
      <c r="D16422" t="s">
        <v>185</v>
      </c>
      <c r="E16422" t="s">
        <v>12</v>
      </c>
      <c r="F16422">
        <v>-7.1943916380405426E-2</v>
      </c>
    </row>
    <row r="16423" spans="2:6">
      <c r="B16423">
        <v>2016</v>
      </c>
      <c r="C16423" t="s">
        <v>174</v>
      </c>
      <c r="D16423" t="s">
        <v>185</v>
      </c>
      <c r="E16423" t="s">
        <v>13</v>
      </c>
      <c r="F16423">
        <v>0.67621278762817383</v>
      </c>
    </row>
    <row r="16424" spans="2:6">
      <c r="B16424">
        <v>2016</v>
      </c>
      <c r="C16424" t="s">
        <v>174</v>
      </c>
      <c r="D16424" t="s">
        <v>185</v>
      </c>
      <c r="E16424" t="s">
        <v>14</v>
      </c>
      <c r="F16424">
        <v>0.8415488600730896</v>
      </c>
    </row>
    <row r="16425" spans="2:6">
      <c r="B16425">
        <v>2016</v>
      </c>
      <c r="C16425" t="s">
        <v>174</v>
      </c>
      <c r="D16425" t="s">
        <v>185</v>
      </c>
      <c r="E16425" t="s">
        <v>15</v>
      </c>
      <c r="F16425">
        <v>0.28318026661872864</v>
      </c>
    </row>
    <row r="16426" spans="2:6">
      <c r="B16426">
        <v>2017</v>
      </c>
      <c r="C16426" t="s">
        <v>174</v>
      </c>
      <c r="D16426" t="s">
        <v>185</v>
      </c>
      <c r="E16426" t="s">
        <v>7</v>
      </c>
      <c r="F16426">
        <v>6.3360099792480469</v>
      </c>
    </row>
    <row r="16427" spans="2:6">
      <c r="B16427">
        <v>2017</v>
      </c>
      <c r="C16427" t="s">
        <v>174</v>
      </c>
      <c r="D16427" t="s">
        <v>185</v>
      </c>
      <c r="E16427" t="s">
        <v>8</v>
      </c>
      <c r="F16427">
        <v>9.9676284790039063</v>
      </c>
    </row>
    <row r="16428" spans="2:6">
      <c r="B16428">
        <v>2017</v>
      </c>
      <c r="C16428" t="s">
        <v>174</v>
      </c>
      <c r="D16428" t="s">
        <v>185</v>
      </c>
      <c r="E16428" t="s">
        <v>9</v>
      </c>
      <c r="F16428">
        <v>0.91380167007446289</v>
      </c>
    </row>
    <row r="16429" spans="2:6">
      <c r="B16429">
        <v>2017</v>
      </c>
      <c r="C16429" t="s">
        <v>174</v>
      </c>
      <c r="D16429" t="s">
        <v>185</v>
      </c>
      <c r="E16429" t="s">
        <v>10</v>
      </c>
      <c r="F16429">
        <v>68.900001525878906</v>
      </c>
    </row>
    <row r="16430" spans="2:6">
      <c r="B16430">
        <v>2017</v>
      </c>
      <c r="C16430" t="s">
        <v>174</v>
      </c>
      <c r="D16430" t="s">
        <v>185</v>
      </c>
      <c r="E16430" t="s">
        <v>11</v>
      </c>
      <c r="F16430">
        <v>0.89785164594650269</v>
      </c>
    </row>
    <row r="16431" spans="2:6">
      <c r="B16431">
        <v>2017</v>
      </c>
      <c r="C16431" t="s">
        <v>174</v>
      </c>
      <c r="D16431" t="s">
        <v>185</v>
      </c>
      <c r="E16431" t="s">
        <v>12</v>
      </c>
      <c r="F16431">
        <v>-9.1392338275909424E-2</v>
      </c>
    </row>
    <row r="16432" spans="2:6">
      <c r="B16432">
        <v>2017</v>
      </c>
      <c r="C16432" t="s">
        <v>174</v>
      </c>
      <c r="D16432" t="s">
        <v>185</v>
      </c>
      <c r="E16432" t="s">
        <v>13</v>
      </c>
      <c r="F16432">
        <v>0.62658196687698364</v>
      </c>
    </row>
    <row r="16433" spans="2:6">
      <c r="B16433">
        <v>2017</v>
      </c>
      <c r="C16433" t="s">
        <v>174</v>
      </c>
      <c r="D16433" t="s">
        <v>185</v>
      </c>
      <c r="E16433" t="s">
        <v>14</v>
      </c>
      <c r="F16433">
        <v>0.83586126565933228</v>
      </c>
    </row>
    <row r="16434" spans="2:6">
      <c r="B16434">
        <v>2017</v>
      </c>
      <c r="C16434" t="s">
        <v>174</v>
      </c>
      <c r="D16434" t="s">
        <v>185</v>
      </c>
      <c r="E16434" t="s">
        <v>15</v>
      </c>
      <c r="F16434">
        <v>0.28032335638999939</v>
      </c>
    </row>
    <row r="16435" spans="2:6">
      <c r="B16435">
        <v>2018</v>
      </c>
      <c r="C16435" t="s">
        <v>174</v>
      </c>
      <c r="D16435" t="s">
        <v>185</v>
      </c>
      <c r="E16435" t="s">
        <v>7</v>
      </c>
      <c r="F16435">
        <v>6.3717145919799805</v>
      </c>
    </row>
    <row r="16436" spans="2:6">
      <c r="B16436">
        <v>2018</v>
      </c>
      <c r="C16436" t="s">
        <v>174</v>
      </c>
      <c r="D16436" t="s">
        <v>185</v>
      </c>
      <c r="E16436" t="s">
        <v>8</v>
      </c>
      <c r="F16436">
        <v>9.9800243377685547</v>
      </c>
    </row>
    <row r="16437" spans="2:6">
      <c r="B16437">
        <v>2018</v>
      </c>
      <c r="C16437" t="s">
        <v>174</v>
      </c>
      <c r="D16437" t="s">
        <v>185</v>
      </c>
      <c r="E16437" t="s">
        <v>9</v>
      </c>
      <c r="F16437">
        <v>0.91731560230255127</v>
      </c>
    </row>
    <row r="16438" spans="2:6">
      <c r="B16438">
        <v>2018</v>
      </c>
      <c r="C16438" t="s">
        <v>174</v>
      </c>
      <c r="D16438" t="s">
        <v>185</v>
      </c>
      <c r="E16438" t="s">
        <v>10</v>
      </c>
      <c r="F16438">
        <v>69</v>
      </c>
    </row>
    <row r="16439" spans="2:6">
      <c r="B16439">
        <v>2018</v>
      </c>
      <c r="C16439" t="s">
        <v>174</v>
      </c>
      <c r="D16439" t="s">
        <v>185</v>
      </c>
      <c r="E16439" t="s">
        <v>11</v>
      </c>
      <c r="F16439">
        <v>0.87621092796325684</v>
      </c>
    </row>
    <row r="16440" spans="2:6">
      <c r="B16440">
        <v>2018</v>
      </c>
      <c r="C16440" t="s">
        <v>174</v>
      </c>
      <c r="D16440" t="s">
        <v>185</v>
      </c>
      <c r="E16440" t="s">
        <v>12</v>
      </c>
      <c r="F16440">
        <v>-9.7156062722206116E-2</v>
      </c>
    </row>
    <row r="16441" spans="2:6">
      <c r="B16441">
        <v>2018</v>
      </c>
      <c r="C16441" t="s">
        <v>174</v>
      </c>
      <c r="D16441" t="s">
        <v>185</v>
      </c>
      <c r="E16441" t="s">
        <v>13</v>
      </c>
      <c r="F16441">
        <v>0.68291604518890381</v>
      </c>
    </row>
    <row r="16442" spans="2:6">
      <c r="B16442">
        <v>2018</v>
      </c>
      <c r="C16442" t="s">
        <v>174</v>
      </c>
      <c r="D16442" t="s">
        <v>185</v>
      </c>
      <c r="E16442" t="s">
        <v>14</v>
      </c>
      <c r="F16442">
        <v>0.87692034244537354</v>
      </c>
    </row>
    <row r="16443" spans="2:6">
      <c r="B16443">
        <v>2018</v>
      </c>
      <c r="C16443" t="s">
        <v>174</v>
      </c>
      <c r="D16443" t="s">
        <v>185</v>
      </c>
      <c r="E16443" t="s">
        <v>15</v>
      </c>
      <c r="F16443">
        <v>0.27494558691978455</v>
      </c>
    </row>
    <row r="16444" spans="2:6">
      <c r="B16444">
        <v>2019</v>
      </c>
      <c r="C16444" t="s">
        <v>174</v>
      </c>
      <c r="D16444" t="s">
        <v>185</v>
      </c>
      <c r="E16444" t="s">
        <v>7</v>
      </c>
      <c r="F16444">
        <v>6.600337028503418</v>
      </c>
    </row>
    <row r="16445" spans="2:6">
      <c r="B16445">
        <v>2019</v>
      </c>
      <c r="C16445" t="s">
        <v>174</v>
      </c>
      <c r="D16445" t="s">
        <v>185</v>
      </c>
      <c r="E16445" t="s">
        <v>8</v>
      </c>
      <c r="F16445">
        <v>9.9786443710327148</v>
      </c>
    </row>
    <row r="16446" spans="2:6">
      <c r="B16446">
        <v>2019</v>
      </c>
      <c r="C16446" t="s">
        <v>174</v>
      </c>
      <c r="D16446" t="s">
        <v>185</v>
      </c>
      <c r="E16446" t="s">
        <v>9</v>
      </c>
      <c r="F16446">
        <v>0.9334709644317627</v>
      </c>
    </row>
    <row r="16447" spans="2:6">
      <c r="B16447">
        <v>2019</v>
      </c>
      <c r="C16447" t="s">
        <v>174</v>
      </c>
      <c r="D16447" t="s">
        <v>185</v>
      </c>
      <c r="E16447" t="s">
        <v>10</v>
      </c>
      <c r="F16447">
        <v>69.099998474121094</v>
      </c>
    </row>
    <row r="16448" spans="2:6">
      <c r="B16448">
        <v>2019</v>
      </c>
      <c r="C16448" t="s">
        <v>174</v>
      </c>
      <c r="D16448" t="s">
        <v>185</v>
      </c>
      <c r="E16448" t="s">
        <v>11</v>
      </c>
      <c r="F16448">
        <v>0.90267878770828247</v>
      </c>
    </row>
    <row r="16449" spans="2:6">
      <c r="B16449">
        <v>2019</v>
      </c>
      <c r="C16449" t="s">
        <v>174</v>
      </c>
      <c r="D16449" t="s">
        <v>185</v>
      </c>
      <c r="E16449" t="s">
        <v>12</v>
      </c>
      <c r="F16449">
        <v>-9.5303185284137726E-2</v>
      </c>
    </row>
    <row r="16450" spans="2:6">
      <c r="B16450">
        <v>2019</v>
      </c>
      <c r="C16450" t="s">
        <v>174</v>
      </c>
      <c r="D16450" t="s">
        <v>185</v>
      </c>
      <c r="E16450" t="s">
        <v>13</v>
      </c>
      <c r="F16450">
        <v>0.5993996262550354</v>
      </c>
    </row>
    <row r="16451" spans="2:6">
      <c r="B16451">
        <v>2019</v>
      </c>
      <c r="C16451" t="s">
        <v>174</v>
      </c>
      <c r="D16451" t="s">
        <v>185</v>
      </c>
      <c r="E16451" t="s">
        <v>14</v>
      </c>
      <c r="F16451">
        <v>0.88896608352661133</v>
      </c>
    </row>
    <row r="16452" spans="2:6">
      <c r="B16452">
        <v>2019</v>
      </c>
      <c r="C16452" t="s">
        <v>174</v>
      </c>
      <c r="D16452" t="s">
        <v>185</v>
      </c>
      <c r="E16452" t="s">
        <v>15</v>
      </c>
      <c r="F16452">
        <v>0.22173018753528595</v>
      </c>
    </row>
    <row r="16453" spans="2:6">
      <c r="B16453">
        <v>2020</v>
      </c>
      <c r="C16453" t="s">
        <v>174</v>
      </c>
      <c r="D16453" t="s">
        <v>185</v>
      </c>
      <c r="E16453" t="s">
        <v>7</v>
      </c>
      <c r="F16453">
        <v>6.3096814155578613</v>
      </c>
    </row>
    <row r="16454" spans="2:6">
      <c r="B16454">
        <v>2020</v>
      </c>
      <c r="C16454" t="s">
        <v>174</v>
      </c>
      <c r="D16454" t="s">
        <v>185</v>
      </c>
      <c r="E16454" t="s">
        <v>8</v>
      </c>
      <c r="F16454">
        <v>9.9371919631958008</v>
      </c>
    </row>
    <row r="16455" spans="2:6">
      <c r="B16455">
        <v>2020</v>
      </c>
      <c r="C16455" t="s">
        <v>174</v>
      </c>
      <c r="D16455" t="s">
        <v>185</v>
      </c>
      <c r="E16455" t="s">
        <v>9</v>
      </c>
      <c r="F16455">
        <v>0.92107033729553223</v>
      </c>
    </row>
    <row r="16456" spans="2:6">
      <c r="B16456">
        <v>2020</v>
      </c>
      <c r="C16456" t="s">
        <v>174</v>
      </c>
      <c r="D16456" t="s">
        <v>185</v>
      </c>
      <c r="E16456" t="s">
        <v>10</v>
      </c>
      <c r="F16456">
        <v>69.199996948242188</v>
      </c>
    </row>
    <row r="16457" spans="2:6">
      <c r="B16457">
        <v>2020</v>
      </c>
      <c r="C16457" t="s">
        <v>174</v>
      </c>
      <c r="D16457" t="s">
        <v>185</v>
      </c>
      <c r="E16457" t="s">
        <v>11</v>
      </c>
      <c r="F16457">
        <v>0.90776193141937256</v>
      </c>
    </row>
    <row r="16458" spans="2:6">
      <c r="B16458">
        <v>2020</v>
      </c>
      <c r="C16458" t="s">
        <v>174</v>
      </c>
      <c r="D16458" t="s">
        <v>185</v>
      </c>
      <c r="E16458" t="s">
        <v>12</v>
      </c>
      <c r="F16458">
        <v>-8.3986900746822357E-2</v>
      </c>
    </row>
    <row r="16459" spans="2:6">
      <c r="B16459">
        <v>2020</v>
      </c>
      <c r="C16459" t="s">
        <v>174</v>
      </c>
      <c r="D16459" t="s">
        <v>185</v>
      </c>
      <c r="E16459" t="s">
        <v>13</v>
      </c>
      <c r="F16459">
        <v>0.49100783467292786</v>
      </c>
    </row>
    <row r="16460" spans="2:6">
      <c r="B16460">
        <v>2020</v>
      </c>
      <c r="C16460" t="s">
        <v>174</v>
      </c>
      <c r="D16460" t="s">
        <v>185</v>
      </c>
      <c r="E16460" t="s">
        <v>14</v>
      </c>
      <c r="F16460">
        <v>0.80735093355178833</v>
      </c>
    </row>
    <row r="16461" spans="2:6">
      <c r="B16461">
        <v>2020</v>
      </c>
      <c r="C16461" t="s">
        <v>174</v>
      </c>
      <c r="D16461" t="s">
        <v>185</v>
      </c>
      <c r="E16461" t="s">
        <v>15</v>
      </c>
      <c r="F16461">
        <v>0.26469206809997559</v>
      </c>
    </row>
    <row r="16462" spans="2:6">
      <c r="B16462">
        <v>2006</v>
      </c>
      <c r="C16462" t="s">
        <v>175</v>
      </c>
      <c r="D16462" t="s">
        <v>182</v>
      </c>
      <c r="E16462" t="s">
        <v>7</v>
      </c>
      <c r="F16462">
        <v>5.2323222160339355</v>
      </c>
    </row>
    <row r="16463" spans="2:6">
      <c r="B16463">
        <v>2006</v>
      </c>
      <c r="C16463" t="s">
        <v>175</v>
      </c>
      <c r="D16463" t="s">
        <v>182</v>
      </c>
      <c r="E16463" t="s">
        <v>8</v>
      </c>
      <c r="F16463">
        <v>8.1927299499511719</v>
      </c>
    </row>
    <row r="16464" spans="2:6">
      <c r="B16464">
        <v>2006</v>
      </c>
      <c r="C16464" t="s">
        <v>175</v>
      </c>
      <c r="D16464" t="s">
        <v>182</v>
      </c>
      <c r="E16464" t="s">
        <v>9</v>
      </c>
      <c r="F16464">
        <v>0.90306693315505981</v>
      </c>
    </row>
    <row r="16465" spans="2:6">
      <c r="B16465">
        <v>2006</v>
      </c>
      <c r="C16465" t="s">
        <v>175</v>
      </c>
      <c r="D16465" t="s">
        <v>182</v>
      </c>
      <c r="E16465" t="s">
        <v>10</v>
      </c>
      <c r="F16465">
        <v>61.439998626708984</v>
      </c>
    </row>
    <row r="16466" spans="2:6">
      <c r="B16466">
        <v>2006</v>
      </c>
      <c r="C16466" t="s">
        <v>175</v>
      </c>
      <c r="D16466" t="s">
        <v>182</v>
      </c>
      <c r="E16466" t="s">
        <v>11</v>
      </c>
      <c r="F16466">
        <v>0.78430116176605225</v>
      </c>
    </row>
    <row r="16467" spans="2:6">
      <c r="B16467">
        <v>2006</v>
      </c>
      <c r="C16467" t="s">
        <v>175</v>
      </c>
      <c r="D16467" t="s">
        <v>182</v>
      </c>
      <c r="E16467" t="s">
        <v>12</v>
      </c>
      <c r="F16467">
        <v>-0.11549217253923416</v>
      </c>
    </row>
    <row r="16468" spans="2:6">
      <c r="B16468">
        <v>2006</v>
      </c>
      <c r="C16468" t="s">
        <v>175</v>
      </c>
      <c r="D16468" t="s">
        <v>182</v>
      </c>
      <c r="E16468" t="s">
        <v>13</v>
      </c>
      <c r="F16468">
        <v>0.60880827903747559</v>
      </c>
    </row>
    <row r="16469" spans="2:6">
      <c r="B16469">
        <v>2006</v>
      </c>
      <c r="C16469" t="s">
        <v>175</v>
      </c>
      <c r="D16469" t="s">
        <v>182</v>
      </c>
      <c r="E16469" t="s">
        <v>14</v>
      </c>
      <c r="F16469">
        <v>0.72794580459594727</v>
      </c>
    </row>
    <row r="16470" spans="2:6">
      <c r="B16470">
        <v>2006</v>
      </c>
      <c r="C16470" t="s">
        <v>175</v>
      </c>
      <c r="D16470" t="s">
        <v>182</v>
      </c>
      <c r="E16470" t="s">
        <v>15</v>
      </c>
      <c r="F16470">
        <v>0.19505783915519714</v>
      </c>
    </row>
    <row r="16471" spans="2:6">
      <c r="B16471">
        <v>2008</v>
      </c>
      <c r="C16471" t="s">
        <v>175</v>
      </c>
      <c r="D16471" t="s">
        <v>182</v>
      </c>
      <c r="E16471" t="s">
        <v>7</v>
      </c>
      <c r="F16471">
        <v>5.311368465423584</v>
      </c>
    </row>
    <row r="16472" spans="2:6">
      <c r="B16472">
        <v>2008</v>
      </c>
      <c r="C16472" t="s">
        <v>175</v>
      </c>
      <c r="D16472" t="s">
        <v>182</v>
      </c>
      <c r="E16472" t="s">
        <v>8</v>
      </c>
      <c r="F16472">
        <v>8.3393955230712891</v>
      </c>
    </row>
    <row r="16473" spans="2:6">
      <c r="B16473">
        <v>2008</v>
      </c>
      <c r="C16473" t="s">
        <v>175</v>
      </c>
      <c r="D16473" t="s">
        <v>182</v>
      </c>
      <c r="E16473" t="s">
        <v>9</v>
      </c>
      <c r="F16473">
        <v>0.89402586221694946</v>
      </c>
    </row>
    <row r="16474" spans="2:6">
      <c r="B16474">
        <v>2008</v>
      </c>
      <c r="C16474" t="s">
        <v>175</v>
      </c>
      <c r="D16474" t="s">
        <v>182</v>
      </c>
      <c r="E16474" t="s">
        <v>10</v>
      </c>
      <c r="F16474">
        <v>62.319999694824219</v>
      </c>
    </row>
    <row r="16475" spans="2:6">
      <c r="B16475">
        <v>2008</v>
      </c>
      <c r="C16475" t="s">
        <v>175</v>
      </c>
      <c r="D16475" t="s">
        <v>182</v>
      </c>
      <c r="E16475" t="s">
        <v>11</v>
      </c>
      <c r="F16475">
        <v>0.83126884698867798</v>
      </c>
    </row>
    <row r="16476" spans="2:6">
      <c r="B16476">
        <v>2008</v>
      </c>
      <c r="C16476" t="s">
        <v>175</v>
      </c>
      <c r="D16476" t="s">
        <v>182</v>
      </c>
      <c r="E16476" t="s">
        <v>12</v>
      </c>
      <c r="F16476">
        <v>-2.3096783086657524E-2</v>
      </c>
    </row>
    <row r="16477" spans="2:6">
      <c r="B16477">
        <v>2008</v>
      </c>
      <c r="C16477" t="s">
        <v>175</v>
      </c>
      <c r="D16477" t="s">
        <v>182</v>
      </c>
      <c r="E16477" t="s">
        <v>14</v>
      </c>
      <c r="F16477">
        <v>0.71368271112442017</v>
      </c>
    </row>
    <row r="16478" spans="2:6">
      <c r="B16478">
        <v>2008</v>
      </c>
      <c r="C16478" t="s">
        <v>175</v>
      </c>
      <c r="D16478" t="s">
        <v>182</v>
      </c>
      <c r="E16478" t="s">
        <v>15</v>
      </c>
      <c r="F16478">
        <v>0.18668240308761597</v>
      </c>
    </row>
    <row r="16479" spans="2:6">
      <c r="B16479">
        <v>2009</v>
      </c>
      <c r="C16479" t="s">
        <v>175</v>
      </c>
      <c r="D16479" t="s">
        <v>182</v>
      </c>
      <c r="E16479" t="s">
        <v>7</v>
      </c>
      <c r="F16479">
        <v>5.2607207298278809</v>
      </c>
    </row>
    <row r="16480" spans="2:6">
      <c r="B16480">
        <v>2009</v>
      </c>
      <c r="C16480" t="s">
        <v>175</v>
      </c>
      <c r="D16480" t="s">
        <v>182</v>
      </c>
      <c r="E16480" t="s">
        <v>8</v>
      </c>
      <c r="F16480">
        <v>8.3999547958374023</v>
      </c>
    </row>
    <row r="16481" spans="2:6">
      <c r="B16481">
        <v>2009</v>
      </c>
      <c r="C16481" t="s">
        <v>175</v>
      </c>
      <c r="D16481" t="s">
        <v>182</v>
      </c>
      <c r="E16481" t="s">
        <v>9</v>
      </c>
      <c r="F16481">
        <v>0.90467798709869385</v>
      </c>
    </row>
    <row r="16482" spans="2:6">
      <c r="B16482">
        <v>2009</v>
      </c>
      <c r="C16482" t="s">
        <v>175</v>
      </c>
      <c r="D16482" t="s">
        <v>182</v>
      </c>
      <c r="E16482" t="s">
        <v>10</v>
      </c>
      <c r="F16482">
        <v>62.759998321533203</v>
      </c>
    </row>
    <row r="16483" spans="2:6">
      <c r="B16483">
        <v>2009</v>
      </c>
      <c r="C16483" t="s">
        <v>175</v>
      </c>
      <c r="D16483" t="s">
        <v>182</v>
      </c>
      <c r="E16483" t="s">
        <v>12</v>
      </c>
      <c r="F16483">
        <v>1.3130784034729004E-2</v>
      </c>
    </row>
    <row r="16484" spans="2:6">
      <c r="B16484">
        <v>2009</v>
      </c>
      <c r="C16484" t="s">
        <v>175</v>
      </c>
      <c r="D16484" t="s">
        <v>182</v>
      </c>
      <c r="E16484" t="s">
        <v>13</v>
      </c>
      <c r="F16484">
        <v>0.61025780439376831</v>
      </c>
    </row>
    <row r="16485" spans="2:6">
      <c r="B16485">
        <v>2009</v>
      </c>
      <c r="C16485" t="s">
        <v>175</v>
      </c>
      <c r="D16485" t="s">
        <v>182</v>
      </c>
      <c r="E16485" t="s">
        <v>14</v>
      </c>
      <c r="F16485">
        <v>0.73555868864059448</v>
      </c>
    </row>
    <row r="16486" spans="2:6">
      <c r="B16486">
        <v>2009</v>
      </c>
      <c r="C16486" t="s">
        <v>175</v>
      </c>
      <c r="D16486" t="s">
        <v>182</v>
      </c>
      <c r="E16486" t="s">
        <v>15</v>
      </c>
      <c r="F16486">
        <v>0.15865655243396759</v>
      </c>
    </row>
    <row r="16487" spans="2:6">
      <c r="B16487">
        <v>2010</v>
      </c>
      <c r="C16487" t="s">
        <v>175</v>
      </c>
      <c r="D16487" t="s">
        <v>182</v>
      </c>
      <c r="E16487" t="s">
        <v>7</v>
      </c>
      <c r="F16487">
        <v>5.0953421592712402</v>
      </c>
    </row>
    <row r="16488" spans="2:6">
      <c r="B16488">
        <v>2010</v>
      </c>
      <c r="C16488" t="s">
        <v>175</v>
      </c>
      <c r="D16488" t="s">
        <v>182</v>
      </c>
      <c r="E16488" t="s">
        <v>8</v>
      </c>
      <c r="F16488">
        <v>8.4449501037597656</v>
      </c>
    </row>
    <row r="16489" spans="2:6">
      <c r="B16489">
        <v>2010</v>
      </c>
      <c r="C16489" t="s">
        <v>175</v>
      </c>
      <c r="D16489" t="s">
        <v>182</v>
      </c>
      <c r="E16489" t="s">
        <v>9</v>
      </c>
      <c r="F16489">
        <v>0.90322643518447876</v>
      </c>
    </row>
    <row r="16490" spans="2:6">
      <c r="B16490">
        <v>2010</v>
      </c>
      <c r="C16490" t="s">
        <v>175</v>
      </c>
      <c r="D16490" t="s">
        <v>182</v>
      </c>
      <c r="E16490" t="s">
        <v>10</v>
      </c>
      <c r="F16490">
        <v>63.200000762939453</v>
      </c>
    </row>
    <row r="16491" spans="2:6">
      <c r="B16491">
        <v>2010</v>
      </c>
      <c r="C16491" t="s">
        <v>175</v>
      </c>
      <c r="D16491" t="s">
        <v>182</v>
      </c>
      <c r="E16491" t="s">
        <v>12</v>
      </c>
      <c r="F16491">
        <v>-3.0089907348155975E-2</v>
      </c>
    </row>
    <row r="16492" spans="2:6">
      <c r="B16492">
        <v>2010</v>
      </c>
      <c r="C16492" t="s">
        <v>175</v>
      </c>
      <c r="D16492" t="s">
        <v>182</v>
      </c>
      <c r="E16492" t="s">
        <v>13</v>
      </c>
      <c r="F16492">
        <v>0.51872020959854126</v>
      </c>
    </row>
    <row r="16493" spans="2:6">
      <c r="B16493">
        <v>2010</v>
      </c>
      <c r="C16493" t="s">
        <v>175</v>
      </c>
      <c r="D16493" t="s">
        <v>182</v>
      </c>
      <c r="E16493" t="s">
        <v>14</v>
      </c>
      <c r="F16493">
        <v>0.77587407827377319</v>
      </c>
    </row>
    <row r="16494" spans="2:6">
      <c r="B16494">
        <v>2010</v>
      </c>
      <c r="C16494" t="s">
        <v>175</v>
      </c>
      <c r="D16494" t="s">
        <v>182</v>
      </c>
      <c r="E16494" t="s">
        <v>15</v>
      </c>
      <c r="F16494">
        <v>0.15188270807266235</v>
      </c>
    </row>
    <row r="16495" spans="2:6">
      <c r="B16495">
        <v>2011</v>
      </c>
      <c r="C16495" t="s">
        <v>175</v>
      </c>
      <c r="D16495" t="s">
        <v>182</v>
      </c>
      <c r="E16495" t="s">
        <v>7</v>
      </c>
      <c r="F16495">
        <v>5.7387442588806152</v>
      </c>
    </row>
    <row r="16496" spans="2:6">
      <c r="B16496">
        <v>2011</v>
      </c>
      <c r="C16496" t="s">
        <v>175</v>
      </c>
      <c r="D16496" t="s">
        <v>182</v>
      </c>
      <c r="E16496" t="s">
        <v>8</v>
      </c>
      <c r="F16496">
        <v>8.493077278137207</v>
      </c>
    </row>
    <row r="16497" spans="2:6">
      <c r="B16497">
        <v>2011</v>
      </c>
      <c r="C16497" t="s">
        <v>175</v>
      </c>
      <c r="D16497" t="s">
        <v>182</v>
      </c>
      <c r="E16497" t="s">
        <v>9</v>
      </c>
      <c r="F16497">
        <v>0.92407125234603882</v>
      </c>
    </row>
    <row r="16498" spans="2:6">
      <c r="B16498">
        <v>2011</v>
      </c>
      <c r="C16498" t="s">
        <v>175</v>
      </c>
      <c r="D16498" t="s">
        <v>182</v>
      </c>
      <c r="E16498" t="s">
        <v>10</v>
      </c>
      <c r="F16498">
        <v>63.400001525878906</v>
      </c>
    </row>
    <row r="16499" spans="2:6">
      <c r="B16499">
        <v>2011</v>
      </c>
      <c r="C16499" t="s">
        <v>175</v>
      </c>
      <c r="D16499" t="s">
        <v>182</v>
      </c>
      <c r="E16499" t="s">
        <v>11</v>
      </c>
      <c r="F16499">
        <v>0.93413269519805908</v>
      </c>
    </row>
    <row r="16500" spans="2:6">
      <c r="B16500">
        <v>2011</v>
      </c>
      <c r="C16500" t="s">
        <v>175</v>
      </c>
      <c r="D16500" t="s">
        <v>182</v>
      </c>
      <c r="E16500" t="s">
        <v>12</v>
      </c>
      <c r="F16500">
        <v>4.2082563042640686E-2</v>
      </c>
    </row>
    <row r="16501" spans="2:6">
      <c r="B16501">
        <v>2011</v>
      </c>
      <c r="C16501" t="s">
        <v>175</v>
      </c>
      <c r="D16501" t="s">
        <v>182</v>
      </c>
      <c r="E16501" t="s">
        <v>13</v>
      </c>
      <c r="F16501">
        <v>0.52186208963394165</v>
      </c>
    </row>
    <row r="16502" spans="2:6">
      <c r="B16502">
        <v>2011</v>
      </c>
      <c r="C16502" t="s">
        <v>175</v>
      </c>
      <c r="D16502" t="s">
        <v>182</v>
      </c>
      <c r="E16502" t="s">
        <v>14</v>
      </c>
      <c r="F16502">
        <v>0.78715378046035767</v>
      </c>
    </row>
    <row r="16503" spans="2:6">
      <c r="B16503">
        <v>2011</v>
      </c>
      <c r="C16503" t="s">
        <v>175</v>
      </c>
      <c r="D16503" t="s">
        <v>182</v>
      </c>
      <c r="E16503" t="s">
        <v>15</v>
      </c>
      <c r="F16503">
        <v>0.12277323752641678</v>
      </c>
    </row>
    <row r="16504" spans="2:6">
      <c r="B16504">
        <v>2012</v>
      </c>
      <c r="C16504" t="s">
        <v>175</v>
      </c>
      <c r="D16504" t="s">
        <v>182</v>
      </c>
      <c r="E16504" t="s">
        <v>7</v>
      </c>
      <c r="F16504">
        <v>6.0193319320678711</v>
      </c>
    </row>
    <row r="16505" spans="2:6">
      <c r="B16505">
        <v>2012</v>
      </c>
      <c r="C16505" t="s">
        <v>175</v>
      </c>
      <c r="D16505" t="s">
        <v>182</v>
      </c>
      <c r="E16505" t="s">
        <v>8</v>
      </c>
      <c r="F16505">
        <v>8.5495195388793945</v>
      </c>
    </row>
    <row r="16506" spans="2:6">
      <c r="B16506">
        <v>2012</v>
      </c>
      <c r="C16506" t="s">
        <v>175</v>
      </c>
      <c r="D16506" t="s">
        <v>182</v>
      </c>
      <c r="E16506" t="s">
        <v>9</v>
      </c>
      <c r="F16506">
        <v>0.93314129114151001</v>
      </c>
    </row>
    <row r="16507" spans="2:6">
      <c r="B16507">
        <v>2012</v>
      </c>
      <c r="C16507" t="s">
        <v>175</v>
      </c>
      <c r="D16507" t="s">
        <v>182</v>
      </c>
      <c r="E16507" t="s">
        <v>10</v>
      </c>
      <c r="F16507">
        <v>63.599998474121094</v>
      </c>
    </row>
    <row r="16508" spans="2:6">
      <c r="B16508">
        <v>2012</v>
      </c>
      <c r="C16508" t="s">
        <v>175</v>
      </c>
      <c r="D16508" t="s">
        <v>182</v>
      </c>
      <c r="E16508" t="s">
        <v>11</v>
      </c>
      <c r="F16508">
        <v>0.91355013847351074</v>
      </c>
    </row>
    <row r="16509" spans="2:6">
      <c r="B16509">
        <v>2012</v>
      </c>
      <c r="C16509" t="s">
        <v>175</v>
      </c>
      <c r="D16509" t="s">
        <v>182</v>
      </c>
      <c r="E16509" t="s">
        <v>12</v>
      </c>
      <c r="F16509">
        <v>-3.7380415946245193E-2</v>
      </c>
    </row>
    <row r="16510" spans="2:6">
      <c r="B16510">
        <v>2012</v>
      </c>
      <c r="C16510" t="s">
        <v>175</v>
      </c>
      <c r="D16510" t="s">
        <v>182</v>
      </c>
      <c r="E16510" t="s">
        <v>13</v>
      </c>
      <c r="F16510">
        <v>0.46337509155273438</v>
      </c>
    </row>
    <row r="16511" spans="2:6">
      <c r="B16511">
        <v>2012</v>
      </c>
      <c r="C16511" t="s">
        <v>175</v>
      </c>
      <c r="D16511" t="s">
        <v>182</v>
      </c>
      <c r="E16511" t="s">
        <v>14</v>
      </c>
      <c r="F16511">
        <v>0.78567880392074585</v>
      </c>
    </row>
    <row r="16512" spans="2:6">
      <c r="B16512">
        <v>2012</v>
      </c>
      <c r="C16512" t="s">
        <v>175</v>
      </c>
      <c r="D16512" t="s">
        <v>182</v>
      </c>
      <c r="E16512" t="s">
        <v>15</v>
      </c>
      <c r="F16512">
        <v>0.11817688494920731</v>
      </c>
    </row>
    <row r="16513" spans="2:6">
      <c r="B16513">
        <v>2013</v>
      </c>
      <c r="C16513" t="s">
        <v>175</v>
      </c>
      <c r="D16513" t="s">
        <v>182</v>
      </c>
      <c r="E16513" t="s">
        <v>7</v>
      </c>
      <c r="F16513">
        <v>5.9399862289428711</v>
      </c>
    </row>
    <row r="16514" spans="2:6">
      <c r="B16514">
        <v>2013</v>
      </c>
      <c r="C16514" t="s">
        <v>175</v>
      </c>
      <c r="D16514" t="s">
        <v>182</v>
      </c>
      <c r="E16514" t="s">
        <v>8</v>
      </c>
      <c r="F16514">
        <v>8.6070079803466797</v>
      </c>
    </row>
    <row r="16515" spans="2:6">
      <c r="B16515">
        <v>2013</v>
      </c>
      <c r="C16515" t="s">
        <v>175</v>
      </c>
      <c r="D16515" t="s">
        <v>182</v>
      </c>
      <c r="E16515" t="s">
        <v>9</v>
      </c>
      <c r="F16515">
        <v>0.9627806544303894</v>
      </c>
    </row>
    <row r="16516" spans="2:6">
      <c r="B16516">
        <v>2013</v>
      </c>
      <c r="C16516" t="s">
        <v>175</v>
      </c>
      <c r="D16516" t="s">
        <v>182</v>
      </c>
      <c r="E16516" t="s">
        <v>10</v>
      </c>
      <c r="F16516">
        <v>63.799999237060547</v>
      </c>
    </row>
    <row r="16517" spans="2:6">
      <c r="B16517">
        <v>2013</v>
      </c>
      <c r="C16517" t="s">
        <v>175</v>
      </c>
      <c r="D16517" t="s">
        <v>182</v>
      </c>
      <c r="E16517" t="s">
        <v>11</v>
      </c>
      <c r="F16517">
        <v>0.94953995943069458</v>
      </c>
    </row>
    <row r="16518" spans="2:6">
      <c r="B16518">
        <v>2013</v>
      </c>
      <c r="C16518" t="s">
        <v>175</v>
      </c>
      <c r="D16518" t="s">
        <v>182</v>
      </c>
      <c r="E16518" t="s">
        <v>12</v>
      </c>
      <c r="F16518">
        <v>-3.404664620757103E-2</v>
      </c>
    </row>
    <row r="16519" spans="2:6">
      <c r="B16519">
        <v>2013</v>
      </c>
      <c r="C16519" t="s">
        <v>175</v>
      </c>
      <c r="D16519" t="s">
        <v>182</v>
      </c>
      <c r="E16519" t="s">
        <v>13</v>
      </c>
      <c r="F16519">
        <v>0.43393179774284363</v>
      </c>
    </row>
    <row r="16520" spans="2:6">
      <c r="B16520">
        <v>2013</v>
      </c>
      <c r="C16520" t="s">
        <v>175</v>
      </c>
      <c r="D16520" t="s">
        <v>182</v>
      </c>
      <c r="E16520" t="s">
        <v>14</v>
      </c>
      <c r="F16520">
        <v>0.74919277429580688</v>
      </c>
    </row>
    <row r="16521" spans="2:6">
      <c r="B16521">
        <v>2013</v>
      </c>
      <c r="C16521" t="s">
        <v>175</v>
      </c>
      <c r="D16521" t="s">
        <v>182</v>
      </c>
      <c r="E16521" t="s">
        <v>15</v>
      </c>
      <c r="F16521">
        <v>0.13019728660583496</v>
      </c>
    </row>
    <row r="16522" spans="2:6">
      <c r="B16522">
        <v>2014</v>
      </c>
      <c r="C16522" t="s">
        <v>175</v>
      </c>
      <c r="D16522" t="s">
        <v>182</v>
      </c>
      <c r="E16522" t="s">
        <v>7</v>
      </c>
      <c r="F16522">
        <v>6.0492124557495117</v>
      </c>
    </row>
    <row r="16523" spans="2:6">
      <c r="B16523">
        <v>2014</v>
      </c>
      <c r="C16523" t="s">
        <v>175</v>
      </c>
      <c r="D16523" t="s">
        <v>182</v>
      </c>
      <c r="E16523" t="s">
        <v>8</v>
      </c>
      <c r="F16523">
        <v>8.6594724655151367</v>
      </c>
    </row>
    <row r="16524" spans="2:6">
      <c r="B16524">
        <v>2014</v>
      </c>
      <c r="C16524" t="s">
        <v>175</v>
      </c>
      <c r="D16524" t="s">
        <v>182</v>
      </c>
      <c r="E16524" t="s">
        <v>9</v>
      </c>
      <c r="F16524">
        <v>0.95240604877471924</v>
      </c>
    </row>
    <row r="16525" spans="2:6">
      <c r="B16525">
        <v>2014</v>
      </c>
      <c r="C16525" t="s">
        <v>175</v>
      </c>
      <c r="D16525" t="s">
        <v>182</v>
      </c>
      <c r="E16525" t="s">
        <v>10</v>
      </c>
      <c r="F16525">
        <v>64</v>
      </c>
    </row>
    <row r="16526" spans="2:6">
      <c r="B16526">
        <v>2014</v>
      </c>
      <c r="C16526" t="s">
        <v>175</v>
      </c>
      <c r="D16526" t="s">
        <v>182</v>
      </c>
      <c r="E16526" t="s">
        <v>11</v>
      </c>
      <c r="F16526">
        <v>0.95448118448257446</v>
      </c>
    </row>
    <row r="16527" spans="2:6">
      <c r="B16527">
        <v>2014</v>
      </c>
      <c r="C16527" t="s">
        <v>175</v>
      </c>
      <c r="D16527" t="s">
        <v>182</v>
      </c>
      <c r="E16527" t="s">
        <v>12</v>
      </c>
      <c r="F16527">
        <v>6.1329182237386703E-2</v>
      </c>
    </row>
    <row r="16528" spans="2:6">
      <c r="B16528">
        <v>2014</v>
      </c>
      <c r="C16528" t="s">
        <v>175</v>
      </c>
      <c r="D16528" t="s">
        <v>182</v>
      </c>
      <c r="E16528" t="s">
        <v>13</v>
      </c>
      <c r="F16528">
        <v>0.53646105527877808</v>
      </c>
    </row>
    <row r="16529" spans="2:6">
      <c r="B16529">
        <v>2014</v>
      </c>
      <c r="C16529" t="s">
        <v>175</v>
      </c>
      <c r="D16529" t="s">
        <v>182</v>
      </c>
      <c r="E16529" t="s">
        <v>14</v>
      </c>
      <c r="F16529">
        <v>0.80454468727111816</v>
      </c>
    </row>
    <row r="16530" spans="2:6">
      <c r="B16530">
        <v>2014</v>
      </c>
      <c r="C16530" t="s">
        <v>175</v>
      </c>
      <c r="D16530" t="s">
        <v>182</v>
      </c>
      <c r="E16530" t="s">
        <v>15</v>
      </c>
      <c r="F16530">
        <v>0.10615817457437515</v>
      </c>
    </row>
    <row r="16531" spans="2:6">
      <c r="B16531">
        <v>2015</v>
      </c>
      <c r="C16531" t="s">
        <v>175</v>
      </c>
      <c r="D16531" t="s">
        <v>182</v>
      </c>
      <c r="E16531" t="s">
        <v>7</v>
      </c>
      <c r="F16531">
        <v>5.9723644256591797</v>
      </c>
    </row>
    <row r="16532" spans="2:6">
      <c r="B16532">
        <v>2015</v>
      </c>
      <c r="C16532" t="s">
        <v>175</v>
      </c>
      <c r="D16532" t="s">
        <v>182</v>
      </c>
      <c r="E16532" t="s">
        <v>8</v>
      </c>
      <c r="F16532">
        <v>8.7138643264770508</v>
      </c>
    </row>
    <row r="16533" spans="2:6">
      <c r="B16533">
        <v>2015</v>
      </c>
      <c r="C16533" t="s">
        <v>175</v>
      </c>
      <c r="D16533" t="s">
        <v>182</v>
      </c>
      <c r="E16533" t="s">
        <v>9</v>
      </c>
      <c r="F16533">
        <v>0.96822524070739746</v>
      </c>
    </row>
    <row r="16534" spans="2:6">
      <c r="B16534">
        <v>2015</v>
      </c>
      <c r="C16534" t="s">
        <v>175</v>
      </c>
      <c r="D16534" t="s">
        <v>182</v>
      </c>
      <c r="E16534" t="s">
        <v>10</v>
      </c>
      <c r="F16534">
        <v>64.199996948242188</v>
      </c>
    </row>
    <row r="16535" spans="2:6">
      <c r="B16535">
        <v>2015</v>
      </c>
      <c r="C16535" t="s">
        <v>175</v>
      </c>
      <c r="D16535" t="s">
        <v>182</v>
      </c>
      <c r="E16535" t="s">
        <v>11</v>
      </c>
      <c r="F16535">
        <v>0.97993713617324829</v>
      </c>
    </row>
    <row r="16536" spans="2:6">
      <c r="B16536">
        <v>2015</v>
      </c>
      <c r="C16536" t="s">
        <v>175</v>
      </c>
      <c r="D16536" t="s">
        <v>182</v>
      </c>
      <c r="E16536" t="s">
        <v>12</v>
      </c>
      <c r="F16536">
        <v>0.37466803193092346</v>
      </c>
    </row>
    <row r="16537" spans="2:6">
      <c r="B16537">
        <v>2015</v>
      </c>
      <c r="C16537" t="s">
        <v>175</v>
      </c>
      <c r="D16537" t="s">
        <v>182</v>
      </c>
      <c r="E16537" t="s">
        <v>13</v>
      </c>
      <c r="F16537">
        <v>0.47091692686080933</v>
      </c>
    </row>
    <row r="16538" spans="2:6">
      <c r="B16538">
        <v>2015</v>
      </c>
      <c r="C16538" t="s">
        <v>175</v>
      </c>
      <c r="D16538" t="s">
        <v>182</v>
      </c>
      <c r="E16538" t="s">
        <v>14</v>
      </c>
      <c r="F16538">
        <v>0.83998054265975952</v>
      </c>
    </row>
    <row r="16539" spans="2:6">
      <c r="B16539">
        <v>2015</v>
      </c>
      <c r="C16539" t="s">
        <v>175</v>
      </c>
      <c r="D16539" t="s">
        <v>182</v>
      </c>
      <c r="E16539" t="s">
        <v>15</v>
      </c>
      <c r="F16539">
        <v>0.10349379479885101</v>
      </c>
    </row>
    <row r="16540" spans="2:6">
      <c r="B16540">
        <v>2016</v>
      </c>
      <c r="C16540" t="s">
        <v>175</v>
      </c>
      <c r="D16540" t="s">
        <v>182</v>
      </c>
      <c r="E16540" t="s">
        <v>7</v>
      </c>
      <c r="F16540">
        <v>5.8925390243530273</v>
      </c>
    </row>
    <row r="16541" spans="2:6">
      <c r="B16541">
        <v>2016</v>
      </c>
      <c r="C16541" t="s">
        <v>175</v>
      </c>
      <c r="D16541" t="s">
        <v>182</v>
      </c>
      <c r="E16541" t="s">
        <v>8</v>
      </c>
      <c r="F16541">
        <v>8.7556324005126953</v>
      </c>
    </row>
    <row r="16542" spans="2:6">
      <c r="B16542">
        <v>2016</v>
      </c>
      <c r="C16542" t="s">
        <v>175</v>
      </c>
      <c r="D16542" t="s">
        <v>182</v>
      </c>
      <c r="E16542" t="s">
        <v>9</v>
      </c>
      <c r="F16542">
        <v>0.94510215520858765</v>
      </c>
    </row>
    <row r="16543" spans="2:6">
      <c r="B16543">
        <v>2016</v>
      </c>
      <c r="C16543" t="s">
        <v>175</v>
      </c>
      <c r="D16543" t="s">
        <v>182</v>
      </c>
      <c r="E16543" t="s">
        <v>10</v>
      </c>
      <c r="F16543">
        <v>64.5</v>
      </c>
    </row>
    <row r="16544" spans="2:6">
      <c r="B16544">
        <v>2016</v>
      </c>
      <c r="C16544" t="s">
        <v>175</v>
      </c>
      <c r="D16544" t="s">
        <v>182</v>
      </c>
      <c r="E16544" t="s">
        <v>11</v>
      </c>
      <c r="F16544">
        <v>0.98380303382873535</v>
      </c>
    </row>
    <row r="16545" spans="2:6">
      <c r="B16545">
        <v>2016</v>
      </c>
      <c r="C16545" t="s">
        <v>175</v>
      </c>
      <c r="D16545" t="s">
        <v>182</v>
      </c>
      <c r="E16545" t="s">
        <v>12</v>
      </c>
      <c r="F16545">
        <v>0.20819287002086639</v>
      </c>
    </row>
    <row r="16546" spans="2:6">
      <c r="B16546">
        <v>2016</v>
      </c>
      <c r="C16546" t="s">
        <v>175</v>
      </c>
      <c r="D16546" t="s">
        <v>182</v>
      </c>
      <c r="E16546" t="s">
        <v>14</v>
      </c>
      <c r="F16546">
        <v>0.84167629480361938</v>
      </c>
    </row>
    <row r="16547" spans="2:6">
      <c r="B16547">
        <v>2016</v>
      </c>
      <c r="C16547" t="s">
        <v>175</v>
      </c>
      <c r="D16547" t="s">
        <v>182</v>
      </c>
      <c r="E16547" t="s">
        <v>15</v>
      </c>
      <c r="F16547">
        <v>0.14689765870571136</v>
      </c>
    </row>
    <row r="16548" spans="2:6">
      <c r="B16548">
        <v>2017</v>
      </c>
      <c r="C16548" t="s">
        <v>175</v>
      </c>
      <c r="D16548" t="s">
        <v>182</v>
      </c>
      <c r="E16548" t="s">
        <v>7</v>
      </c>
      <c r="F16548">
        <v>6.42144775390625</v>
      </c>
    </row>
    <row r="16549" spans="2:6">
      <c r="B16549">
        <v>2017</v>
      </c>
      <c r="C16549" t="s">
        <v>175</v>
      </c>
      <c r="D16549" t="s">
        <v>182</v>
      </c>
      <c r="E16549" t="s">
        <v>8</v>
      </c>
      <c r="F16549">
        <v>8.7824459075927734</v>
      </c>
    </row>
    <row r="16550" spans="2:6">
      <c r="B16550">
        <v>2017</v>
      </c>
      <c r="C16550" t="s">
        <v>175</v>
      </c>
      <c r="D16550" t="s">
        <v>182</v>
      </c>
      <c r="E16550" t="s">
        <v>9</v>
      </c>
      <c r="F16550">
        <v>0.94213110208511353</v>
      </c>
    </row>
    <row r="16551" spans="2:6">
      <c r="B16551">
        <v>2017</v>
      </c>
      <c r="C16551" t="s">
        <v>175</v>
      </c>
      <c r="D16551" t="s">
        <v>182</v>
      </c>
      <c r="E16551" t="s">
        <v>10</v>
      </c>
      <c r="F16551">
        <v>64.800003051757813</v>
      </c>
    </row>
    <row r="16552" spans="2:6">
      <c r="B16552">
        <v>2017</v>
      </c>
      <c r="C16552" t="s">
        <v>175</v>
      </c>
      <c r="D16552" t="s">
        <v>182</v>
      </c>
      <c r="E16552" t="s">
        <v>11</v>
      </c>
      <c r="F16552">
        <v>0.98517775535583496</v>
      </c>
    </row>
    <row r="16553" spans="2:6">
      <c r="B16553">
        <v>2017</v>
      </c>
      <c r="C16553" t="s">
        <v>175</v>
      </c>
      <c r="D16553" t="s">
        <v>182</v>
      </c>
      <c r="E16553" t="s">
        <v>12</v>
      </c>
      <c r="F16553">
        <v>0.12252409756183624</v>
      </c>
    </row>
    <row r="16554" spans="2:6">
      <c r="B16554">
        <v>2017</v>
      </c>
      <c r="C16554" t="s">
        <v>175</v>
      </c>
      <c r="D16554" t="s">
        <v>182</v>
      </c>
      <c r="E16554" t="s">
        <v>13</v>
      </c>
      <c r="F16554">
        <v>0.46464160084724426</v>
      </c>
    </row>
    <row r="16555" spans="2:6">
      <c r="B16555">
        <v>2017</v>
      </c>
      <c r="C16555" t="s">
        <v>175</v>
      </c>
      <c r="D16555" t="s">
        <v>182</v>
      </c>
      <c r="E16555" t="s">
        <v>14</v>
      </c>
      <c r="F16555">
        <v>0.83898907899856567</v>
      </c>
    </row>
    <row r="16556" spans="2:6">
      <c r="B16556">
        <v>2017</v>
      </c>
      <c r="C16556" t="s">
        <v>175</v>
      </c>
      <c r="D16556" t="s">
        <v>182</v>
      </c>
      <c r="E16556" t="s">
        <v>15</v>
      </c>
      <c r="F16556">
        <v>0.20273749530315399</v>
      </c>
    </row>
    <row r="16557" spans="2:6">
      <c r="B16557">
        <v>2018</v>
      </c>
      <c r="C16557" t="s">
        <v>175</v>
      </c>
      <c r="D16557" t="s">
        <v>182</v>
      </c>
      <c r="E16557" t="s">
        <v>7</v>
      </c>
      <c r="F16557">
        <v>6.2054600715637207</v>
      </c>
    </row>
    <row r="16558" spans="2:6">
      <c r="B16558">
        <v>2018</v>
      </c>
      <c r="C16558" t="s">
        <v>175</v>
      </c>
      <c r="D16558" t="s">
        <v>182</v>
      </c>
      <c r="E16558" t="s">
        <v>8</v>
      </c>
      <c r="F16558">
        <v>8.8181095123291016</v>
      </c>
    </row>
    <row r="16559" spans="2:6">
      <c r="B16559">
        <v>2018</v>
      </c>
      <c r="C16559" t="s">
        <v>175</v>
      </c>
      <c r="D16559" t="s">
        <v>182</v>
      </c>
      <c r="E16559" t="s">
        <v>9</v>
      </c>
      <c r="F16559">
        <v>0.92082101106643677</v>
      </c>
    </row>
    <row r="16560" spans="2:6">
      <c r="B16560">
        <v>2018</v>
      </c>
      <c r="C16560" t="s">
        <v>175</v>
      </c>
      <c r="D16560" t="s">
        <v>182</v>
      </c>
      <c r="E16560" t="s">
        <v>10</v>
      </c>
      <c r="F16560">
        <v>65.099998474121094</v>
      </c>
    </row>
    <row r="16561" spans="2:6">
      <c r="B16561">
        <v>2018</v>
      </c>
      <c r="C16561" t="s">
        <v>175</v>
      </c>
      <c r="D16561" t="s">
        <v>182</v>
      </c>
      <c r="E16561" t="s">
        <v>11</v>
      </c>
      <c r="F16561">
        <v>0.96989798545837402</v>
      </c>
    </row>
    <row r="16562" spans="2:6">
      <c r="B16562">
        <v>2018</v>
      </c>
      <c r="C16562" t="s">
        <v>175</v>
      </c>
      <c r="D16562" t="s">
        <v>182</v>
      </c>
      <c r="E16562" t="s">
        <v>12</v>
      </c>
      <c r="F16562">
        <v>0.31758502125740051</v>
      </c>
    </row>
    <row r="16563" spans="2:6">
      <c r="B16563">
        <v>2018</v>
      </c>
      <c r="C16563" t="s">
        <v>175</v>
      </c>
      <c r="D16563" t="s">
        <v>182</v>
      </c>
      <c r="E16563" t="s">
        <v>13</v>
      </c>
      <c r="F16563">
        <v>0.52036011219024658</v>
      </c>
    </row>
    <row r="16564" spans="2:6">
      <c r="B16564">
        <v>2018</v>
      </c>
      <c r="C16564" t="s">
        <v>175</v>
      </c>
      <c r="D16564" t="s">
        <v>182</v>
      </c>
      <c r="E16564" t="s">
        <v>14</v>
      </c>
      <c r="F16564">
        <v>0.82542157173156738</v>
      </c>
    </row>
    <row r="16565" spans="2:6">
      <c r="B16565">
        <v>2018</v>
      </c>
      <c r="C16565" t="s">
        <v>175</v>
      </c>
      <c r="D16565" t="s">
        <v>182</v>
      </c>
      <c r="E16565" t="s">
        <v>15</v>
      </c>
      <c r="F16565">
        <v>0.2086603045463562</v>
      </c>
    </row>
    <row r="16566" spans="2:6">
      <c r="B16566">
        <v>2019</v>
      </c>
      <c r="C16566" t="s">
        <v>175</v>
      </c>
      <c r="D16566" t="s">
        <v>182</v>
      </c>
      <c r="E16566" t="s">
        <v>7</v>
      </c>
      <c r="F16566">
        <v>6.1540493965148926</v>
      </c>
    </row>
    <row r="16567" spans="2:6">
      <c r="B16567">
        <v>2019</v>
      </c>
      <c r="C16567" t="s">
        <v>175</v>
      </c>
      <c r="D16567" t="s">
        <v>182</v>
      </c>
      <c r="E16567" t="s">
        <v>8</v>
      </c>
      <c r="F16567">
        <v>8.853480339050293</v>
      </c>
    </row>
    <row r="16568" spans="2:6">
      <c r="B16568">
        <v>2019</v>
      </c>
      <c r="C16568" t="s">
        <v>175</v>
      </c>
      <c r="D16568" t="s">
        <v>182</v>
      </c>
      <c r="E16568" t="s">
        <v>9</v>
      </c>
      <c r="F16568">
        <v>0.9152759313583374</v>
      </c>
    </row>
    <row r="16569" spans="2:6">
      <c r="B16569">
        <v>2019</v>
      </c>
      <c r="C16569" t="s">
        <v>175</v>
      </c>
      <c r="D16569" t="s">
        <v>182</v>
      </c>
      <c r="E16569" t="s">
        <v>10</v>
      </c>
      <c r="F16569">
        <v>65.400001525878906</v>
      </c>
    </row>
    <row r="16570" spans="2:6">
      <c r="B16570">
        <v>2019</v>
      </c>
      <c r="C16570" t="s">
        <v>175</v>
      </c>
      <c r="D16570" t="s">
        <v>182</v>
      </c>
      <c r="E16570" t="s">
        <v>11</v>
      </c>
      <c r="F16570">
        <v>0.9702945351600647</v>
      </c>
    </row>
    <row r="16571" spans="2:6">
      <c r="B16571">
        <v>2019</v>
      </c>
      <c r="C16571" t="s">
        <v>175</v>
      </c>
      <c r="D16571" t="s">
        <v>182</v>
      </c>
      <c r="E16571" t="s">
        <v>12</v>
      </c>
      <c r="F16571">
        <v>0.30429759621620178</v>
      </c>
    </row>
    <row r="16572" spans="2:6">
      <c r="B16572">
        <v>2019</v>
      </c>
      <c r="C16572" t="s">
        <v>175</v>
      </c>
      <c r="D16572" t="s">
        <v>182</v>
      </c>
      <c r="E16572" t="s">
        <v>13</v>
      </c>
      <c r="F16572">
        <v>0.51119685173034668</v>
      </c>
    </row>
    <row r="16573" spans="2:6">
      <c r="B16573">
        <v>2019</v>
      </c>
      <c r="C16573" t="s">
        <v>175</v>
      </c>
      <c r="D16573" t="s">
        <v>182</v>
      </c>
      <c r="E16573" t="s">
        <v>14</v>
      </c>
      <c r="F16573">
        <v>0.84480851888656616</v>
      </c>
    </row>
    <row r="16574" spans="2:6">
      <c r="B16574">
        <v>2019</v>
      </c>
      <c r="C16574" t="s">
        <v>175</v>
      </c>
      <c r="D16574" t="s">
        <v>182</v>
      </c>
      <c r="E16574" t="s">
        <v>15</v>
      </c>
      <c r="F16574">
        <v>0.21974551677703857</v>
      </c>
    </row>
    <row r="16575" spans="2:6">
      <c r="B16575">
        <v>2005</v>
      </c>
      <c r="C16575" t="s">
        <v>176</v>
      </c>
      <c r="D16575" t="s">
        <v>185</v>
      </c>
      <c r="E16575" t="s">
        <v>7</v>
      </c>
      <c r="F16575">
        <v>7.1696209907531738</v>
      </c>
    </row>
    <row r="16576" spans="2:6">
      <c r="B16576">
        <v>2005</v>
      </c>
      <c r="C16576" t="s">
        <v>176</v>
      </c>
      <c r="D16576" t="s">
        <v>185</v>
      </c>
      <c r="E16576" t="s">
        <v>8</v>
      </c>
      <c r="F16576">
        <v>9.3130960464477539</v>
      </c>
    </row>
    <row r="16577" spans="2:6">
      <c r="B16577">
        <v>2005</v>
      </c>
      <c r="C16577" t="s">
        <v>176</v>
      </c>
      <c r="D16577" t="s">
        <v>185</v>
      </c>
      <c r="E16577" t="s">
        <v>9</v>
      </c>
      <c r="F16577">
        <v>0.95527845621109009</v>
      </c>
    </row>
    <row r="16578" spans="2:6">
      <c r="B16578">
        <v>2005</v>
      </c>
      <c r="C16578" t="s">
        <v>176</v>
      </c>
      <c r="D16578" t="s">
        <v>185</v>
      </c>
      <c r="E16578" t="s">
        <v>10</v>
      </c>
      <c r="F16578">
        <v>65.400001525878906</v>
      </c>
    </row>
    <row r="16579" spans="2:6">
      <c r="B16579">
        <v>2005</v>
      </c>
      <c r="C16579" t="s">
        <v>176</v>
      </c>
      <c r="D16579" t="s">
        <v>185</v>
      </c>
      <c r="E16579" t="s">
        <v>11</v>
      </c>
      <c r="F16579">
        <v>0.83819800615310669</v>
      </c>
    </row>
    <row r="16580" spans="2:6">
      <c r="B16580">
        <v>2005</v>
      </c>
      <c r="C16580" t="s">
        <v>176</v>
      </c>
      <c r="D16580" t="s">
        <v>185</v>
      </c>
      <c r="E16580" t="s">
        <v>13</v>
      </c>
      <c r="F16580">
        <v>0.71980005502700806</v>
      </c>
    </row>
    <row r="16581" spans="2:6">
      <c r="B16581">
        <v>2005</v>
      </c>
      <c r="C16581" t="s">
        <v>176</v>
      </c>
      <c r="D16581" t="s">
        <v>185</v>
      </c>
      <c r="E16581" t="s">
        <v>14</v>
      </c>
      <c r="F16581">
        <v>0.81906521320343018</v>
      </c>
    </row>
    <row r="16582" spans="2:6">
      <c r="B16582">
        <v>2005</v>
      </c>
      <c r="C16582" t="s">
        <v>176</v>
      </c>
      <c r="D16582" t="s">
        <v>185</v>
      </c>
      <c r="E16582" t="s">
        <v>15</v>
      </c>
      <c r="F16582">
        <v>0.23301368951797485</v>
      </c>
    </row>
    <row r="16583" spans="2:6">
      <c r="B16583">
        <v>2006</v>
      </c>
      <c r="C16583" t="s">
        <v>176</v>
      </c>
      <c r="D16583" t="s">
        <v>185</v>
      </c>
      <c r="E16583" t="s">
        <v>7</v>
      </c>
      <c r="F16583">
        <v>6.5251460075378418</v>
      </c>
    </row>
    <row r="16584" spans="2:6">
      <c r="B16584">
        <v>2006</v>
      </c>
      <c r="C16584" t="s">
        <v>176</v>
      </c>
      <c r="D16584" t="s">
        <v>185</v>
      </c>
      <c r="E16584" t="s">
        <v>8</v>
      </c>
      <c r="F16584">
        <v>9.4595222473144531</v>
      </c>
    </row>
    <row r="16585" spans="2:6">
      <c r="B16585">
        <v>2006</v>
      </c>
      <c r="C16585" t="s">
        <v>176</v>
      </c>
      <c r="D16585" t="s">
        <v>185</v>
      </c>
      <c r="E16585" t="s">
        <v>9</v>
      </c>
      <c r="F16585">
        <v>0.94630986452102661</v>
      </c>
    </row>
    <row r="16586" spans="2:6">
      <c r="B16586">
        <v>2006</v>
      </c>
      <c r="C16586" t="s">
        <v>176</v>
      </c>
      <c r="D16586" t="s">
        <v>185</v>
      </c>
      <c r="E16586" t="s">
        <v>10</v>
      </c>
      <c r="F16586">
        <v>65.459999084472656</v>
      </c>
    </row>
    <row r="16587" spans="2:6">
      <c r="B16587">
        <v>2006</v>
      </c>
      <c r="C16587" t="s">
        <v>176</v>
      </c>
      <c r="D16587" t="s">
        <v>185</v>
      </c>
      <c r="E16587" t="s">
        <v>11</v>
      </c>
      <c r="F16587">
        <v>0.79828083515167236</v>
      </c>
    </row>
    <row r="16588" spans="2:6">
      <c r="B16588">
        <v>2006</v>
      </c>
      <c r="C16588" t="s">
        <v>176</v>
      </c>
      <c r="D16588" t="s">
        <v>185</v>
      </c>
      <c r="E16588" t="s">
        <v>12</v>
      </c>
      <c r="F16588">
        <v>-3.1057080253958702E-2</v>
      </c>
    </row>
    <row r="16589" spans="2:6">
      <c r="B16589">
        <v>2006</v>
      </c>
      <c r="C16589" t="s">
        <v>176</v>
      </c>
      <c r="D16589" t="s">
        <v>185</v>
      </c>
      <c r="E16589" t="s">
        <v>13</v>
      </c>
      <c r="F16589">
        <v>0.64617091417312622</v>
      </c>
    </row>
    <row r="16590" spans="2:6">
      <c r="B16590">
        <v>2006</v>
      </c>
      <c r="C16590" t="s">
        <v>176</v>
      </c>
      <c r="D16590" t="s">
        <v>185</v>
      </c>
      <c r="E16590" t="s">
        <v>14</v>
      </c>
      <c r="F16590">
        <v>0.85895562171936035</v>
      </c>
    </row>
    <row r="16591" spans="2:6">
      <c r="B16591">
        <v>2006</v>
      </c>
      <c r="C16591" t="s">
        <v>176</v>
      </c>
      <c r="D16591" t="s">
        <v>185</v>
      </c>
      <c r="E16591" t="s">
        <v>15</v>
      </c>
      <c r="F16591">
        <v>0.17848293483257294</v>
      </c>
    </row>
    <row r="16592" spans="2:6">
      <c r="B16592">
        <v>2008</v>
      </c>
      <c r="C16592" t="s">
        <v>176</v>
      </c>
      <c r="D16592" t="s">
        <v>185</v>
      </c>
      <c r="E16592" t="s">
        <v>7</v>
      </c>
      <c r="F16592">
        <v>6.2577714920043945</v>
      </c>
    </row>
    <row r="16593" spans="2:6">
      <c r="B16593">
        <v>2008</v>
      </c>
      <c r="C16593" t="s">
        <v>176</v>
      </c>
      <c r="D16593" t="s">
        <v>185</v>
      </c>
      <c r="E16593" t="s">
        <v>8</v>
      </c>
      <c r="F16593">
        <v>9.700688362121582</v>
      </c>
    </row>
    <row r="16594" spans="2:6">
      <c r="B16594">
        <v>2008</v>
      </c>
      <c r="C16594" t="s">
        <v>176</v>
      </c>
      <c r="D16594" t="s">
        <v>185</v>
      </c>
      <c r="E16594" t="s">
        <v>9</v>
      </c>
      <c r="F16594">
        <v>0.92243385314941406</v>
      </c>
    </row>
    <row r="16595" spans="2:6">
      <c r="B16595">
        <v>2008</v>
      </c>
      <c r="C16595" t="s">
        <v>176</v>
      </c>
      <c r="D16595" t="s">
        <v>185</v>
      </c>
      <c r="E16595" t="s">
        <v>10</v>
      </c>
      <c r="F16595">
        <v>65.580001831054688</v>
      </c>
    </row>
    <row r="16596" spans="2:6">
      <c r="B16596">
        <v>2008</v>
      </c>
      <c r="C16596" t="s">
        <v>176</v>
      </c>
      <c r="D16596" t="s">
        <v>185</v>
      </c>
      <c r="E16596" t="s">
        <v>11</v>
      </c>
      <c r="F16596">
        <v>0.67840051651000977</v>
      </c>
    </row>
    <row r="16597" spans="2:6">
      <c r="B16597">
        <v>2008</v>
      </c>
      <c r="C16597" t="s">
        <v>176</v>
      </c>
      <c r="D16597" t="s">
        <v>185</v>
      </c>
      <c r="E16597" t="s">
        <v>12</v>
      </c>
      <c r="F16597">
        <v>-0.22500261664390564</v>
      </c>
    </row>
    <row r="16598" spans="2:6">
      <c r="B16598">
        <v>2008</v>
      </c>
      <c r="C16598" t="s">
        <v>176</v>
      </c>
      <c r="D16598" t="s">
        <v>185</v>
      </c>
      <c r="E16598" t="s">
        <v>13</v>
      </c>
      <c r="F16598">
        <v>0.77610260248184204</v>
      </c>
    </row>
    <row r="16599" spans="2:6">
      <c r="B16599">
        <v>2008</v>
      </c>
      <c r="C16599" t="s">
        <v>176</v>
      </c>
      <c r="D16599" t="s">
        <v>185</v>
      </c>
      <c r="E16599" t="s">
        <v>14</v>
      </c>
      <c r="F16599">
        <v>0.80152970552444458</v>
      </c>
    </row>
    <row r="16600" spans="2:6">
      <c r="B16600">
        <v>2008</v>
      </c>
      <c r="C16600" t="s">
        <v>176</v>
      </c>
      <c r="D16600" t="s">
        <v>185</v>
      </c>
      <c r="E16600" t="s">
        <v>15</v>
      </c>
      <c r="F16600">
        <v>0.22419074177742004</v>
      </c>
    </row>
    <row r="16601" spans="2:6">
      <c r="B16601">
        <v>2009</v>
      </c>
      <c r="C16601" t="s">
        <v>176</v>
      </c>
      <c r="D16601" t="s">
        <v>185</v>
      </c>
      <c r="E16601" t="s">
        <v>7</v>
      </c>
      <c r="F16601">
        <v>7.1888031959533691</v>
      </c>
    </row>
    <row r="16602" spans="2:6">
      <c r="B16602">
        <v>2009</v>
      </c>
      <c r="C16602" t="s">
        <v>176</v>
      </c>
      <c r="D16602" t="s">
        <v>185</v>
      </c>
      <c r="E16602" t="s">
        <v>8</v>
      </c>
      <c r="F16602">
        <v>9.5423431396484375</v>
      </c>
    </row>
    <row r="16603" spans="2:6">
      <c r="B16603">
        <v>2009</v>
      </c>
      <c r="C16603" t="s">
        <v>176</v>
      </c>
      <c r="D16603" t="s">
        <v>185</v>
      </c>
      <c r="E16603" t="s">
        <v>9</v>
      </c>
      <c r="F16603">
        <v>0.94454097747802734</v>
      </c>
    </row>
    <row r="16604" spans="2:6">
      <c r="B16604">
        <v>2009</v>
      </c>
      <c r="C16604" t="s">
        <v>176</v>
      </c>
      <c r="D16604" t="s">
        <v>185</v>
      </c>
      <c r="E16604" t="s">
        <v>10</v>
      </c>
      <c r="F16604">
        <v>65.639999389648438</v>
      </c>
    </row>
    <row r="16605" spans="2:6">
      <c r="B16605">
        <v>2009</v>
      </c>
      <c r="C16605" t="s">
        <v>176</v>
      </c>
      <c r="D16605" t="s">
        <v>185</v>
      </c>
      <c r="E16605" t="s">
        <v>11</v>
      </c>
      <c r="F16605">
        <v>0.67688566446304321</v>
      </c>
    </row>
    <row r="16606" spans="2:6">
      <c r="B16606">
        <v>2009</v>
      </c>
      <c r="C16606" t="s">
        <v>176</v>
      </c>
      <c r="D16606" t="s">
        <v>185</v>
      </c>
      <c r="E16606" t="s">
        <v>12</v>
      </c>
      <c r="F16606">
        <v>-0.11636479943990707</v>
      </c>
    </row>
    <row r="16607" spans="2:6">
      <c r="B16607">
        <v>2009</v>
      </c>
      <c r="C16607" t="s">
        <v>176</v>
      </c>
      <c r="D16607" t="s">
        <v>185</v>
      </c>
      <c r="E16607" t="s">
        <v>13</v>
      </c>
      <c r="F16607">
        <v>0.82759368419647217</v>
      </c>
    </row>
    <row r="16608" spans="2:6">
      <c r="B16608">
        <v>2009</v>
      </c>
      <c r="C16608" t="s">
        <v>176</v>
      </c>
      <c r="D16608" t="s">
        <v>185</v>
      </c>
      <c r="E16608" t="s">
        <v>14</v>
      </c>
      <c r="F16608">
        <v>0.82488453388214111</v>
      </c>
    </row>
    <row r="16609" spans="2:6">
      <c r="B16609">
        <v>2009</v>
      </c>
      <c r="C16609" t="s">
        <v>176</v>
      </c>
      <c r="D16609" t="s">
        <v>185</v>
      </c>
      <c r="E16609" t="s">
        <v>15</v>
      </c>
      <c r="F16609">
        <v>0.18022641539573669</v>
      </c>
    </row>
    <row r="16610" spans="2:6">
      <c r="B16610">
        <v>2010</v>
      </c>
      <c r="C16610" t="s">
        <v>176</v>
      </c>
      <c r="D16610" t="s">
        <v>185</v>
      </c>
      <c r="E16610" t="s">
        <v>7</v>
      </c>
      <c r="F16610">
        <v>7.47845458984375</v>
      </c>
    </row>
    <row r="16611" spans="2:6">
      <c r="B16611">
        <v>2010</v>
      </c>
      <c r="C16611" t="s">
        <v>176</v>
      </c>
      <c r="D16611" t="s">
        <v>185</v>
      </c>
      <c r="E16611" t="s">
        <v>8</v>
      </c>
      <c r="F16611">
        <v>9.7165546417236328</v>
      </c>
    </row>
    <row r="16612" spans="2:6">
      <c r="B16612">
        <v>2010</v>
      </c>
      <c r="C16612" t="s">
        <v>176</v>
      </c>
      <c r="D16612" t="s">
        <v>185</v>
      </c>
      <c r="E16612" t="s">
        <v>9</v>
      </c>
      <c r="F16612">
        <v>0.93157583475112915</v>
      </c>
    </row>
    <row r="16613" spans="2:6">
      <c r="B16613">
        <v>2010</v>
      </c>
      <c r="C16613" t="s">
        <v>176</v>
      </c>
      <c r="D16613" t="s">
        <v>185</v>
      </c>
      <c r="E16613" t="s">
        <v>10</v>
      </c>
      <c r="F16613">
        <v>65.699996948242188</v>
      </c>
    </row>
    <row r="16614" spans="2:6">
      <c r="B16614">
        <v>2010</v>
      </c>
      <c r="C16614" t="s">
        <v>176</v>
      </c>
      <c r="D16614" t="s">
        <v>185</v>
      </c>
      <c r="E16614" t="s">
        <v>11</v>
      </c>
      <c r="F16614">
        <v>0.76825696229934692</v>
      </c>
    </row>
    <row r="16615" spans="2:6">
      <c r="B16615">
        <v>2010</v>
      </c>
      <c r="C16615" t="s">
        <v>176</v>
      </c>
      <c r="D16615" t="s">
        <v>185</v>
      </c>
      <c r="E16615" t="s">
        <v>12</v>
      </c>
      <c r="F16615">
        <v>-0.15488344430923462</v>
      </c>
    </row>
    <row r="16616" spans="2:6">
      <c r="B16616">
        <v>2010</v>
      </c>
      <c r="C16616" t="s">
        <v>176</v>
      </c>
      <c r="D16616" t="s">
        <v>185</v>
      </c>
      <c r="E16616" t="s">
        <v>13</v>
      </c>
      <c r="F16616">
        <v>0.75426894426345825</v>
      </c>
    </row>
    <row r="16617" spans="2:6">
      <c r="B16617">
        <v>2010</v>
      </c>
      <c r="C16617" t="s">
        <v>176</v>
      </c>
      <c r="D16617" t="s">
        <v>185</v>
      </c>
      <c r="E16617" t="s">
        <v>14</v>
      </c>
      <c r="F16617">
        <v>0.86152231693267822</v>
      </c>
    </row>
    <row r="16618" spans="2:6">
      <c r="B16618">
        <v>2010</v>
      </c>
      <c r="C16618" t="s">
        <v>176</v>
      </c>
      <c r="D16618" t="s">
        <v>185</v>
      </c>
      <c r="E16618" t="s">
        <v>15</v>
      </c>
      <c r="F16618">
        <v>0.1296858936548233</v>
      </c>
    </row>
    <row r="16619" spans="2:6">
      <c r="B16619">
        <v>2011</v>
      </c>
      <c r="C16619" t="s">
        <v>176</v>
      </c>
      <c r="D16619" t="s">
        <v>185</v>
      </c>
      <c r="E16619" t="s">
        <v>7</v>
      </c>
      <c r="F16619">
        <v>6.5797891616821289</v>
      </c>
    </row>
    <row r="16620" spans="2:6">
      <c r="B16620">
        <v>2011</v>
      </c>
      <c r="C16620" t="s">
        <v>176</v>
      </c>
      <c r="D16620" t="s">
        <v>185</v>
      </c>
      <c r="E16620" t="s">
        <v>8</v>
      </c>
      <c r="F16620">
        <v>9.822392463684082</v>
      </c>
    </row>
    <row r="16621" spans="2:6">
      <c r="B16621">
        <v>2011</v>
      </c>
      <c r="C16621" t="s">
        <v>176</v>
      </c>
      <c r="D16621" t="s">
        <v>185</v>
      </c>
      <c r="E16621" t="s">
        <v>9</v>
      </c>
      <c r="F16621">
        <v>0.93061989545822144</v>
      </c>
    </row>
    <row r="16622" spans="2:6">
      <c r="B16622">
        <v>2011</v>
      </c>
      <c r="C16622" t="s">
        <v>176</v>
      </c>
      <c r="D16622" t="s">
        <v>185</v>
      </c>
      <c r="E16622" t="s">
        <v>10</v>
      </c>
      <c r="F16622">
        <v>65.739997863769531</v>
      </c>
    </row>
    <row r="16623" spans="2:6">
      <c r="B16623">
        <v>2011</v>
      </c>
      <c r="C16623" t="s">
        <v>176</v>
      </c>
      <c r="D16623" t="s">
        <v>185</v>
      </c>
      <c r="E16623" t="s">
        <v>11</v>
      </c>
      <c r="F16623">
        <v>0.76633501052856445</v>
      </c>
    </row>
    <row r="16624" spans="2:6">
      <c r="B16624">
        <v>2011</v>
      </c>
      <c r="C16624" t="s">
        <v>176</v>
      </c>
      <c r="D16624" t="s">
        <v>185</v>
      </c>
      <c r="E16624" t="s">
        <v>12</v>
      </c>
      <c r="F16624">
        <v>-0.22638675570487976</v>
      </c>
    </row>
    <row r="16625" spans="2:6">
      <c r="B16625">
        <v>2011</v>
      </c>
      <c r="C16625" t="s">
        <v>176</v>
      </c>
      <c r="D16625" t="s">
        <v>185</v>
      </c>
      <c r="E16625" t="s">
        <v>13</v>
      </c>
      <c r="F16625">
        <v>0.77153933048248291</v>
      </c>
    </row>
    <row r="16626" spans="2:6">
      <c r="B16626">
        <v>2011</v>
      </c>
      <c r="C16626" t="s">
        <v>176</v>
      </c>
      <c r="D16626" t="s">
        <v>185</v>
      </c>
      <c r="E16626" t="s">
        <v>14</v>
      </c>
      <c r="F16626">
        <v>0.8279564380645752</v>
      </c>
    </row>
    <row r="16627" spans="2:6">
      <c r="B16627">
        <v>2011</v>
      </c>
      <c r="C16627" t="s">
        <v>176</v>
      </c>
      <c r="D16627" t="s">
        <v>185</v>
      </c>
      <c r="E16627" t="s">
        <v>15</v>
      </c>
      <c r="F16627">
        <v>0.19866625964641571</v>
      </c>
    </row>
    <row r="16628" spans="2:6">
      <c r="B16628">
        <v>2012</v>
      </c>
      <c r="C16628" t="s">
        <v>176</v>
      </c>
      <c r="D16628" t="s">
        <v>185</v>
      </c>
      <c r="E16628" t="s">
        <v>7</v>
      </c>
      <c r="F16628">
        <v>7.0665774345397949</v>
      </c>
    </row>
    <row r="16629" spans="2:6">
      <c r="B16629">
        <v>2012</v>
      </c>
      <c r="C16629" t="s">
        <v>176</v>
      </c>
      <c r="D16629" t="s">
        <v>185</v>
      </c>
      <c r="E16629" t="s">
        <v>8</v>
      </c>
      <c r="F16629">
        <v>9.8260822296142578</v>
      </c>
    </row>
    <row r="16630" spans="2:6">
      <c r="B16630">
        <v>2012</v>
      </c>
      <c r="C16630" t="s">
        <v>176</v>
      </c>
      <c r="D16630" t="s">
        <v>185</v>
      </c>
      <c r="E16630" t="s">
        <v>9</v>
      </c>
      <c r="F16630">
        <v>0.93162965774536133</v>
      </c>
    </row>
    <row r="16631" spans="2:6">
      <c r="B16631">
        <v>2012</v>
      </c>
      <c r="C16631" t="s">
        <v>176</v>
      </c>
      <c r="D16631" t="s">
        <v>185</v>
      </c>
      <c r="E16631" t="s">
        <v>10</v>
      </c>
      <c r="F16631">
        <v>65.779998779296875</v>
      </c>
    </row>
    <row r="16632" spans="2:6">
      <c r="B16632">
        <v>2012</v>
      </c>
      <c r="C16632" t="s">
        <v>176</v>
      </c>
      <c r="D16632" t="s">
        <v>185</v>
      </c>
      <c r="E16632" t="s">
        <v>11</v>
      </c>
      <c r="F16632">
        <v>0.80410856008529663</v>
      </c>
    </row>
    <row r="16633" spans="2:6">
      <c r="B16633">
        <v>2012</v>
      </c>
      <c r="C16633" t="s">
        <v>176</v>
      </c>
      <c r="D16633" t="s">
        <v>185</v>
      </c>
      <c r="E16633" t="s">
        <v>12</v>
      </c>
      <c r="F16633">
        <v>-0.19272992014884949</v>
      </c>
    </row>
    <row r="16634" spans="2:6">
      <c r="B16634">
        <v>2012</v>
      </c>
      <c r="C16634" t="s">
        <v>176</v>
      </c>
      <c r="D16634" t="s">
        <v>185</v>
      </c>
      <c r="E16634" t="s">
        <v>13</v>
      </c>
      <c r="F16634">
        <v>0.74337434768676758</v>
      </c>
    </row>
    <row r="16635" spans="2:6">
      <c r="B16635">
        <v>2012</v>
      </c>
      <c r="C16635" t="s">
        <v>176</v>
      </c>
      <c r="D16635" t="s">
        <v>185</v>
      </c>
      <c r="E16635" t="s">
        <v>14</v>
      </c>
      <c r="F16635">
        <v>0.85787284374237061</v>
      </c>
    </row>
    <row r="16636" spans="2:6">
      <c r="B16636">
        <v>2012</v>
      </c>
      <c r="C16636" t="s">
        <v>176</v>
      </c>
      <c r="D16636" t="s">
        <v>185</v>
      </c>
      <c r="E16636" t="s">
        <v>15</v>
      </c>
      <c r="F16636">
        <v>0.17630785703659058</v>
      </c>
    </row>
    <row r="16637" spans="2:6">
      <c r="B16637">
        <v>2013</v>
      </c>
      <c r="C16637" t="s">
        <v>176</v>
      </c>
      <c r="D16637" t="s">
        <v>185</v>
      </c>
      <c r="E16637" t="s">
        <v>7</v>
      </c>
      <c r="F16637">
        <v>6.5527963638305664</v>
      </c>
    </row>
    <row r="16638" spans="2:6">
      <c r="B16638">
        <v>2013</v>
      </c>
      <c r="C16638" t="s">
        <v>176</v>
      </c>
      <c r="D16638" t="s">
        <v>185</v>
      </c>
      <c r="E16638" t="s">
        <v>8</v>
      </c>
      <c r="F16638">
        <v>9.7388448715209961</v>
      </c>
    </row>
    <row r="16639" spans="2:6">
      <c r="B16639">
        <v>2013</v>
      </c>
      <c r="C16639" t="s">
        <v>176</v>
      </c>
      <c r="D16639" t="s">
        <v>185</v>
      </c>
      <c r="E16639" t="s">
        <v>9</v>
      </c>
      <c r="F16639">
        <v>0.89630109071731567</v>
      </c>
    </row>
    <row r="16640" spans="2:6">
      <c r="B16640">
        <v>2013</v>
      </c>
      <c r="C16640" t="s">
        <v>176</v>
      </c>
      <c r="D16640" t="s">
        <v>185</v>
      </c>
      <c r="E16640" t="s">
        <v>10</v>
      </c>
      <c r="F16640">
        <v>65.819999694824219</v>
      </c>
    </row>
    <row r="16641" spans="2:6">
      <c r="B16641">
        <v>2013</v>
      </c>
      <c r="C16641" t="s">
        <v>176</v>
      </c>
      <c r="D16641" t="s">
        <v>185</v>
      </c>
      <c r="E16641" t="s">
        <v>11</v>
      </c>
      <c r="F16641">
        <v>0.64196521043777466</v>
      </c>
    </row>
    <row r="16642" spans="2:6">
      <c r="B16642">
        <v>2013</v>
      </c>
      <c r="C16642" t="s">
        <v>176</v>
      </c>
      <c r="D16642" t="s">
        <v>185</v>
      </c>
      <c r="E16642" t="s">
        <v>12</v>
      </c>
      <c r="F16642">
        <v>-0.21974246203899384</v>
      </c>
    </row>
    <row r="16643" spans="2:6">
      <c r="B16643">
        <v>2013</v>
      </c>
      <c r="C16643" t="s">
        <v>176</v>
      </c>
      <c r="D16643" t="s">
        <v>185</v>
      </c>
      <c r="E16643" t="s">
        <v>13</v>
      </c>
      <c r="F16643">
        <v>0.83729970455169678</v>
      </c>
    </row>
    <row r="16644" spans="2:6">
      <c r="B16644">
        <v>2013</v>
      </c>
      <c r="C16644" t="s">
        <v>176</v>
      </c>
      <c r="D16644" t="s">
        <v>185</v>
      </c>
      <c r="E16644" t="s">
        <v>14</v>
      </c>
      <c r="F16644">
        <v>0.83973032236099243</v>
      </c>
    </row>
    <row r="16645" spans="2:6">
      <c r="B16645">
        <v>2013</v>
      </c>
      <c r="C16645" t="s">
        <v>176</v>
      </c>
      <c r="D16645" t="s">
        <v>185</v>
      </c>
      <c r="E16645" t="s">
        <v>15</v>
      </c>
      <c r="F16645">
        <v>0.23760910332202911</v>
      </c>
    </row>
    <row r="16646" spans="2:6">
      <c r="B16646">
        <v>2014</v>
      </c>
      <c r="C16646" t="s">
        <v>176</v>
      </c>
      <c r="D16646" t="s">
        <v>185</v>
      </c>
      <c r="E16646" t="s">
        <v>7</v>
      </c>
      <c r="F16646">
        <v>6.1360964775085449</v>
      </c>
    </row>
    <row r="16647" spans="2:6">
      <c r="B16647">
        <v>2014</v>
      </c>
      <c r="C16647" t="s">
        <v>176</v>
      </c>
      <c r="D16647" t="s">
        <v>185</v>
      </c>
      <c r="E16647" t="s">
        <v>8</v>
      </c>
      <c r="F16647">
        <v>9.5570583343505859</v>
      </c>
    </row>
    <row r="16648" spans="2:6">
      <c r="B16648">
        <v>2014</v>
      </c>
      <c r="C16648" t="s">
        <v>176</v>
      </c>
      <c r="D16648" t="s">
        <v>185</v>
      </c>
      <c r="E16648" t="s">
        <v>9</v>
      </c>
      <c r="F16648">
        <v>0.90395581722259521</v>
      </c>
    </row>
    <row r="16649" spans="2:6">
      <c r="B16649">
        <v>2014</v>
      </c>
      <c r="C16649" t="s">
        <v>176</v>
      </c>
      <c r="D16649" t="s">
        <v>185</v>
      </c>
      <c r="E16649" t="s">
        <v>10</v>
      </c>
      <c r="F16649">
        <v>65.860000610351563</v>
      </c>
    </row>
    <row r="16650" spans="2:6">
      <c r="B16650">
        <v>2014</v>
      </c>
      <c r="C16650" t="s">
        <v>176</v>
      </c>
      <c r="D16650" t="s">
        <v>185</v>
      </c>
      <c r="E16650" t="s">
        <v>11</v>
      </c>
      <c r="F16650">
        <v>0.56996190547943115</v>
      </c>
    </row>
    <row r="16651" spans="2:6">
      <c r="B16651">
        <v>2014</v>
      </c>
      <c r="C16651" t="s">
        <v>176</v>
      </c>
      <c r="D16651" t="s">
        <v>185</v>
      </c>
      <c r="E16651" t="s">
        <v>12</v>
      </c>
      <c r="F16651">
        <v>-0.19884102046489716</v>
      </c>
    </row>
    <row r="16652" spans="2:6">
      <c r="B16652">
        <v>2014</v>
      </c>
      <c r="C16652" t="s">
        <v>176</v>
      </c>
      <c r="D16652" t="s">
        <v>185</v>
      </c>
      <c r="E16652" t="s">
        <v>13</v>
      </c>
      <c r="F16652">
        <v>0.82653498649597168</v>
      </c>
    </row>
    <row r="16653" spans="2:6">
      <c r="B16653">
        <v>2014</v>
      </c>
      <c r="C16653" t="s">
        <v>176</v>
      </c>
      <c r="D16653" t="s">
        <v>185</v>
      </c>
      <c r="E16653" t="s">
        <v>14</v>
      </c>
      <c r="F16653">
        <v>0.81057834625244141</v>
      </c>
    </row>
    <row r="16654" spans="2:6">
      <c r="B16654">
        <v>2014</v>
      </c>
      <c r="C16654" t="s">
        <v>176</v>
      </c>
      <c r="D16654" t="s">
        <v>185</v>
      </c>
      <c r="E16654" t="s">
        <v>15</v>
      </c>
      <c r="F16654">
        <v>0.24360357224941254</v>
      </c>
    </row>
    <row r="16655" spans="2:6">
      <c r="B16655">
        <v>2015</v>
      </c>
      <c r="C16655" t="s">
        <v>176</v>
      </c>
      <c r="D16655" t="s">
        <v>185</v>
      </c>
      <c r="E16655" t="s">
        <v>7</v>
      </c>
      <c r="F16655">
        <v>5.5688004493713379</v>
      </c>
    </row>
    <row r="16656" spans="2:6">
      <c r="B16656">
        <v>2015</v>
      </c>
      <c r="C16656" t="s">
        <v>176</v>
      </c>
      <c r="D16656" t="s">
        <v>185</v>
      </c>
      <c r="E16656" t="s">
        <v>8</v>
      </c>
      <c r="F16656">
        <v>9.0010461807250977</v>
      </c>
    </row>
    <row r="16657" spans="2:6">
      <c r="B16657">
        <v>2015</v>
      </c>
      <c r="C16657" t="s">
        <v>176</v>
      </c>
      <c r="D16657" t="s">
        <v>185</v>
      </c>
      <c r="E16657" t="s">
        <v>9</v>
      </c>
      <c r="F16657">
        <v>0.91108685731887817</v>
      </c>
    </row>
    <row r="16658" spans="2:6">
      <c r="B16658">
        <v>2015</v>
      </c>
      <c r="C16658" t="s">
        <v>176</v>
      </c>
      <c r="D16658" t="s">
        <v>185</v>
      </c>
      <c r="E16658" t="s">
        <v>10</v>
      </c>
      <c r="F16658">
        <v>65.900001525878906</v>
      </c>
    </row>
    <row r="16659" spans="2:6">
      <c r="B16659">
        <v>2015</v>
      </c>
      <c r="C16659" t="s">
        <v>176</v>
      </c>
      <c r="D16659" t="s">
        <v>185</v>
      </c>
      <c r="E16659" t="s">
        <v>11</v>
      </c>
      <c r="F16659">
        <v>0.51215934753417969</v>
      </c>
    </row>
    <row r="16660" spans="2:6">
      <c r="B16660">
        <v>2015</v>
      </c>
      <c r="C16660" t="s">
        <v>176</v>
      </c>
      <c r="D16660" t="s">
        <v>185</v>
      </c>
      <c r="E16660" t="s">
        <v>12</v>
      </c>
      <c r="F16660">
        <v>-0.11693695187568665</v>
      </c>
    </row>
    <row r="16661" spans="2:6">
      <c r="B16661">
        <v>2015</v>
      </c>
      <c r="C16661" t="s">
        <v>176</v>
      </c>
      <c r="D16661" t="s">
        <v>185</v>
      </c>
      <c r="E16661" t="s">
        <v>13</v>
      </c>
      <c r="F16661">
        <v>0.81309682130813599</v>
      </c>
    </row>
    <row r="16662" spans="2:6">
      <c r="B16662">
        <v>2015</v>
      </c>
      <c r="C16662" t="s">
        <v>176</v>
      </c>
      <c r="D16662" t="s">
        <v>185</v>
      </c>
      <c r="E16662" t="s">
        <v>14</v>
      </c>
      <c r="F16662">
        <v>0.8674086332321167</v>
      </c>
    </row>
    <row r="16663" spans="2:6">
      <c r="B16663">
        <v>2015</v>
      </c>
      <c r="C16663" t="s">
        <v>176</v>
      </c>
      <c r="D16663" t="s">
        <v>185</v>
      </c>
      <c r="E16663" t="s">
        <v>15</v>
      </c>
      <c r="F16663">
        <v>0.22263523936271667</v>
      </c>
    </row>
    <row r="16664" spans="2:6">
      <c r="B16664">
        <v>2016</v>
      </c>
      <c r="C16664" t="s">
        <v>176</v>
      </c>
      <c r="D16664" t="s">
        <v>185</v>
      </c>
      <c r="E16664" t="s">
        <v>7</v>
      </c>
      <c r="F16664">
        <v>4.0411148071289063</v>
      </c>
    </row>
    <row r="16665" spans="2:6">
      <c r="B16665">
        <v>2016</v>
      </c>
      <c r="C16665" t="s">
        <v>176</v>
      </c>
      <c r="D16665" t="s">
        <v>185</v>
      </c>
      <c r="E16665" t="s">
        <v>8</v>
      </c>
      <c r="F16665">
        <v>9.0102949142456055</v>
      </c>
    </row>
    <row r="16666" spans="2:6">
      <c r="B16666">
        <v>2016</v>
      </c>
      <c r="C16666" t="s">
        <v>176</v>
      </c>
      <c r="D16666" t="s">
        <v>185</v>
      </c>
      <c r="E16666" t="s">
        <v>9</v>
      </c>
      <c r="F16666">
        <v>0.90194928646087646</v>
      </c>
    </row>
    <row r="16667" spans="2:6">
      <c r="B16667">
        <v>2016</v>
      </c>
      <c r="C16667" t="s">
        <v>176</v>
      </c>
      <c r="D16667" t="s">
        <v>185</v>
      </c>
      <c r="E16667" t="s">
        <v>10</v>
      </c>
      <c r="F16667">
        <v>66.099998474121094</v>
      </c>
    </row>
    <row r="16668" spans="2:6">
      <c r="B16668">
        <v>2016</v>
      </c>
      <c r="C16668" t="s">
        <v>176</v>
      </c>
      <c r="D16668" t="s">
        <v>185</v>
      </c>
      <c r="E16668" t="s">
        <v>11</v>
      </c>
      <c r="F16668">
        <v>0.45760157704353333</v>
      </c>
    </row>
    <row r="16669" spans="2:6">
      <c r="B16669">
        <v>2016</v>
      </c>
      <c r="C16669" t="s">
        <v>176</v>
      </c>
      <c r="D16669" t="s">
        <v>185</v>
      </c>
      <c r="E16669" t="s">
        <v>12</v>
      </c>
      <c r="F16669">
        <v>-0.1549309641122818</v>
      </c>
    </row>
    <row r="16670" spans="2:6">
      <c r="B16670">
        <v>2016</v>
      </c>
      <c r="C16670" t="s">
        <v>176</v>
      </c>
      <c r="D16670" t="s">
        <v>185</v>
      </c>
      <c r="E16670" t="s">
        <v>13</v>
      </c>
      <c r="F16670">
        <v>0.89012467861175537</v>
      </c>
    </row>
    <row r="16671" spans="2:6">
      <c r="B16671">
        <v>2016</v>
      </c>
      <c r="C16671" t="s">
        <v>176</v>
      </c>
      <c r="D16671" t="s">
        <v>185</v>
      </c>
      <c r="E16671" t="s">
        <v>14</v>
      </c>
      <c r="F16671">
        <v>0.68820124864578247</v>
      </c>
    </row>
    <row r="16672" spans="2:6">
      <c r="B16672">
        <v>2016</v>
      </c>
      <c r="C16672" t="s">
        <v>176</v>
      </c>
      <c r="D16672" t="s">
        <v>185</v>
      </c>
      <c r="E16672" t="s">
        <v>15</v>
      </c>
      <c r="F16672">
        <v>0.39175412058830261</v>
      </c>
    </row>
    <row r="16673" spans="2:6">
      <c r="B16673">
        <v>2017</v>
      </c>
      <c r="C16673" t="s">
        <v>176</v>
      </c>
      <c r="D16673" t="s">
        <v>185</v>
      </c>
      <c r="E16673" t="s">
        <v>7</v>
      </c>
      <c r="F16673">
        <v>5.0707507133483887</v>
      </c>
    </row>
    <row r="16674" spans="2:6">
      <c r="B16674">
        <v>2017</v>
      </c>
      <c r="C16674" t="s">
        <v>176</v>
      </c>
      <c r="D16674" t="s">
        <v>185</v>
      </c>
      <c r="E16674" t="s">
        <v>8</v>
      </c>
      <c r="F16674">
        <v>9.0731039047241211</v>
      </c>
    </row>
    <row r="16675" spans="2:6">
      <c r="B16675">
        <v>2017</v>
      </c>
      <c r="C16675" t="s">
        <v>176</v>
      </c>
      <c r="D16675" t="s">
        <v>185</v>
      </c>
      <c r="E16675" t="s">
        <v>9</v>
      </c>
      <c r="F16675">
        <v>0.89587932825088501</v>
      </c>
    </row>
    <row r="16676" spans="2:6">
      <c r="B16676">
        <v>2017</v>
      </c>
      <c r="C16676" t="s">
        <v>176</v>
      </c>
      <c r="D16676" t="s">
        <v>185</v>
      </c>
      <c r="E16676" t="s">
        <v>10</v>
      </c>
      <c r="F16676">
        <v>66.300003051757813</v>
      </c>
    </row>
    <row r="16677" spans="2:6">
      <c r="B16677">
        <v>2017</v>
      </c>
      <c r="C16677" t="s">
        <v>176</v>
      </c>
      <c r="D16677" t="s">
        <v>185</v>
      </c>
      <c r="E16677" t="s">
        <v>11</v>
      </c>
      <c r="F16677">
        <v>0.63550502061843872</v>
      </c>
    </row>
    <row r="16678" spans="2:6">
      <c r="B16678">
        <v>2017</v>
      </c>
      <c r="C16678" t="s">
        <v>176</v>
      </c>
      <c r="D16678" t="s">
        <v>185</v>
      </c>
      <c r="E16678" t="s">
        <v>12</v>
      </c>
      <c r="F16678">
        <v>-0.16875705122947693</v>
      </c>
    </row>
    <row r="16679" spans="2:6">
      <c r="B16679">
        <v>2017</v>
      </c>
      <c r="C16679" t="s">
        <v>176</v>
      </c>
      <c r="D16679" t="s">
        <v>185</v>
      </c>
      <c r="E16679" t="s">
        <v>13</v>
      </c>
      <c r="F16679">
        <v>0.84396922588348389</v>
      </c>
    </row>
    <row r="16680" spans="2:6">
      <c r="B16680">
        <v>2017</v>
      </c>
      <c r="C16680" t="s">
        <v>176</v>
      </c>
      <c r="D16680" t="s">
        <v>185</v>
      </c>
      <c r="E16680" t="s">
        <v>14</v>
      </c>
      <c r="F16680">
        <v>0.72564274072647095</v>
      </c>
    </row>
    <row r="16681" spans="2:6">
      <c r="B16681">
        <v>2017</v>
      </c>
      <c r="C16681" t="s">
        <v>176</v>
      </c>
      <c r="D16681" t="s">
        <v>185</v>
      </c>
      <c r="E16681" t="s">
        <v>15</v>
      </c>
      <c r="F16681">
        <v>0.36298486590385437</v>
      </c>
    </row>
    <row r="16682" spans="2:6">
      <c r="B16682">
        <v>2018</v>
      </c>
      <c r="C16682" t="s">
        <v>176</v>
      </c>
      <c r="D16682" t="s">
        <v>185</v>
      </c>
      <c r="E16682" t="s">
        <v>7</v>
      </c>
      <c r="F16682">
        <v>5.0056633949279785</v>
      </c>
    </row>
    <row r="16683" spans="2:6">
      <c r="B16683">
        <v>2018</v>
      </c>
      <c r="C16683" t="s">
        <v>176</v>
      </c>
      <c r="D16683" t="s">
        <v>185</v>
      </c>
      <c r="E16683" t="s">
        <v>9</v>
      </c>
      <c r="F16683">
        <v>0.88688206672668457</v>
      </c>
    </row>
    <row r="16684" spans="2:6">
      <c r="B16684">
        <v>2018</v>
      </c>
      <c r="C16684" t="s">
        <v>176</v>
      </c>
      <c r="D16684" t="s">
        <v>185</v>
      </c>
      <c r="E16684" t="s">
        <v>10</v>
      </c>
      <c r="F16684">
        <v>66.5</v>
      </c>
    </row>
    <row r="16685" spans="2:6">
      <c r="B16685">
        <v>2018</v>
      </c>
      <c r="C16685" t="s">
        <v>176</v>
      </c>
      <c r="D16685" t="s">
        <v>185</v>
      </c>
      <c r="E16685" t="s">
        <v>11</v>
      </c>
      <c r="F16685">
        <v>0.61085522174835205</v>
      </c>
    </row>
    <row r="16686" spans="2:6">
      <c r="B16686">
        <v>2018</v>
      </c>
      <c r="C16686" t="s">
        <v>176</v>
      </c>
      <c r="D16686" t="s">
        <v>185</v>
      </c>
      <c r="E16686" t="s">
        <v>13</v>
      </c>
      <c r="F16686">
        <v>0.82756000757217407</v>
      </c>
    </row>
    <row r="16687" spans="2:6">
      <c r="B16687">
        <v>2018</v>
      </c>
      <c r="C16687" t="s">
        <v>176</v>
      </c>
      <c r="D16687" t="s">
        <v>185</v>
      </c>
      <c r="E16687" t="s">
        <v>14</v>
      </c>
      <c r="F16687">
        <v>0.75922149419784546</v>
      </c>
    </row>
    <row r="16688" spans="2:6">
      <c r="B16688">
        <v>2018</v>
      </c>
      <c r="C16688" t="s">
        <v>176</v>
      </c>
      <c r="D16688" t="s">
        <v>185</v>
      </c>
      <c r="E16688" t="s">
        <v>15</v>
      </c>
      <c r="F16688">
        <v>0.37365761399269104</v>
      </c>
    </row>
    <row r="16689" spans="2:6">
      <c r="B16689">
        <v>2019</v>
      </c>
      <c r="C16689" t="s">
        <v>176</v>
      </c>
      <c r="D16689" t="s">
        <v>185</v>
      </c>
      <c r="E16689" t="s">
        <v>7</v>
      </c>
      <c r="F16689">
        <v>5.080803394317627</v>
      </c>
    </row>
    <row r="16690" spans="2:6">
      <c r="B16690">
        <v>2019</v>
      </c>
      <c r="C16690" t="s">
        <v>176</v>
      </c>
      <c r="D16690" t="s">
        <v>185</v>
      </c>
      <c r="E16690" t="s">
        <v>9</v>
      </c>
      <c r="F16690">
        <v>0.88767153024673462</v>
      </c>
    </row>
    <row r="16691" spans="2:6">
      <c r="B16691">
        <v>2019</v>
      </c>
      <c r="C16691" t="s">
        <v>176</v>
      </c>
      <c r="D16691" t="s">
        <v>185</v>
      </c>
      <c r="E16691" t="s">
        <v>10</v>
      </c>
      <c r="F16691">
        <v>66.699996948242188</v>
      </c>
    </row>
    <row r="16692" spans="2:6">
      <c r="B16692">
        <v>2019</v>
      </c>
      <c r="C16692" t="s">
        <v>176</v>
      </c>
      <c r="D16692" t="s">
        <v>185</v>
      </c>
      <c r="E16692" t="s">
        <v>11</v>
      </c>
      <c r="F16692">
        <v>0.62552618980407715</v>
      </c>
    </row>
    <row r="16693" spans="2:6">
      <c r="B16693">
        <v>2019</v>
      </c>
      <c r="C16693" t="s">
        <v>176</v>
      </c>
      <c r="D16693" t="s">
        <v>185</v>
      </c>
      <c r="E16693" t="s">
        <v>13</v>
      </c>
      <c r="F16693">
        <v>0.83934038877487183</v>
      </c>
    </row>
    <row r="16694" spans="2:6">
      <c r="B16694">
        <v>2019</v>
      </c>
      <c r="C16694" t="s">
        <v>176</v>
      </c>
      <c r="D16694" t="s">
        <v>185</v>
      </c>
      <c r="E16694" t="s">
        <v>14</v>
      </c>
      <c r="F16694">
        <v>0.76123982667922974</v>
      </c>
    </row>
    <row r="16695" spans="2:6">
      <c r="B16695">
        <v>2019</v>
      </c>
      <c r="C16695" t="s">
        <v>176</v>
      </c>
      <c r="D16695" t="s">
        <v>185</v>
      </c>
      <c r="E16695" t="s">
        <v>15</v>
      </c>
      <c r="F16695">
        <v>0.3509504497051239</v>
      </c>
    </row>
    <row r="16696" spans="2:6">
      <c r="B16696">
        <v>2020</v>
      </c>
      <c r="C16696" t="s">
        <v>176</v>
      </c>
      <c r="D16696" t="s">
        <v>185</v>
      </c>
      <c r="E16696" t="s">
        <v>7</v>
      </c>
      <c r="F16696">
        <v>4.5738296508789063</v>
      </c>
    </row>
    <row r="16697" spans="2:6">
      <c r="B16697">
        <v>2020</v>
      </c>
      <c r="C16697" t="s">
        <v>176</v>
      </c>
      <c r="D16697" t="s">
        <v>185</v>
      </c>
      <c r="E16697" t="s">
        <v>9</v>
      </c>
      <c r="F16697">
        <v>0.80522423982620239</v>
      </c>
    </row>
    <row r="16698" spans="2:6">
      <c r="B16698">
        <v>2020</v>
      </c>
      <c r="C16698" t="s">
        <v>176</v>
      </c>
      <c r="D16698" t="s">
        <v>185</v>
      </c>
      <c r="E16698" t="s">
        <v>10</v>
      </c>
      <c r="F16698">
        <v>66.900001525878906</v>
      </c>
    </row>
    <row r="16699" spans="2:6">
      <c r="B16699">
        <v>2020</v>
      </c>
      <c r="C16699" t="s">
        <v>176</v>
      </c>
      <c r="D16699" t="s">
        <v>185</v>
      </c>
      <c r="E16699" t="s">
        <v>11</v>
      </c>
      <c r="F16699">
        <v>0.61181461811065674</v>
      </c>
    </row>
    <row r="16700" spans="2:6">
      <c r="B16700">
        <v>2020</v>
      </c>
      <c r="C16700" t="s">
        <v>176</v>
      </c>
      <c r="D16700" t="s">
        <v>185</v>
      </c>
      <c r="E16700" t="s">
        <v>13</v>
      </c>
      <c r="F16700">
        <v>0.81131911277770996</v>
      </c>
    </row>
    <row r="16701" spans="2:6">
      <c r="B16701">
        <v>2020</v>
      </c>
      <c r="C16701" t="s">
        <v>176</v>
      </c>
      <c r="D16701" t="s">
        <v>185</v>
      </c>
      <c r="E16701" t="s">
        <v>14</v>
      </c>
      <c r="F16701">
        <v>0.72239142656326294</v>
      </c>
    </row>
    <row r="16702" spans="2:6">
      <c r="B16702">
        <v>2020</v>
      </c>
      <c r="C16702" t="s">
        <v>176</v>
      </c>
      <c r="D16702" t="s">
        <v>185</v>
      </c>
      <c r="E16702" t="s">
        <v>15</v>
      </c>
      <c r="F16702">
        <v>0.39625045657157898</v>
      </c>
    </row>
    <row r="16703" spans="2:6">
      <c r="B16703">
        <v>2006</v>
      </c>
      <c r="C16703" t="s">
        <v>177</v>
      </c>
      <c r="D16703" t="s">
        <v>182</v>
      </c>
      <c r="E16703" t="s">
        <v>7</v>
      </c>
      <c r="F16703">
        <v>5.2936596870422363</v>
      </c>
    </row>
    <row r="16704" spans="2:6">
      <c r="B16704">
        <v>2006</v>
      </c>
      <c r="C16704" t="s">
        <v>177</v>
      </c>
      <c r="D16704" t="s">
        <v>182</v>
      </c>
      <c r="E16704" t="s">
        <v>8</v>
      </c>
      <c r="F16704">
        <v>8.3349771499633789</v>
      </c>
    </row>
    <row r="16705" spans="2:6">
      <c r="B16705">
        <v>2006</v>
      </c>
      <c r="C16705" t="s">
        <v>177</v>
      </c>
      <c r="D16705" t="s">
        <v>182</v>
      </c>
      <c r="E16705" t="s">
        <v>9</v>
      </c>
      <c r="F16705">
        <v>0.88766449689865112</v>
      </c>
    </row>
    <row r="16706" spans="2:6">
      <c r="B16706">
        <v>2006</v>
      </c>
      <c r="C16706" t="s">
        <v>177</v>
      </c>
      <c r="D16706" t="s">
        <v>182</v>
      </c>
      <c r="E16706" t="s">
        <v>10</v>
      </c>
      <c r="F16706">
        <v>65.860000610351563</v>
      </c>
    </row>
    <row r="16707" spans="2:6">
      <c r="B16707">
        <v>2006</v>
      </c>
      <c r="C16707" t="s">
        <v>177</v>
      </c>
      <c r="D16707" t="s">
        <v>182</v>
      </c>
      <c r="E16707" t="s">
        <v>11</v>
      </c>
      <c r="F16707">
        <v>0.88579213619232178</v>
      </c>
    </row>
    <row r="16708" spans="2:6">
      <c r="B16708">
        <v>2006</v>
      </c>
      <c r="C16708" t="s">
        <v>177</v>
      </c>
      <c r="D16708" t="s">
        <v>182</v>
      </c>
      <c r="E16708" t="s">
        <v>12</v>
      </c>
      <c r="F16708">
        <v>1.4574413187801838E-2</v>
      </c>
    </row>
    <row r="16709" spans="2:6">
      <c r="B16709">
        <v>2006</v>
      </c>
      <c r="C16709" t="s">
        <v>177</v>
      </c>
      <c r="D16709" t="s">
        <v>182</v>
      </c>
      <c r="E16709" t="s">
        <v>14</v>
      </c>
      <c r="F16709">
        <v>0.68226069211959839</v>
      </c>
    </row>
    <row r="16710" spans="2:6">
      <c r="B16710">
        <v>2006</v>
      </c>
      <c r="C16710" t="s">
        <v>177</v>
      </c>
      <c r="D16710" t="s">
        <v>182</v>
      </c>
      <c r="E16710" t="s">
        <v>15</v>
      </c>
      <c r="F16710">
        <v>0.20397917926311493</v>
      </c>
    </row>
    <row r="16711" spans="2:6">
      <c r="B16711">
        <v>2007</v>
      </c>
      <c r="C16711" t="s">
        <v>177</v>
      </c>
      <c r="D16711" t="s">
        <v>182</v>
      </c>
      <c r="E16711" t="s">
        <v>7</v>
      </c>
      <c r="F16711">
        <v>5.4216876029968262</v>
      </c>
    </row>
    <row r="16712" spans="2:6">
      <c r="B16712">
        <v>2007</v>
      </c>
      <c r="C16712" t="s">
        <v>177</v>
      </c>
      <c r="D16712" t="s">
        <v>182</v>
      </c>
      <c r="E16712" t="s">
        <v>8</v>
      </c>
      <c r="F16712">
        <v>8.3944120407104492</v>
      </c>
    </row>
    <row r="16713" spans="2:6">
      <c r="B16713">
        <v>2007</v>
      </c>
      <c r="C16713" t="s">
        <v>177</v>
      </c>
      <c r="D16713" t="s">
        <v>182</v>
      </c>
      <c r="E16713" t="s">
        <v>9</v>
      </c>
      <c r="F16713">
        <v>0.85602289438247681</v>
      </c>
    </row>
    <row r="16714" spans="2:6">
      <c r="B16714">
        <v>2007</v>
      </c>
      <c r="C16714" t="s">
        <v>177</v>
      </c>
      <c r="D16714" t="s">
        <v>182</v>
      </c>
      <c r="E16714" t="s">
        <v>10</v>
      </c>
      <c r="F16714">
        <v>66.019996643066406</v>
      </c>
    </row>
    <row r="16715" spans="2:6">
      <c r="B16715">
        <v>2007</v>
      </c>
      <c r="C16715" t="s">
        <v>177</v>
      </c>
      <c r="D16715" t="s">
        <v>182</v>
      </c>
      <c r="E16715" t="s">
        <v>11</v>
      </c>
      <c r="F16715">
        <v>0.91783595085144043</v>
      </c>
    </row>
    <row r="16716" spans="2:6">
      <c r="B16716">
        <v>2007</v>
      </c>
      <c r="C16716" t="s">
        <v>177</v>
      </c>
      <c r="D16716" t="s">
        <v>182</v>
      </c>
      <c r="E16716" t="s">
        <v>12</v>
      </c>
      <c r="F16716">
        <v>8.9204728603363037E-2</v>
      </c>
    </row>
    <row r="16717" spans="2:6">
      <c r="B16717">
        <v>2007</v>
      </c>
      <c r="C16717" t="s">
        <v>177</v>
      </c>
      <c r="D16717" t="s">
        <v>182</v>
      </c>
      <c r="E16717" t="s">
        <v>13</v>
      </c>
      <c r="F16717">
        <v>0.75393396615982056</v>
      </c>
    </row>
    <row r="16718" spans="2:6">
      <c r="B16718">
        <v>2007</v>
      </c>
      <c r="C16718" t="s">
        <v>177</v>
      </c>
      <c r="D16718" t="s">
        <v>182</v>
      </c>
      <c r="E16718" t="s">
        <v>14</v>
      </c>
      <c r="F16718">
        <v>0.58759039640426636</v>
      </c>
    </row>
    <row r="16719" spans="2:6">
      <c r="B16719">
        <v>2007</v>
      </c>
      <c r="C16719" t="s">
        <v>177</v>
      </c>
      <c r="D16719" t="s">
        <v>182</v>
      </c>
      <c r="E16719" t="s">
        <v>15</v>
      </c>
      <c r="F16719">
        <v>0.20593211054801941</v>
      </c>
    </row>
    <row r="16720" spans="2:6">
      <c r="B16720">
        <v>2008</v>
      </c>
      <c r="C16720" t="s">
        <v>177</v>
      </c>
      <c r="D16720" t="s">
        <v>182</v>
      </c>
      <c r="E16720" t="s">
        <v>7</v>
      </c>
      <c r="F16720">
        <v>5.4804253578186035</v>
      </c>
    </row>
    <row r="16721" spans="2:6">
      <c r="B16721">
        <v>2008</v>
      </c>
      <c r="C16721" t="s">
        <v>177</v>
      </c>
      <c r="D16721" t="s">
        <v>182</v>
      </c>
      <c r="E16721" t="s">
        <v>8</v>
      </c>
      <c r="F16721">
        <v>8.4398870468139648</v>
      </c>
    </row>
    <row r="16722" spans="2:6">
      <c r="B16722">
        <v>2008</v>
      </c>
      <c r="C16722" t="s">
        <v>177</v>
      </c>
      <c r="D16722" t="s">
        <v>182</v>
      </c>
      <c r="E16722" t="s">
        <v>9</v>
      </c>
      <c r="F16722">
        <v>0.80456036329269409</v>
      </c>
    </row>
    <row r="16723" spans="2:6">
      <c r="B16723">
        <v>2008</v>
      </c>
      <c r="C16723" t="s">
        <v>177</v>
      </c>
      <c r="D16723" t="s">
        <v>182</v>
      </c>
      <c r="E16723" t="s">
        <v>10</v>
      </c>
      <c r="F16723">
        <v>66.180000305175781</v>
      </c>
    </row>
    <row r="16724" spans="2:6">
      <c r="B16724">
        <v>2008</v>
      </c>
      <c r="C16724" t="s">
        <v>177</v>
      </c>
      <c r="D16724" t="s">
        <v>182</v>
      </c>
      <c r="E16724" t="s">
        <v>11</v>
      </c>
      <c r="F16724">
        <v>0.88862466812133789</v>
      </c>
    </row>
    <row r="16725" spans="2:6">
      <c r="B16725">
        <v>2008</v>
      </c>
      <c r="C16725" t="s">
        <v>177</v>
      </c>
      <c r="D16725" t="s">
        <v>182</v>
      </c>
      <c r="E16725" t="s">
        <v>12</v>
      </c>
      <c r="F16725">
        <v>0.20057456195354462</v>
      </c>
    </row>
    <row r="16726" spans="2:6">
      <c r="B16726">
        <v>2008</v>
      </c>
      <c r="C16726" t="s">
        <v>177</v>
      </c>
      <c r="D16726" t="s">
        <v>182</v>
      </c>
      <c r="E16726" t="s">
        <v>13</v>
      </c>
      <c r="F16726">
        <v>0.78923755884170532</v>
      </c>
    </row>
    <row r="16727" spans="2:6">
      <c r="B16727">
        <v>2008</v>
      </c>
      <c r="C16727" t="s">
        <v>177</v>
      </c>
      <c r="D16727" t="s">
        <v>182</v>
      </c>
      <c r="E16727" t="s">
        <v>14</v>
      </c>
      <c r="F16727">
        <v>0.6650969386100769</v>
      </c>
    </row>
    <row r="16728" spans="2:6">
      <c r="B16728">
        <v>2008</v>
      </c>
      <c r="C16728" t="s">
        <v>177</v>
      </c>
      <c r="D16728" t="s">
        <v>182</v>
      </c>
      <c r="E16728" t="s">
        <v>15</v>
      </c>
      <c r="F16728">
        <v>0.21753761172294617</v>
      </c>
    </row>
    <row r="16729" spans="2:6">
      <c r="B16729">
        <v>2009</v>
      </c>
      <c r="C16729" t="s">
        <v>177</v>
      </c>
      <c r="D16729" t="s">
        <v>182</v>
      </c>
      <c r="E16729" t="s">
        <v>7</v>
      </c>
      <c r="F16729">
        <v>5.3042645454406738</v>
      </c>
    </row>
    <row r="16730" spans="2:6">
      <c r="B16730">
        <v>2009</v>
      </c>
      <c r="C16730" t="s">
        <v>177</v>
      </c>
      <c r="D16730" t="s">
        <v>182</v>
      </c>
      <c r="E16730" t="s">
        <v>8</v>
      </c>
      <c r="F16730">
        <v>8.4826650619506836</v>
      </c>
    </row>
    <row r="16731" spans="2:6">
      <c r="B16731">
        <v>2009</v>
      </c>
      <c r="C16731" t="s">
        <v>177</v>
      </c>
      <c r="D16731" t="s">
        <v>182</v>
      </c>
      <c r="E16731" t="s">
        <v>9</v>
      </c>
      <c r="F16731">
        <v>0.81502646207809448</v>
      </c>
    </row>
    <row r="16732" spans="2:6">
      <c r="B16732">
        <v>2009</v>
      </c>
      <c r="C16732" t="s">
        <v>177</v>
      </c>
      <c r="D16732" t="s">
        <v>182</v>
      </c>
      <c r="E16732" t="s">
        <v>10</v>
      </c>
      <c r="F16732">
        <v>66.339996337890625</v>
      </c>
    </row>
    <row r="16733" spans="2:6">
      <c r="B16733">
        <v>2009</v>
      </c>
      <c r="C16733" t="s">
        <v>177</v>
      </c>
      <c r="D16733" t="s">
        <v>182</v>
      </c>
      <c r="E16733" t="s">
        <v>11</v>
      </c>
      <c r="F16733">
        <v>0.83413386344909668</v>
      </c>
    </row>
    <row r="16734" spans="2:6">
      <c r="B16734">
        <v>2009</v>
      </c>
      <c r="C16734" t="s">
        <v>177</v>
      </c>
      <c r="D16734" t="s">
        <v>182</v>
      </c>
      <c r="E16734" t="s">
        <v>12</v>
      </c>
      <c r="F16734">
        <v>-6.1870384961366653E-2</v>
      </c>
    </row>
    <row r="16735" spans="2:6">
      <c r="B16735">
        <v>2009</v>
      </c>
      <c r="C16735" t="s">
        <v>177</v>
      </c>
      <c r="D16735" t="s">
        <v>182</v>
      </c>
      <c r="E16735" t="s">
        <v>13</v>
      </c>
      <c r="F16735">
        <v>0.83786976337432861</v>
      </c>
    </row>
    <row r="16736" spans="2:6">
      <c r="B16736">
        <v>2009</v>
      </c>
      <c r="C16736" t="s">
        <v>177</v>
      </c>
      <c r="D16736" t="s">
        <v>182</v>
      </c>
      <c r="E16736" t="s">
        <v>14</v>
      </c>
      <c r="F16736">
        <v>0.58275669813156128</v>
      </c>
    </row>
    <row r="16737" spans="2:6">
      <c r="B16737">
        <v>2009</v>
      </c>
      <c r="C16737" t="s">
        <v>177</v>
      </c>
      <c r="D16737" t="s">
        <v>182</v>
      </c>
      <c r="E16737" t="s">
        <v>15</v>
      </c>
      <c r="F16737">
        <v>0.18993011116981506</v>
      </c>
    </row>
    <row r="16738" spans="2:6">
      <c r="B16738">
        <v>2010</v>
      </c>
      <c r="C16738" t="s">
        <v>177</v>
      </c>
      <c r="D16738" t="s">
        <v>182</v>
      </c>
      <c r="E16738" t="s">
        <v>7</v>
      </c>
      <c r="F16738">
        <v>5.2957806587219238</v>
      </c>
    </row>
    <row r="16739" spans="2:6">
      <c r="B16739">
        <v>2010</v>
      </c>
      <c r="C16739" t="s">
        <v>177</v>
      </c>
      <c r="D16739" t="s">
        <v>182</v>
      </c>
      <c r="E16739" t="s">
        <v>8</v>
      </c>
      <c r="F16739">
        <v>8.5349178314208984</v>
      </c>
    </row>
    <row r="16740" spans="2:6">
      <c r="B16740">
        <v>2010</v>
      </c>
      <c r="C16740" t="s">
        <v>177</v>
      </c>
      <c r="D16740" t="s">
        <v>182</v>
      </c>
      <c r="E16740" t="s">
        <v>9</v>
      </c>
      <c r="F16740">
        <v>0.78661137819290161</v>
      </c>
    </row>
    <row r="16741" spans="2:6">
      <c r="B16741">
        <v>2010</v>
      </c>
      <c r="C16741" t="s">
        <v>177</v>
      </c>
      <c r="D16741" t="s">
        <v>182</v>
      </c>
      <c r="E16741" t="s">
        <v>10</v>
      </c>
      <c r="F16741">
        <v>66.5</v>
      </c>
    </row>
    <row r="16742" spans="2:6">
      <c r="B16742">
        <v>2010</v>
      </c>
      <c r="C16742" t="s">
        <v>177</v>
      </c>
      <c r="D16742" t="s">
        <v>182</v>
      </c>
      <c r="E16742" t="s">
        <v>11</v>
      </c>
      <c r="F16742">
        <v>0.83149445056915283</v>
      </c>
    </row>
    <row r="16743" spans="2:6">
      <c r="B16743">
        <v>2010</v>
      </c>
      <c r="C16743" t="s">
        <v>177</v>
      </c>
      <c r="D16743" t="s">
        <v>182</v>
      </c>
      <c r="E16743" t="s">
        <v>12</v>
      </c>
      <c r="F16743">
        <v>-5.7693980634212494E-3</v>
      </c>
    </row>
    <row r="16744" spans="2:6">
      <c r="B16744">
        <v>2010</v>
      </c>
      <c r="C16744" t="s">
        <v>177</v>
      </c>
      <c r="D16744" t="s">
        <v>182</v>
      </c>
      <c r="E16744" t="s">
        <v>13</v>
      </c>
      <c r="F16744">
        <v>0.74263674020767212</v>
      </c>
    </row>
    <row r="16745" spans="2:6">
      <c r="B16745">
        <v>2010</v>
      </c>
      <c r="C16745" t="s">
        <v>177</v>
      </c>
      <c r="D16745" t="s">
        <v>182</v>
      </c>
      <c r="E16745" t="s">
        <v>14</v>
      </c>
      <c r="F16745">
        <v>0.68524324893951416</v>
      </c>
    </row>
    <row r="16746" spans="2:6">
      <c r="B16746">
        <v>2010</v>
      </c>
      <c r="C16746" t="s">
        <v>177</v>
      </c>
      <c r="D16746" t="s">
        <v>182</v>
      </c>
      <c r="E16746" t="s">
        <v>15</v>
      </c>
      <c r="F16746">
        <v>0.21579842269420624</v>
      </c>
    </row>
    <row r="16747" spans="2:6">
      <c r="B16747">
        <v>2011</v>
      </c>
      <c r="C16747" t="s">
        <v>177</v>
      </c>
      <c r="D16747" t="s">
        <v>182</v>
      </c>
      <c r="E16747" t="s">
        <v>7</v>
      </c>
      <c r="F16747">
        <v>5.7673444747924805</v>
      </c>
    </row>
    <row r="16748" spans="2:6">
      <c r="B16748">
        <v>2011</v>
      </c>
      <c r="C16748" t="s">
        <v>177</v>
      </c>
      <c r="D16748" t="s">
        <v>182</v>
      </c>
      <c r="E16748" t="s">
        <v>8</v>
      </c>
      <c r="F16748">
        <v>8.5852279663085938</v>
      </c>
    </row>
    <row r="16749" spans="2:6">
      <c r="B16749">
        <v>2011</v>
      </c>
      <c r="C16749" t="s">
        <v>177</v>
      </c>
      <c r="D16749" t="s">
        <v>182</v>
      </c>
      <c r="E16749" t="s">
        <v>9</v>
      </c>
      <c r="F16749">
        <v>0.89765512943267822</v>
      </c>
    </row>
    <row r="16750" spans="2:6">
      <c r="B16750">
        <v>2011</v>
      </c>
      <c r="C16750" t="s">
        <v>177</v>
      </c>
      <c r="D16750" t="s">
        <v>182</v>
      </c>
      <c r="E16750" t="s">
        <v>10</v>
      </c>
      <c r="F16750">
        <v>66.660003662109375</v>
      </c>
    </row>
    <row r="16751" spans="2:6">
      <c r="B16751">
        <v>2011</v>
      </c>
      <c r="C16751" t="s">
        <v>177</v>
      </c>
      <c r="D16751" t="s">
        <v>182</v>
      </c>
      <c r="E16751" t="s">
        <v>11</v>
      </c>
      <c r="F16751">
        <v>0.81840437650680542</v>
      </c>
    </row>
    <row r="16752" spans="2:6">
      <c r="B16752">
        <v>2011</v>
      </c>
      <c r="C16752" t="s">
        <v>177</v>
      </c>
      <c r="D16752" t="s">
        <v>182</v>
      </c>
      <c r="E16752" t="s">
        <v>12</v>
      </c>
      <c r="F16752">
        <v>0.10499256104230881</v>
      </c>
    </row>
    <row r="16753" spans="2:6">
      <c r="B16753">
        <v>2011</v>
      </c>
      <c r="C16753" t="s">
        <v>177</v>
      </c>
      <c r="D16753" t="s">
        <v>182</v>
      </c>
      <c r="E16753" t="s">
        <v>13</v>
      </c>
      <c r="F16753">
        <v>0.74216163158416748</v>
      </c>
    </row>
    <row r="16754" spans="2:6">
      <c r="B16754">
        <v>2011</v>
      </c>
      <c r="C16754" t="s">
        <v>177</v>
      </c>
      <c r="D16754" t="s">
        <v>182</v>
      </c>
      <c r="E16754" t="s">
        <v>14</v>
      </c>
      <c r="F16754">
        <v>0.53159022331237793</v>
      </c>
    </row>
    <row r="16755" spans="2:6">
      <c r="B16755">
        <v>2011</v>
      </c>
      <c r="C16755" t="s">
        <v>177</v>
      </c>
      <c r="D16755" t="s">
        <v>182</v>
      </c>
      <c r="E16755" t="s">
        <v>15</v>
      </c>
      <c r="F16755">
        <v>0.1926691085100174</v>
      </c>
    </row>
    <row r="16756" spans="2:6">
      <c r="B16756">
        <v>2012</v>
      </c>
      <c r="C16756" t="s">
        <v>177</v>
      </c>
      <c r="D16756" t="s">
        <v>182</v>
      </c>
      <c r="E16756" t="s">
        <v>7</v>
      </c>
      <c r="F16756">
        <v>5.5345697402954102</v>
      </c>
    </row>
    <row r="16757" spans="2:6">
      <c r="B16757">
        <v>2012</v>
      </c>
      <c r="C16757" t="s">
        <v>177</v>
      </c>
      <c r="D16757" t="s">
        <v>182</v>
      </c>
      <c r="E16757" t="s">
        <v>8</v>
      </c>
      <c r="F16757">
        <v>8.625950813293457</v>
      </c>
    </row>
    <row r="16758" spans="2:6">
      <c r="B16758">
        <v>2012</v>
      </c>
      <c r="C16758" t="s">
        <v>177</v>
      </c>
      <c r="D16758" t="s">
        <v>182</v>
      </c>
      <c r="E16758" t="s">
        <v>9</v>
      </c>
      <c r="F16758">
        <v>0.7750086784362793</v>
      </c>
    </row>
    <row r="16759" spans="2:6">
      <c r="B16759">
        <v>2012</v>
      </c>
      <c r="C16759" t="s">
        <v>177</v>
      </c>
      <c r="D16759" t="s">
        <v>182</v>
      </c>
      <c r="E16759" t="s">
        <v>10</v>
      </c>
      <c r="F16759">
        <v>66.819999694824219</v>
      </c>
    </row>
    <row r="16760" spans="2:6">
      <c r="B16760">
        <v>2012</v>
      </c>
      <c r="C16760" t="s">
        <v>177</v>
      </c>
      <c r="D16760" t="s">
        <v>182</v>
      </c>
      <c r="E16760" t="s">
        <v>11</v>
      </c>
      <c r="F16760">
        <v>0.85605347156524658</v>
      </c>
    </row>
    <row r="16761" spans="2:6">
      <c r="B16761">
        <v>2012</v>
      </c>
      <c r="C16761" t="s">
        <v>177</v>
      </c>
      <c r="D16761" t="s">
        <v>182</v>
      </c>
      <c r="E16761" t="s">
        <v>12</v>
      </c>
      <c r="F16761">
        <v>-0.11029041558504105</v>
      </c>
    </row>
    <row r="16762" spans="2:6">
      <c r="B16762">
        <v>2012</v>
      </c>
      <c r="C16762" t="s">
        <v>177</v>
      </c>
      <c r="D16762" t="s">
        <v>182</v>
      </c>
      <c r="E16762" t="s">
        <v>13</v>
      </c>
      <c r="F16762">
        <v>0.81488490104675293</v>
      </c>
    </row>
    <row r="16763" spans="2:6">
      <c r="B16763">
        <v>2012</v>
      </c>
      <c r="C16763" t="s">
        <v>177</v>
      </c>
      <c r="D16763" t="s">
        <v>182</v>
      </c>
      <c r="E16763" t="s">
        <v>14</v>
      </c>
      <c r="F16763">
        <v>0.61512786149978638</v>
      </c>
    </row>
    <row r="16764" spans="2:6">
      <c r="B16764">
        <v>2012</v>
      </c>
      <c r="C16764" t="s">
        <v>177</v>
      </c>
      <c r="D16764" t="s">
        <v>182</v>
      </c>
      <c r="E16764" t="s">
        <v>15</v>
      </c>
      <c r="F16764">
        <v>0.22135597467422485</v>
      </c>
    </row>
    <row r="16765" spans="2:6">
      <c r="B16765">
        <v>2013</v>
      </c>
      <c r="C16765" t="s">
        <v>177</v>
      </c>
      <c r="D16765" t="s">
        <v>182</v>
      </c>
      <c r="E16765" t="s">
        <v>7</v>
      </c>
      <c r="F16765">
        <v>5.0226988792419434</v>
      </c>
    </row>
    <row r="16766" spans="2:6">
      <c r="B16766">
        <v>2013</v>
      </c>
      <c r="C16766" t="s">
        <v>177</v>
      </c>
      <c r="D16766" t="s">
        <v>182</v>
      </c>
      <c r="E16766" t="s">
        <v>8</v>
      </c>
      <c r="F16766">
        <v>8.6682167053222656</v>
      </c>
    </row>
    <row r="16767" spans="2:6">
      <c r="B16767">
        <v>2013</v>
      </c>
      <c r="C16767" t="s">
        <v>177</v>
      </c>
      <c r="D16767" t="s">
        <v>182</v>
      </c>
      <c r="E16767" t="s">
        <v>9</v>
      </c>
      <c r="F16767">
        <v>0.75947695970535278</v>
      </c>
    </row>
    <row r="16768" spans="2:6">
      <c r="B16768">
        <v>2013</v>
      </c>
      <c r="C16768" t="s">
        <v>177</v>
      </c>
      <c r="D16768" t="s">
        <v>182</v>
      </c>
      <c r="E16768" t="s">
        <v>10</v>
      </c>
      <c r="F16768">
        <v>66.980003356933594</v>
      </c>
    </row>
    <row r="16769" spans="2:6">
      <c r="B16769">
        <v>2013</v>
      </c>
      <c r="C16769" t="s">
        <v>177</v>
      </c>
      <c r="D16769" t="s">
        <v>182</v>
      </c>
      <c r="E16769" t="s">
        <v>11</v>
      </c>
      <c r="F16769">
        <v>0.91960746049880981</v>
      </c>
    </row>
    <row r="16770" spans="2:6">
      <c r="B16770">
        <v>2013</v>
      </c>
      <c r="C16770" t="s">
        <v>177</v>
      </c>
      <c r="D16770" t="s">
        <v>182</v>
      </c>
      <c r="E16770" t="s">
        <v>12</v>
      </c>
      <c r="F16770">
        <v>-2.7051575481891632E-2</v>
      </c>
    </row>
    <row r="16771" spans="2:6">
      <c r="B16771">
        <v>2013</v>
      </c>
      <c r="C16771" t="s">
        <v>177</v>
      </c>
      <c r="D16771" t="s">
        <v>182</v>
      </c>
      <c r="E16771" t="s">
        <v>13</v>
      </c>
      <c r="F16771">
        <v>0.77124583721160889</v>
      </c>
    </row>
    <row r="16772" spans="2:6">
      <c r="B16772">
        <v>2013</v>
      </c>
      <c r="C16772" t="s">
        <v>177</v>
      </c>
      <c r="D16772" t="s">
        <v>182</v>
      </c>
      <c r="E16772" t="s">
        <v>14</v>
      </c>
      <c r="F16772">
        <v>0.71843123435974121</v>
      </c>
    </row>
    <row r="16773" spans="2:6">
      <c r="B16773">
        <v>2013</v>
      </c>
      <c r="C16773" t="s">
        <v>177</v>
      </c>
      <c r="D16773" t="s">
        <v>182</v>
      </c>
      <c r="E16773" t="s">
        <v>15</v>
      </c>
      <c r="F16773">
        <v>0.16522526741027832</v>
      </c>
    </row>
    <row r="16774" spans="2:6">
      <c r="B16774">
        <v>2014</v>
      </c>
      <c r="C16774" t="s">
        <v>177</v>
      </c>
      <c r="D16774" t="s">
        <v>182</v>
      </c>
      <c r="E16774" t="s">
        <v>7</v>
      </c>
      <c r="F16774">
        <v>5.084923267364502</v>
      </c>
    </row>
    <row r="16775" spans="2:6">
      <c r="B16775">
        <v>2014</v>
      </c>
      <c r="C16775" t="s">
        <v>177</v>
      </c>
      <c r="D16775" t="s">
        <v>182</v>
      </c>
      <c r="E16775" t="s">
        <v>8</v>
      </c>
      <c r="F16775">
        <v>8.7157964706420898</v>
      </c>
    </row>
    <row r="16776" spans="2:6">
      <c r="B16776">
        <v>2014</v>
      </c>
      <c r="C16776" t="s">
        <v>177</v>
      </c>
      <c r="D16776" t="s">
        <v>182</v>
      </c>
      <c r="E16776" t="s">
        <v>9</v>
      </c>
      <c r="F16776">
        <v>0.79216849803924561</v>
      </c>
    </row>
    <row r="16777" spans="2:6">
      <c r="B16777">
        <v>2014</v>
      </c>
      <c r="C16777" t="s">
        <v>177</v>
      </c>
      <c r="D16777" t="s">
        <v>182</v>
      </c>
      <c r="E16777" t="s">
        <v>10</v>
      </c>
      <c r="F16777">
        <v>67.139999389648438</v>
      </c>
    </row>
    <row r="16778" spans="2:6">
      <c r="B16778">
        <v>2014</v>
      </c>
      <c r="C16778" t="s">
        <v>177</v>
      </c>
      <c r="D16778" t="s">
        <v>182</v>
      </c>
      <c r="E16778" t="s">
        <v>12</v>
      </c>
      <c r="F16778">
        <v>3.9845086575951427E-5</v>
      </c>
    </row>
    <row r="16779" spans="2:6">
      <c r="B16779">
        <v>2014</v>
      </c>
      <c r="C16779" t="s">
        <v>177</v>
      </c>
      <c r="D16779" t="s">
        <v>182</v>
      </c>
      <c r="E16779" t="s">
        <v>14</v>
      </c>
      <c r="F16779">
        <v>0.7013857364654541</v>
      </c>
    </row>
    <row r="16780" spans="2:6">
      <c r="B16780">
        <v>2014</v>
      </c>
      <c r="C16780" t="s">
        <v>177</v>
      </c>
      <c r="D16780" t="s">
        <v>182</v>
      </c>
      <c r="E16780" t="s">
        <v>15</v>
      </c>
      <c r="F16780">
        <v>0.24060678482055664</v>
      </c>
    </row>
    <row r="16781" spans="2:6">
      <c r="B16781">
        <v>2015</v>
      </c>
      <c r="C16781" t="s">
        <v>177</v>
      </c>
      <c r="D16781" t="s">
        <v>182</v>
      </c>
      <c r="E16781" t="s">
        <v>7</v>
      </c>
      <c r="F16781">
        <v>5.0763154029846191</v>
      </c>
    </row>
    <row r="16782" spans="2:6">
      <c r="B16782">
        <v>2015</v>
      </c>
      <c r="C16782" t="s">
        <v>177</v>
      </c>
      <c r="D16782" t="s">
        <v>182</v>
      </c>
      <c r="E16782" t="s">
        <v>8</v>
      </c>
      <c r="F16782">
        <v>8.7700138092041016</v>
      </c>
    </row>
    <row r="16783" spans="2:6">
      <c r="B16783">
        <v>2015</v>
      </c>
      <c r="C16783" t="s">
        <v>177</v>
      </c>
      <c r="D16783" t="s">
        <v>182</v>
      </c>
      <c r="E16783" t="s">
        <v>9</v>
      </c>
      <c r="F16783">
        <v>0.84867668151855469</v>
      </c>
    </row>
    <row r="16784" spans="2:6">
      <c r="B16784">
        <v>2015</v>
      </c>
      <c r="C16784" t="s">
        <v>177</v>
      </c>
      <c r="D16784" t="s">
        <v>182</v>
      </c>
      <c r="E16784" t="s">
        <v>10</v>
      </c>
      <c r="F16784">
        <v>67.300003051757813</v>
      </c>
    </row>
    <row r="16785" spans="2:6">
      <c r="B16785">
        <v>2015</v>
      </c>
      <c r="C16785" t="s">
        <v>177</v>
      </c>
      <c r="D16785" t="s">
        <v>182</v>
      </c>
      <c r="E16785" t="s">
        <v>12</v>
      </c>
      <c r="F16785">
        <v>8.5506446659564972E-2</v>
      </c>
    </row>
    <row r="16786" spans="2:6">
      <c r="B16786">
        <v>2015</v>
      </c>
      <c r="C16786" t="s">
        <v>177</v>
      </c>
      <c r="D16786" t="s">
        <v>182</v>
      </c>
      <c r="E16786" t="s">
        <v>14</v>
      </c>
      <c r="F16786">
        <v>0.64223670959472656</v>
      </c>
    </row>
    <row r="16787" spans="2:6">
      <c r="B16787">
        <v>2015</v>
      </c>
      <c r="C16787" t="s">
        <v>177</v>
      </c>
      <c r="D16787" t="s">
        <v>182</v>
      </c>
      <c r="E16787" t="s">
        <v>15</v>
      </c>
      <c r="F16787">
        <v>0.23241613805294037</v>
      </c>
    </row>
    <row r="16788" spans="2:6">
      <c r="B16788">
        <v>2016</v>
      </c>
      <c r="C16788" t="s">
        <v>177</v>
      </c>
      <c r="D16788" t="s">
        <v>182</v>
      </c>
      <c r="E16788" t="s">
        <v>7</v>
      </c>
      <c r="F16788">
        <v>5.0622673034667969</v>
      </c>
    </row>
    <row r="16789" spans="2:6">
      <c r="B16789">
        <v>2016</v>
      </c>
      <c r="C16789" t="s">
        <v>177</v>
      </c>
      <c r="D16789" t="s">
        <v>182</v>
      </c>
      <c r="E16789" t="s">
        <v>8</v>
      </c>
      <c r="F16789">
        <v>8.8199462890625</v>
      </c>
    </row>
    <row r="16790" spans="2:6">
      <c r="B16790">
        <v>2016</v>
      </c>
      <c r="C16790" t="s">
        <v>177</v>
      </c>
      <c r="D16790" t="s">
        <v>182</v>
      </c>
      <c r="E16790" t="s">
        <v>9</v>
      </c>
      <c r="F16790">
        <v>0.87632358074188232</v>
      </c>
    </row>
    <row r="16791" spans="2:6">
      <c r="B16791">
        <v>2016</v>
      </c>
      <c r="C16791" t="s">
        <v>177</v>
      </c>
      <c r="D16791" t="s">
        <v>182</v>
      </c>
      <c r="E16791" t="s">
        <v>10</v>
      </c>
      <c r="F16791">
        <v>67.5</v>
      </c>
    </row>
    <row r="16792" spans="2:6">
      <c r="B16792">
        <v>2016</v>
      </c>
      <c r="C16792" t="s">
        <v>177</v>
      </c>
      <c r="D16792" t="s">
        <v>182</v>
      </c>
      <c r="E16792" t="s">
        <v>11</v>
      </c>
      <c r="F16792">
        <v>0.89435112476348877</v>
      </c>
    </row>
    <row r="16793" spans="2:6">
      <c r="B16793">
        <v>2016</v>
      </c>
      <c r="C16793" t="s">
        <v>177</v>
      </c>
      <c r="D16793" t="s">
        <v>182</v>
      </c>
      <c r="E16793" t="s">
        <v>12</v>
      </c>
      <c r="F16793">
        <v>-8.9814022183418274E-2</v>
      </c>
    </row>
    <row r="16794" spans="2:6">
      <c r="B16794">
        <v>2016</v>
      </c>
      <c r="C16794" t="s">
        <v>177</v>
      </c>
      <c r="D16794" t="s">
        <v>182</v>
      </c>
      <c r="E16794" t="s">
        <v>13</v>
      </c>
      <c r="F16794">
        <v>0.79924017190933228</v>
      </c>
    </row>
    <row r="16795" spans="2:6">
      <c r="B16795">
        <v>2016</v>
      </c>
      <c r="C16795" t="s">
        <v>177</v>
      </c>
      <c r="D16795" t="s">
        <v>182</v>
      </c>
      <c r="E16795" t="s">
        <v>14</v>
      </c>
      <c r="F16795">
        <v>0.53622573614120483</v>
      </c>
    </row>
    <row r="16796" spans="2:6">
      <c r="B16796">
        <v>2016</v>
      </c>
      <c r="C16796" t="s">
        <v>177</v>
      </c>
      <c r="D16796" t="s">
        <v>182</v>
      </c>
      <c r="E16796" t="s">
        <v>15</v>
      </c>
      <c r="F16796">
        <v>0.22255019843578339</v>
      </c>
    </row>
    <row r="16797" spans="2:6">
      <c r="B16797">
        <v>2017</v>
      </c>
      <c r="C16797" t="s">
        <v>177</v>
      </c>
      <c r="D16797" t="s">
        <v>182</v>
      </c>
      <c r="E16797" t="s">
        <v>7</v>
      </c>
      <c r="F16797">
        <v>5.1752786636352539</v>
      </c>
    </row>
    <row r="16798" spans="2:6">
      <c r="B16798">
        <v>2017</v>
      </c>
      <c r="C16798" t="s">
        <v>177</v>
      </c>
      <c r="D16798" t="s">
        <v>182</v>
      </c>
      <c r="E16798" t="s">
        <v>8</v>
      </c>
      <c r="F16798">
        <v>8.8756704330444336</v>
      </c>
    </row>
    <row r="16799" spans="2:6">
      <c r="B16799">
        <v>2017</v>
      </c>
      <c r="C16799" t="s">
        <v>177</v>
      </c>
      <c r="D16799" t="s">
        <v>182</v>
      </c>
      <c r="E16799" t="s">
        <v>10</v>
      </c>
      <c r="F16799">
        <v>67.699996948242188</v>
      </c>
    </row>
    <row r="16800" spans="2:6">
      <c r="B16800">
        <v>2018</v>
      </c>
      <c r="C16800" t="s">
        <v>177</v>
      </c>
      <c r="D16800" t="s">
        <v>182</v>
      </c>
      <c r="E16800" t="s">
        <v>7</v>
      </c>
      <c r="F16800">
        <v>5.2955470085144043</v>
      </c>
    </row>
    <row r="16801" spans="2:6">
      <c r="B16801">
        <v>2018</v>
      </c>
      <c r="C16801" t="s">
        <v>177</v>
      </c>
      <c r="D16801" t="s">
        <v>182</v>
      </c>
      <c r="E16801" t="s">
        <v>8</v>
      </c>
      <c r="F16801">
        <v>8.9341106414794922</v>
      </c>
    </row>
    <row r="16802" spans="2:6">
      <c r="B16802">
        <v>2018</v>
      </c>
      <c r="C16802" t="s">
        <v>177</v>
      </c>
      <c r="D16802" t="s">
        <v>182</v>
      </c>
      <c r="E16802" t="s">
        <v>9</v>
      </c>
      <c r="F16802">
        <v>0.83194524049758911</v>
      </c>
    </row>
    <row r="16803" spans="2:6">
      <c r="B16803">
        <v>2018</v>
      </c>
      <c r="C16803" t="s">
        <v>177</v>
      </c>
      <c r="D16803" t="s">
        <v>182</v>
      </c>
      <c r="E16803" t="s">
        <v>10</v>
      </c>
      <c r="F16803">
        <v>67.900001525878906</v>
      </c>
    </row>
    <row r="16804" spans="2:6">
      <c r="B16804">
        <v>2018</v>
      </c>
      <c r="C16804" t="s">
        <v>177</v>
      </c>
      <c r="D16804" t="s">
        <v>182</v>
      </c>
      <c r="E16804" t="s">
        <v>11</v>
      </c>
      <c r="F16804">
        <v>0.90925979614257813</v>
      </c>
    </row>
    <row r="16805" spans="2:6">
      <c r="B16805">
        <v>2018</v>
      </c>
      <c r="C16805" t="s">
        <v>177</v>
      </c>
      <c r="D16805" t="s">
        <v>182</v>
      </c>
      <c r="E16805" t="s">
        <v>12</v>
      </c>
      <c r="F16805">
        <v>-4.0764342993497849E-2</v>
      </c>
    </row>
    <row r="16806" spans="2:6">
      <c r="B16806">
        <v>2018</v>
      </c>
      <c r="C16806" t="s">
        <v>177</v>
      </c>
      <c r="D16806" t="s">
        <v>182</v>
      </c>
      <c r="E16806" t="s">
        <v>13</v>
      </c>
      <c r="F16806">
        <v>0.80842298269271851</v>
      </c>
    </row>
    <row r="16807" spans="2:6">
      <c r="B16807">
        <v>2018</v>
      </c>
      <c r="C16807" t="s">
        <v>177</v>
      </c>
      <c r="D16807" t="s">
        <v>182</v>
      </c>
      <c r="E16807" t="s">
        <v>14</v>
      </c>
      <c r="F16807">
        <v>0.69222241640090942</v>
      </c>
    </row>
    <row r="16808" spans="2:6">
      <c r="B16808">
        <v>2018</v>
      </c>
      <c r="C16808" t="s">
        <v>177</v>
      </c>
      <c r="D16808" t="s">
        <v>182</v>
      </c>
      <c r="E16808" t="s">
        <v>15</v>
      </c>
      <c r="F16808">
        <v>0.1910613626241684</v>
      </c>
    </row>
    <row r="16809" spans="2:6">
      <c r="B16809">
        <v>2019</v>
      </c>
      <c r="C16809" t="s">
        <v>177</v>
      </c>
      <c r="D16809" t="s">
        <v>182</v>
      </c>
      <c r="E16809" t="s">
        <v>7</v>
      </c>
      <c r="F16809">
        <v>5.4674510955810547</v>
      </c>
    </row>
    <row r="16810" spans="2:6">
      <c r="B16810">
        <v>2019</v>
      </c>
      <c r="C16810" t="s">
        <v>177</v>
      </c>
      <c r="D16810" t="s">
        <v>182</v>
      </c>
      <c r="E16810" t="s">
        <v>8</v>
      </c>
      <c r="F16810">
        <v>8.9923305511474609</v>
      </c>
    </row>
    <row r="16811" spans="2:6">
      <c r="B16811">
        <v>2019</v>
      </c>
      <c r="C16811" t="s">
        <v>177</v>
      </c>
      <c r="D16811" t="s">
        <v>182</v>
      </c>
      <c r="E16811" t="s">
        <v>9</v>
      </c>
      <c r="F16811">
        <v>0.84759211540222168</v>
      </c>
    </row>
    <row r="16812" spans="2:6">
      <c r="B16812">
        <v>2019</v>
      </c>
      <c r="C16812" t="s">
        <v>177</v>
      </c>
      <c r="D16812" t="s">
        <v>182</v>
      </c>
      <c r="E16812" t="s">
        <v>10</v>
      </c>
      <c r="F16812">
        <v>68.099998474121094</v>
      </c>
    </row>
    <row r="16813" spans="2:6">
      <c r="B16813">
        <v>2019</v>
      </c>
      <c r="C16813" t="s">
        <v>177</v>
      </c>
      <c r="D16813" t="s">
        <v>182</v>
      </c>
      <c r="E16813" t="s">
        <v>11</v>
      </c>
      <c r="F16813">
        <v>0.95246917009353638</v>
      </c>
    </row>
    <row r="16814" spans="2:6">
      <c r="B16814">
        <v>2019</v>
      </c>
      <c r="C16814" t="s">
        <v>177</v>
      </c>
      <c r="D16814" t="s">
        <v>182</v>
      </c>
      <c r="E16814" t="s">
        <v>12</v>
      </c>
      <c r="F16814">
        <v>-0.12553076446056366</v>
      </c>
    </row>
    <row r="16815" spans="2:6">
      <c r="B16815">
        <v>2019</v>
      </c>
      <c r="C16815" t="s">
        <v>177</v>
      </c>
      <c r="D16815" t="s">
        <v>182</v>
      </c>
      <c r="E16815" t="s">
        <v>13</v>
      </c>
      <c r="F16815">
        <v>0.78788924217224121</v>
      </c>
    </row>
    <row r="16816" spans="2:6">
      <c r="B16816">
        <v>2019</v>
      </c>
      <c r="C16816" t="s">
        <v>177</v>
      </c>
      <c r="D16816" t="s">
        <v>182</v>
      </c>
      <c r="E16816" t="s">
        <v>14</v>
      </c>
      <c r="F16816">
        <v>0.7511599063873291</v>
      </c>
    </row>
    <row r="16817" spans="2:6">
      <c r="B16817">
        <v>2019</v>
      </c>
      <c r="C16817" t="s">
        <v>177</v>
      </c>
      <c r="D16817" t="s">
        <v>182</v>
      </c>
      <c r="E16817" t="s">
        <v>15</v>
      </c>
      <c r="F16817">
        <v>0.18561019003391266</v>
      </c>
    </row>
    <row r="16818" spans="2:6">
      <c r="B16818">
        <v>2007</v>
      </c>
      <c r="C16818" t="s">
        <v>178</v>
      </c>
      <c r="D16818" t="s">
        <v>182</v>
      </c>
      <c r="E16818" t="s">
        <v>7</v>
      </c>
      <c r="F16818">
        <v>4.4771327972412109</v>
      </c>
    </row>
    <row r="16819" spans="2:6">
      <c r="B16819">
        <v>2007</v>
      </c>
      <c r="C16819" t="s">
        <v>178</v>
      </c>
      <c r="D16819" t="s">
        <v>182</v>
      </c>
      <c r="E16819" t="s">
        <v>8</v>
      </c>
      <c r="F16819">
        <v>8.2140665054321289</v>
      </c>
    </row>
    <row r="16820" spans="2:6">
      <c r="B16820">
        <v>2007</v>
      </c>
      <c r="C16820" t="s">
        <v>178</v>
      </c>
      <c r="D16820" t="s">
        <v>182</v>
      </c>
      <c r="E16820" t="s">
        <v>9</v>
      </c>
      <c r="F16820">
        <v>0.82496893405914307</v>
      </c>
    </row>
    <row r="16821" spans="2:6">
      <c r="B16821">
        <v>2007</v>
      </c>
      <c r="C16821" t="s">
        <v>178</v>
      </c>
      <c r="D16821" t="s">
        <v>182</v>
      </c>
      <c r="E16821" t="s">
        <v>10</v>
      </c>
      <c r="F16821">
        <v>53.400001525878906</v>
      </c>
    </row>
    <row r="16822" spans="2:6">
      <c r="B16822">
        <v>2007</v>
      </c>
      <c r="C16822" t="s">
        <v>178</v>
      </c>
      <c r="D16822" t="s">
        <v>182</v>
      </c>
      <c r="E16822" t="s">
        <v>11</v>
      </c>
      <c r="F16822">
        <v>0.67268532514572144</v>
      </c>
    </row>
    <row r="16823" spans="2:6">
      <c r="B16823">
        <v>2007</v>
      </c>
      <c r="C16823" t="s">
        <v>178</v>
      </c>
      <c r="D16823" t="s">
        <v>182</v>
      </c>
      <c r="E16823" t="s">
        <v>12</v>
      </c>
      <c r="F16823">
        <v>1.1008867993950844E-2</v>
      </c>
    </row>
    <row r="16824" spans="2:6">
      <c r="B16824">
        <v>2007</v>
      </c>
      <c r="C16824" t="s">
        <v>178</v>
      </c>
      <c r="D16824" t="s">
        <v>182</v>
      </c>
      <c r="E16824" t="s">
        <v>14</v>
      </c>
      <c r="F16824">
        <v>0.59189838171005249</v>
      </c>
    </row>
    <row r="16825" spans="2:6">
      <c r="B16825">
        <v>2007</v>
      </c>
      <c r="C16825" t="s">
        <v>178</v>
      </c>
      <c r="D16825" t="s">
        <v>182</v>
      </c>
      <c r="E16825" t="s">
        <v>15</v>
      </c>
      <c r="F16825">
        <v>0.37878444790840149</v>
      </c>
    </row>
    <row r="16826" spans="2:6">
      <c r="B16826">
        <v>2009</v>
      </c>
      <c r="C16826" t="s">
        <v>178</v>
      </c>
      <c r="D16826" t="s">
        <v>182</v>
      </c>
      <c r="E16826" t="s">
        <v>7</v>
      </c>
      <c r="F16826">
        <v>4.8092589378356934</v>
      </c>
    </row>
    <row r="16827" spans="2:6">
      <c r="B16827">
        <v>2009</v>
      </c>
      <c r="C16827" t="s">
        <v>178</v>
      </c>
      <c r="D16827" t="s">
        <v>182</v>
      </c>
      <c r="E16827" t="s">
        <v>8</v>
      </c>
      <c r="F16827">
        <v>8.2777214050292969</v>
      </c>
    </row>
    <row r="16828" spans="2:6">
      <c r="B16828">
        <v>2009</v>
      </c>
      <c r="C16828" t="s">
        <v>178</v>
      </c>
      <c r="D16828" t="s">
        <v>182</v>
      </c>
      <c r="E16828" t="s">
        <v>9</v>
      </c>
      <c r="F16828">
        <v>0.75642973184585571</v>
      </c>
    </row>
    <row r="16829" spans="2:6">
      <c r="B16829">
        <v>2009</v>
      </c>
      <c r="C16829" t="s">
        <v>178</v>
      </c>
      <c r="D16829" t="s">
        <v>182</v>
      </c>
      <c r="E16829" t="s">
        <v>10</v>
      </c>
      <c r="F16829">
        <v>54</v>
      </c>
    </row>
    <row r="16830" spans="2:6">
      <c r="B16830">
        <v>2009</v>
      </c>
      <c r="C16830" t="s">
        <v>178</v>
      </c>
      <c r="D16830" t="s">
        <v>182</v>
      </c>
      <c r="E16830" t="s">
        <v>11</v>
      </c>
      <c r="F16830">
        <v>0.64422869682312012</v>
      </c>
    </row>
    <row r="16831" spans="2:6">
      <c r="B16831">
        <v>2009</v>
      </c>
      <c r="C16831" t="s">
        <v>178</v>
      </c>
      <c r="D16831" t="s">
        <v>182</v>
      </c>
      <c r="E16831" t="s">
        <v>12</v>
      </c>
      <c r="F16831">
        <v>-5.2246704697608948E-2</v>
      </c>
    </row>
    <row r="16832" spans="2:6">
      <c r="B16832">
        <v>2009</v>
      </c>
      <c r="C16832" t="s">
        <v>178</v>
      </c>
      <c r="D16832" t="s">
        <v>182</v>
      </c>
      <c r="E16832" t="s">
        <v>13</v>
      </c>
      <c r="F16832">
        <v>0.83242720365524292</v>
      </c>
    </row>
    <row r="16833" spans="2:6">
      <c r="B16833">
        <v>2009</v>
      </c>
      <c r="C16833" t="s">
        <v>178</v>
      </c>
      <c r="D16833" t="s">
        <v>182</v>
      </c>
      <c r="E16833" t="s">
        <v>14</v>
      </c>
      <c r="F16833">
        <v>0.58322370052337646</v>
      </c>
    </row>
    <row r="16834" spans="2:6">
      <c r="B16834">
        <v>2009</v>
      </c>
      <c r="C16834" t="s">
        <v>178</v>
      </c>
      <c r="D16834" t="s">
        <v>182</v>
      </c>
      <c r="E16834" t="s">
        <v>15</v>
      </c>
      <c r="F16834">
        <v>0.37415993213653564</v>
      </c>
    </row>
    <row r="16835" spans="2:6">
      <c r="B16835">
        <v>2010</v>
      </c>
      <c r="C16835" t="s">
        <v>178</v>
      </c>
      <c r="D16835" t="s">
        <v>182</v>
      </c>
      <c r="E16835" t="s">
        <v>7</v>
      </c>
      <c r="F16835">
        <v>4.3503127098083496</v>
      </c>
    </row>
    <row r="16836" spans="2:6">
      <c r="B16836">
        <v>2010</v>
      </c>
      <c r="C16836" t="s">
        <v>178</v>
      </c>
      <c r="D16836" t="s">
        <v>182</v>
      </c>
      <c r="E16836" t="s">
        <v>8</v>
      </c>
      <c r="F16836">
        <v>8.4533500671386719</v>
      </c>
    </row>
    <row r="16837" spans="2:6">
      <c r="B16837">
        <v>2010</v>
      </c>
      <c r="C16837" t="s">
        <v>178</v>
      </c>
      <c r="D16837" t="s">
        <v>182</v>
      </c>
      <c r="E16837" t="s">
        <v>9</v>
      </c>
      <c r="F16837">
        <v>0.726612389087677</v>
      </c>
    </row>
    <row r="16838" spans="2:6">
      <c r="B16838">
        <v>2010</v>
      </c>
      <c r="C16838" t="s">
        <v>178</v>
      </c>
      <c r="D16838" t="s">
        <v>182</v>
      </c>
      <c r="E16838" t="s">
        <v>10</v>
      </c>
      <c r="F16838">
        <v>54.299999237060547</v>
      </c>
    </row>
    <row r="16839" spans="2:6">
      <c r="B16839">
        <v>2010</v>
      </c>
      <c r="C16839" t="s">
        <v>178</v>
      </c>
      <c r="D16839" t="s">
        <v>182</v>
      </c>
      <c r="E16839" t="s">
        <v>11</v>
      </c>
      <c r="F16839">
        <v>0.65928399562835693</v>
      </c>
    </row>
    <row r="16840" spans="2:6">
      <c r="B16840">
        <v>2010</v>
      </c>
      <c r="C16840" t="s">
        <v>178</v>
      </c>
      <c r="D16840" t="s">
        <v>182</v>
      </c>
      <c r="E16840" t="s">
        <v>12</v>
      </c>
      <c r="F16840">
        <v>-0.10433351993560791</v>
      </c>
    </row>
    <row r="16841" spans="2:6">
      <c r="B16841">
        <v>2010</v>
      </c>
      <c r="C16841" t="s">
        <v>178</v>
      </c>
      <c r="D16841" t="s">
        <v>182</v>
      </c>
      <c r="E16841" t="s">
        <v>13</v>
      </c>
      <c r="F16841">
        <v>0.85340321063995361</v>
      </c>
    </row>
    <row r="16842" spans="2:6">
      <c r="B16842">
        <v>2010</v>
      </c>
      <c r="C16842" t="s">
        <v>178</v>
      </c>
      <c r="D16842" t="s">
        <v>182</v>
      </c>
      <c r="E16842" t="s">
        <v>14</v>
      </c>
      <c r="F16842">
        <v>0.58242666721343994</v>
      </c>
    </row>
    <row r="16843" spans="2:6">
      <c r="B16843">
        <v>2010</v>
      </c>
      <c r="C16843" t="s">
        <v>178</v>
      </c>
      <c r="D16843" t="s">
        <v>182</v>
      </c>
      <c r="E16843" t="s">
        <v>15</v>
      </c>
      <c r="F16843">
        <v>0.30833277106285095</v>
      </c>
    </row>
    <row r="16844" spans="2:6">
      <c r="B16844">
        <v>2011</v>
      </c>
      <c r="C16844" t="s">
        <v>178</v>
      </c>
      <c r="D16844" t="s">
        <v>182</v>
      </c>
      <c r="E16844" t="s">
        <v>7</v>
      </c>
      <c r="F16844">
        <v>3.74625563621521</v>
      </c>
    </row>
    <row r="16845" spans="2:6">
      <c r="B16845">
        <v>2011</v>
      </c>
      <c r="C16845" t="s">
        <v>178</v>
      </c>
      <c r="D16845" t="s">
        <v>182</v>
      </c>
      <c r="E16845" t="s">
        <v>8</v>
      </c>
      <c r="F16845">
        <v>8.3363122940063477</v>
      </c>
    </row>
    <row r="16846" spans="2:6">
      <c r="B16846">
        <v>2011</v>
      </c>
      <c r="C16846" t="s">
        <v>178</v>
      </c>
      <c r="D16846" t="s">
        <v>182</v>
      </c>
      <c r="E16846" t="s">
        <v>9</v>
      </c>
      <c r="F16846">
        <v>0.66267955303192139</v>
      </c>
    </row>
    <row r="16847" spans="2:6">
      <c r="B16847">
        <v>2011</v>
      </c>
      <c r="C16847" t="s">
        <v>178</v>
      </c>
      <c r="D16847" t="s">
        <v>182</v>
      </c>
      <c r="E16847" t="s">
        <v>10</v>
      </c>
      <c r="F16847">
        <v>54.299999237060547</v>
      </c>
    </row>
    <row r="16848" spans="2:6">
      <c r="B16848">
        <v>2011</v>
      </c>
      <c r="C16848" t="s">
        <v>178</v>
      </c>
      <c r="D16848" t="s">
        <v>182</v>
      </c>
      <c r="E16848" t="s">
        <v>11</v>
      </c>
      <c r="F16848">
        <v>0.63821059465408325</v>
      </c>
    </row>
    <row r="16849" spans="2:6">
      <c r="B16849">
        <v>2011</v>
      </c>
      <c r="C16849" t="s">
        <v>178</v>
      </c>
      <c r="D16849" t="s">
        <v>182</v>
      </c>
      <c r="E16849" t="s">
        <v>12</v>
      </c>
      <c r="F16849">
        <v>-0.17348551750183105</v>
      </c>
    </row>
    <row r="16850" spans="2:6">
      <c r="B16850">
        <v>2011</v>
      </c>
      <c r="C16850" t="s">
        <v>178</v>
      </c>
      <c r="D16850" t="s">
        <v>182</v>
      </c>
      <c r="E16850" t="s">
        <v>13</v>
      </c>
      <c r="F16850">
        <v>0.75388246774673462</v>
      </c>
    </row>
    <row r="16851" spans="2:6">
      <c r="B16851">
        <v>2011</v>
      </c>
      <c r="C16851" t="s">
        <v>178</v>
      </c>
      <c r="D16851" t="s">
        <v>182</v>
      </c>
      <c r="E16851" t="s">
        <v>14</v>
      </c>
      <c r="F16851">
        <v>0.50269079208374023</v>
      </c>
    </row>
    <row r="16852" spans="2:6">
      <c r="B16852">
        <v>2011</v>
      </c>
      <c r="C16852" t="s">
        <v>178</v>
      </c>
      <c r="D16852" t="s">
        <v>182</v>
      </c>
      <c r="E16852" t="s">
        <v>15</v>
      </c>
      <c r="F16852">
        <v>0.28486257791519165</v>
      </c>
    </row>
    <row r="16853" spans="2:6">
      <c r="B16853">
        <v>2012</v>
      </c>
      <c r="C16853" t="s">
        <v>178</v>
      </c>
      <c r="D16853" t="s">
        <v>182</v>
      </c>
      <c r="E16853" t="s">
        <v>7</v>
      </c>
      <c r="F16853">
        <v>4.060600757598877</v>
      </c>
    </row>
    <row r="16854" spans="2:6">
      <c r="B16854">
        <v>2012</v>
      </c>
      <c r="C16854" t="s">
        <v>178</v>
      </c>
      <c r="D16854" t="s">
        <v>182</v>
      </c>
      <c r="E16854" t="s">
        <v>8</v>
      </c>
      <c r="F16854">
        <v>8.2360067367553711</v>
      </c>
    </row>
    <row r="16855" spans="2:6">
      <c r="B16855">
        <v>2012</v>
      </c>
      <c r="C16855" t="s">
        <v>178</v>
      </c>
      <c r="D16855" t="s">
        <v>182</v>
      </c>
      <c r="E16855" t="s">
        <v>9</v>
      </c>
      <c r="F16855">
        <v>0.68167829513549805</v>
      </c>
    </row>
    <row r="16856" spans="2:6">
      <c r="B16856">
        <v>2012</v>
      </c>
      <c r="C16856" t="s">
        <v>178</v>
      </c>
      <c r="D16856" t="s">
        <v>182</v>
      </c>
      <c r="E16856" t="s">
        <v>10</v>
      </c>
      <c r="F16856">
        <v>54.299999237060547</v>
      </c>
    </row>
    <row r="16857" spans="2:6">
      <c r="B16857">
        <v>2012</v>
      </c>
      <c r="C16857" t="s">
        <v>178</v>
      </c>
      <c r="D16857" t="s">
        <v>182</v>
      </c>
      <c r="E16857" t="s">
        <v>11</v>
      </c>
      <c r="F16857">
        <v>0.70581531524658203</v>
      </c>
    </row>
    <row r="16858" spans="2:6">
      <c r="B16858">
        <v>2012</v>
      </c>
      <c r="C16858" t="s">
        <v>178</v>
      </c>
      <c r="D16858" t="s">
        <v>182</v>
      </c>
      <c r="E16858" t="s">
        <v>12</v>
      </c>
      <c r="F16858">
        <v>-0.17072929441928864</v>
      </c>
    </row>
    <row r="16859" spans="2:6">
      <c r="B16859">
        <v>2012</v>
      </c>
      <c r="C16859" t="s">
        <v>178</v>
      </c>
      <c r="D16859" t="s">
        <v>182</v>
      </c>
      <c r="E16859" t="s">
        <v>13</v>
      </c>
      <c r="F16859">
        <v>0.79323273897171021</v>
      </c>
    </row>
    <row r="16860" spans="2:6">
      <c r="B16860">
        <v>2012</v>
      </c>
      <c r="C16860" t="s">
        <v>178</v>
      </c>
      <c r="D16860" t="s">
        <v>182</v>
      </c>
      <c r="E16860" t="s">
        <v>14</v>
      </c>
      <c r="F16860">
        <v>0.50177562236785889</v>
      </c>
    </row>
    <row r="16861" spans="2:6">
      <c r="B16861">
        <v>2012</v>
      </c>
      <c r="C16861" t="s">
        <v>178</v>
      </c>
      <c r="D16861" t="s">
        <v>182</v>
      </c>
      <c r="E16861" t="s">
        <v>15</v>
      </c>
      <c r="F16861">
        <v>0.26281657814979553</v>
      </c>
    </row>
    <row r="16862" spans="2:6">
      <c r="B16862">
        <v>2013</v>
      </c>
      <c r="C16862" t="s">
        <v>178</v>
      </c>
      <c r="D16862" t="s">
        <v>182</v>
      </c>
      <c r="E16862" t="s">
        <v>7</v>
      </c>
      <c r="F16862">
        <v>4.2176785469055176</v>
      </c>
    </row>
    <row r="16863" spans="2:6">
      <c r="B16863">
        <v>2013</v>
      </c>
      <c r="C16863" t="s">
        <v>178</v>
      </c>
      <c r="D16863" t="s">
        <v>182</v>
      </c>
      <c r="E16863" t="s">
        <v>8</v>
      </c>
      <c r="F16863">
        <v>8.2419366836547852</v>
      </c>
    </row>
    <row r="16864" spans="2:6">
      <c r="B16864">
        <v>2013</v>
      </c>
      <c r="C16864" t="s">
        <v>178</v>
      </c>
      <c r="D16864" t="s">
        <v>182</v>
      </c>
      <c r="E16864" t="s">
        <v>9</v>
      </c>
      <c r="F16864">
        <v>0.6939052939414978</v>
      </c>
    </row>
    <row r="16865" spans="2:6">
      <c r="B16865">
        <v>2013</v>
      </c>
      <c r="C16865" t="s">
        <v>178</v>
      </c>
      <c r="D16865" t="s">
        <v>182</v>
      </c>
      <c r="E16865" t="s">
        <v>10</v>
      </c>
      <c r="F16865">
        <v>54.299999237060547</v>
      </c>
    </row>
    <row r="16866" spans="2:6">
      <c r="B16866">
        <v>2013</v>
      </c>
      <c r="C16866" t="s">
        <v>178</v>
      </c>
      <c r="D16866" t="s">
        <v>182</v>
      </c>
      <c r="E16866" t="s">
        <v>11</v>
      </c>
      <c r="F16866">
        <v>0.54254746437072754</v>
      </c>
    </row>
    <row r="16867" spans="2:6">
      <c r="B16867">
        <v>2013</v>
      </c>
      <c r="C16867" t="s">
        <v>178</v>
      </c>
      <c r="D16867" t="s">
        <v>182</v>
      </c>
      <c r="E16867" t="s">
        <v>12</v>
      </c>
      <c r="F16867">
        <v>-0.17900784313678741</v>
      </c>
    </row>
    <row r="16868" spans="2:6">
      <c r="B16868">
        <v>2013</v>
      </c>
      <c r="C16868" t="s">
        <v>178</v>
      </c>
      <c r="D16868" t="s">
        <v>182</v>
      </c>
      <c r="E16868" t="s">
        <v>13</v>
      </c>
      <c r="F16868">
        <v>0.8851965069770813</v>
      </c>
    </row>
    <row r="16869" spans="2:6">
      <c r="B16869">
        <v>2013</v>
      </c>
      <c r="C16869" t="s">
        <v>178</v>
      </c>
      <c r="D16869" t="s">
        <v>182</v>
      </c>
      <c r="E16869" t="s">
        <v>14</v>
      </c>
      <c r="F16869">
        <v>0.55849993228912354</v>
      </c>
    </row>
    <row r="16870" spans="2:6">
      <c r="B16870">
        <v>2013</v>
      </c>
      <c r="C16870" t="s">
        <v>178</v>
      </c>
      <c r="D16870" t="s">
        <v>182</v>
      </c>
      <c r="E16870" t="s">
        <v>15</v>
      </c>
      <c r="F16870">
        <v>0.26568505167961121</v>
      </c>
    </row>
    <row r="16871" spans="2:6">
      <c r="B16871">
        <v>2014</v>
      </c>
      <c r="C16871" t="s">
        <v>178</v>
      </c>
      <c r="D16871" t="s">
        <v>182</v>
      </c>
      <c r="E16871" t="s">
        <v>7</v>
      </c>
      <c r="F16871">
        <v>3.9679579734802246</v>
      </c>
    </row>
    <row r="16872" spans="2:6">
      <c r="B16872">
        <v>2014</v>
      </c>
      <c r="C16872" t="s">
        <v>178</v>
      </c>
      <c r="D16872" t="s">
        <v>182</v>
      </c>
      <c r="E16872" t="s">
        <v>8</v>
      </c>
      <c r="F16872">
        <v>8.1165390014648438</v>
      </c>
    </row>
    <row r="16873" spans="2:6">
      <c r="B16873">
        <v>2014</v>
      </c>
      <c r="C16873" t="s">
        <v>178</v>
      </c>
      <c r="D16873" t="s">
        <v>182</v>
      </c>
      <c r="E16873" t="s">
        <v>9</v>
      </c>
      <c r="F16873">
        <v>0.63825225830078125</v>
      </c>
    </row>
    <row r="16874" spans="2:6">
      <c r="B16874">
        <v>2014</v>
      </c>
      <c r="C16874" t="s">
        <v>178</v>
      </c>
      <c r="D16874" t="s">
        <v>182</v>
      </c>
      <c r="E16874" t="s">
        <v>10</v>
      </c>
      <c r="F16874">
        <v>54.299999237060547</v>
      </c>
    </row>
    <row r="16875" spans="2:6">
      <c r="B16875">
        <v>2014</v>
      </c>
      <c r="C16875" t="s">
        <v>178</v>
      </c>
      <c r="D16875" t="s">
        <v>182</v>
      </c>
      <c r="E16875" t="s">
        <v>11</v>
      </c>
      <c r="F16875">
        <v>0.66390872001647949</v>
      </c>
    </row>
    <row r="16876" spans="2:6">
      <c r="B16876">
        <v>2014</v>
      </c>
      <c r="C16876" t="s">
        <v>178</v>
      </c>
      <c r="D16876" t="s">
        <v>182</v>
      </c>
      <c r="E16876" t="s">
        <v>12</v>
      </c>
      <c r="F16876">
        <v>-0.15730325877666473</v>
      </c>
    </row>
    <row r="16877" spans="2:6">
      <c r="B16877">
        <v>2014</v>
      </c>
      <c r="C16877" t="s">
        <v>178</v>
      </c>
      <c r="D16877" t="s">
        <v>182</v>
      </c>
      <c r="E16877" t="s">
        <v>13</v>
      </c>
      <c r="F16877">
        <v>0.88542920351028442</v>
      </c>
    </row>
    <row r="16878" spans="2:6">
      <c r="B16878">
        <v>2014</v>
      </c>
      <c r="C16878" t="s">
        <v>178</v>
      </c>
      <c r="D16878" t="s">
        <v>182</v>
      </c>
      <c r="E16878" t="s">
        <v>14</v>
      </c>
      <c r="F16878">
        <v>0.61058497428894043</v>
      </c>
    </row>
    <row r="16879" spans="2:6">
      <c r="B16879">
        <v>2014</v>
      </c>
      <c r="C16879" t="s">
        <v>178</v>
      </c>
      <c r="D16879" t="s">
        <v>182</v>
      </c>
      <c r="E16879" t="s">
        <v>15</v>
      </c>
      <c r="F16879">
        <v>0.27567374706268311</v>
      </c>
    </row>
    <row r="16880" spans="2:6">
      <c r="B16880">
        <v>2015</v>
      </c>
      <c r="C16880" t="s">
        <v>178</v>
      </c>
      <c r="D16880" t="s">
        <v>182</v>
      </c>
      <c r="E16880" t="s">
        <v>7</v>
      </c>
      <c r="F16880">
        <v>2.9826738834381104</v>
      </c>
    </row>
    <row r="16881" spans="2:6">
      <c r="B16881">
        <v>2015</v>
      </c>
      <c r="C16881" t="s">
        <v>178</v>
      </c>
      <c r="D16881" t="s">
        <v>182</v>
      </c>
      <c r="E16881" t="s">
        <v>8</v>
      </c>
      <c r="F16881">
        <v>7.8575124740600586</v>
      </c>
    </row>
    <row r="16882" spans="2:6">
      <c r="B16882">
        <v>2015</v>
      </c>
      <c r="C16882" t="s">
        <v>178</v>
      </c>
      <c r="D16882" t="s">
        <v>182</v>
      </c>
      <c r="E16882" t="s">
        <v>9</v>
      </c>
      <c r="F16882">
        <v>0.66868346929550171</v>
      </c>
    </row>
    <row r="16883" spans="2:6">
      <c r="B16883">
        <v>2015</v>
      </c>
      <c r="C16883" t="s">
        <v>178</v>
      </c>
      <c r="D16883" t="s">
        <v>182</v>
      </c>
      <c r="E16883" t="s">
        <v>10</v>
      </c>
      <c r="F16883">
        <v>54.299999237060547</v>
      </c>
    </row>
    <row r="16884" spans="2:6">
      <c r="B16884">
        <v>2015</v>
      </c>
      <c r="C16884" t="s">
        <v>178</v>
      </c>
      <c r="D16884" t="s">
        <v>182</v>
      </c>
      <c r="E16884" t="s">
        <v>11</v>
      </c>
      <c r="F16884">
        <v>0.60998076200485229</v>
      </c>
    </row>
    <row r="16885" spans="2:6">
      <c r="B16885">
        <v>2015</v>
      </c>
      <c r="C16885" t="s">
        <v>178</v>
      </c>
      <c r="D16885" t="s">
        <v>182</v>
      </c>
      <c r="E16885" t="s">
        <v>12</v>
      </c>
      <c r="F16885">
        <v>-0.13938328623771667</v>
      </c>
    </row>
    <row r="16886" spans="2:6">
      <c r="B16886">
        <v>2015</v>
      </c>
      <c r="C16886" t="s">
        <v>178</v>
      </c>
      <c r="D16886" t="s">
        <v>182</v>
      </c>
      <c r="E16886" t="s">
        <v>13</v>
      </c>
      <c r="F16886">
        <v>0.82909756898880005</v>
      </c>
    </row>
    <row r="16887" spans="2:6">
      <c r="B16887">
        <v>2015</v>
      </c>
      <c r="C16887" t="s">
        <v>178</v>
      </c>
      <c r="D16887" t="s">
        <v>182</v>
      </c>
      <c r="E16887" t="s">
        <v>14</v>
      </c>
      <c r="F16887">
        <v>0.50743526220321655</v>
      </c>
    </row>
    <row r="16888" spans="2:6">
      <c r="B16888">
        <v>2015</v>
      </c>
      <c r="C16888" t="s">
        <v>178</v>
      </c>
      <c r="D16888" t="s">
        <v>182</v>
      </c>
      <c r="E16888" t="s">
        <v>15</v>
      </c>
      <c r="F16888">
        <v>0.32135707139968872</v>
      </c>
    </row>
    <row r="16889" spans="2:6">
      <c r="B16889">
        <v>2016</v>
      </c>
      <c r="C16889" t="s">
        <v>178</v>
      </c>
      <c r="D16889" t="s">
        <v>182</v>
      </c>
      <c r="E16889" t="s">
        <v>7</v>
      </c>
      <c r="F16889">
        <v>3.8256309032440186</v>
      </c>
    </row>
    <row r="16890" spans="2:6">
      <c r="B16890">
        <v>2016</v>
      </c>
      <c r="C16890" t="s">
        <v>178</v>
      </c>
      <c r="D16890" t="s">
        <v>182</v>
      </c>
      <c r="E16890" t="s">
        <v>8</v>
      </c>
      <c r="F16890">
        <v>7.7151079177856445</v>
      </c>
    </row>
    <row r="16891" spans="2:6">
      <c r="B16891">
        <v>2016</v>
      </c>
      <c r="C16891" t="s">
        <v>178</v>
      </c>
      <c r="D16891" t="s">
        <v>182</v>
      </c>
      <c r="E16891" t="s">
        <v>9</v>
      </c>
      <c r="F16891">
        <v>0.77540701627731323</v>
      </c>
    </row>
    <row r="16892" spans="2:6">
      <c r="B16892">
        <v>2016</v>
      </c>
      <c r="C16892" t="s">
        <v>178</v>
      </c>
      <c r="D16892" t="s">
        <v>182</v>
      </c>
      <c r="E16892" t="s">
        <v>10</v>
      </c>
      <c r="F16892">
        <v>55.099998474121094</v>
      </c>
    </row>
    <row r="16893" spans="2:6">
      <c r="B16893">
        <v>2016</v>
      </c>
      <c r="C16893" t="s">
        <v>178</v>
      </c>
      <c r="D16893" t="s">
        <v>182</v>
      </c>
      <c r="E16893" t="s">
        <v>11</v>
      </c>
      <c r="F16893">
        <v>0.53296405076980591</v>
      </c>
    </row>
    <row r="16894" spans="2:6">
      <c r="B16894">
        <v>2016</v>
      </c>
      <c r="C16894" t="s">
        <v>178</v>
      </c>
      <c r="D16894" t="s">
        <v>182</v>
      </c>
      <c r="E16894" t="s">
        <v>12</v>
      </c>
      <c r="F16894">
        <v>-0.15082134306430817</v>
      </c>
    </row>
    <row r="16895" spans="2:6">
      <c r="B16895">
        <v>2016</v>
      </c>
      <c r="C16895" t="s">
        <v>178</v>
      </c>
      <c r="D16895" t="s">
        <v>182</v>
      </c>
      <c r="E16895" t="s">
        <v>14</v>
      </c>
      <c r="F16895">
        <v>0.46934539079666138</v>
      </c>
    </row>
    <row r="16896" spans="2:6">
      <c r="B16896">
        <v>2016</v>
      </c>
      <c r="C16896" t="s">
        <v>178</v>
      </c>
      <c r="D16896" t="s">
        <v>182</v>
      </c>
      <c r="E16896" t="s">
        <v>15</v>
      </c>
      <c r="F16896">
        <v>0.22792452573776245</v>
      </c>
    </row>
    <row r="16897" spans="2:6">
      <c r="B16897">
        <v>2017</v>
      </c>
      <c r="C16897" t="s">
        <v>178</v>
      </c>
      <c r="D16897" t="s">
        <v>182</v>
      </c>
      <c r="E16897" t="s">
        <v>7</v>
      </c>
      <c r="F16897">
        <v>3.2535600662231445</v>
      </c>
    </row>
    <row r="16898" spans="2:6">
      <c r="B16898">
        <v>2017</v>
      </c>
      <c r="C16898" t="s">
        <v>178</v>
      </c>
      <c r="D16898" t="s">
        <v>182</v>
      </c>
      <c r="E16898" t="s">
        <v>8</v>
      </c>
      <c r="F16898">
        <v>7.5784368515014648</v>
      </c>
    </row>
    <row r="16899" spans="2:6">
      <c r="B16899">
        <v>2017</v>
      </c>
      <c r="C16899" t="s">
        <v>178</v>
      </c>
      <c r="D16899" t="s">
        <v>182</v>
      </c>
      <c r="E16899" t="s">
        <v>9</v>
      </c>
      <c r="F16899">
        <v>0.78955501317977905</v>
      </c>
    </row>
    <row r="16900" spans="2:6">
      <c r="B16900">
        <v>2017</v>
      </c>
      <c r="C16900" t="s">
        <v>178</v>
      </c>
      <c r="D16900" t="s">
        <v>182</v>
      </c>
      <c r="E16900" t="s">
        <v>10</v>
      </c>
      <c r="F16900">
        <v>55.900001525878906</v>
      </c>
    </row>
    <row r="16901" spans="2:6">
      <c r="B16901">
        <v>2017</v>
      </c>
      <c r="C16901" t="s">
        <v>178</v>
      </c>
      <c r="D16901" t="s">
        <v>182</v>
      </c>
      <c r="E16901" t="s">
        <v>11</v>
      </c>
      <c r="F16901">
        <v>0.59519076347351074</v>
      </c>
    </row>
    <row r="16902" spans="2:6">
      <c r="B16902">
        <v>2017</v>
      </c>
      <c r="C16902" t="s">
        <v>178</v>
      </c>
      <c r="D16902" t="s">
        <v>182</v>
      </c>
      <c r="E16902" t="s">
        <v>12</v>
      </c>
      <c r="F16902">
        <v>-0.14671222865581512</v>
      </c>
    </row>
    <row r="16903" spans="2:6">
      <c r="B16903">
        <v>2017</v>
      </c>
      <c r="C16903" t="s">
        <v>178</v>
      </c>
      <c r="D16903" t="s">
        <v>182</v>
      </c>
      <c r="E16903" t="s">
        <v>14</v>
      </c>
      <c r="F16903">
        <v>0.45518189668655396</v>
      </c>
    </row>
    <row r="16904" spans="2:6">
      <c r="B16904">
        <v>2017</v>
      </c>
      <c r="C16904" t="s">
        <v>178</v>
      </c>
      <c r="D16904" t="s">
        <v>182</v>
      </c>
      <c r="E16904" t="s">
        <v>15</v>
      </c>
      <c r="F16904">
        <v>0.29506358504295349</v>
      </c>
    </row>
    <row r="16905" spans="2:6">
      <c r="B16905">
        <v>2018</v>
      </c>
      <c r="C16905" t="s">
        <v>178</v>
      </c>
      <c r="D16905" t="s">
        <v>182</v>
      </c>
      <c r="E16905" t="s">
        <v>7</v>
      </c>
      <c r="F16905">
        <v>3.057513952255249</v>
      </c>
    </row>
    <row r="16906" spans="2:6">
      <c r="B16906">
        <v>2018</v>
      </c>
      <c r="C16906" t="s">
        <v>178</v>
      </c>
      <c r="D16906" t="s">
        <v>182</v>
      </c>
      <c r="E16906" t="s">
        <v>9</v>
      </c>
      <c r="F16906">
        <v>0.78942191600799561</v>
      </c>
    </row>
    <row r="16907" spans="2:6">
      <c r="B16907">
        <v>2018</v>
      </c>
      <c r="C16907" t="s">
        <v>178</v>
      </c>
      <c r="D16907" t="s">
        <v>182</v>
      </c>
      <c r="E16907" t="s">
        <v>10</v>
      </c>
      <c r="F16907">
        <v>56.700000762939453</v>
      </c>
    </row>
    <row r="16908" spans="2:6">
      <c r="B16908">
        <v>2018</v>
      </c>
      <c r="C16908" t="s">
        <v>178</v>
      </c>
      <c r="D16908" t="s">
        <v>182</v>
      </c>
      <c r="E16908" t="s">
        <v>11</v>
      </c>
      <c r="F16908">
        <v>0.55272608995437622</v>
      </c>
    </row>
    <row r="16909" spans="2:6">
      <c r="B16909">
        <v>2018</v>
      </c>
      <c r="C16909" t="s">
        <v>178</v>
      </c>
      <c r="D16909" t="s">
        <v>182</v>
      </c>
      <c r="E16909" t="s">
        <v>13</v>
      </c>
      <c r="F16909">
        <v>0.79258686304092407</v>
      </c>
    </row>
    <row r="16910" spans="2:6">
      <c r="B16910">
        <v>2018</v>
      </c>
      <c r="C16910" t="s">
        <v>178</v>
      </c>
      <c r="D16910" t="s">
        <v>182</v>
      </c>
      <c r="E16910" t="s">
        <v>14</v>
      </c>
      <c r="F16910">
        <v>0.46111378073692322</v>
      </c>
    </row>
    <row r="16911" spans="2:6">
      <c r="B16911">
        <v>2018</v>
      </c>
      <c r="C16911" t="s">
        <v>178</v>
      </c>
      <c r="D16911" t="s">
        <v>182</v>
      </c>
      <c r="E16911" t="s">
        <v>15</v>
      </c>
      <c r="F16911">
        <v>0.31486994028091431</v>
      </c>
    </row>
    <row r="16912" spans="2:6">
      <c r="B16912">
        <v>2019</v>
      </c>
      <c r="C16912" t="s">
        <v>178</v>
      </c>
      <c r="D16912" t="s">
        <v>182</v>
      </c>
      <c r="E16912" t="s">
        <v>7</v>
      </c>
      <c r="F16912">
        <v>4.1969127655029297</v>
      </c>
    </row>
    <row r="16913" spans="2:6">
      <c r="B16913">
        <v>2019</v>
      </c>
      <c r="C16913" t="s">
        <v>178</v>
      </c>
      <c r="D16913" t="s">
        <v>182</v>
      </c>
      <c r="E16913" t="s">
        <v>9</v>
      </c>
      <c r="F16913">
        <v>0.87004280090332031</v>
      </c>
    </row>
    <row r="16914" spans="2:6">
      <c r="B16914">
        <v>2019</v>
      </c>
      <c r="C16914" t="s">
        <v>178</v>
      </c>
      <c r="D16914" t="s">
        <v>182</v>
      </c>
      <c r="E16914" t="s">
        <v>10</v>
      </c>
      <c r="F16914">
        <v>57.5</v>
      </c>
    </row>
    <row r="16915" spans="2:6">
      <c r="B16915">
        <v>2019</v>
      </c>
      <c r="C16915" t="s">
        <v>178</v>
      </c>
      <c r="D16915" t="s">
        <v>182</v>
      </c>
      <c r="E16915" t="s">
        <v>11</v>
      </c>
      <c r="F16915">
        <v>0.65130823850631714</v>
      </c>
    </row>
    <row r="16916" spans="2:6">
      <c r="B16916">
        <v>2019</v>
      </c>
      <c r="C16916" t="s">
        <v>178</v>
      </c>
      <c r="D16916" t="s">
        <v>182</v>
      </c>
      <c r="E16916" t="s">
        <v>13</v>
      </c>
      <c r="F16916">
        <v>0.79822826385498047</v>
      </c>
    </row>
    <row r="16917" spans="2:6">
      <c r="B16917">
        <v>2019</v>
      </c>
      <c r="C16917" t="s">
        <v>178</v>
      </c>
      <c r="D16917" t="s">
        <v>182</v>
      </c>
      <c r="E16917" t="s">
        <v>14</v>
      </c>
      <c r="F16917">
        <v>0.54280591011047363</v>
      </c>
    </row>
    <row r="16918" spans="2:6">
      <c r="B16918">
        <v>2019</v>
      </c>
      <c r="C16918" t="s">
        <v>178</v>
      </c>
      <c r="D16918" t="s">
        <v>182</v>
      </c>
      <c r="E16918" t="s">
        <v>15</v>
      </c>
      <c r="F16918">
        <v>0.21304322779178619</v>
      </c>
    </row>
    <row r="16919" spans="2:6">
      <c r="B16919">
        <v>2006</v>
      </c>
      <c r="C16919" t="s">
        <v>179</v>
      </c>
      <c r="D16919" t="s">
        <v>184</v>
      </c>
      <c r="E16919" t="s">
        <v>7</v>
      </c>
      <c r="F16919">
        <v>4.8244547843933105</v>
      </c>
    </row>
    <row r="16920" spans="2:6">
      <c r="B16920">
        <v>2006</v>
      </c>
      <c r="C16920" t="s">
        <v>179</v>
      </c>
      <c r="D16920" t="s">
        <v>184</v>
      </c>
      <c r="E16920" t="s">
        <v>8</v>
      </c>
      <c r="F16920">
        <v>7.8173089027404785</v>
      </c>
    </row>
    <row r="16921" spans="2:6">
      <c r="B16921">
        <v>2006</v>
      </c>
      <c r="C16921" t="s">
        <v>179</v>
      </c>
      <c r="D16921" t="s">
        <v>184</v>
      </c>
      <c r="E16921" t="s">
        <v>9</v>
      </c>
      <c r="F16921">
        <v>0.79766452312469482</v>
      </c>
    </row>
    <row r="16922" spans="2:6">
      <c r="B16922">
        <v>2006</v>
      </c>
      <c r="C16922" t="s">
        <v>179</v>
      </c>
      <c r="D16922" t="s">
        <v>184</v>
      </c>
      <c r="E16922" t="s">
        <v>10</v>
      </c>
      <c r="F16922">
        <v>44.259998321533203</v>
      </c>
    </row>
    <row r="16923" spans="2:6">
      <c r="B16923">
        <v>2006</v>
      </c>
      <c r="C16923" t="s">
        <v>179</v>
      </c>
      <c r="D16923" t="s">
        <v>184</v>
      </c>
      <c r="E16923" t="s">
        <v>11</v>
      </c>
      <c r="F16923">
        <v>0.72097152471542358</v>
      </c>
    </row>
    <row r="16924" spans="2:6">
      <c r="B16924">
        <v>2006</v>
      </c>
      <c r="C16924" t="s">
        <v>179</v>
      </c>
      <c r="D16924" t="s">
        <v>184</v>
      </c>
      <c r="E16924" t="s">
        <v>12</v>
      </c>
      <c r="F16924">
        <v>-5.9991250745952129E-3</v>
      </c>
    </row>
    <row r="16925" spans="2:6">
      <c r="B16925">
        <v>2006</v>
      </c>
      <c r="C16925" t="s">
        <v>179</v>
      </c>
      <c r="D16925" t="s">
        <v>184</v>
      </c>
      <c r="E16925" t="s">
        <v>13</v>
      </c>
      <c r="F16925">
        <v>0.78528136014938354</v>
      </c>
    </row>
    <row r="16926" spans="2:6">
      <c r="B16926">
        <v>2006</v>
      </c>
      <c r="C16926" t="s">
        <v>179</v>
      </c>
      <c r="D16926" t="s">
        <v>184</v>
      </c>
      <c r="E16926" t="s">
        <v>14</v>
      </c>
      <c r="F16926">
        <v>0.70078802108764648</v>
      </c>
    </row>
    <row r="16927" spans="2:6">
      <c r="B16927">
        <v>2006</v>
      </c>
      <c r="C16927" t="s">
        <v>179</v>
      </c>
      <c r="D16927" t="s">
        <v>184</v>
      </c>
      <c r="E16927" t="s">
        <v>15</v>
      </c>
      <c r="F16927">
        <v>0.22627836465835571</v>
      </c>
    </row>
    <row r="16928" spans="2:6">
      <c r="B16928">
        <v>2007</v>
      </c>
      <c r="C16928" t="s">
        <v>179</v>
      </c>
      <c r="D16928" t="s">
        <v>184</v>
      </c>
      <c r="E16928" t="s">
        <v>7</v>
      </c>
      <c r="F16928">
        <v>3.9982931613922119</v>
      </c>
    </row>
    <row r="16929" spans="2:6">
      <c r="B16929">
        <v>2007</v>
      </c>
      <c r="C16929" t="s">
        <v>179</v>
      </c>
      <c r="D16929" t="s">
        <v>184</v>
      </c>
      <c r="E16929" t="s">
        <v>8</v>
      </c>
      <c r="F16929">
        <v>7.8708252906799316</v>
      </c>
    </row>
    <row r="16930" spans="2:6">
      <c r="B16930">
        <v>2007</v>
      </c>
      <c r="C16930" t="s">
        <v>179</v>
      </c>
      <c r="D16930" t="s">
        <v>184</v>
      </c>
      <c r="E16930" t="s">
        <v>9</v>
      </c>
      <c r="F16930">
        <v>0.68798923492431641</v>
      </c>
    </row>
    <row r="16931" spans="2:6">
      <c r="B16931">
        <v>2007</v>
      </c>
      <c r="C16931" t="s">
        <v>179</v>
      </c>
      <c r="D16931" t="s">
        <v>184</v>
      </c>
      <c r="E16931" t="s">
        <v>10</v>
      </c>
      <c r="F16931">
        <v>45.720001220703125</v>
      </c>
    </row>
    <row r="16932" spans="2:6">
      <c r="B16932">
        <v>2007</v>
      </c>
      <c r="C16932" t="s">
        <v>179</v>
      </c>
      <c r="D16932" t="s">
        <v>184</v>
      </c>
      <c r="E16932" t="s">
        <v>11</v>
      </c>
      <c r="F16932">
        <v>0.68200504779815674</v>
      </c>
    </row>
    <row r="16933" spans="2:6">
      <c r="B16933">
        <v>2007</v>
      </c>
      <c r="C16933" t="s">
        <v>179</v>
      </c>
      <c r="D16933" t="s">
        <v>184</v>
      </c>
      <c r="E16933" t="s">
        <v>12</v>
      </c>
      <c r="F16933">
        <v>-6.6975131630897522E-2</v>
      </c>
    </row>
    <row r="16934" spans="2:6">
      <c r="B16934">
        <v>2007</v>
      </c>
      <c r="C16934" t="s">
        <v>179</v>
      </c>
      <c r="D16934" t="s">
        <v>184</v>
      </c>
      <c r="E16934" t="s">
        <v>13</v>
      </c>
      <c r="F16934">
        <v>0.94791442155838013</v>
      </c>
    </row>
    <row r="16935" spans="2:6">
      <c r="B16935">
        <v>2007</v>
      </c>
      <c r="C16935" t="s">
        <v>179</v>
      </c>
      <c r="D16935" t="s">
        <v>184</v>
      </c>
      <c r="E16935" t="s">
        <v>14</v>
      </c>
      <c r="F16935">
        <v>0.68674826622009277</v>
      </c>
    </row>
    <row r="16936" spans="2:6">
      <c r="B16936">
        <v>2007</v>
      </c>
      <c r="C16936" t="s">
        <v>179</v>
      </c>
      <c r="D16936" t="s">
        <v>184</v>
      </c>
      <c r="E16936" t="s">
        <v>15</v>
      </c>
      <c r="F16936">
        <v>0.24563713371753693</v>
      </c>
    </row>
    <row r="16937" spans="2:6">
      <c r="B16937">
        <v>2008</v>
      </c>
      <c r="C16937" t="s">
        <v>179</v>
      </c>
      <c r="D16937" t="s">
        <v>184</v>
      </c>
      <c r="E16937" t="s">
        <v>7</v>
      </c>
      <c r="F16937">
        <v>4.7302632331848145</v>
      </c>
    </row>
    <row r="16938" spans="2:6">
      <c r="B16938">
        <v>2008</v>
      </c>
      <c r="C16938" t="s">
        <v>179</v>
      </c>
      <c r="D16938" t="s">
        <v>184</v>
      </c>
      <c r="E16938" t="s">
        <v>8</v>
      </c>
      <c r="F16938">
        <v>7.918426513671875</v>
      </c>
    </row>
    <row r="16939" spans="2:6">
      <c r="B16939">
        <v>2008</v>
      </c>
      <c r="C16939" t="s">
        <v>179</v>
      </c>
      <c r="D16939" t="s">
        <v>184</v>
      </c>
      <c r="E16939" t="s">
        <v>9</v>
      </c>
      <c r="F16939">
        <v>0.62441819906234741</v>
      </c>
    </row>
    <row r="16940" spans="2:6">
      <c r="B16940">
        <v>2008</v>
      </c>
      <c r="C16940" t="s">
        <v>179</v>
      </c>
      <c r="D16940" t="s">
        <v>184</v>
      </c>
      <c r="E16940" t="s">
        <v>10</v>
      </c>
      <c r="F16940">
        <v>47.180000305175781</v>
      </c>
    </row>
    <row r="16941" spans="2:6">
      <c r="B16941">
        <v>2008</v>
      </c>
      <c r="C16941" t="s">
        <v>179</v>
      </c>
      <c r="D16941" t="s">
        <v>184</v>
      </c>
      <c r="E16941" t="s">
        <v>11</v>
      </c>
      <c r="F16941">
        <v>0.71699374914169312</v>
      </c>
    </row>
    <row r="16942" spans="2:6">
      <c r="B16942">
        <v>2008</v>
      </c>
      <c r="C16942" t="s">
        <v>179</v>
      </c>
      <c r="D16942" t="s">
        <v>184</v>
      </c>
      <c r="E16942" t="s">
        <v>12</v>
      </c>
      <c r="F16942">
        <v>5.5702406913042068E-2</v>
      </c>
    </row>
    <row r="16943" spans="2:6">
      <c r="B16943">
        <v>2008</v>
      </c>
      <c r="C16943" t="s">
        <v>179</v>
      </c>
      <c r="D16943" t="s">
        <v>184</v>
      </c>
      <c r="E16943" t="s">
        <v>13</v>
      </c>
      <c r="F16943">
        <v>0.89029932022094727</v>
      </c>
    </row>
    <row r="16944" spans="2:6">
      <c r="B16944">
        <v>2008</v>
      </c>
      <c r="C16944" t="s">
        <v>179</v>
      </c>
      <c r="D16944" t="s">
        <v>184</v>
      </c>
      <c r="E16944" t="s">
        <v>14</v>
      </c>
      <c r="F16944">
        <v>0.74414438009262085</v>
      </c>
    </row>
    <row r="16945" spans="2:6">
      <c r="B16945">
        <v>2008</v>
      </c>
      <c r="C16945" t="s">
        <v>179</v>
      </c>
      <c r="D16945" t="s">
        <v>184</v>
      </c>
      <c r="E16945" t="s">
        <v>15</v>
      </c>
      <c r="F16945">
        <v>0.20572331547737122</v>
      </c>
    </row>
    <row r="16946" spans="2:6">
      <c r="B16946">
        <v>2009</v>
      </c>
      <c r="C16946" t="s">
        <v>179</v>
      </c>
      <c r="D16946" t="s">
        <v>184</v>
      </c>
      <c r="E16946" t="s">
        <v>7</v>
      </c>
      <c r="F16946">
        <v>5.2603607177734375</v>
      </c>
    </row>
    <row r="16947" spans="2:6">
      <c r="B16947">
        <v>2009</v>
      </c>
      <c r="C16947" t="s">
        <v>179</v>
      </c>
      <c r="D16947" t="s">
        <v>184</v>
      </c>
      <c r="E16947" t="s">
        <v>8</v>
      </c>
      <c r="F16947">
        <v>7.978489875793457</v>
      </c>
    </row>
    <row r="16948" spans="2:6">
      <c r="B16948">
        <v>2009</v>
      </c>
      <c r="C16948" t="s">
        <v>179</v>
      </c>
      <c r="D16948" t="s">
        <v>184</v>
      </c>
      <c r="E16948" t="s">
        <v>9</v>
      </c>
      <c r="F16948">
        <v>0.78192555904388428</v>
      </c>
    </row>
    <row r="16949" spans="2:6">
      <c r="B16949">
        <v>2009</v>
      </c>
      <c r="C16949" t="s">
        <v>179</v>
      </c>
      <c r="D16949" t="s">
        <v>184</v>
      </c>
      <c r="E16949" t="s">
        <v>10</v>
      </c>
      <c r="F16949">
        <v>48.639999389648438</v>
      </c>
    </row>
    <row r="16950" spans="2:6">
      <c r="B16950">
        <v>2009</v>
      </c>
      <c r="C16950" t="s">
        <v>179</v>
      </c>
      <c r="D16950" t="s">
        <v>184</v>
      </c>
      <c r="E16950" t="s">
        <v>11</v>
      </c>
      <c r="F16950">
        <v>0.69618302583694458</v>
      </c>
    </row>
    <row r="16951" spans="2:6">
      <c r="B16951">
        <v>2009</v>
      </c>
      <c r="C16951" t="s">
        <v>179</v>
      </c>
      <c r="D16951" t="s">
        <v>184</v>
      </c>
      <c r="E16951" t="s">
        <v>12</v>
      </c>
      <c r="F16951">
        <v>-9.5978952944278717E-2</v>
      </c>
    </row>
    <row r="16952" spans="2:6">
      <c r="B16952">
        <v>2009</v>
      </c>
      <c r="C16952" t="s">
        <v>179</v>
      </c>
      <c r="D16952" t="s">
        <v>184</v>
      </c>
      <c r="E16952" t="s">
        <v>13</v>
      </c>
      <c r="F16952">
        <v>0.91655337810516357</v>
      </c>
    </row>
    <row r="16953" spans="2:6">
      <c r="B16953">
        <v>2009</v>
      </c>
      <c r="C16953" t="s">
        <v>179</v>
      </c>
      <c r="D16953" t="s">
        <v>184</v>
      </c>
      <c r="E16953" t="s">
        <v>14</v>
      </c>
      <c r="F16953">
        <v>0.72750508785247803</v>
      </c>
    </row>
    <row r="16954" spans="2:6">
      <c r="B16954">
        <v>2009</v>
      </c>
      <c r="C16954" t="s">
        <v>179</v>
      </c>
      <c r="D16954" t="s">
        <v>184</v>
      </c>
      <c r="E16954" t="s">
        <v>15</v>
      </c>
      <c r="F16954">
        <v>0.1226588562130928</v>
      </c>
    </row>
    <row r="16955" spans="2:6">
      <c r="B16955">
        <v>2011</v>
      </c>
      <c r="C16955" t="s">
        <v>179</v>
      </c>
      <c r="D16955" t="s">
        <v>184</v>
      </c>
      <c r="E16955" t="s">
        <v>7</v>
      </c>
      <c r="F16955">
        <v>4.9991135597229004</v>
      </c>
    </row>
    <row r="16956" spans="2:6">
      <c r="B16956">
        <v>2011</v>
      </c>
      <c r="C16956" t="s">
        <v>179</v>
      </c>
      <c r="D16956" t="s">
        <v>184</v>
      </c>
      <c r="E16956" t="s">
        <v>8</v>
      </c>
      <c r="F16956">
        <v>8.0713109970092773</v>
      </c>
    </row>
    <row r="16957" spans="2:6">
      <c r="B16957">
        <v>2011</v>
      </c>
      <c r="C16957" t="s">
        <v>179</v>
      </c>
      <c r="D16957" t="s">
        <v>184</v>
      </c>
      <c r="E16957" t="s">
        <v>9</v>
      </c>
      <c r="F16957">
        <v>0.86402255296707153</v>
      </c>
    </row>
    <row r="16958" spans="2:6">
      <c r="B16958">
        <v>2011</v>
      </c>
      <c r="C16958" t="s">
        <v>179</v>
      </c>
      <c r="D16958" t="s">
        <v>184</v>
      </c>
      <c r="E16958" t="s">
        <v>10</v>
      </c>
      <c r="F16958">
        <v>50.840000152587891</v>
      </c>
    </row>
    <row r="16959" spans="2:6">
      <c r="B16959">
        <v>2011</v>
      </c>
      <c r="C16959" t="s">
        <v>179</v>
      </c>
      <c r="D16959" t="s">
        <v>184</v>
      </c>
      <c r="E16959" t="s">
        <v>11</v>
      </c>
      <c r="F16959">
        <v>0.66285008192062378</v>
      </c>
    </row>
    <row r="16960" spans="2:6">
      <c r="B16960">
        <v>2011</v>
      </c>
      <c r="C16960" t="s">
        <v>179</v>
      </c>
      <c r="D16960" t="s">
        <v>184</v>
      </c>
      <c r="E16960" t="s">
        <v>12</v>
      </c>
      <c r="F16960">
        <v>2.8013880364596844E-3</v>
      </c>
    </row>
    <row r="16961" spans="2:6">
      <c r="B16961">
        <v>2011</v>
      </c>
      <c r="C16961" t="s">
        <v>179</v>
      </c>
      <c r="D16961" t="s">
        <v>184</v>
      </c>
      <c r="E16961" t="s">
        <v>13</v>
      </c>
      <c r="F16961">
        <v>0.88214981555938721</v>
      </c>
    </row>
    <row r="16962" spans="2:6">
      <c r="B16962">
        <v>2011</v>
      </c>
      <c r="C16962" t="s">
        <v>179</v>
      </c>
      <c r="D16962" t="s">
        <v>184</v>
      </c>
      <c r="E16962" t="s">
        <v>14</v>
      </c>
      <c r="F16962">
        <v>0.8332139253616333</v>
      </c>
    </row>
    <row r="16963" spans="2:6">
      <c r="B16963">
        <v>2011</v>
      </c>
      <c r="C16963" t="s">
        <v>179</v>
      </c>
      <c r="D16963" t="s">
        <v>184</v>
      </c>
      <c r="E16963" t="s">
        <v>15</v>
      </c>
      <c r="F16963">
        <v>0.20406997203826904</v>
      </c>
    </row>
    <row r="16964" spans="2:6">
      <c r="B16964">
        <v>2012</v>
      </c>
      <c r="C16964" t="s">
        <v>179</v>
      </c>
      <c r="D16964" t="s">
        <v>184</v>
      </c>
      <c r="E16964" t="s">
        <v>7</v>
      </c>
      <c r="F16964">
        <v>5.0133748054504395</v>
      </c>
    </row>
    <row r="16965" spans="2:6">
      <c r="B16965">
        <v>2012</v>
      </c>
      <c r="C16965" t="s">
        <v>179</v>
      </c>
      <c r="D16965" t="s">
        <v>184</v>
      </c>
      <c r="E16965" t="s">
        <v>8</v>
      </c>
      <c r="F16965">
        <v>8.1135110855102539</v>
      </c>
    </row>
    <row r="16966" spans="2:6">
      <c r="B16966">
        <v>2012</v>
      </c>
      <c r="C16966" t="s">
        <v>179</v>
      </c>
      <c r="D16966" t="s">
        <v>184</v>
      </c>
      <c r="E16966" t="s">
        <v>9</v>
      </c>
      <c r="F16966">
        <v>0.78002256155014038</v>
      </c>
    </row>
    <row r="16967" spans="2:6">
      <c r="B16967">
        <v>2012</v>
      </c>
      <c r="C16967" t="s">
        <v>179</v>
      </c>
      <c r="D16967" t="s">
        <v>184</v>
      </c>
      <c r="E16967" t="s">
        <v>10</v>
      </c>
      <c r="F16967">
        <v>51.580001831054688</v>
      </c>
    </row>
    <row r="16968" spans="2:6">
      <c r="B16968">
        <v>2012</v>
      </c>
      <c r="C16968" t="s">
        <v>179</v>
      </c>
      <c r="D16968" t="s">
        <v>184</v>
      </c>
      <c r="E16968" t="s">
        <v>11</v>
      </c>
      <c r="F16968">
        <v>0.78776031732559204</v>
      </c>
    </row>
    <row r="16969" spans="2:6">
      <c r="B16969">
        <v>2012</v>
      </c>
      <c r="C16969" t="s">
        <v>179</v>
      </c>
      <c r="D16969" t="s">
        <v>184</v>
      </c>
      <c r="E16969" t="s">
        <v>12</v>
      </c>
      <c r="F16969">
        <v>7.6607330702245235E-3</v>
      </c>
    </row>
    <row r="16970" spans="2:6">
      <c r="B16970">
        <v>2012</v>
      </c>
      <c r="C16970" t="s">
        <v>179</v>
      </c>
      <c r="D16970" t="s">
        <v>184</v>
      </c>
      <c r="E16970" t="s">
        <v>13</v>
      </c>
      <c r="F16970">
        <v>0.80639439821243286</v>
      </c>
    </row>
    <row r="16971" spans="2:6">
      <c r="B16971">
        <v>2012</v>
      </c>
      <c r="C16971" t="s">
        <v>179</v>
      </c>
      <c r="D16971" t="s">
        <v>184</v>
      </c>
      <c r="E16971" t="s">
        <v>14</v>
      </c>
      <c r="F16971">
        <v>0.72596478462219238</v>
      </c>
    </row>
    <row r="16972" spans="2:6">
      <c r="B16972">
        <v>2012</v>
      </c>
      <c r="C16972" t="s">
        <v>179</v>
      </c>
      <c r="D16972" t="s">
        <v>184</v>
      </c>
      <c r="E16972" t="s">
        <v>15</v>
      </c>
      <c r="F16972">
        <v>0.25036844611167908</v>
      </c>
    </row>
    <row r="16973" spans="2:6">
      <c r="B16973">
        <v>2013</v>
      </c>
      <c r="C16973" t="s">
        <v>179</v>
      </c>
      <c r="D16973" t="s">
        <v>184</v>
      </c>
      <c r="E16973" t="s">
        <v>7</v>
      </c>
      <c r="F16973">
        <v>5.2439956665039063</v>
      </c>
    </row>
    <row r="16974" spans="2:6">
      <c r="B16974">
        <v>2013</v>
      </c>
      <c r="C16974" t="s">
        <v>179</v>
      </c>
      <c r="D16974" t="s">
        <v>184</v>
      </c>
      <c r="E16974" t="s">
        <v>8</v>
      </c>
      <c r="F16974">
        <v>8.1314506530761719</v>
      </c>
    </row>
    <row r="16975" spans="2:6">
      <c r="B16975">
        <v>2013</v>
      </c>
      <c r="C16975" t="s">
        <v>179</v>
      </c>
      <c r="D16975" t="s">
        <v>184</v>
      </c>
      <c r="E16975" t="s">
        <v>9</v>
      </c>
      <c r="F16975">
        <v>0.76131153106689453</v>
      </c>
    </row>
    <row r="16976" spans="2:6">
      <c r="B16976">
        <v>2013</v>
      </c>
      <c r="C16976" t="s">
        <v>179</v>
      </c>
      <c r="D16976" t="s">
        <v>184</v>
      </c>
      <c r="E16976" t="s">
        <v>10</v>
      </c>
      <c r="F16976">
        <v>52.319999694824219</v>
      </c>
    </row>
    <row r="16977" spans="2:6">
      <c r="B16977">
        <v>2013</v>
      </c>
      <c r="C16977" t="s">
        <v>179</v>
      </c>
      <c r="D16977" t="s">
        <v>184</v>
      </c>
      <c r="E16977" t="s">
        <v>11</v>
      </c>
      <c r="F16977">
        <v>0.76991236209869385</v>
      </c>
    </row>
    <row r="16978" spans="2:6">
      <c r="B16978">
        <v>2013</v>
      </c>
      <c r="C16978" t="s">
        <v>179</v>
      </c>
      <c r="D16978" t="s">
        <v>184</v>
      </c>
      <c r="E16978" t="s">
        <v>12</v>
      </c>
      <c r="F16978">
        <v>-0.10441944748163223</v>
      </c>
    </row>
    <row r="16979" spans="2:6">
      <c r="B16979">
        <v>2013</v>
      </c>
      <c r="C16979" t="s">
        <v>179</v>
      </c>
      <c r="D16979" t="s">
        <v>184</v>
      </c>
      <c r="E16979" t="s">
        <v>13</v>
      </c>
      <c r="F16979">
        <v>0.73226755857467651</v>
      </c>
    </row>
    <row r="16980" spans="2:6">
      <c r="B16980">
        <v>2013</v>
      </c>
      <c r="C16980" t="s">
        <v>179</v>
      </c>
      <c r="D16980" t="s">
        <v>184</v>
      </c>
      <c r="E16980" t="s">
        <v>14</v>
      </c>
      <c r="F16980">
        <v>0.73497855663299561</v>
      </c>
    </row>
    <row r="16981" spans="2:6">
      <c r="B16981">
        <v>2013</v>
      </c>
      <c r="C16981" t="s">
        <v>179</v>
      </c>
      <c r="D16981" t="s">
        <v>184</v>
      </c>
      <c r="E16981" t="s">
        <v>15</v>
      </c>
      <c r="F16981">
        <v>0.30795994400978088</v>
      </c>
    </row>
    <row r="16982" spans="2:6">
      <c r="B16982">
        <v>2014</v>
      </c>
      <c r="C16982" t="s">
        <v>179</v>
      </c>
      <c r="D16982" t="s">
        <v>184</v>
      </c>
      <c r="E16982" t="s">
        <v>7</v>
      </c>
      <c r="F16982">
        <v>4.3458371162414551</v>
      </c>
    </row>
    <row r="16983" spans="2:6">
      <c r="B16983">
        <v>2014</v>
      </c>
      <c r="C16983" t="s">
        <v>179</v>
      </c>
      <c r="D16983" t="s">
        <v>184</v>
      </c>
      <c r="E16983" t="s">
        <v>8</v>
      </c>
      <c r="F16983">
        <v>8.1461448669433594</v>
      </c>
    </row>
    <row r="16984" spans="2:6">
      <c r="B16984">
        <v>2014</v>
      </c>
      <c r="C16984" t="s">
        <v>179</v>
      </c>
      <c r="D16984" t="s">
        <v>184</v>
      </c>
      <c r="E16984" t="s">
        <v>9</v>
      </c>
      <c r="F16984">
        <v>0.70622271299362183</v>
      </c>
    </row>
    <row r="16985" spans="2:6">
      <c r="B16985">
        <v>2014</v>
      </c>
      <c r="C16985" t="s">
        <v>179</v>
      </c>
      <c r="D16985" t="s">
        <v>184</v>
      </c>
      <c r="E16985" t="s">
        <v>10</v>
      </c>
      <c r="F16985">
        <v>53.060001373291016</v>
      </c>
    </row>
    <row r="16986" spans="2:6">
      <c r="B16986">
        <v>2014</v>
      </c>
      <c r="C16986" t="s">
        <v>179</v>
      </c>
      <c r="D16986" t="s">
        <v>184</v>
      </c>
      <c r="E16986" t="s">
        <v>11</v>
      </c>
      <c r="F16986">
        <v>0.81182491779327393</v>
      </c>
    </row>
    <row r="16987" spans="2:6">
      <c r="B16987">
        <v>2014</v>
      </c>
      <c r="C16987" t="s">
        <v>179</v>
      </c>
      <c r="D16987" t="s">
        <v>184</v>
      </c>
      <c r="E16987" t="s">
        <v>12</v>
      </c>
      <c r="F16987">
        <v>-1.0733691975474358E-2</v>
      </c>
    </row>
    <row r="16988" spans="2:6">
      <c r="B16988">
        <v>2014</v>
      </c>
      <c r="C16988" t="s">
        <v>179</v>
      </c>
      <c r="D16988" t="s">
        <v>184</v>
      </c>
      <c r="E16988" t="s">
        <v>13</v>
      </c>
      <c r="F16988">
        <v>0.80884099006652832</v>
      </c>
    </row>
    <row r="16989" spans="2:6">
      <c r="B16989">
        <v>2014</v>
      </c>
      <c r="C16989" t="s">
        <v>179</v>
      </c>
      <c r="D16989" t="s">
        <v>184</v>
      </c>
      <c r="E16989" t="s">
        <v>14</v>
      </c>
      <c r="F16989">
        <v>0.69203519821166992</v>
      </c>
    </row>
    <row r="16990" spans="2:6">
      <c r="B16990">
        <v>2014</v>
      </c>
      <c r="C16990" t="s">
        <v>179</v>
      </c>
      <c r="D16990" t="s">
        <v>184</v>
      </c>
      <c r="E16990" t="s">
        <v>15</v>
      </c>
      <c r="F16990">
        <v>0.32738396525382996</v>
      </c>
    </row>
    <row r="16991" spans="2:6">
      <c r="B16991">
        <v>2015</v>
      </c>
      <c r="C16991" t="s">
        <v>179</v>
      </c>
      <c r="D16991" t="s">
        <v>184</v>
      </c>
      <c r="E16991" t="s">
        <v>7</v>
      </c>
      <c r="F16991">
        <v>4.8431644439697266</v>
      </c>
    </row>
    <row r="16992" spans="2:6">
      <c r="B16992">
        <v>2015</v>
      </c>
      <c r="C16992" t="s">
        <v>179</v>
      </c>
      <c r="D16992" t="s">
        <v>184</v>
      </c>
      <c r="E16992" t="s">
        <v>8</v>
      </c>
      <c r="F16992">
        <v>8.1442575454711914</v>
      </c>
    </row>
    <row r="16993" spans="2:6">
      <c r="B16993">
        <v>2015</v>
      </c>
      <c r="C16993" t="s">
        <v>179</v>
      </c>
      <c r="D16993" t="s">
        <v>184</v>
      </c>
      <c r="E16993" t="s">
        <v>9</v>
      </c>
      <c r="F16993">
        <v>0.69148349761962891</v>
      </c>
    </row>
    <row r="16994" spans="2:6">
      <c r="B16994">
        <v>2015</v>
      </c>
      <c r="C16994" t="s">
        <v>179</v>
      </c>
      <c r="D16994" t="s">
        <v>184</v>
      </c>
      <c r="E16994" t="s">
        <v>10</v>
      </c>
      <c r="F16994">
        <v>53.799999237060547</v>
      </c>
    </row>
    <row r="16995" spans="2:6">
      <c r="B16995">
        <v>2015</v>
      </c>
      <c r="C16995" t="s">
        <v>179</v>
      </c>
      <c r="D16995" t="s">
        <v>184</v>
      </c>
      <c r="E16995" t="s">
        <v>11</v>
      </c>
      <c r="F16995">
        <v>0.75865364074707031</v>
      </c>
    </row>
    <row r="16996" spans="2:6">
      <c r="B16996">
        <v>2015</v>
      </c>
      <c r="C16996" t="s">
        <v>179</v>
      </c>
      <c r="D16996" t="s">
        <v>184</v>
      </c>
      <c r="E16996" t="s">
        <v>12</v>
      </c>
      <c r="F16996">
        <v>-3.8818657398223877E-2</v>
      </c>
    </row>
    <row r="16997" spans="2:6">
      <c r="B16997">
        <v>2015</v>
      </c>
      <c r="C16997" t="s">
        <v>179</v>
      </c>
      <c r="D16997" t="s">
        <v>184</v>
      </c>
      <c r="E16997" t="s">
        <v>13</v>
      </c>
      <c r="F16997">
        <v>0.87101954221725464</v>
      </c>
    </row>
    <row r="16998" spans="2:6">
      <c r="B16998">
        <v>2015</v>
      </c>
      <c r="C16998" t="s">
        <v>179</v>
      </c>
      <c r="D16998" t="s">
        <v>184</v>
      </c>
      <c r="E16998" t="s">
        <v>14</v>
      </c>
      <c r="F16998">
        <v>0.69003379344940186</v>
      </c>
    </row>
    <row r="16999" spans="2:6">
      <c r="B16999">
        <v>2015</v>
      </c>
      <c r="C16999" t="s">
        <v>179</v>
      </c>
      <c r="D16999" t="s">
        <v>184</v>
      </c>
      <c r="E16999" t="s">
        <v>15</v>
      </c>
      <c r="F16999">
        <v>0.3817313015460968</v>
      </c>
    </row>
    <row r="17000" spans="2:6">
      <c r="B17000">
        <v>2016</v>
      </c>
      <c r="C17000" t="s">
        <v>179</v>
      </c>
      <c r="D17000" t="s">
        <v>184</v>
      </c>
      <c r="E17000" t="s">
        <v>7</v>
      </c>
      <c r="F17000">
        <v>4.3475437164306641</v>
      </c>
    </row>
    <row r="17001" spans="2:6">
      <c r="B17001">
        <v>2016</v>
      </c>
      <c r="C17001" t="s">
        <v>179</v>
      </c>
      <c r="D17001" t="s">
        <v>184</v>
      </c>
      <c r="E17001" t="s">
        <v>8</v>
      </c>
      <c r="F17001">
        <v>8.1512966156005859</v>
      </c>
    </row>
    <row r="17002" spans="2:6">
      <c r="B17002">
        <v>2016</v>
      </c>
      <c r="C17002" t="s">
        <v>179</v>
      </c>
      <c r="D17002" t="s">
        <v>184</v>
      </c>
      <c r="E17002" t="s">
        <v>9</v>
      </c>
      <c r="F17002">
        <v>0.76704663038253784</v>
      </c>
    </row>
    <row r="17003" spans="2:6">
      <c r="B17003">
        <v>2016</v>
      </c>
      <c r="C17003" t="s">
        <v>179</v>
      </c>
      <c r="D17003" t="s">
        <v>184</v>
      </c>
      <c r="E17003" t="s">
        <v>10</v>
      </c>
      <c r="F17003">
        <v>54.299999237060547</v>
      </c>
    </row>
    <row r="17004" spans="2:6">
      <c r="B17004">
        <v>2016</v>
      </c>
      <c r="C17004" t="s">
        <v>179</v>
      </c>
      <c r="D17004" t="s">
        <v>184</v>
      </c>
      <c r="E17004" t="s">
        <v>11</v>
      </c>
      <c r="F17004">
        <v>0.81157451868057251</v>
      </c>
    </row>
    <row r="17005" spans="2:6">
      <c r="B17005">
        <v>2016</v>
      </c>
      <c r="C17005" t="s">
        <v>179</v>
      </c>
      <c r="D17005" t="s">
        <v>184</v>
      </c>
      <c r="E17005" t="s">
        <v>12</v>
      </c>
      <c r="F17005">
        <v>0.12234990298748016</v>
      </c>
    </row>
    <row r="17006" spans="2:6">
      <c r="B17006">
        <v>2016</v>
      </c>
      <c r="C17006" t="s">
        <v>179</v>
      </c>
      <c r="D17006" t="s">
        <v>184</v>
      </c>
      <c r="E17006" t="s">
        <v>13</v>
      </c>
      <c r="F17006">
        <v>0.77064359188079834</v>
      </c>
    </row>
    <row r="17007" spans="2:6">
      <c r="B17007">
        <v>2016</v>
      </c>
      <c r="C17007" t="s">
        <v>179</v>
      </c>
      <c r="D17007" t="s">
        <v>184</v>
      </c>
      <c r="E17007" t="s">
        <v>14</v>
      </c>
      <c r="F17007">
        <v>0.73067951202392578</v>
      </c>
    </row>
    <row r="17008" spans="2:6">
      <c r="B17008">
        <v>2016</v>
      </c>
      <c r="C17008" t="s">
        <v>179</v>
      </c>
      <c r="D17008" t="s">
        <v>184</v>
      </c>
      <c r="E17008" t="s">
        <v>15</v>
      </c>
      <c r="F17008">
        <v>0.37224072217941284</v>
      </c>
    </row>
    <row r="17009" spans="2:6">
      <c r="B17009">
        <v>2017</v>
      </c>
      <c r="C17009" t="s">
        <v>179</v>
      </c>
      <c r="D17009" t="s">
        <v>184</v>
      </c>
      <c r="E17009" t="s">
        <v>7</v>
      </c>
      <c r="F17009">
        <v>3.9327774047851563</v>
      </c>
    </row>
    <row r="17010" spans="2:6">
      <c r="B17010">
        <v>2017</v>
      </c>
      <c r="C17010" t="s">
        <v>179</v>
      </c>
      <c r="D17010" t="s">
        <v>184</v>
      </c>
      <c r="E17010" t="s">
        <v>8</v>
      </c>
      <c r="F17010">
        <v>8.156224250793457</v>
      </c>
    </row>
    <row r="17011" spans="2:6">
      <c r="B17011">
        <v>2017</v>
      </c>
      <c r="C17011" t="s">
        <v>179</v>
      </c>
      <c r="D17011" t="s">
        <v>184</v>
      </c>
      <c r="E17011" t="s">
        <v>9</v>
      </c>
      <c r="F17011">
        <v>0.74375391006469727</v>
      </c>
    </row>
    <row r="17012" spans="2:6">
      <c r="B17012">
        <v>2017</v>
      </c>
      <c r="C17012" t="s">
        <v>179</v>
      </c>
      <c r="D17012" t="s">
        <v>184</v>
      </c>
      <c r="E17012" t="s">
        <v>10</v>
      </c>
      <c r="F17012">
        <v>54.799999237060547</v>
      </c>
    </row>
    <row r="17013" spans="2:6">
      <c r="B17013">
        <v>2017</v>
      </c>
      <c r="C17013" t="s">
        <v>179</v>
      </c>
      <c r="D17013" t="s">
        <v>184</v>
      </c>
      <c r="E17013" t="s">
        <v>11</v>
      </c>
      <c r="F17013">
        <v>0.82316857576370239</v>
      </c>
    </row>
    <row r="17014" spans="2:6">
      <c r="B17014">
        <v>2017</v>
      </c>
      <c r="C17014" t="s">
        <v>179</v>
      </c>
      <c r="D17014" t="s">
        <v>184</v>
      </c>
      <c r="E17014" t="s">
        <v>12</v>
      </c>
      <c r="F17014">
        <v>0.14032293856143951</v>
      </c>
    </row>
    <row r="17015" spans="2:6">
      <c r="B17015">
        <v>2017</v>
      </c>
      <c r="C17015" t="s">
        <v>179</v>
      </c>
      <c r="D17015" t="s">
        <v>184</v>
      </c>
      <c r="E17015" t="s">
        <v>13</v>
      </c>
      <c r="F17015">
        <v>0.73954063653945923</v>
      </c>
    </row>
    <row r="17016" spans="2:6">
      <c r="B17016">
        <v>2017</v>
      </c>
      <c r="C17016" t="s">
        <v>179</v>
      </c>
      <c r="D17016" t="s">
        <v>184</v>
      </c>
      <c r="E17016" t="s">
        <v>14</v>
      </c>
      <c r="F17016">
        <v>0.68462330102920532</v>
      </c>
    </row>
    <row r="17017" spans="2:6">
      <c r="B17017">
        <v>2017</v>
      </c>
      <c r="C17017" t="s">
        <v>179</v>
      </c>
      <c r="D17017" t="s">
        <v>184</v>
      </c>
      <c r="E17017" t="s">
        <v>15</v>
      </c>
      <c r="F17017">
        <v>0.38718888163566589</v>
      </c>
    </row>
    <row r="17018" spans="2:6">
      <c r="B17018">
        <v>2018</v>
      </c>
      <c r="C17018" t="s">
        <v>179</v>
      </c>
      <c r="D17018" t="s">
        <v>184</v>
      </c>
      <c r="E17018" t="s">
        <v>7</v>
      </c>
      <c r="F17018">
        <v>4.0414881706237793</v>
      </c>
    </row>
    <row r="17019" spans="2:6">
      <c r="B17019">
        <v>2018</v>
      </c>
      <c r="C17019" t="s">
        <v>179</v>
      </c>
      <c r="D17019" t="s">
        <v>184</v>
      </c>
      <c r="E17019" t="s">
        <v>8</v>
      </c>
      <c r="F17019">
        <v>8.166651725769043</v>
      </c>
    </row>
    <row r="17020" spans="2:6">
      <c r="B17020">
        <v>2018</v>
      </c>
      <c r="C17020" t="s">
        <v>179</v>
      </c>
      <c r="D17020" t="s">
        <v>184</v>
      </c>
      <c r="E17020" t="s">
        <v>9</v>
      </c>
      <c r="F17020">
        <v>0.7177203893661499</v>
      </c>
    </row>
    <row r="17021" spans="2:6">
      <c r="B17021">
        <v>2018</v>
      </c>
      <c r="C17021" t="s">
        <v>179</v>
      </c>
      <c r="D17021" t="s">
        <v>184</v>
      </c>
      <c r="E17021" t="s">
        <v>10</v>
      </c>
      <c r="F17021">
        <v>55.299999237060547</v>
      </c>
    </row>
    <row r="17022" spans="2:6">
      <c r="B17022">
        <v>2018</v>
      </c>
      <c r="C17022" t="s">
        <v>179</v>
      </c>
      <c r="D17022" t="s">
        <v>184</v>
      </c>
      <c r="E17022" t="s">
        <v>11</v>
      </c>
      <c r="F17022">
        <v>0.7906259298324585</v>
      </c>
    </row>
    <row r="17023" spans="2:6">
      <c r="B17023">
        <v>2018</v>
      </c>
      <c r="C17023" t="s">
        <v>179</v>
      </c>
      <c r="D17023" t="s">
        <v>184</v>
      </c>
      <c r="E17023" t="s">
        <v>12</v>
      </c>
      <c r="F17023">
        <v>4.8121258616447449E-2</v>
      </c>
    </row>
    <row r="17024" spans="2:6">
      <c r="B17024">
        <v>2018</v>
      </c>
      <c r="C17024" t="s">
        <v>179</v>
      </c>
      <c r="D17024" t="s">
        <v>184</v>
      </c>
      <c r="E17024" t="s">
        <v>13</v>
      </c>
      <c r="F17024">
        <v>0.81073129177093506</v>
      </c>
    </row>
    <row r="17025" spans="2:6">
      <c r="B17025">
        <v>2018</v>
      </c>
      <c r="C17025" t="s">
        <v>179</v>
      </c>
      <c r="D17025" t="s">
        <v>184</v>
      </c>
      <c r="E17025" t="s">
        <v>14</v>
      </c>
      <c r="F17025">
        <v>0.70269757509231567</v>
      </c>
    </row>
    <row r="17026" spans="2:6">
      <c r="B17026">
        <v>2018</v>
      </c>
      <c r="C17026" t="s">
        <v>179</v>
      </c>
      <c r="D17026" t="s">
        <v>184</v>
      </c>
      <c r="E17026" t="s">
        <v>15</v>
      </c>
      <c r="F17026">
        <v>0.35096284747123718</v>
      </c>
    </row>
    <row r="17027" spans="2:6">
      <c r="B17027">
        <v>2019</v>
      </c>
      <c r="C17027" t="s">
        <v>179</v>
      </c>
      <c r="D17027" t="s">
        <v>184</v>
      </c>
      <c r="E17027" t="s">
        <v>7</v>
      </c>
      <c r="F17027">
        <v>3.3067965507507324</v>
      </c>
    </row>
    <row r="17028" spans="2:6">
      <c r="B17028">
        <v>2019</v>
      </c>
      <c r="C17028" t="s">
        <v>179</v>
      </c>
      <c r="D17028" t="s">
        <v>184</v>
      </c>
      <c r="E17028" t="s">
        <v>8</v>
      </c>
      <c r="F17028">
        <v>8.1546421051025391</v>
      </c>
    </row>
    <row r="17029" spans="2:6">
      <c r="B17029">
        <v>2019</v>
      </c>
      <c r="C17029" t="s">
        <v>179</v>
      </c>
      <c r="D17029" t="s">
        <v>184</v>
      </c>
      <c r="E17029" t="s">
        <v>9</v>
      </c>
      <c r="F17029">
        <v>0.6378943920135498</v>
      </c>
    </row>
    <row r="17030" spans="2:6">
      <c r="B17030">
        <v>2019</v>
      </c>
      <c r="C17030" t="s">
        <v>179</v>
      </c>
      <c r="D17030" t="s">
        <v>184</v>
      </c>
      <c r="E17030" t="s">
        <v>10</v>
      </c>
      <c r="F17030">
        <v>55.799999237060547</v>
      </c>
    </row>
    <row r="17031" spans="2:6">
      <c r="B17031">
        <v>2019</v>
      </c>
      <c r="C17031" t="s">
        <v>179</v>
      </c>
      <c r="D17031" t="s">
        <v>184</v>
      </c>
      <c r="E17031" t="s">
        <v>11</v>
      </c>
      <c r="F17031">
        <v>0.81103980541229248</v>
      </c>
    </row>
    <row r="17032" spans="2:6">
      <c r="B17032">
        <v>2019</v>
      </c>
      <c r="C17032" t="s">
        <v>179</v>
      </c>
      <c r="D17032" t="s">
        <v>184</v>
      </c>
      <c r="E17032" t="s">
        <v>12</v>
      </c>
      <c r="F17032">
        <v>7.7461853623390198E-2</v>
      </c>
    </row>
    <row r="17033" spans="2:6">
      <c r="B17033">
        <v>2019</v>
      </c>
      <c r="C17033" t="s">
        <v>179</v>
      </c>
      <c r="D17033" t="s">
        <v>184</v>
      </c>
      <c r="E17033" t="s">
        <v>13</v>
      </c>
      <c r="F17033">
        <v>0.83195602893829346</v>
      </c>
    </row>
    <row r="17034" spans="2:6">
      <c r="B17034">
        <v>2019</v>
      </c>
      <c r="C17034" t="s">
        <v>179</v>
      </c>
      <c r="D17034" t="s">
        <v>184</v>
      </c>
      <c r="E17034" t="s">
        <v>14</v>
      </c>
      <c r="F17034">
        <v>0.74340707063674927</v>
      </c>
    </row>
    <row r="17035" spans="2:6">
      <c r="B17035">
        <v>2019</v>
      </c>
      <c r="C17035" t="s">
        <v>179</v>
      </c>
      <c r="D17035" t="s">
        <v>184</v>
      </c>
      <c r="E17035" t="s">
        <v>15</v>
      </c>
      <c r="F17035">
        <v>0.39438527822494507</v>
      </c>
    </row>
    <row r="17036" spans="2:6">
      <c r="B17036">
        <v>2020</v>
      </c>
      <c r="C17036" t="s">
        <v>179</v>
      </c>
      <c r="D17036" t="s">
        <v>184</v>
      </c>
      <c r="E17036" t="s">
        <v>7</v>
      </c>
      <c r="F17036">
        <v>4.8379921913146973</v>
      </c>
    </row>
    <row r="17037" spans="2:6">
      <c r="B17037">
        <v>2020</v>
      </c>
      <c r="C17037" t="s">
        <v>179</v>
      </c>
      <c r="D17037" t="s">
        <v>184</v>
      </c>
      <c r="E17037" t="s">
        <v>8</v>
      </c>
      <c r="F17037">
        <v>8.1165800094604492</v>
      </c>
    </row>
    <row r="17038" spans="2:6">
      <c r="B17038">
        <v>2020</v>
      </c>
      <c r="C17038" t="s">
        <v>179</v>
      </c>
      <c r="D17038" t="s">
        <v>184</v>
      </c>
      <c r="E17038" t="s">
        <v>9</v>
      </c>
      <c r="F17038">
        <v>0.76687163114547729</v>
      </c>
    </row>
    <row r="17039" spans="2:6">
      <c r="B17039">
        <v>2020</v>
      </c>
      <c r="C17039" t="s">
        <v>179</v>
      </c>
      <c r="D17039" t="s">
        <v>184</v>
      </c>
      <c r="E17039" t="s">
        <v>10</v>
      </c>
      <c r="F17039">
        <v>56.299999237060547</v>
      </c>
    </row>
    <row r="17040" spans="2:6">
      <c r="B17040">
        <v>2020</v>
      </c>
      <c r="C17040" t="s">
        <v>179</v>
      </c>
      <c r="D17040" t="s">
        <v>184</v>
      </c>
      <c r="E17040" t="s">
        <v>11</v>
      </c>
      <c r="F17040">
        <v>0.75042241811752319</v>
      </c>
    </row>
    <row r="17041" spans="2:6">
      <c r="B17041">
        <v>2020</v>
      </c>
      <c r="C17041" t="s">
        <v>179</v>
      </c>
      <c r="D17041" t="s">
        <v>184</v>
      </c>
      <c r="E17041" t="s">
        <v>12</v>
      </c>
      <c r="F17041">
        <v>5.6029193103313446E-2</v>
      </c>
    </row>
    <row r="17042" spans="2:6">
      <c r="B17042">
        <v>2020</v>
      </c>
      <c r="C17042" t="s">
        <v>179</v>
      </c>
      <c r="D17042" t="s">
        <v>184</v>
      </c>
      <c r="E17042" t="s">
        <v>13</v>
      </c>
      <c r="F17042">
        <v>0.8097497820854187</v>
      </c>
    </row>
    <row r="17043" spans="2:6">
      <c r="B17043">
        <v>2020</v>
      </c>
      <c r="C17043" t="s">
        <v>179</v>
      </c>
      <c r="D17043" t="s">
        <v>184</v>
      </c>
      <c r="E17043" t="s">
        <v>14</v>
      </c>
      <c r="F17043">
        <v>0.69108223915100098</v>
      </c>
    </row>
    <row r="17044" spans="2:6">
      <c r="B17044">
        <v>2020</v>
      </c>
      <c r="C17044" t="s">
        <v>179</v>
      </c>
      <c r="D17044" t="s">
        <v>184</v>
      </c>
      <c r="E17044" t="s">
        <v>15</v>
      </c>
      <c r="F17044">
        <v>0.34452593326568604</v>
      </c>
    </row>
    <row r="17045" spans="2:6">
      <c r="B17045">
        <v>2006</v>
      </c>
      <c r="C17045" t="s">
        <v>180</v>
      </c>
      <c r="D17045" t="s">
        <v>184</v>
      </c>
      <c r="E17045" t="s">
        <v>7</v>
      </c>
      <c r="F17045">
        <v>3.8262684345245361</v>
      </c>
    </row>
    <row r="17046" spans="2:6">
      <c r="B17046">
        <v>2006</v>
      </c>
      <c r="C17046" t="s">
        <v>180</v>
      </c>
      <c r="D17046" t="s">
        <v>184</v>
      </c>
      <c r="E17046" t="s">
        <v>8</v>
      </c>
      <c r="F17046">
        <v>7.7111091613769531</v>
      </c>
    </row>
    <row r="17047" spans="2:6">
      <c r="B17047">
        <v>2006</v>
      </c>
      <c r="C17047" t="s">
        <v>180</v>
      </c>
      <c r="D17047" t="s">
        <v>184</v>
      </c>
      <c r="E17047" t="s">
        <v>9</v>
      </c>
      <c r="F17047">
        <v>0.8216555118560791</v>
      </c>
    </row>
    <row r="17048" spans="2:6">
      <c r="B17048">
        <v>2006</v>
      </c>
      <c r="C17048" t="s">
        <v>180</v>
      </c>
      <c r="D17048" t="s">
        <v>184</v>
      </c>
      <c r="E17048" t="s">
        <v>10</v>
      </c>
      <c r="F17048">
        <v>41.580001831054688</v>
      </c>
    </row>
    <row r="17049" spans="2:6">
      <c r="B17049">
        <v>2006</v>
      </c>
      <c r="C17049" t="s">
        <v>180</v>
      </c>
      <c r="D17049" t="s">
        <v>184</v>
      </c>
      <c r="E17049" t="s">
        <v>11</v>
      </c>
      <c r="F17049">
        <v>0.43111041188240051</v>
      </c>
    </row>
    <row r="17050" spans="2:6">
      <c r="B17050">
        <v>2006</v>
      </c>
      <c r="C17050" t="s">
        <v>180</v>
      </c>
      <c r="D17050" t="s">
        <v>184</v>
      </c>
      <c r="E17050" t="s">
        <v>12</v>
      </c>
      <c r="F17050">
        <v>-7.639678567647934E-2</v>
      </c>
    </row>
    <row r="17051" spans="2:6">
      <c r="B17051">
        <v>2006</v>
      </c>
      <c r="C17051" t="s">
        <v>180</v>
      </c>
      <c r="D17051" t="s">
        <v>184</v>
      </c>
      <c r="E17051" t="s">
        <v>13</v>
      </c>
      <c r="F17051">
        <v>0.90475690364837646</v>
      </c>
    </row>
    <row r="17052" spans="2:6">
      <c r="B17052">
        <v>2006</v>
      </c>
      <c r="C17052" t="s">
        <v>180</v>
      </c>
      <c r="D17052" t="s">
        <v>184</v>
      </c>
      <c r="E17052" t="s">
        <v>14</v>
      </c>
      <c r="F17052">
        <v>0.71522903442382813</v>
      </c>
    </row>
    <row r="17053" spans="2:6">
      <c r="B17053">
        <v>2006</v>
      </c>
      <c r="C17053" t="s">
        <v>180</v>
      </c>
      <c r="D17053" t="s">
        <v>184</v>
      </c>
      <c r="E17053" t="s">
        <v>15</v>
      </c>
      <c r="F17053">
        <v>0.29714658856391907</v>
      </c>
    </row>
    <row r="17054" spans="2:6">
      <c r="B17054">
        <v>2007</v>
      </c>
      <c r="C17054" t="s">
        <v>180</v>
      </c>
      <c r="D17054" t="s">
        <v>184</v>
      </c>
      <c r="E17054" t="s">
        <v>7</v>
      </c>
      <c r="F17054">
        <v>3.2802467346191406</v>
      </c>
    </row>
    <row r="17055" spans="2:6">
      <c r="B17055">
        <v>2007</v>
      </c>
      <c r="C17055" t="s">
        <v>180</v>
      </c>
      <c r="D17055" t="s">
        <v>184</v>
      </c>
      <c r="E17055" t="s">
        <v>8</v>
      </c>
      <c r="F17055">
        <v>7.6656637191772461</v>
      </c>
    </row>
    <row r="17056" spans="2:6">
      <c r="B17056">
        <v>2007</v>
      </c>
      <c r="C17056" t="s">
        <v>180</v>
      </c>
      <c r="D17056" t="s">
        <v>184</v>
      </c>
      <c r="E17056" t="s">
        <v>9</v>
      </c>
      <c r="F17056">
        <v>0.82811343669891357</v>
      </c>
    </row>
    <row r="17057" spans="2:6">
      <c r="B17057">
        <v>2007</v>
      </c>
      <c r="C17057" t="s">
        <v>180</v>
      </c>
      <c r="D17057" t="s">
        <v>184</v>
      </c>
      <c r="E17057" t="s">
        <v>10</v>
      </c>
      <c r="F17057">
        <v>42.860000610351563</v>
      </c>
    </row>
    <row r="17058" spans="2:6">
      <c r="B17058">
        <v>2007</v>
      </c>
      <c r="C17058" t="s">
        <v>180</v>
      </c>
      <c r="D17058" t="s">
        <v>184</v>
      </c>
      <c r="E17058" t="s">
        <v>11</v>
      </c>
      <c r="F17058">
        <v>0.45595723390579224</v>
      </c>
    </row>
    <row r="17059" spans="2:6">
      <c r="B17059">
        <v>2007</v>
      </c>
      <c r="C17059" t="s">
        <v>180</v>
      </c>
      <c r="D17059" t="s">
        <v>184</v>
      </c>
      <c r="E17059" t="s">
        <v>12</v>
      </c>
      <c r="F17059">
        <v>-8.2091577351093292E-2</v>
      </c>
    </row>
    <row r="17060" spans="2:6">
      <c r="B17060">
        <v>2007</v>
      </c>
      <c r="C17060" t="s">
        <v>180</v>
      </c>
      <c r="D17060" t="s">
        <v>184</v>
      </c>
      <c r="E17060" t="s">
        <v>13</v>
      </c>
      <c r="F17060">
        <v>0.94628715515136719</v>
      </c>
    </row>
    <row r="17061" spans="2:6">
      <c r="B17061">
        <v>2007</v>
      </c>
      <c r="C17061" t="s">
        <v>180</v>
      </c>
      <c r="D17061" t="s">
        <v>184</v>
      </c>
      <c r="E17061" t="s">
        <v>14</v>
      </c>
      <c r="F17061">
        <v>0.66086065769195557</v>
      </c>
    </row>
    <row r="17062" spans="2:6">
      <c r="B17062">
        <v>2007</v>
      </c>
      <c r="C17062" t="s">
        <v>180</v>
      </c>
      <c r="D17062" t="s">
        <v>184</v>
      </c>
      <c r="E17062" t="s">
        <v>15</v>
      </c>
      <c r="F17062">
        <v>0.26498851180076599</v>
      </c>
    </row>
    <row r="17063" spans="2:6">
      <c r="B17063">
        <v>2008</v>
      </c>
      <c r="C17063" t="s">
        <v>180</v>
      </c>
      <c r="D17063" t="s">
        <v>184</v>
      </c>
      <c r="E17063" t="s">
        <v>7</v>
      </c>
      <c r="F17063">
        <v>3.1742637157440186</v>
      </c>
    </row>
    <row r="17064" spans="2:6">
      <c r="B17064">
        <v>2008</v>
      </c>
      <c r="C17064" t="s">
        <v>180</v>
      </c>
      <c r="D17064" t="s">
        <v>184</v>
      </c>
      <c r="E17064" t="s">
        <v>8</v>
      </c>
      <c r="F17064">
        <v>7.461205005645752</v>
      </c>
    </row>
    <row r="17065" spans="2:6">
      <c r="B17065">
        <v>2008</v>
      </c>
      <c r="C17065" t="s">
        <v>180</v>
      </c>
      <c r="D17065" t="s">
        <v>184</v>
      </c>
      <c r="E17065" t="s">
        <v>9</v>
      </c>
      <c r="F17065">
        <v>0.84347450733184814</v>
      </c>
    </row>
    <row r="17066" spans="2:6">
      <c r="B17066">
        <v>2008</v>
      </c>
      <c r="C17066" t="s">
        <v>180</v>
      </c>
      <c r="D17066" t="s">
        <v>184</v>
      </c>
      <c r="E17066" t="s">
        <v>10</v>
      </c>
      <c r="F17066">
        <v>44.139999389648438</v>
      </c>
    </row>
    <row r="17067" spans="2:6">
      <c r="B17067">
        <v>2008</v>
      </c>
      <c r="C17067" t="s">
        <v>180</v>
      </c>
      <c r="D17067" t="s">
        <v>184</v>
      </c>
      <c r="E17067" t="s">
        <v>11</v>
      </c>
      <c r="F17067">
        <v>0.34355604648590088</v>
      </c>
    </row>
    <row r="17068" spans="2:6">
      <c r="B17068">
        <v>2008</v>
      </c>
      <c r="C17068" t="s">
        <v>180</v>
      </c>
      <c r="D17068" t="s">
        <v>184</v>
      </c>
      <c r="E17068" t="s">
        <v>12</v>
      </c>
      <c r="F17068">
        <v>-8.9680947363376617E-2</v>
      </c>
    </row>
    <row r="17069" spans="2:6">
      <c r="B17069">
        <v>2008</v>
      </c>
      <c r="C17069" t="s">
        <v>180</v>
      </c>
      <c r="D17069" t="s">
        <v>184</v>
      </c>
      <c r="E17069" t="s">
        <v>13</v>
      </c>
      <c r="F17069">
        <v>0.96384632587432861</v>
      </c>
    </row>
    <row r="17070" spans="2:6">
      <c r="B17070">
        <v>2008</v>
      </c>
      <c r="C17070" t="s">
        <v>180</v>
      </c>
      <c r="D17070" t="s">
        <v>184</v>
      </c>
      <c r="E17070" t="s">
        <v>14</v>
      </c>
      <c r="F17070">
        <v>0.63098305463790894</v>
      </c>
    </row>
    <row r="17071" spans="2:6">
      <c r="B17071">
        <v>2008</v>
      </c>
      <c r="C17071" t="s">
        <v>180</v>
      </c>
      <c r="D17071" t="s">
        <v>184</v>
      </c>
      <c r="E17071" t="s">
        <v>15</v>
      </c>
      <c r="F17071">
        <v>0.25006017088890076</v>
      </c>
    </row>
    <row r="17072" spans="2:6">
      <c r="B17072">
        <v>2009</v>
      </c>
      <c r="C17072" t="s">
        <v>180</v>
      </c>
      <c r="D17072" t="s">
        <v>184</v>
      </c>
      <c r="E17072" t="s">
        <v>7</v>
      </c>
      <c r="F17072">
        <v>4.0559144020080566</v>
      </c>
    </row>
    <row r="17073" spans="2:6">
      <c r="B17073">
        <v>2009</v>
      </c>
      <c r="C17073" t="s">
        <v>180</v>
      </c>
      <c r="D17073" t="s">
        <v>184</v>
      </c>
      <c r="E17073" t="s">
        <v>8</v>
      </c>
      <c r="F17073">
        <v>7.5628705024719238</v>
      </c>
    </row>
    <row r="17074" spans="2:6">
      <c r="B17074">
        <v>2009</v>
      </c>
      <c r="C17074" t="s">
        <v>180</v>
      </c>
      <c r="D17074" t="s">
        <v>184</v>
      </c>
      <c r="E17074" t="s">
        <v>9</v>
      </c>
      <c r="F17074">
        <v>0.80578094720840454</v>
      </c>
    </row>
    <row r="17075" spans="2:6">
      <c r="B17075">
        <v>2009</v>
      </c>
      <c r="C17075" t="s">
        <v>180</v>
      </c>
      <c r="D17075" t="s">
        <v>184</v>
      </c>
      <c r="E17075" t="s">
        <v>10</v>
      </c>
      <c r="F17075">
        <v>45.419998168945313</v>
      </c>
    </row>
    <row r="17076" spans="2:6">
      <c r="B17076">
        <v>2009</v>
      </c>
      <c r="C17076" t="s">
        <v>180</v>
      </c>
      <c r="D17076" t="s">
        <v>184</v>
      </c>
      <c r="E17076" t="s">
        <v>11</v>
      </c>
      <c r="F17076">
        <v>0.41108918190002441</v>
      </c>
    </row>
    <row r="17077" spans="2:6">
      <c r="B17077">
        <v>2009</v>
      </c>
      <c r="C17077" t="s">
        <v>180</v>
      </c>
      <c r="D17077" t="s">
        <v>184</v>
      </c>
      <c r="E17077" t="s">
        <v>12</v>
      </c>
      <c r="F17077">
        <v>-7.7691003680229187E-2</v>
      </c>
    </row>
    <row r="17078" spans="2:6">
      <c r="B17078">
        <v>2009</v>
      </c>
      <c r="C17078" t="s">
        <v>180</v>
      </c>
      <c r="D17078" t="s">
        <v>184</v>
      </c>
      <c r="E17078" t="s">
        <v>13</v>
      </c>
      <c r="F17078">
        <v>0.93081778287887573</v>
      </c>
    </row>
    <row r="17079" spans="2:6">
      <c r="B17079">
        <v>2009</v>
      </c>
      <c r="C17079" t="s">
        <v>180</v>
      </c>
      <c r="D17079" t="s">
        <v>184</v>
      </c>
      <c r="E17079" t="s">
        <v>14</v>
      </c>
      <c r="F17079">
        <v>0.73550331592559814</v>
      </c>
    </row>
    <row r="17080" spans="2:6">
      <c r="B17080">
        <v>2009</v>
      </c>
      <c r="C17080" t="s">
        <v>180</v>
      </c>
      <c r="D17080" t="s">
        <v>184</v>
      </c>
      <c r="E17080" t="s">
        <v>15</v>
      </c>
      <c r="F17080">
        <v>0.21841873228549957</v>
      </c>
    </row>
    <row r="17081" spans="2:6">
      <c r="B17081">
        <v>2010</v>
      </c>
      <c r="C17081" t="s">
        <v>180</v>
      </c>
      <c r="D17081" t="s">
        <v>184</v>
      </c>
      <c r="E17081" t="s">
        <v>7</v>
      </c>
      <c r="F17081">
        <v>4.6815695762634277</v>
      </c>
    </row>
    <row r="17082" spans="2:6">
      <c r="B17082">
        <v>2010</v>
      </c>
      <c r="C17082" t="s">
        <v>180</v>
      </c>
      <c r="D17082" t="s">
        <v>184</v>
      </c>
      <c r="E17082" t="s">
        <v>8</v>
      </c>
      <c r="F17082">
        <v>7.7289438247680664</v>
      </c>
    </row>
    <row r="17083" spans="2:6">
      <c r="B17083">
        <v>2010</v>
      </c>
      <c r="C17083" t="s">
        <v>180</v>
      </c>
      <c r="D17083" t="s">
        <v>184</v>
      </c>
      <c r="E17083" t="s">
        <v>9</v>
      </c>
      <c r="F17083">
        <v>0.85663783550262451</v>
      </c>
    </row>
    <row r="17084" spans="2:6">
      <c r="B17084">
        <v>2010</v>
      </c>
      <c r="C17084" t="s">
        <v>180</v>
      </c>
      <c r="D17084" t="s">
        <v>184</v>
      </c>
      <c r="E17084" t="s">
        <v>10</v>
      </c>
      <c r="F17084">
        <v>46.700000762939453</v>
      </c>
    </row>
    <row r="17085" spans="2:6">
      <c r="B17085">
        <v>2010</v>
      </c>
      <c r="C17085" t="s">
        <v>180</v>
      </c>
      <c r="D17085" t="s">
        <v>184</v>
      </c>
      <c r="E17085" t="s">
        <v>11</v>
      </c>
      <c r="F17085">
        <v>0.66471821069717407</v>
      </c>
    </row>
    <row r="17086" spans="2:6">
      <c r="B17086">
        <v>2010</v>
      </c>
      <c r="C17086" t="s">
        <v>180</v>
      </c>
      <c r="D17086" t="s">
        <v>184</v>
      </c>
      <c r="E17086" t="s">
        <v>12</v>
      </c>
      <c r="F17086">
        <v>-9.2812962830066681E-2</v>
      </c>
    </row>
    <row r="17087" spans="2:6">
      <c r="B17087">
        <v>2010</v>
      </c>
      <c r="C17087" t="s">
        <v>180</v>
      </c>
      <c r="D17087" t="s">
        <v>184</v>
      </c>
      <c r="E17087" t="s">
        <v>13</v>
      </c>
      <c r="F17087">
        <v>0.82836079597473145</v>
      </c>
    </row>
    <row r="17088" spans="2:6">
      <c r="B17088">
        <v>2010</v>
      </c>
      <c r="C17088" t="s">
        <v>180</v>
      </c>
      <c r="D17088" t="s">
        <v>184</v>
      </c>
      <c r="E17088" t="s">
        <v>14</v>
      </c>
      <c r="F17088">
        <v>0.74770212173461914</v>
      </c>
    </row>
    <row r="17089" spans="2:6">
      <c r="B17089">
        <v>2010</v>
      </c>
      <c r="C17089" t="s">
        <v>180</v>
      </c>
      <c r="D17089" t="s">
        <v>184</v>
      </c>
      <c r="E17089" t="s">
        <v>15</v>
      </c>
      <c r="F17089">
        <v>0.12214991450309753</v>
      </c>
    </row>
    <row r="17090" spans="2:6">
      <c r="B17090">
        <v>2011</v>
      </c>
      <c r="C17090" t="s">
        <v>180</v>
      </c>
      <c r="D17090" t="s">
        <v>184</v>
      </c>
      <c r="E17090" t="s">
        <v>7</v>
      </c>
      <c r="F17090">
        <v>4.8456416130065918</v>
      </c>
    </row>
    <row r="17091" spans="2:6">
      <c r="B17091">
        <v>2011</v>
      </c>
      <c r="C17091" t="s">
        <v>180</v>
      </c>
      <c r="D17091" t="s">
        <v>184</v>
      </c>
      <c r="E17091" t="s">
        <v>8</v>
      </c>
      <c r="F17091">
        <v>7.8463077545166016</v>
      </c>
    </row>
    <row r="17092" spans="2:6">
      <c r="B17092">
        <v>2011</v>
      </c>
      <c r="C17092" t="s">
        <v>180</v>
      </c>
      <c r="D17092" t="s">
        <v>184</v>
      </c>
      <c r="E17092" t="s">
        <v>9</v>
      </c>
      <c r="F17092">
        <v>0.86469352245330811</v>
      </c>
    </row>
    <row r="17093" spans="2:6">
      <c r="B17093">
        <v>2011</v>
      </c>
      <c r="C17093" t="s">
        <v>180</v>
      </c>
      <c r="D17093" t="s">
        <v>184</v>
      </c>
      <c r="E17093" t="s">
        <v>10</v>
      </c>
      <c r="F17093">
        <v>48.119998931884766</v>
      </c>
    </row>
    <row r="17094" spans="2:6">
      <c r="B17094">
        <v>2011</v>
      </c>
      <c r="C17094" t="s">
        <v>180</v>
      </c>
      <c r="D17094" t="s">
        <v>184</v>
      </c>
      <c r="E17094" t="s">
        <v>11</v>
      </c>
      <c r="F17094">
        <v>0.63297796249389648</v>
      </c>
    </row>
    <row r="17095" spans="2:6">
      <c r="B17095">
        <v>2011</v>
      </c>
      <c r="C17095" t="s">
        <v>180</v>
      </c>
      <c r="D17095" t="s">
        <v>184</v>
      </c>
      <c r="E17095" t="s">
        <v>12</v>
      </c>
      <c r="F17095">
        <v>-8.7875857949256897E-2</v>
      </c>
    </row>
    <row r="17096" spans="2:6">
      <c r="B17096">
        <v>2011</v>
      </c>
      <c r="C17096" t="s">
        <v>180</v>
      </c>
      <c r="D17096" t="s">
        <v>184</v>
      </c>
      <c r="E17096" t="s">
        <v>13</v>
      </c>
      <c r="F17096">
        <v>0.82980042695999146</v>
      </c>
    </row>
    <row r="17097" spans="2:6">
      <c r="B17097">
        <v>2011</v>
      </c>
      <c r="C17097" t="s">
        <v>180</v>
      </c>
      <c r="D17097" t="s">
        <v>184</v>
      </c>
      <c r="E17097" t="s">
        <v>14</v>
      </c>
      <c r="F17097">
        <v>0.78118896484375</v>
      </c>
    </row>
    <row r="17098" spans="2:6">
      <c r="B17098">
        <v>2011</v>
      </c>
      <c r="C17098" t="s">
        <v>180</v>
      </c>
      <c r="D17098" t="s">
        <v>184</v>
      </c>
      <c r="E17098" t="s">
        <v>15</v>
      </c>
      <c r="F17098">
        <v>0.21054397523403168</v>
      </c>
    </row>
    <row r="17099" spans="2:6">
      <c r="B17099">
        <v>2012</v>
      </c>
      <c r="C17099" t="s">
        <v>180</v>
      </c>
      <c r="D17099" t="s">
        <v>184</v>
      </c>
      <c r="E17099" t="s">
        <v>7</v>
      </c>
      <c r="F17099">
        <v>4.9551005363464355</v>
      </c>
    </row>
    <row r="17100" spans="2:6">
      <c r="B17100">
        <v>2012</v>
      </c>
      <c r="C17100" t="s">
        <v>180</v>
      </c>
      <c r="D17100" t="s">
        <v>184</v>
      </c>
      <c r="E17100" t="s">
        <v>8</v>
      </c>
      <c r="F17100">
        <v>7.9834675788879395</v>
      </c>
    </row>
    <row r="17101" spans="2:6">
      <c r="B17101">
        <v>2012</v>
      </c>
      <c r="C17101" t="s">
        <v>180</v>
      </c>
      <c r="D17101" t="s">
        <v>184</v>
      </c>
      <c r="E17101" t="s">
        <v>9</v>
      </c>
      <c r="F17101">
        <v>0.89647620916366577</v>
      </c>
    </row>
    <row r="17102" spans="2:6">
      <c r="B17102">
        <v>2012</v>
      </c>
      <c r="C17102" t="s">
        <v>180</v>
      </c>
      <c r="D17102" t="s">
        <v>184</v>
      </c>
      <c r="E17102" t="s">
        <v>10</v>
      </c>
      <c r="F17102">
        <v>49.540000915527344</v>
      </c>
    </row>
    <row r="17103" spans="2:6">
      <c r="B17103">
        <v>2012</v>
      </c>
      <c r="C17103" t="s">
        <v>180</v>
      </c>
      <c r="D17103" t="s">
        <v>184</v>
      </c>
      <c r="E17103" t="s">
        <v>11</v>
      </c>
      <c r="F17103">
        <v>0.46953117847442627</v>
      </c>
    </row>
    <row r="17104" spans="2:6">
      <c r="B17104">
        <v>2012</v>
      </c>
      <c r="C17104" t="s">
        <v>180</v>
      </c>
      <c r="D17104" t="s">
        <v>184</v>
      </c>
      <c r="E17104" t="s">
        <v>12</v>
      </c>
      <c r="F17104">
        <v>-0.10250548273324966</v>
      </c>
    </row>
    <row r="17105" spans="2:6">
      <c r="B17105">
        <v>2012</v>
      </c>
      <c r="C17105" t="s">
        <v>180</v>
      </c>
      <c r="D17105" t="s">
        <v>184</v>
      </c>
      <c r="E17105" t="s">
        <v>13</v>
      </c>
      <c r="F17105">
        <v>0.85869050025939941</v>
      </c>
    </row>
    <row r="17106" spans="2:6">
      <c r="B17106">
        <v>2012</v>
      </c>
      <c r="C17106" t="s">
        <v>180</v>
      </c>
      <c r="D17106" t="s">
        <v>184</v>
      </c>
      <c r="E17106" t="s">
        <v>14</v>
      </c>
      <c r="F17106">
        <v>0.66927868127822876</v>
      </c>
    </row>
    <row r="17107" spans="2:6">
      <c r="B17107">
        <v>2012</v>
      </c>
      <c r="C17107" t="s">
        <v>180</v>
      </c>
      <c r="D17107" t="s">
        <v>184</v>
      </c>
      <c r="E17107" t="s">
        <v>15</v>
      </c>
      <c r="F17107">
        <v>0.17731077969074249</v>
      </c>
    </row>
    <row r="17108" spans="2:6">
      <c r="B17108">
        <v>2013</v>
      </c>
      <c r="C17108" t="s">
        <v>180</v>
      </c>
      <c r="D17108" t="s">
        <v>184</v>
      </c>
      <c r="E17108" t="s">
        <v>7</v>
      </c>
      <c r="F17108">
        <v>4.690187931060791</v>
      </c>
    </row>
    <row r="17109" spans="2:6">
      <c r="B17109">
        <v>2013</v>
      </c>
      <c r="C17109" t="s">
        <v>180</v>
      </c>
      <c r="D17109" t="s">
        <v>184</v>
      </c>
      <c r="E17109" t="s">
        <v>8</v>
      </c>
      <c r="F17109">
        <v>7.9853911399841309</v>
      </c>
    </row>
    <row r="17110" spans="2:6">
      <c r="B17110">
        <v>2013</v>
      </c>
      <c r="C17110" t="s">
        <v>180</v>
      </c>
      <c r="D17110" t="s">
        <v>184</v>
      </c>
      <c r="E17110" t="s">
        <v>9</v>
      </c>
      <c r="F17110">
        <v>0.79927384853363037</v>
      </c>
    </row>
    <row r="17111" spans="2:6">
      <c r="B17111">
        <v>2013</v>
      </c>
      <c r="C17111" t="s">
        <v>180</v>
      </c>
      <c r="D17111" t="s">
        <v>184</v>
      </c>
      <c r="E17111" t="s">
        <v>10</v>
      </c>
      <c r="F17111">
        <v>50.959999084472656</v>
      </c>
    </row>
    <row r="17112" spans="2:6">
      <c r="B17112">
        <v>2013</v>
      </c>
      <c r="C17112" t="s">
        <v>180</v>
      </c>
      <c r="D17112" t="s">
        <v>184</v>
      </c>
      <c r="E17112" t="s">
        <v>11</v>
      </c>
      <c r="F17112">
        <v>0.57588428258895874</v>
      </c>
    </row>
    <row r="17113" spans="2:6">
      <c r="B17113">
        <v>2013</v>
      </c>
      <c r="C17113" t="s">
        <v>180</v>
      </c>
      <c r="D17113" t="s">
        <v>184</v>
      </c>
      <c r="E17113" t="s">
        <v>12</v>
      </c>
      <c r="F17113">
        <v>-0.10410073399543762</v>
      </c>
    </row>
    <row r="17114" spans="2:6">
      <c r="B17114">
        <v>2013</v>
      </c>
      <c r="C17114" t="s">
        <v>180</v>
      </c>
      <c r="D17114" t="s">
        <v>184</v>
      </c>
      <c r="E17114" t="s">
        <v>13</v>
      </c>
      <c r="F17114">
        <v>0.83093655109405518</v>
      </c>
    </row>
    <row r="17115" spans="2:6">
      <c r="B17115">
        <v>2013</v>
      </c>
      <c r="C17115" t="s">
        <v>180</v>
      </c>
      <c r="D17115" t="s">
        <v>184</v>
      </c>
      <c r="E17115" t="s">
        <v>14</v>
      </c>
      <c r="F17115">
        <v>0.71188539266586304</v>
      </c>
    </row>
    <row r="17116" spans="2:6">
      <c r="B17116">
        <v>2013</v>
      </c>
      <c r="C17116" t="s">
        <v>180</v>
      </c>
      <c r="D17116" t="s">
        <v>184</v>
      </c>
      <c r="E17116" t="s">
        <v>15</v>
      </c>
      <c r="F17116">
        <v>0.18228779733181</v>
      </c>
    </row>
    <row r="17117" spans="2:6">
      <c r="B17117">
        <v>2014</v>
      </c>
      <c r="C17117" t="s">
        <v>180</v>
      </c>
      <c r="D17117" t="s">
        <v>184</v>
      </c>
      <c r="E17117" t="s">
        <v>7</v>
      </c>
      <c r="F17117">
        <v>4.184450626373291</v>
      </c>
    </row>
    <row r="17118" spans="2:6">
      <c r="B17118">
        <v>2014</v>
      </c>
      <c r="C17118" t="s">
        <v>180</v>
      </c>
      <c r="D17118" t="s">
        <v>184</v>
      </c>
      <c r="E17118" t="s">
        <v>8</v>
      </c>
      <c r="F17118">
        <v>7.991335391998291</v>
      </c>
    </row>
    <row r="17119" spans="2:6">
      <c r="B17119">
        <v>2014</v>
      </c>
      <c r="C17119" t="s">
        <v>180</v>
      </c>
      <c r="D17119" t="s">
        <v>184</v>
      </c>
      <c r="E17119" t="s">
        <v>9</v>
      </c>
      <c r="F17119">
        <v>0.76583898067474365</v>
      </c>
    </row>
    <row r="17120" spans="2:6">
      <c r="B17120">
        <v>2014</v>
      </c>
      <c r="C17120" t="s">
        <v>180</v>
      </c>
      <c r="D17120" t="s">
        <v>184</v>
      </c>
      <c r="E17120" t="s">
        <v>10</v>
      </c>
      <c r="F17120">
        <v>52.380001068115234</v>
      </c>
    </row>
    <row r="17121" spans="2:6">
      <c r="B17121">
        <v>2014</v>
      </c>
      <c r="C17121" t="s">
        <v>180</v>
      </c>
      <c r="D17121" t="s">
        <v>184</v>
      </c>
      <c r="E17121" t="s">
        <v>11</v>
      </c>
      <c r="F17121">
        <v>0.64203381538391113</v>
      </c>
    </row>
    <row r="17122" spans="2:6">
      <c r="B17122">
        <v>2014</v>
      </c>
      <c r="C17122" t="s">
        <v>180</v>
      </c>
      <c r="D17122" t="s">
        <v>184</v>
      </c>
      <c r="E17122" t="s">
        <v>12</v>
      </c>
      <c r="F17122">
        <v>-7.3879912495613098E-2</v>
      </c>
    </row>
    <row r="17123" spans="2:6">
      <c r="B17123">
        <v>2014</v>
      </c>
      <c r="C17123" t="s">
        <v>180</v>
      </c>
      <c r="D17123" t="s">
        <v>184</v>
      </c>
      <c r="E17123" t="s">
        <v>13</v>
      </c>
      <c r="F17123">
        <v>0.82021713256835938</v>
      </c>
    </row>
    <row r="17124" spans="2:6">
      <c r="B17124">
        <v>2014</v>
      </c>
      <c r="C17124" t="s">
        <v>180</v>
      </c>
      <c r="D17124" t="s">
        <v>184</v>
      </c>
      <c r="E17124" t="s">
        <v>14</v>
      </c>
      <c r="F17124">
        <v>0.72521352767944336</v>
      </c>
    </row>
    <row r="17125" spans="2:6">
      <c r="B17125">
        <v>2014</v>
      </c>
      <c r="C17125" t="s">
        <v>180</v>
      </c>
      <c r="D17125" t="s">
        <v>184</v>
      </c>
      <c r="E17125" t="s">
        <v>15</v>
      </c>
      <c r="F17125">
        <v>0.23911073803901672</v>
      </c>
    </row>
    <row r="17126" spans="2:6">
      <c r="B17126">
        <v>2015</v>
      </c>
      <c r="C17126" t="s">
        <v>180</v>
      </c>
      <c r="D17126" t="s">
        <v>184</v>
      </c>
      <c r="E17126" t="s">
        <v>7</v>
      </c>
      <c r="F17126">
        <v>3.7031912803649902</v>
      </c>
    </row>
    <row r="17127" spans="2:6">
      <c r="B17127">
        <v>2015</v>
      </c>
      <c r="C17127" t="s">
        <v>180</v>
      </c>
      <c r="D17127" t="s">
        <v>184</v>
      </c>
      <c r="E17127" t="s">
        <v>8</v>
      </c>
      <c r="F17127">
        <v>7.9923391342163086</v>
      </c>
    </row>
    <row r="17128" spans="2:6">
      <c r="B17128">
        <v>2015</v>
      </c>
      <c r="C17128" t="s">
        <v>180</v>
      </c>
      <c r="D17128" t="s">
        <v>184</v>
      </c>
      <c r="E17128" t="s">
        <v>9</v>
      </c>
      <c r="F17128">
        <v>0.73580032587051392</v>
      </c>
    </row>
    <row r="17129" spans="2:6">
      <c r="B17129">
        <v>2015</v>
      </c>
      <c r="C17129" t="s">
        <v>180</v>
      </c>
      <c r="D17129" t="s">
        <v>184</v>
      </c>
      <c r="E17129" t="s">
        <v>10</v>
      </c>
      <c r="F17129">
        <v>53.799999237060547</v>
      </c>
    </row>
    <row r="17130" spans="2:6">
      <c r="B17130">
        <v>2015</v>
      </c>
      <c r="C17130" t="s">
        <v>180</v>
      </c>
      <c r="D17130" t="s">
        <v>184</v>
      </c>
      <c r="E17130" t="s">
        <v>11</v>
      </c>
      <c r="F17130">
        <v>0.66719329357147217</v>
      </c>
    </row>
    <row r="17131" spans="2:6">
      <c r="B17131">
        <v>2015</v>
      </c>
      <c r="C17131" t="s">
        <v>180</v>
      </c>
      <c r="D17131" t="s">
        <v>184</v>
      </c>
      <c r="E17131" t="s">
        <v>12</v>
      </c>
      <c r="F17131">
        <v>-0.12317058444023132</v>
      </c>
    </row>
    <row r="17132" spans="2:6">
      <c r="B17132">
        <v>2015</v>
      </c>
      <c r="C17132" t="s">
        <v>180</v>
      </c>
      <c r="D17132" t="s">
        <v>184</v>
      </c>
      <c r="E17132" t="s">
        <v>13</v>
      </c>
      <c r="F17132">
        <v>0.81045734882354736</v>
      </c>
    </row>
    <row r="17133" spans="2:6">
      <c r="B17133">
        <v>2015</v>
      </c>
      <c r="C17133" t="s">
        <v>180</v>
      </c>
      <c r="D17133" t="s">
        <v>184</v>
      </c>
      <c r="E17133" t="s">
        <v>14</v>
      </c>
      <c r="F17133">
        <v>0.71507877111434937</v>
      </c>
    </row>
    <row r="17134" spans="2:6">
      <c r="B17134">
        <v>2015</v>
      </c>
      <c r="C17134" t="s">
        <v>180</v>
      </c>
      <c r="D17134" t="s">
        <v>184</v>
      </c>
      <c r="E17134" t="s">
        <v>15</v>
      </c>
      <c r="F17134">
        <v>0.1788610965013504</v>
      </c>
    </row>
    <row r="17135" spans="2:6">
      <c r="B17135">
        <v>2016</v>
      </c>
      <c r="C17135" t="s">
        <v>180</v>
      </c>
      <c r="D17135" t="s">
        <v>184</v>
      </c>
      <c r="E17135" t="s">
        <v>7</v>
      </c>
      <c r="F17135">
        <v>3.7354001998901367</v>
      </c>
    </row>
    <row r="17136" spans="2:6">
      <c r="B17136">
        <v>2016</v>
      </c>
      <c r="C17136" t="s">
        <v>180</v>
      </c>
      <c r="D17136" t="s">
        <v>184</v>
      </c>
      <c r="E17136" t="s">
        <v>8</v>
      </c>
      <c r="F17136">
        <v>7.9843721389770508</v>
      </c>
    </row>
    <row r="17137" spans="2:6">
      <c r="B17137">
        <v>2016</v>
      </c>
      <c r="C17137" t="s">
        <v>180</v>
      </c>
      <c r="D17137" t="s">
        <v>184</v>
      </c>
      <c r="E17137" t="s">
        <v>9</v>
      </c>
      <c r="F17137">
        <v>0.76842540502548218</v>
      </c>
    </row>
    <row r="17138" spans="2:6">
      <c r="B17138">
        <v>2016</v>
      </c>
      <c r="C17138" t="s">
        <v>180</v>
      </c>
      <c r="D17138" t="s">
        <v>184</v>
      </c>
      <c r="E17138" t="s">
        <v>10</v>
      </c>
      <c r="F17138">
        <v>54.400001525878906</v>
      </c>
    </row>
    <row r="17139" spans="2:6">
      <c r="B17139">
        <v>2016</v>
      </c>
      <c r="C17139" t="s">
        <v>180</v>
      </c>
      <c r="D17139" t="s">
        <v>184</v>
      </c>
      <c r="E17139" t="s">
        <v>11</v>
      </c>
      <c r="F17139">
        <v>0.73297148942947388</v>
      </c>
    </row>
    <row r="17140" spans="2:6">
      <c r="B17140">
        <v>2016</v>
      </c>
      <c r="C17140" t="s">
        <v>180</v>
      </c>
      <c r="D17140" t="s">
        <v>184</v>
      </c>
      <c r="E17140" t="s">
        <v>12</v>
      </c>
      <c r="F17140">
        <v>-9.4634488224983215E-2</v>
      </c>
    </row>
    <row r="17141" spans="2:6">
      <c r="B17141">
        <v>2016</v>
      </c>
      <c r="C17141" t="s">
        <v>180</v>
      </c>
      <c r="D17141" t="s">
        <v>184</v>
      </c>
      <c r="E17141" t="s">
        <v>13</v>
      </c>
      <c r="F17141">
        <v>0.72361201047897339</v>
      </c>
    </row>
    <row r="17142" spans="2:6">
      <c r="B17142">
        <v>2016</v>
      </c>
      <c r="C17142" t="s">
        <v>180</v>
      </c>
      <c r="D17142" t="s">
        <v>184</v>
      </c>
      <c r="E17142" t="s">
        <v>14</v>
      </c>
      <c r="F17142">
        <v>0.73763591051101685</v>
      </c>
    </row>
    <row r="17143" spans="2:6">
      <c r="B17143">
        <v>2016</v>
      </c>
      <c r="C17143" t="s">
        <v>180</v>
      </c>
      <c r="D17143" t="s">
        <v>184</v>
      </c>
      <c r="E17143" t="s">
        <v>15</v>
      </c>
      <c r="F17143">
        <v>0.20855492353439331</v>
      </c>
    </row>
    <row r="17144" spans="2:6">
      <c r="B17144">
        <v>2017</v>
      </c>
      <c r="C17144" t="s">
        <v>180</v>
      </c>
      <c r="D17144" t="s">
        <v>184</v>
      </c>
      <c r="E17144" t="s">
        <v>7</v>
      </c>
      <c r="F17144">
        <v>3.6383001804351807</v>
      </c>
    </row>
    <row r="17145" spans="2:6">
      <c r="B17145">
        <v>2017</v>
      </c>
      <c r="C17145" t="s">
        <v>180</v>
      </c>
      <c r="D17145" t="s">
        <v>184</v>
      </c>
      <c r="E17145" t="s">
        <v>8</v>
      </c>
      <c r="F17145">
        <v>8.0157384872436523</v>
      </c>
    </row>
    <row r="17146" spans="2:6">
      <c r="B17146">
        <v>2017</v>
      </c>
      <c r="C17146" t="s">
        <v>180</v>
      </c>
      <c r="D17146" t="s">
        <v>184</v>
      </c>
      <c r="E17146" t="s">
        <v>9</v>
      </c>
      <c r="F17146">
        <v>0.75414705276489258</v>
      </c>
    </row>
    <row r="17147" spans="2:6">
      <c r="B17147">
        <v>2017</v>
      </c>
      <c r="C17147" t="s">
        <v>180</v>
      </c>
      <c r="D17147" t="s">
        <v>184</v>
      </c>
      <c r="E17147" t="s">
        <v>10</v>
      </c>
      <c r="F17147">
        <v>55</v>
      </c>
    </row>
    <row r="17148" spans="2:6">
      <c r="B17148">
        <v>2017</v>
      </c>
      <c r="C17148" t="s">
        <v>180</v>
      </c>
      <c r="D17148" t="s">
        <v>184</v>
      </c>
      <c r="E17148" t="s">
        <v>11</v>
      </c>
      <c r="F17148">
        <v>0.75282609462738037</v>
      </c>
    </row>
    <row r="17149" spans="2:6">
      <c r="B17149">
        <v>2017</v>
      </c>
      <c r="C17149" t="s">
        <v>180</v>
      </c>
      <c r="D17149" t="s">
        <v>184</v>
      </c>
      <c r="E17149" t="s">
        <v>12</v>
      </c>
      <c r="F17149">
        <v>-9.7644537687301636E-2</v>
      </c>
    </row>
    <row r="17150" spans="2:6">
      <c r="B17150">
        <v>2017</v>
      </c>
      <c r="C17150" t="s">
        <v>180</v>
      </c>
      <c r="D17150" t="s">
        <v>184</v>
      </c>
      <c r="E17150" t="s">
        <v>13</v>
      </c>
      <c r="F17150">
        <v>0.75120800733566284</v>
      </c>
    </row>
    <row r="17151" spans="2:6">
      <c r="B17151">
        <v>2017</v>
      </c>
      <c r="C17151" t="s">
        <v>180</v>
      </c>
      <c r="D17151" t="s">
        <v>184</v>
      </c>
      <c r="E17151" t="s">
        <v>14</v>
      </c>
      <c r="F17151">
        <v>0.80642837285995483</v>
      </c>
    </row>
    <row r="17152" spans="2:6">
      <c r="B17152">
        <v>2017</v>
      </c>
      <c r="C17152" t="s">
        <v>180</v>
      </c>
      <c r="D17152" t="s">
        <v>184</v>
      </c>
      <c r="E17152" t="s">
        <v>15</v>
      </c>
      <c r="F17152">
        <v>0.2240513414144516</v>
      </c>
    </row>
    <row r="17153" spans="2:6">
      <c r="B17153">
        <v>2018</v>
      </c>
      <c r="C17153" t="s">
        <v>180</v>
      </c>
      <c r="D17153" t="s">
        <v>184</v>
      </c>
      <c r="E17153" t="s">
        <v>7</v>
      </c>
      <c r="F17153">
        <v>3.6164798736572266</v>
      </c>
    </row>
    <row r="17154" spans="2:6">
      <c r="B17154">
        <v>2018</v>
      </c>
      <c r="C17154" t="s">
        <v>180</v>
      </c>
      <c r="D17154" t="s">
        <v>184</v>
      </c>
      <c r="E17154" t="s">
        <v>8</v>
      </c>
      <c r="F17154">
        <v>8.048797607421875</v>
      </c>
    </row>
    <row r="17155" spans="2:6">
      <c r="B17155">
        <v>2018</v>
      </c>
      <c r="C17155" t="s">
        <v>180</v>
      </c>
      <c r="D17155" t="s">
        <v>184</v>
      </c>
      <c r="E17155" t="s">
        <v>9</v>
      </c>
      <c r="F17155">
        <v>0.77538847923278809</v>
      </c>
    </row>
    <row r="17156" spans="2:6">
      <c r="B17156">
        <v>2018</v>
      </c>
      <c r="C17156" t="s">
        <v>180</v>
      </c>
      <c r="D17156" t="s">
        <v>184</v>
      </c>
      <c r="E17156" t="s">
        <v>10</v>
      </c>
      <c r="F17156">
        <v>55.599998474121094</v>
      </c>
    </row>
    <row r="17157" spans="2:6">
      <c r="B17157">
        <v>2018</v>
      </c>
      <c r="C17157" t="s">
        <v>180</v>
      </c>
      <c r="D17157" t="s">
        <v>184</v>
      </c>
      <c r="E17157" t="s">
        <v>11</v>
      </c>
      <c r="F17157">
        <v>0.76267486810684204</v>
      </c>
    </row>
    <row r="17158" spans="2:6">
      <c r="B17158">
        <v>2018</v>
      </c>
      <c r="C17158" t="s">
        <v>180</v>
      </c>
      <c r="D17158" t="s">
        <v>184</v>
      </c>
      <c r="E17158" t="s">
        <v>12</v>
      </c>
      <c r="F17158">
        <v>-6.8427190184593201E-2</v>
      </c>
    </row>
    <row r="17159" spans="2:6">
      <c r="B17159">
        <v>2018</v>
      </c>
      <c r="C17159" t="s">
        <v>180</v>
      </c>
      <c r="D17159" t="s">
        <v>184</v>
      </c>
      <c r="E17159" t="s">
        <v>13</v>
      </c>
      <c r="F17159">
        <v>0.84420865774154663</v>
      </c>
    </row>
    <row r="17160" spans="2:6">
      <c r="B17160">
        <v>2018</v>
      </c>
      <c r="C17160" t="s">
        <v>180</v>
      </c>
      <c r="D17160" t="s">
        <v>184</v>
      </c>
      <c r="E17160" t="s">
        <v>14</v>
      </c>
      <c r="F17160">
        <v>0.71011865139007568</v>
      </c>
    </row>
    <row r="17161" spans="2:6">
      <c r="B17161">
        <v>2018</v>
      </c>
      <c r="C17161" t="s">
        <v>180</v>
      </c>
      <c r="D17161" t="s">
        <v>184</v>
      </c>
      <c r="E17161" t="s">
        <v>15</v>
      </c>
      <c r="F17161">
        <v>0.21172584593296051</v>
      </c>
    </row>
    <row r="17162" spans="2:6">
      <c r="B17162">
        <v>2019</v>
      </c>
      <c r="C17162" t="s">
        <v>180</v>
      </c>
      <c r="D17162" t="s">
        <v>184</v>
      </c>
      <c r="E17162" t="s">
        <v>7</v>
      </c>
      <c r="F17162">
        <v>2.6935231685638428</v>
      </c>
    </row>
    <row r="17163" spans="2:6">
      <c r="B17163">
        <v>2019</v>
      </c>
      <c r="C17163" t="s">
        <v>180</v>
      </c>
      <c r="D17163" t="s">
        <v>184</v>
      </c>
      <c r="E17163" t="s">
        <v>8</v>
      </c>
      <c r="F17163">
        <v>7.950131893157959</v>
      </c>
    </row>
    <row r="17164" spans="2:6">
      <c r="B17164">
        <v>2019</v>
      </c>
      <c r="C17164" t="s">
        <v>180</v>
      </c>
      <c r="D17164" t="s">
        <v>184</v>
      </c>
      <c r="E17164" t="s">
        <v>9</v>
      </c>
      <c r="F17164">
        <v>0.7591623067855835</v>
      </c>
    </row>
    <row r="17165" spans="2:6">
      <c r="B17165">
        <v>2019</v>
      </c>
      <c r="C17165" t="s">
        <v>180</v>
      </c>
      <c r="D17165" t="s">
        <v>184</v>
      </c>
      <c r="E17165" t="s">
        <v>10</v>
      </c>
      <c r="F17165">
        <v>56.200000762939453</v>
      </c>
    </row>
    <row r="17166" spans="2:6">
      <c r="B17166">
        <v>2019</v>
      </c>
      <c r="C17166" t="s">
        <v>180</v>
      </c>
      <c r="D17166" t="s">
        <v>184</v>
      </c>
      <c r="E17166" t="s">
        <v>11</v>
      </c>
      <c r="F17166">
        <v>0.63190758228302002</v>
      </c>
    </row>
    <row r="17167" spans="2:6">
      <c r="B17167">
        <v>2019</v>
      </c>
      <c r="C17167" t="s">
        <v>180</v>
      </c>
      <c r="D17167" t="s">
        <v>184</v>
      </c>
      <c r="E17167" t="s">
        <v>12</v>
      </c>
      <c r="F17167">
        <v>-6.3790693879127502E-2</v>
      </c>
    </row>
    <row r="17168" spans="2:6">
      <c r="B17168">
        <v>2019</v>
      </c>
      <c r="C17168" t="s">
        <v>180</v>
      </c>
      <c r="D17168" t="s">
        <v>184</v>
      </c>
      <c r="E17168" t="s">
        <v>13</v>
      </c>
      <c r="F17168">
        <v>0.83065187931060791</v>
      </c>
    </row>
    <row r="17169" spans="2:6">
      <c r="B17169">
        <v>2019</v>
      </c>
      <c r="C17169" t="s">
        <v>180</v>
      </c>
      <c r="D17169" t="s">
        <v>184</v>
      </c>
      <c r="E17169" t="s">
        <v>14</v>
      </c>
      <c r="F17169">
        <v>0.71600377559661865</v>
      </c>
    </row>
    <row r="17170" spans="2:6">
      <c r="B17170">
        <v>2019</v>
      </c>
      <c r="C17170" t="s">
        <v>180</v>
      </c>
      <c r="D17170" t="s">
        <v>184</v>
      </c>
      <c r="E17170" t="s">
        <v>15</v>
      </c>
      <c r="F17170">
        <v>0.23535433411598206</v>
      </c>
    </row>
    <row r="17171" spans="2:6">
      <c r="B17171">
        <v>2020</v>
      </c>
      <c r="C17171" t="s">
        <v>180</v>
      </c>
      <c r="D17171" t="s">
        <v>184</v>
      </c>
      <c r="E17171" t="s">
        <v>7</v>
      </c>
      <c r="F17171">
        <v>3.1598021984100342</v>
      </c>
    </row>
    <row r="17172" spans="2:6">
      <c r="B17172">
        <v>2020</v>
      </c>
      <c r="C17172" t="s">
        <v>180</v>
      </c>
      <c r="D17172" t="s">
        <v>184</v>
      </c>
      <c r="E17172" t="s">
        <v>8</v>
      </c>
      <c r="F17172">
        <v>7.8287568092346191</v>
      </c>
    </row>
    <row r="17173" spans="2:6">
      <c r="B17173">
        <v>2020</v>
      </c>
      <c r="C17173" t="s">
        <v>180</v>
      </c>
      <c r="D17173" t="s">
        <v>184</v>
      </c>
      <c r="E17173" t="s">
        <v>9</v>
      </c>
      <c r="F17173">
        <v>0.71724265813827515</v>
      </c>
    </row>
    <row r="17174" spans="2:6">
      <c r="B17174">
        <v>2020</v>
      </c>
      <c r="C17174" t="s">
        <v>180</v>
      </c>
      <c r="D17174" t="s">
        <v>184</v>
      </c>
      <c r="E17174" t="s">
        <v>10</v>
      </c>
      <c r="F17174">
        <v>56.799999237060547</v>
      </c>
    </row>
    <row r="17175" spans="2:6">
      <c r="B17175">
        <v>2020</v>
      </c>
      <c r="C17175" t="s">
        <v>180</v>
      </c>
      <c r="D17175" t="s">
        <v>184</v>
      </c>
      <c r="E17175" t="s">
        <v>11</v>
      </c>
      <c r="F17175">
        <v>0.64330297708511353</v>
      </c>
    </row>
    <row r="17176" spans="2:6">
      <c r="B17176">
        <v>2020</v>
      </c>
      <c r="C17176" t="s">
        <v>180</v>
      </c>
      <c r="D17176" t="s">
        <v>184</v>
      </c>
      <c r="E17176" t="s">
        <v>12</v>
      </c>
      <c r="F17176">
        <v>-8.6957644671201706E-3</v>
      </c>
    </row>
    <row r="17177" spans="2:6">
      <c r="B17177">
        <v>2020</v>
      </c>
      <c r="C17177" t="s">
        <v>180</v>
      </c>
      <c r="D17177" t="s">
        <v>184</v>
      </c>
      <c r="E17177" t="s">
        <v>13</v>
      </c>
      <c r="F17177">
        <v>0.78852277994155884</v>
      </c>
    </row>
    <row r="17178" spans="2:6">
      <c r="B17178">
        <v>2020</v>
      </c>
      <c r="C17178" t="s">
        <v>180</v>
      </c>
      <c r="D17178" t="s">
        <v>184</v>
      </c>
      <c r="E17178" t="s">
        <v>14</v>
      </c>
      <c r="F17178">
        <v>0.70257276296615601</v>
      </c>
    </row>
    <row r="17179" spans="2:6">
      <c r="B17179">
        <v>2020</v>
      </c>
      <c r="C17179" t="s">
        <v>180</v>
      </c>
      <c r="D17179" t="s">
        <v>184</v>
      </c>
      <c r="E17179" t="s">
        <v>15</v>
      </c>
      <c r="F17179">
        <v>0.34573638439178467</v>
      </c>
    </row>
    <row r="17180" spans="2:6"/>
    <row r="17181" spans="2:6"/>
    <row r="17182" spans="2:6"/>
    <row r="17183" spans="2:6"/>
    <row r="17184" spans="2:6"/>
    <row r="17185"/>
    <row r="17186"/>
    <row r="17187"/>
    <row r="17188"/>
    <row r="17189"/>
    <row r="17190"/>
  </sheetData>
  <hyperlinks>
    <hyperlink ref="L58" r:id="rId5" xr:uid="{6E6DC0B5-260B-496D-B3FC-93C363996939}"/>
    <hyperlink ref="L60" r:id="rId6" xr:uid="{341FC848-27F2-492D-913B-883529F696E5}"/>
    <hyperlink ref="L62" r:id="rId7" xr:uid="{ED43076F-EAE6-4B22-8B0E-0606761A1C92}"/>
    <hyperlink ref="L66" r:id="rId8" xr:uid="{5D428877-4017-4D79-9BB3-1BE8ECCE3A41}"/>
    <hyperlink ref="L68" r:id="rId9" xr:uid="{1263247A-18DF-42A2-8DF1-409984A1396C}"/>
    <hyperlink ref="L70" r:id="rId10" xr:uid="{83BDC01D-0ABF-4D30-84A6-734379322986}"/>
  </hyperlinks>
  <pageMargins left="0.7" right="0.7" top="0.75" bottom="0.75" header="0.3" footer="0.3"/>
  <pageSetup orientation="portrait" horizontalDpi="4294967293" verticalDpi="0" r:id="rId11"/>
  <ignoredErrors>
    <ignoredError sqref="L37" formula="1"/>
  </ignoredErrors>
  <drawing r:id="rId12"/>
  <legacyDrawing r:id="rId13"/>
  <mc:AlternateContent xmlns:mc="http://schemas.openxmlformats.org/markup-compatibility/2006">
    <mc:Choice Requires="x14">
      <controls>
        <mc:AlternateContent xmlns:mc="http://schemas.openxmlformats.org/markup-compatibility/2006">
          <mc:Choice Requires="x14">
            <control shapeId="1026" r:id="rId14" name="List Box 2">
              <controlPr defaultSize="0" autoLine="0" autoPict="0">
                <anchor moveWithCells="1">
                  <from>
                    <xdr:col>32</xdr:col>
                    <xdr:colOff>38100</xdr:colOff>
                    <xdr:row>36</xdr:row>
                    <xdr:rowOff>76200</xdr:rowOff>
                  </from>
                  <to>
                    <xdr:col>34</xdr:col>
                    <xdr:colOff>91440</xdr:colOff>
                    <xdr:row>46</xdr:row>
                    <xdr:rowOff>106680</xdr:rowOff>
                  </to>
                </anchor>
              </controlPr>
            </control>
          </mc:Choice>
        </mc:AlternateContent>
      </controls>
    </mc:Choice>
  </mc:AlternateContent>
  <tableParts count="1">
    <tablePart r:id="rId15"/>
  </tableParts>
  <extLst>
    <ext xmlns:x14="http://schemas.microsoft.com/office/spreadsheetml/2009/9/main" uri="{A8765BA9-456A-4dab-B4F3-ACF838C121DE}">
      <x14:slicerList>
        <x14:slicer r:id="rId1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D3B82-BB0A-4723-ACDE-E966855B3688}">
  <sheetPr codeName="Sheet2"/>
  <dimension ref="A1:L34"/>
  <sheetViews>
    <sheetView showGridLines="0" tabSelected="1" zoomScale="80" zoomScaleNormal="80" workbookViewId="0"/>
  </sheetViews>
  <sheetFormatPr defaultColWidth="0" defaultRowHeight="14.4" customHeight="1" zeroHeight="1"/>
  <cols>
    <col min="1" max="2" width="14.85546875" style="1" customWidth="1"/>
    <col min="3" max="3" width="8.7109375" style="1" customWidth="1"/>
    <col min="4" max="12" width="14.85546875" style="1" customWidth="1"/>
    <col min="13" max="16384" width="14.85546875" style="1" hidden="1"/>
  </cols>
  <sheetData>
    <row r="1" s="1" customFormat="1" ht="14.4" customHeight="1"/>
    <row r="2" s="1" customFormat="1" ht="14.4" customHeight="1"/>
    <row r="3" s="1" customFormat="1" ht="14.4" customHeight="1"/>
    <row r="4" s="1" customFormat="1"/>
    <row r="5" s="1" customFormat="1"/>
    <row r="6" s="1" customFormat="1"/>
    <row r="7" s="1" customFormat="1"/>
    <row r="8" s="1" customFormat="1"/>
    <row r="9" s="1" customFormat="1"/>
    <row r="10" s="1" customFormat="1"/>
    <row r="11" s="1" customFormat="1"/>
    <row r="12" s="1" customFormat="1"/>
    <row r="13" s="1" customFormat="1"/>
    <row r="14" s="1" customFormat="1"/>
    <row r="15" s="1" customFormat="1"/>
    <row r="16" s="1" customFormat="1"/>
    <row r="17" spans="6:7"/>
    <row r="18" spans="6:7"/>
    <row r="19" spans="6:7"/>
    <row r="20" spans="6:7"/>
    <row r="21" spans="6:7"/>
    <row r="22" spans="6:7"/>
    <row r="23" spans="6:7"/>
    <row r="24" spans="6:7"/>
    <row r="25" spans="6:7"/>
    <row r="26" spans="6:7"/>
    <row r="27" spans="6:7"/>
    <row r="28" spans="6:7"/>
    <row r="29" spans="6:7">
      <c r="F29" s="2" t="s">
        <v>0</v>
      </c>
      <c r="G29" s="3" t="s">
        <v>1</v>
      </c>
    </row>
    <row r="30" spans="6:7">
      <c r="F30" s="2"/>
      <c r="G30" s="3"/>
    </row>
    <row r="31" spans="6:7">
      <c r="F31" s="2"/>
      <c r="G31" s="4"/>
    </row>
    <row r="32" spans="6:7">
      <c r="F32" s="2"/>
      <c r="G32" s="5"/>
    </row>
    <row r="33" spans="6:7">
      <c r="F33" s="2"/>
      <c r="G33" s="6"/>
    </row>
    <row r="34" spans="6:7"/>
  </sheetData>
  <hyperlinks>
    <hyperlink ref="G29" r:id="rId1" display="https://www.linkedin.com/in/ca-bc" xr:uid="{27241813-A17A-4C22-8014-AA8BB3EAA628}"/>
  </hyperlinks>
  <pageMargins left="0.7" right="0.7" top="0.75" bottom="0.75" header="0.3" footer="0.3"/>
  <pageSetup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example</vt:lpstr>
      <vt:lpstr>thank you!</vt:lpstr>
    </vt:vector>
  </TitlesOfParts>
  <Company>xlor.la</Company>
  <LinksUpToDate>false</LinksUpToDate>
  <SharedDoc>false</SharedDoc>
  <HyperlinkBase>https://www.linkedin.com/in/merod/</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Excel Charts with Dynamic Arrays</dc:subject>
  <dc:creator>cabc</dc:creator>
  <cp:lastModifiedBy>Carlos Barboza</cp:lastModifiedBy>
  <dcterms:created xsi:type="dcterms:W3CDTF">2021-04-16T01:17:48Z</dcterms:created>
  <dcterms:modified xsi:type="dcterms:W3CDTF">2023-01-22T21:23:00Z</dcterms:modified>
  <cp:category>Charting</cp:category>
  <cp:contentStatus>completed</cp:contentStatus>
</cp:coreProperties>
</file>