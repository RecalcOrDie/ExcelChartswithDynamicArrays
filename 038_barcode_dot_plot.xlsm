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cabc\OneDrive\xlor.la\01._xlorla_courses\01._excel_basico\09._graficas_avanzadas\04._published\"/>
    </mc:Choice>
  </mc:AlternateContent>
  <xr:revisionPtr revIDLastSave="0" documentId="13_ncr:1_{449EBD4F-9322-4983-92BE-AD00173A796F}" xr6:coauthVersionLast="47" xr6:coauthVersionMax="47" xr10:uidLastSave="{00000000-0000-0000-0000-000000000000}"/>
  <bookViews>
    <workbookView xWindow="-96" yWindow="-96" windowWidth="23232" windowHeight="13872" activeTab="2" xr2:uid="{34B87F71-98EA-4DA2-9FEA-F8F5A6F8DF02}"/>
  </bookViews>
  <sheets>
    <sheet name="inspiration" sheetId="7" r:id="rId1"/>
    <sheet name="example" sheetId="4" r:id="rId2"/>
    <sheet name="thank you!" sheetId="1" r:id="rId3"/>
  </sheets>
  <functionGroups builtInGroupCount="19"/>
  <definedNames>
    <definedName name="_02_continent_slicer">#N/A</definedName>
    <definedName name="_03_region_slicer">#N/A</definedName>
    <definedName name="_04_x_values">_xlfn.ANCHORARRAY(example!$W$12)</definedName>
    <definedName name="_05_y_values">_xlfn.ANCHORARRAY(example!$X$12)</definedName>
    <definedName name="_06_x_axis">_xlfn.ANCHORARRAY(example!$Y$12)</definedName>
    <definedName name="_07_y_axis">_xlfn.ANCHORARRAY(example!$Z$12)</definedName>
    <definedName name="_08_major_units_slicer">#N/A</definedName>
    <definedName name="_09_highlight_continents">_xlfn.ANCHORARRAY(example!$Q$63)</definedName>
    <definedName name="_10_highlight_region">_xlfn.ANCHORARRAY(example!$R$63)</definedName>
    <definedName name="_11_highlight_country">_xlfn.ANCHORARRAY(example!$S$63)</definedName>
    <definedName name="_12_x_highlighted">_xlfn.ANCHORARRAY(example!$AB$12)</definedName>
    <definedName name="_13_y_highlighted">_xlfn.ANCHORARRAY(example!$AC$12)</definedName>
    <definedName name="_14_highlight_country">_xlfn.ANCHORARRAY(example!$AD$12)</definedName>
    <definedName name="_xlpm.Array2" hidden="1" xlm="1">#NAME?</definedName>
    <definedName name="_xlpm.c" hidden="1" xlm="1">#NAME?</definedName>
    <definedName name="_xlpm.co" hidden="1" xlm="1">#NAME?</definedName>
    <definedName name="_xlpm.con" hidden="1" xlm="1">#NAME?</definedName>
    <definedName name="_xlpm.conu" hidden="1" xlm="1">#NAME?</definedName>
    <definedName name="_xlpm.cou" hidden="1" xlm="1">#NAME?</definedName>
    <definedName name="_xlpm.coun" hidden="1" xlm="1">#NAME?</definedName>
    <definedName name="_xlpm.count" hidden="1" xlm="1">#NAME?</definedName>
    <definedName name="_xlpm.countr" hidden="1" xlm="1">#NAME?</definedName>
    <definedName name="_xlpm.countri" hidden="1" xlm="1">#NAME?</definedName>
    <definedName name="_xlpm.countrie" hidden="1" xlm="1">#NAME?</definedName>
    <definedName name="_xlpm.countries" hidden="1" xlm="1">#NAME?</definedName>
    <definedName name="_xlpm.h" hidden="1" xlm="1">#NAME?</definedName>
    <definedName name="_xlpm.hi" hidden="1" xlm="1">#NAME?</definedName>
    <definedName name="_xlpm.hig" hidden="1" xlm="1">#NAME?</definedName>
    <definedName name="_xlpm.high" hidden="1" xlm="1">#NAME?</definedName>
    <definedName name="_xlpm.highl" hidden="1" xlm="1">#NAME?</definedName>
    <definedName name="_xlpm.highli" hidden="1" xlm="1">#NAME?</definedName>
    <definedName name="_xlpm.highlig" hidden="1" xlm="1">#NAME?</definedName>
    <definedName name="_xlpm.highligh" hidden="1" xlm="1">#NAME?</definedName>
    <definedName name="_xlpm.highlight" hidden="1" xlm="1">#NAME?</definedName>
    <definedName name="_xlpm.highlighte" hidden="1" xlm="1">#NAME?</definedName>
    <definedName name="_xlpm.highlighted" hidden="1" xlm="1">#NAME?</definedName>
    <definedName name="_xlpm.highlightedc" hidden="1" xlm="1">#NAME?</definedName>
    <definedName name="_xlpm.highlightedco" hidden="1" xlm="1">#NAME?</definedName>
    <definedName name="_xlpm.highlightedcou" hidden="1" xlm="1">#NAME?</definedName>
    <definedName name="_xlpm.highlightedcoun" hidden="1" xlm="1">#NAME?</definedName>
    <definedName name="_xlpm.highlightedcount" hidden="1" xlm="1">#NAME?</definedName>
    <definedName name="_xlpm.highlightedcountr" hidden="1" xlm="1">#NAME?</definedName>
    <definedName name="_xlpm.highlightedcountri" hidden="1" xlm="1">#NAME?</definedName>
    <definedName name="_xlpm.highlightedcountrie" hidden="1" xlm="1">#NAME?</definedName>
    <definedName name="_xlpm.highlightedcountries" hidden="1" xlm="1">#NAME?</definedName>
    <definedName name="_xlpm.highlih" hidden="1" xlm="1">#NAME?</definedName>
    <definedName name="_xlpm.highliht" hidden="1" xlm="1">#NAME?</definedName>
    <definedName name="_xlpm.highlihte" hidden="1" xlm="1">#NAME?</definedName>
    <definedName name="_xlpm.highlihted" hidden="1" xlm="1">#NAME?</definedName>
    <definedName name="_xlpm.regions" hidden="1" xlm="1">#NAME?</definedName>
    <definedName name="_xlpm.Rows" hidden="1" xlm="1">#NAME?</definedName>
    <definedName name="_xlpm.Rows2" hidden="1" xlm="1">#NAME?</definedName>
    <definedName name="_xlpm.S" hidden="1" xlm="1">#NAME?</definedName>
    <definedName name="_xlpm.SU" hidden="1" xlm="1">#NAME?</definedName>
    <definedName name="_xlpm.SUL" hidden="1" xlm="1">#NAME?</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3" i="4" l="1" a="1"/>
  <c r="Q63" i="4" s="1"/>
  <c r="Q59" i="4" l="1" a="1"/>
  <c r="Q59" i="4" s="1"/>
  <c r="R14" i="4"/>
  <c r="V12" i="4" a="1"/>
  <c r="V12" i="4" s="1"/>
  <c r="R63" i="4" l="1" a="1"/>
  <c r="R63" i="4" s="1"/>
  <c r="R59" i="4" s="1" a="1"/>
  <c r="R59" i="4" s="1"/>
  <c r="X12" i="4" a="1"/>
  <c r="X12" i="4" s="1"/>
  <c r="S63" i="4" l="1" a="1"/>
  <c r="S63" i="4" s="1"/>
  <c r="S59" i="4" s="1" a="1"/>
  <c r="S59" i="4" s="1"/>
  <c r="AA12" i="4" s="1" a="1"/>
  <c r="AA12" i="4" s="1"/>
  <c r="AD12" i="4" s="1" a="1"/>
  <c r="AD12" i="4" s="1"/>
  <c r="S13" i="4"/>
  <c r="Z12" i="4" s="1" a="1"/>
  <c r="Z12" i="4" s="1"/>
  <c r="S12" i="4"/>
  <c r="W12" i="4" a="1"/>
  <c r="W12" i="4" s="1"/>
  <c r="S18" i="4" a="1"/>
  <c r="S17" i="4" a="1"/>
  <c r="Q52" i="4" l="1" a="1"/>
  <c r="Q52" i="4" s="1"/>
  <c r="AC12" i="4" a="1"/>
  <c r="AC12" i="4" s="1"/>
  <c r="AB12" i="4" a="1"/>
  <c r="AB12" i="4" s="1"/>
  <c r="R13" i="4"/>
  <c r="Y12" i="4" s="1" a="1"/>
  <c r="Y12" i="4" s="1"/>
  <c r="S17" i="4"/>
  <c r="S18" i="4"/>
  <c r="R18" i="4" a="1"/>
  <c r="R17" i="4" a="1"/>
  <c r="S52" i="4" l="1" a="1"/>
  <c r="S52" i="4" s="1"/>
  <c r="R52" i="4" a="1"/>
  <c r="R52" i="4" s="1"/>
  <c r="R18" i="4"/>
  <c r="R1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<sst xmlns="http://schemas.openxmlformats.org/spreadsheetml/2006/main" count="1353" uniqueCount="420">
  <si>
    <t>By Jorge Camões:</t>
  </si>
  <si>
    <t>https://www.linkedin.com/in/camoesjo/</t>
  </si>
  <si>
    <t>(Obrigado amigo)</t>
  </si>
  <si>
    <t>if highlight selected</t>
  </si>
  <si>
    <t>locate:</t>
  </si>
  <si>
    <t>code</t>
  </si>
  <si>
    <t>country</t>
  </si>
  <si>
    <t>continent</t>
  </si>
  <si>
    <t>region</t>
  </si>
  <si>
    <t>x_values</t>
  </si>
  <si>
    <t>y_values</t>
  </si>
  <si>
    <t>x axis</t>
  </si>
  <si>
    <t>y axis</t>
  </si>
  <si>
    <t>countries</t>
  </si>
  <si>
    <t>x_axis</t>
  </si>
  <si>
    <t>y_axis</t>
  </si>
  <si>
    <t>x_highlighted</t>
  </si>
  <si>
    <t>y_highlighted</t>
  </si>
  <si>
    <t>AFG</t>
  </si>
  <si>
    <t>Afghanistan</t>
  </si>
  <si>
    <t>Asia</t>
  </si>
  <si>
    <t>Southern Asia</t>
  </si>
  <si>
    <t>Africa</t>
  </si>
  <si>
    <t>Caribbean</t>
  </si>
  <si>
    <t/>
  </si>
  <si>
    <t>mix</t>
  </si>
  <si>
    <t>AGO</t>
  </si>
  <si>
    <t>Angola</t>
  </si>
  <si>
    <t>Middle Africa</t>
  </si>
  <si>
    <t>Americas</t>
  </si>
  <si>
    <t>Central America</t>
  </si>
  <si>
    <t>Albania</t>
  </si>
  <si>
    <t>max</t>
  </si>
  <si>
    <t>ALB</t>
  </si>
  <si>
    <t>Europe</t>
  </si>
  <si>
    <t>Eastern Europe</t>
  </si>
  <si>
    <t>Central Asia</t>
  </si>
  <si>
    <t>Algeria</t>
  </si>
  <si>
    <t>major</t>
  </si>
  <si>
    <t>AND</t>
  </si>
  <si>
    <t>Andorra</t>
  </si>
  <si>
    <t>Western Europe</t>
  </si>
  <si>
    <t>Eastern Africa</t>
  </si>
  <si>
    <t>minor</t>
  </si>
  <si>
    <t>ARG</t>
  </si>
  <si>
    <t>Argentina</t>
  </si>
  <si>
    <t>South America</t>
  </si>
  <si>
    <t>Oceania</t>
  </si>
  <si>
    <t>Eastern Asia</t>
  </si>
  <si>
    <t>ARM</t>
  </si>
  <si>
    <t>Armenia</t>
  </si>
  <si>
    <t>Western Asia</t>
  </si>
  <si>
    <t>Antigua and Barbuda</t>
  </si>
  <si>
    <t>primary</t>
  </si>
  <si>
    <t>ATG</t>
  </si>
  <si>
    <t>North America</t>
  </si>
  <si>
    <t>secondary</t>
  </si>
  <si>
    <t>AUS</t>
  </si>
  <si>
    <t>Australia</t>
  </si>
  <si>
    <t>AUT</t>
  </si>
  <si>
    <t>Austria</t>
  </si>
  <si>
    <t>Northern Africa</t>
  </si>
  <si>
    <t>units</t>
  </si>
  <si>
    <t>AZE</t>
  </si>
  <si>
    <t>Azerbaijan</t>
  </si>
  <si>
    <t>BDI</t>
  </si>
  <si>
    <t>Burundi</t>
  </si>
  <si>
    <t>BEL</t>
  </si>
  <si>
    <t>Belgium</t>
  </si>
  <si>
    <t>South-Eastern Asia</t>
  </si>
  <si>
    <t>Bahamas (the)</t>
  </si>
  <si>
    <t>BEN</t>
  </si>
  <si>
    <t>Benin</t>
  </si>
  <si>
    <t>Western Africa</t>
  </si>
  <si>
    <t>Southern Africa</t>
  </si>
  <si>
    <t>Bahrain</t>
  </si>
  <si>
    <t>BFA</t>
  </si>
  <si>
    <t>Burkina Faso</t>
  </si>
  <si>
    <t>Bangladesh</t>
  </si>
  <si>
    <t>BGD</t>
  </si>
  <si>
    <t>Barbados</t>
  </si>
  <si>
    <t>BGR</t>
  </si>
  <si>
    <t>Bulgaria</t>
  </si>
  <si>
    <t>Belarus</t>
  </si>
  <si>
    <t>BHR</t>
  </si>
  <si>
    <t>BHS</t>
  </si>
  <si>
    <t>Belize</t>
  </si>
  <si>
    <t>BIH</t>
  </si>
  <si>
    <t>Bosnia and Herzegovina</t>
  </si>
  <si>
    <t>BLR</t>
  </si>
  <si>
    <t>Bhutan</t>
  </si>
  <si>
    <t>BLZ</t>
  </si>
  <si>
    <t>Bolivia (Plurinational State of)</t>
  </si>
  <si>
    <t>BOL</t>
  </si>
  <si>
    <t>BRA</t>
  </si>
  <si>
    <t>Brazil</t>
  </si>
  <si>
    <t>Botswana</t>
  </si>
  <si>
    <t>BRB</t>
  </si>
  <si>
    <t>Link to Mark Proctor's UDF:</t>
  </si>
  <si>
    <t>BTN</t>
  </si>
  <si>
    <t>https://exceloffthegrid.com/chart-axis-min-mix/</t>
  </si>
  <si>
    <t>BWA</t>
  </si>
  <si>
    <t>CAF</t>
  </si>
  <si>
    <t>Central African Republic (the)</t>
  </si>
  <si>
    <t>Link to Jon Peltier's UDF:</t>
  </si>
  <si>
    <t>CAN</t>
  </si>
  <si>
    <t>Canada</t>
  </si>
  <si>
    <t>Cabo Verde</t>
  </si>
  <si>
    <t>https://peltiertech.com/chart-udf-control-axis-scale/</t>
  </si>
  <si>
    <t>CHE</t>
  </si>
  <si>
    <t>Switzerland</t>
  </si>
  <si>
    <t>Cambodia</t>
  </si>
  <si>
    <t>CHL</t>
  </si>
  <si>
    <t>Chile</t>
  </si>
  <si>
    <t>Cameroon</t>
  </si>
  <si>
    <t>CHN</t>
  </si>
  <si>
    <t>China</t>
  </si>
  <si>
    <t>CIV</t>
  </si>
  <si>
    <t>Côte d'Ivoire</t>
  </si>
  <si>
    <t>CMR</t>
  </si>
  <si>
    <t>Chad</t>
  </si>
  <si>
    <t>COD</t>
  </si>
  <si>
    <t>Congo (the Democratic Republic of the)</t>
  </si>
  <si>
    <t>COG</t>
  </si>
  <si>
    <t>Congo (the)</t>
  </si>
  <si>
    <t>COL</t>
  </si>
  <si>
    <t>Colombia</t>
  </si>
  <si>
    <t>COM</t>
  </si>
  <si>
    <t>Comoros (the)</t>
  </si>
  <si>
    <t>CPV</t>
  </si>
  <si>
    <t>CRI</t>
  </si>
  <si>
    <t>Costa Rica</t>
  </si>
  <si>
    <t>Parameter:</t>
  </si>
  <si>
    <t>CUB</t>
  </si>
  <si>
    <t>Cuba</t>
  </si>
  <si>
    <t>country:</t>
  </si>
  <si>
    <t>X</t>
  </si>
  <si>
    <t>Y</t>
  </si>
  <si>
    <t>CYP</t>
  </si>
  <si>
    <t>Cyprus</t>
  </si>
  <si>
    <t>CZE</t>
  </si>
  <si>
    <t>Czechia</t>
  </si>
  <si>
    <t>Croatia</t>
  </si>
  <si>
    <t>DEU</t>
  </si>
  <si>
    <t>Germany</t>
  </si>
  <si>
    <t>DJI</t>
  </si>
  <si>
    <t>Djibouti</t>
  </si>
  <si>
    <t>parameter for option buttons</t>
  </si>
  <si>
    <t>DMA</t>
  </si>
  <si>
    <t>Dominica</t>
  </si>
  <si>
    <t>DNK</t>
  </si>
  <si>
    <t>Denmark</t>
  </si>
  <si>
    <t>parameters for list boxes</t>
  </si>
  <si>
    <t>DOM</t>
  </si>
  <si>
    <t>Dominican Republic (the)</t>
  </si>
  <si>
    <t>DZA</t>
  </si>
  <si>
    <t>ECU</t>
  </si>
  <si>
    <t>Ecuador</t>
  </si>
  <si>
    <t>EGY</t>
  </si>
  <si>
    <t>Egypt</t>
  </si>
  <si>
    <t>dynamic ranges for list boxes</t>
  </si>
  <si>
    <t>ERI</t>
  </si>
  <si>
    <t>Eritrea</t>
  </si>
  <si>
    <t>ESP</t>
  </si>
  <si>
    <t>Spain</t>
  </si>
  <si>
    <t>El Salvador</t>
  </si>
  <si>
    <t>EST</t>
  </si>
  <si>
    <t>Estonia</t>
  </si>
  <si>
    <t>Equatorial Guinea</t>
  </si>
  <si>
    <t>ETH</t>
  </si>
  <si>
    <t>Ethiopia</t>
  </si>
  <si>
    <t>FIN</t>
  </si>
  <si>
    <t>Finland</t>
  </si>
  <si>
    <t>FJI</t>
  </si>
  <si>
    <t>Fiji</t>
  </si>
  <si>
    <t>Eswatini</t>
  </si>
  <si>
    <t>FRA</t>
  </si>
  <si>
    <t>France</t>
  </si>
  <si>
    <t>FSM</t>
  </si>
  <si>
    <t>Micronesia (Federated States of)</t>
  </si>
  <si>
    <t>GAB</t>
  </si>
  <si>
    <t>Gabon</t>
  </si>
  <si>
    <t>GBR</t>
  </si>
  <si>
    <t>United Kingdom of Great Britain and Northern Ireland (the)</t>
  </si>
  <si>
    <t>GEO</t>
  </si>
  <si>
    <t>Georgia</t>
  </si>
  <si>
    <t>GHA</t>
  </si>
  <si>
    <t>Ghana</t>
  </si>
  <si>
    <t>Gambia (the)</t>
  </si>
  <si>
    <t>GIN</t>
  </si>
  <si>
    <t>Guinea</t>
  </si>
  <si>
    <t>GMB</t>
  </si>
  <si>
    <t>GNB</t>
  </si>
  <si>
    <t>Guinea-Bissau</t>
  </si>
  <si>
    <t>GNQ</t>
  </si>
  <si>
    <t>Greece</t>
  </si>
  <si>
    <t>GRC</t>
  </si>
  <si>
    <t>Grenada</t>
  </si>
  <si>
    <t>GRD</t>
  </si>
  <si>
    <t>Guatemala</t>
  </si>
  <si>
    <t>GTM</t>
  </si>
  <si>
    <t>GUY</t>
  </si>
  <si>
    <t>Guyana</t>
  </si>
  <si>
    <t>HKG</t>
  </si>
  <si>
    <t>Hong Kong</t>
  </si>
  <si>
    <t>HND</t>
  </si>
  <si>
    <t>Honduras</t>
  </si>
  <si>
    <t>Haiti</t>
  </si>
  <si>
    <t>HRV</t>
  </si>
  <si>
    <t>HTI</t>
  </si>
  <si>
    <t>HUN</t>
  </si>
  <si>
    <t>Hungary</t>
  </si>
  <si>
    <t>IDN</t>
  </si>
  <si>
    <t>Indonesia</t>
  </si>
  <si>
    <t>Iceland</t>
  </si>
  <si>
    <t>IND</t>
  </si>
  <si>
    <t>India</t>
  </si>
  <si>
    <t>IRL</t>
  </si>
  <si>
    <t>Ireland</t>
  </si>
  <si>
    <t>IRN</t>
  </si>
  <si>
    <t>Iran (Islamic Republic of)</t>
  </si>
  <si>
    <t>IRQ</t>
  </si>
  <si>
    <t>Iraq</t>
  </si>
  <si>
    <t>ISL</t>
  </si>
  <si>
    <t>ISR</t>
  </si>
  <si>
    <t>Israel</t>
  </si>
  <si>
    <t>ITA</t>
  </si>
  <si>
    <t>Italy</t>
  </si>
  <si>
    <t>JAM</t>
  </si>
  <si>
    <t>Jamaica</t>
  </si>
  <si>
    <t>JOR</t>
  </si>
  <si>
    <t>Jordan</t>
  </si>
  <si>
    <t>Japan</t>
  </si>
  <si>
    <t>JPN</t>
  </si>
  <si>
    <t>KAZ</t>
  </si>
  <si>
    <t>Kazakhstan</t>
  </si>
  <si>
    <t>KEN</t>
  </si>
  <si>
    <t>Kenya</t>
  </si>
  <si>
    <t>KGZ</t>
  </si>
  <si>
    <t>Kyrgyzstan</t>
  </si>
  <si>
    <t>Kiribati</t>
  </si>
  <si>
    <t>KHM</t>
  </si>
  <si>
    <t>Korea (the Democratic People's Republic of)</t>
  </si>
  <si>
    <t>KIR</t>
  </si>
  <si>
    <t>Korea (the Republic of)</t>
  </si>
  <si>
    <t>KOR</t>
  </si>
  <si>
    <t>LAO</t>
  </si>
  <si>
    <t>Lao People's Democratic Republic (the)</t>
  </si>
  <si>
    <t>LBN</t>
  </si>
  <si>
    <t>Lebanon</t>
  </si>
  <si>
    <t>Latvia</t>
  </si>
  <si>
    <t>LBR</t>
  </si>
  <si>
    <t>Liberia</t>
  </si>
  <si>
    <t>LBY</t>
  </si>
  <si>
    <t>Libya</t>
  </si>
  <si>
    <t>Lesotho</t>
  </si>
  <si>
    <t>LCA</t>
  </si>
  <si>
    <t>Saint Lucia</t>
  </si>
  <si>
    <t>LKA</t>
  </si>
  <si>
    <t>Sri Lanka</t>
  </si>
  <si>
    <t>LSO</t>
  </si>
  <si>
    <t>Lithuania</t>
  </si>
  <si>
    <t>LTU</t>
  </si>
  <si>
    <t>Madagascar</t>
  </si>
  <si>
    <t>LVA</t>
  </si>
  <si>
    <t>Malawi</t>
  </si>
  <si>
    <t>MAR</t>
  </si>
  <si>
    <t>Morocco</t>
  </si>
  <si>
    <t>Malaysia</t>
  </si>
  <si>
    <t>MDA</t>
  </si>
  <si>
    <t>Moldova (the Republic of)</t>
  </si>
  <si>
    <t>Maldives</t>
  </si>
  <si>
    <t>MDG</t>
  </si>
  <si>
    <t>Mali</t>
  </si>
  <si>
    <t>MDV</t>
  </si>
  <si>
    <t>Malta</t>
  </si>
  <si>
    <t>MEX</t>
  </si>
  <si>
    <t>Mexico</t>
  </si>
  <si>
    <t>Marshall Islands (the)</t>
  </si>
  <si>
    <t>MHL</t>
  </si>
  <si>
    <t>Mauritania</t>
  </si>
  <si>
    <t>MKD</t>
  </si>
  <si>
    <t>Republic of North Macedonia</t>
  </si>
  <si>
    <t>Mauritius</t>
  </si>
  <si>
    <t>MLI</t>
  </si>
  <si>
    <t>MLT</t>
  </si>
  <si>
    <t>MMR</t>
  </si>
  <si>
    <t>Myanmar</t>
  </si>
  <si>
    <t>MNE</t>
  </si>
  <si>
    <t>Montenegro</t>
  </si>
  <si>
    <t>Mongolia</t>
  </si>
  <si>
    <t>MNG</t>
  </si>
  <si>
    <t>MOZ</t>
  </si>
  <si>
    <t>Mozambique</t>
  </si>
  <si>
    <t>MRT</t>
  </si>
  <si>
    <t>MUS</t>
  </si>
  <si>
    <t>MWI</t>
  </si>
  <si>
    <t>Namibia</t>
  </si>
  <si>
    <t>MYS</t>
  </si>
  <si>
    <t>Nepal</t>
  </si>
  <si>
    <t>NAM</t>
  </si>
  <si>
    <t>Netherlands (the)</t>
  </si>
  <si>
    <t>NER</t>
  </si>
  <si>
    <t>Niger (the)</t>
  </si>
  <si>
    <t>New Zealand</t>
  </si>
  <si>
    <t>NGA</t>
  </si>
  <si>
    <t>Nigeria</t>
  </si>
  <si>
    <t>Nicaragua</t>
  </si>
  <si>
    <t>NIC</t>
  </si>
  <si>
    <t>NLD</t>
  </si>
  <si>
    <t>NPL</t>
  </si>
  <si>
    <t>Oman</t>
  </si>
  <si>
    <t>NZL</t>
  </si>
  <si>
    <t>Pakistan</t>
  </si>
  <si>
    <t>OMN</t>
  </si>
  <si>
    <t>Panama</t>
  </si>
  <si>
    <t>PAK</t>
  </si>
  <si>
    <t>Papua New Guinea</t>
  </si>
  <si>
    <t>PAN</t>
  </si>
  <si>
    <t>Paraguay</t>
  </si>
  <si>
    <t>PER</t>
  </si>
  <si>
    <t>Peru</t>
  </si>
  <si>
    <t>PHL</t>
  </si>
  <si>
    <t>Philippines (the)</t>
  </si>
  <si>
    <t>PNG</t>
  </si>
  <si>
    <t>Poland</t>
  </si>
  <si>
    <t>POL</t>
  </si>
  <si>
    <t>Portugal</t>
  </si>
  <si>
    <t>PRK</t>
  </si>
  <si>
    <t>PRT</t>
  </si>
  <si>
    <t>Romania</t>
  </si>
  <si>
    <t>PRY</t>
  </si>
  <si>
    <t>Russian Federation (the)</t>
  </si>
  <si>
    <t>ROU</t>
  </si>
  <si>
    <t>Rwanda</t>
  </si>
  <si>
    <t>RUS</t>
  </si>
  <si>
    <t>RWA</t>
  </si>
  <si>
    <t>Saint Vincent and the Grenadines</t>
  </si>
  <si>
    <t>SAU</t>
  </si>
  <si>
    <t>Saudi Arabia</t>
  </si>
  <si>
    <t>Samoa</t>
  </si>
  <si>
    <t>SDN</t>
  </si>
  <si>
    <t>Sudan (the)</t>
  </si>
  <si>
    <t>Sao Tome and Principe</t>
  </si>
  <si>
    <t>SEN</t>
  </si>
  <si>
    <t>Senegal</t>
  </si>
  <si>
    <t>SLB</t>
  </si>
  <si>
    <t>Solomon Islands</t>
  </si>
  <si>
    <t>SLE</t>
  </si>
  <si>
    <t>Sierra Leone</t>
  </si>
  <si>
    <t>Serbia</t>
  </si>
  <si>
    <t>SLV</t>
  </si>
  <si>
    <t>Seychelles</t>
  </si>
  <si>
    <t>SOM</t>
  </si>
  <si>
    <t>Somalia</t>
  </si>
  <si>
    <t>SRB</t>
  </si>
  <si>
    <t>Slovakia</t>
  </si>
  <si>
    <t>SSD</t>
  </si>
  <si>
    <t>South Sudan</t>
  </si>
  <si>
    <t>Slovenia</t>
  </si>
  <si>
    <t>STP</t>
  </si>
  <si>
    <t>SUR</t>
  </si>
  <si>
    <t>Suriname</t>
  </si>
  <si>
    <t>SVK</t>
  </si>
  <si>
    <t>South Africa</t>
  </si>
  <si>
    <t>SVN</t>
  </si>
  <si>
    <t>SWE</t>
  </si>
  <si>
    <t>Sweden</t>
  </si>
  <si>
    <t>SWZ</t>
  </si>
  <si>
    <t>SYC</t>
  </si>
  <si>
    <t>SYR</t>
  </si>
  <si>
    <t>Syrian Arab Republic</t>
  </si>
  <si>
    <t>TCD</t>
  </si>
  <si>
    <t>TGO</t>
  </si>
  <si>
    <t>Togo</t>
  </si>
  <si>
    <t>THA</t>
  </si>
  <si>
    <t>Thailand</t>
  </si>
  <si>
    <t>TJK</t>
  </si>
  <si>
    <t>Tajikistan</t>
  </si>
  <si>
    <t>TKM</t>
  </si>
  <si>
    <t>Turkmenistan</t>
  </si>
  <si>
    <t>Tanzania, United Republic of</t>
  </si>
  <si>
    <t>TLS</t>
  </si>
  <si>
    <t>Timor-Leste</t>
  </si>
  <si>
    <t>TON</t>
  </si>
  <si>
    <t>Tonga</t>
  </si>
  <si>
    <t>TTO</t>
  </si>
  <si>
    <t>Trinidad and Tobago</t>
  </si>
  <si>
    <t>TUN</t>
  </si>
  <si>
    <t>Tunisia</t>
  </si>
  <si>
    <t>TUR</t>
  </si>
  <si>
    <t>Turkey</t>
  </si>
  <si>
    <t>TZA</t>
  </si>
  <si>
    <t>UGA</t>
  </si>
  <si>
    <t>Uganda</t>
  </si>
  <si>
    <t>UKR</t>
  </si>
  <si>
    <t>Ukraine</t>
  </si>
  <si>
    <t>URY</t>
  </si>
  <si>
    <t>Uruguay</t>
  </si>
  <si>
    <t>USA</t>
  </si>
  <si>
    <t>United States of America (the)</t>
  </si>
  <si>
    <t>UZB</t>
  </si>
  <si>
    <t>Uzbekistan</t>
  </si>
  <si>
    <t>VCT</t>
  </si>
  <si>
    <t>VEN</t>
  </si>
  <si>
    <t>Venezuela (Bolivarian Republic of)</t>
  </si>
  <si>
    <t>VNM</t>
  </si>
  <si>
    <t>Viet Nam</t>
  </si>
  <si>
    <t>VUT</t>
  </si>
  <si>
    <t>Vanuatu</t>
  </si>
  <si>
    <t>WSM</t>
  </si>
  <si>
    <t>YEM</t>
  </si>
  <si>
    <t>Yemen</t>
  </si>
  <si>
    <t>ZAF</t>
  </si>
  <si>
    <t>ZMB</t>
  </si>
  <si>
    <t>Zambia</t>
  </si>
  <si>
    <t>ZWE</t>
  </si>
  <si>
    <t>Zimbabwe</t>
  </si>
  <si>
    <t>LinkedIn:</t>
  </si>
  <si>
    <t>https://www.linkedin.com/in/merod/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</si>
</sst>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8"/>
      <color theme="1"/>
      <name val="Calibri"/>
      <family val="2"/>
      <scheme val="minor"/>
    </font>
    <font>
      <sz val="8"/>
      <color theme="1"/>
      <name val="Body Font"/>
      <family val="2"/>
    </font>
    <font>
      <u/>
      <sz val="8"/>
      <color theme="10"/>
      <name val="Calibri"/>
      <family val="2"/>
      <scheme val="minor"/>
    </font>
    <font>
      <sz val="11"/>
      <color theme="1"/>
      <name val="Calibri"/>
      <family val="2"/>
      <scheme val="minor"/>
    </font>
    <font>
      <u/>
      <sz val="11"/>
      <color theme="10"/>
      <name val="Calibri"/>
      <family val="2"/>
      <scheme val="minor"/>
    </font>
    <font>
      <sz val="11"/>
      <color theme="10"/>
      <name val="Calibri"/>
      <family val="2"/>
      <scheme val="minor"/>
    </font>
    <font>
      <sz val="8"/>
      <color theme="1"/>
      <name val="Arial"/>
      <family val="2"/>
    </font>
    <font>
      <sz val="6"/>
      <color theme="1"/>
      <name val="Calibri"/>
      <family val="2"/>
      <scheme val="minor"/>
    </font>
    <font>
      <i/>
      <sz val="8"/>
      <color theme="1"/>
      <name val="Calibri"/>
      <family val="2"/>
      <scheme val="minor"/>
    </font>
    <font>
      <b/>
      <sz val="8"/>
      <name val="Calibri"/>
      <family val="2"/>
      <scheme val="minor"/>
    </font>
    <font>
      <b/>
      <i/>
      <sz val="8"/>
      <name val="Calibri"/>
      <family val="2"/>
      <scheme val="minor"/>
    </font>
    <font>
      <b/>
      <i/>
      <sz val="8"/>
      <color theme="1"/>
      <name val="Calibri"/>
      <family val="2"/>
      <scheme val="minor"/>
    </font>
    <font>
      <b/>
      <sz val="8"/>
      <color theme="1"/>
      <name val="Calibri"/>
      <family val="2"/>
      <scheme val="minor"/>
    </font>
    <font>
      <sz val="8"/>
      <color rgb="FF000000"/>
      <name val="Segoe UI"/>
      <family val="2"/>
    </font>
  </fonts>
  <fills count="7">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00"/>
        <bgColor indexed="64"/>
      </patternFill>
    </fill>
  </fills>
  <borders count="1">
    <border>
      <left/>
      <right/>
      <top/>
      <bottom/>
      <diagonal/>
    </border>
  </borders>
  <cellStyleXfs count="9">
    <xf numFmtId="0" fontId="0" fillId="0" borderId="0"/>
    <xf numFmtId="0" fontId="3" fillId="0" borderId="0"/>
    <xf numFmtId="0" fontId="4" fillId="0" borderId="0" applyNumberFormat="0" applyFill="0" applyBorder="0" applyAlignment="0" applyProtection="0"/>
    <xf numFmtId="0" fontId="2" fillId="0" borderId="0" applyNumberFormat="0" applyFill="0" applyBorder="0" applyAlignment="0" applyProtection="0"/>
    <xf numFmtId="0" fontId="6" fillId="0" borderId="0"/>
    <xf numFmtId="0" fontId="3" fillId="0" borderId="0"/>
    <xf numFmtId="0" fontId="7" fillId="0" borderId="0"/>
    <xf numFmtId="0" fontId="1" fillId="0" borderId="0"/>
    <xf numFmtId="0" fontId="2" fillId="0" borderId="0" applyNumberFormat="0" applyFill="0" applyBorder="0" applyAlignment="0" applyProtection="0"/>
  </cellStyleXfs>
  <cellXfs count="26">
    <xf numFmtId="0" fontId="0" fillId="0" borderId="0" xfId="0"/>
    <xf numFmtId="0" fontId="3" fillId="0" borderId="0" xfId="1"/>
    <xf numFmtId="0" fontId="3" fillId="0" borderId="0" xfId="1" applyAlignment="1">
      <alignment horizontal="right"/>
    </xf>
    <xf numFmtId="0" fontId="5" fillId="0" borderId="0" xfId="2" applyFont="1"/>
    <xf numFmtId="0" fontId="2" fillId="0" borderId="0" xfId="3"/>
    <xf numFmtId="0" fontId="4" fillId="0" borderId="0" xfId="2"/>
    <xf numFmtId="0" fontId="3" fillId="0" borderId="0" xfId="1" quotePrefix="1"/>
    <xf numFmtId="0" fontId="0" fillId="0" borderId="0" xfId="0" pivotButton="1"/>
    <xf numFmtId="0" fontId="0" fillId="0" borderId="0" xfId="0" applyAlignment="1">
      <alignment horizontal="right"/>
    </xf>
    <xf numFmtId="0" fontId="0" fillId="0" borderId="0" xfId="0" quotePrefix="1"/>
    <xf numFmtId="0" fontId="8" fillId="0" borderId="0" xfId="0" applyFont="1"/>
    <xf numFmtId="0" fontId="0" fillId="2" borderId="0" xfId="0" applyFill="1"/>
    <xf numFmtId="3" fontId="0" fillId="0" borderId="0" xfId="0" applyNumberFormat="1"/>
    <xf numFmtId="0" fontId="0" fillId="3" borderId="0" xfId="0" applyFill="1" applyAlignment="1">
      <alignment horizontal="center"/>
    </xf>
    <xf numFmtId="0" fontId="0" fillId="4" borderId="0" xfId="0" applyFill="1" applyAlignment="1">
      <alignment horizontal="center"/>
    </xf>
    <xf numFmtId="0" fontId="0" fillId="0" borderId="0" xfId="0" applyAlignment="1">
      <alignment horizontal="center"/>
    </xf>
    <xf numFmtId="0" fontId="9" fillId="5" borderId="0" xfId="0" applyFont="1" applyFill="1" applyAlignment="1">
      <alignment horizontal="center"/>
    </xf>
    <xf numFmtId="0" fontId="10" fillId="5" borderId="0" xfId="0" applyFont="1" applyFill="1" applyAlignment="1">
      <alignment horizontal="centerContinuous"/>
    </xf>
    <xf numFmtId="0" fontId="11" fillId="5" borderId="0" xfId="0" applyFont="1" applyFill="1" applyAlignment="1">
      <alignment horizontal="centerContinuous"/>
    </xf>
    <xf numFmtId="0" fontId="8" fillId="0" borderId="0" xfId="0" applyFont="1" applyAlignment="1">
      <alignment horizontal="right"/>
    </xf>
    <xf numFmtId="0" fontId="2" fillId="0" borderId="0" xfId="8" applyAlignment="1"/>
    <xf numFmtId="0" fontId="2" fillId="0" borderId="0" xfId="8"/>
    <xf numFmtId="0" fontId="12" fillId="6" borderId="0" xfId="0" applyFont="1" applyFill="1"/>
    <xf numFmtId="0" fontId="0" fillId="6" borderId="0" xfId="0" applyFill="1"/>
    <xf numFmtId="0" fontId="0" fillId="2" borderId="0" xfId="0" applyFill="1" applyAlignment="1">
      <alignment horizontal="center"/>
    </xf>
    <xf numFmtId="0" fontId="12" fillId="0" borderId="0" xfId="0" applyFont="1" applyAlignment="1">
      <alignment horizontal="center"/>
    </xf>
  </cellXfs>
  <cellStyles count="9">
    <cellStyle name="Hipervínculo 2" xfId="2" xr:uid="{89F00235-83E1-4C35-940D-EE8C3B134EA7}"/>
    <cellStyle name="Hyperlink" xfId="8" builtinId="8"/>
    <cellStyle name="Hyperlink 2" xfId="3" xr:uid="{6F5D9744-6C19-44FA-85B0-DCA646D28E0D}"/>
    <cellStyle name="Normal" xfId="0" builtinId="0"/>
    <cellStyle name="Normal 2" xfId="6" xr:uid="{73C8518C-FE5B-4B51-9E91-E5AC2E83E113}"/>
    <cellStyle name="Normal 2 2" xfId="1" xr:uid="{FDCBB484-6B02-4DA7-941D-45E22EC783D3}"/>
    <cellStyle name="Normal 3" xfId="5" xr:uid="{5FB8A2BA-9E6C-47AF-8DB3-8568132137C9}"/>
    <cellStyle name="Normal 3 2" xfId="4" xr:uid="{F1026B24-507A-4FD2-93AA-C09DD61C35D4}"/>
    <cellStyle name="Normal 4" xfId="7" xr:uid="{A3626A2D-836B-41C7-AC8A-4AD41A867F8E}"/>
  </cellStyles>
  <dxfs count="10">
    <dxf>
      <numFmt numFmtId="0" formatCode="General"/>
    </dxf>
    <dxf>
      <numFmt numFmtId="0" formatCode="General"/>
    </dxf>
    <dxf>
      <numFmt numFmtId="0" formatCode="General"/>
    </dxf>
    <dxf>
      <numFmt numFmtId="0" formatCode="General"/>
    </dxf>
    <dxf>
      <font>
        <sz val="8"/>
        <color theme="1" tint="0.34998626667073579"/>
        <name val="Arial"/>
        <family val="2"/>
        <scheme val="none"/>
      </font>
      <border diagonalUp="0" diagonalDown="0">
        <left/>
        <right/>
        <top/>
        <bottom/>
        <vertical/>
        <horizontal/>
      </border>
    </dxf>
    <dxf>
      <font>
        <sz val="8"/>
        <color theme="1" tint="0.34998626667073579"/>
        <name val="Arial"/>
        <family val="2"/>
        <scheme val="none"/>
      </font>
      <border diagonalUp="0" diagonalDown="0">
        <left/>
        <right/>
        <top/>
        <bottom/>
        <vertical/>
        <horizontal/>
      </border>
    </dxf>
    <dxf>
      <fill>
        <patternFill>
          <bgColor rgb="FFFAFAFA"/>
        </patternFill>
      </fill>
    </dxf>
    <dxf>
      <fill>
        <patternFill patternType="none">
          <bgColor indexed="65"/>
        </patternFill>
      </fill>
    </dxf>
    <dxf>
      <fill>
        <patternFill>
          <bgColor rgb="FFE6E6E6"/>
        </patternFill>
      </fill>
      <border>
        <bottom style="thin">
          <color rgb="FF939393"/>
        </bottom>
        <vertical style="thin">
          <color rgb="FFBFBFBF"/>
        </vertical>
      </border>
    </dxf>
    <dxf>
      <font>
        <color theme="1" tint="0.34998626667073579"/>
      </font>
      <border>
        <left style="thin">
          <color theme="0" tint="-0.24994659260841701"/>
        </left>
        <right style="thin">
          <color theme="0" tint="-0.24994659260841701"/>
        </right>
        <top style="thin">
          <color theme="0" tint="-0.24994659260841701"/>
        </top>
        <bottom style="thin">
          <color theme="0" tint="-0.24994659260841701"/>
        </bottom>
        <vertical style="thin">
          <color rgb="FFEAEAEA"/>
        </vertical>
        <horizontal style="thin">
          <color rgb="FFEAEAEA"/>
        </horizontal>
      </border>
    </dxf>
  </dxfs>
  <tableStyles count="2" defaultTableStyle="TableStyleMedium2" defaultPivotStyle="PivotStyleLight16">
    <tableStyle name="Peltier Tech Minimal Table" pivot="0" count="4" xr9:uid="{A7DA52E9-E504-4E1A-805B-83F4DEC5A01A}">
      <tableStyleElement type="wholeTable" dxfId="9"/>
      <tableStyleElement type="headerRow" dxfId="8"/>
      <tableStyleElement type="firstRowStripe" dxfId="7"/>
      <tableStyleElement type="secondRowStripe" dxfId="6"/>
    </tableStyle>
    <tableStyle name="xlorla" pivot="0" table="0" count="10" xr9:uid="{8DCCBE9B-B783-4125-A478-F1D92DE92C10}">
      <tableStyleElement type="wholeTable" dxfId="5"/>
      <tableStyleElement type="headerRow" dxfId="4"/>
    </tableStyle>
  </tableStyles>
  <colors>
    <mruColors>
      <color rgb="FFFF3300"/>
      <color rgb="FFFF9933"/>
      <color rgb="FFED7D31"/>
      <color rgb="FF5F99CF"/>
      <color rgb="FFCEE3F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values</c:v>
          </c:tx>
          <c:spPr>
            <a:ln w="19050" cap="rnd">
              <a:noFill/>
              <a:round/>
            </a:ln>
            <a:effectLst/>
          </c:spPr>
          <c:marker>
            <c:symbol val="circle"/>
            <c:size val="7"/>
            <c:spPr>
              <a:solidFill>
                <a:schemeClr val="bg1">
                  <a:lumMod val="75000"/>
                  <a:alpha val="50000"/>
                </a:schemeClr>
              </a:solidFill>
              <a:ln w="6350">
                <a:solidFill>
                  <a:schemeClr val="bg1">
                    <a:lumMod val="50000"/>
                  </a:schemeClr>
                </a:solidFill>
              </a:ln>
              <a:effectLst/>
            </c:spPr>
          </c:marker>
          <c:xVal>
            <c:numRef>
              <c:f>[0]!_04_x_values</c:f>
              <c:numCache>
                <c:formatCode>General</c:formatCode>
                <c:ptCount val="180"/>
                <c:pt idx="0">
                  <c:v>1925</c:v>
                </c:pt>
                <c:pt idx="1">
                  <c:v>7615</c:v>
                </c:pt>
                <c:pt idx="2">
                  <c:v>10620</c:v>
                </c:pt>
                <c:pt idx="3">
                  <c:v>46577</c:v>
                </c:pt>
                <c:pt idx="4">
                  <c:v>17344</c:v>
                </c:pt>
                <c:pt idx="5">
                  <c:v>7763</c:v>
                </c:pt>
                <c:pt idx="6">
                  <c:v>21049</c:v>
                </c:pt>
                <c:pt idx="7">
                  <c:v>44056</c:v>
                </c:pt>
                <c:pt idx="8">
                  <c:v>44401</c:v>
                </c:pt>
                <c:pt idx="9">
                  <c:v>16986</c:v>
                </c:pt>
                <c:pt idx="10">
                  <c:v>777</c:v>
                </c:pt>
                <c:pt idx="11">
                  <c:v>41240</c:v>
                </c:pt>
                <c:pt idx="12">
                  <c:v>1830</c:v>
                </c:pt>
                <c:pt idx="13">
                  <c:v>1654</c:v>
                </c:pt>
                <c:pt idx="14">
                  <c:v>3161</c:v>
                </c:pt>
                <c:pt idx="15">
                  <c:v>16371</c:v>
                </c:pt>
                <c:pt idx="16">
                  <c:v>44138</c:v>
                </c:pt>
                <c:pt idx="17">
                  <c:v>22818</c:v>
                </c:pt>
                <c:pt idx="18">
                  <c:v>9833</c:v>
                </c:pt>
                <c:pt idx="19">
                  <c:v>17415</c:v>
                </c:pt>
                <c:pt idx="20">
                  <c:v>8501</c:v>
                </c:pt>
                <c:pt idx="21">
                  <c:v>6295</c:v>
                </c:pt>
                <c:pt idx="22">
                  <c:v>15441</c:v>
                </c:pt>
                <c:pt idx="23">
                  <c:v>12984</c:v>
                </c:pt>
                <c:pt idx="24">
                  <c:v>7983</c:v>
                </c:pt>
                <c:pt idx="25">
                  <c:v>17196</c:v>
                </c:pt>
                <c:pt idx="26">
                  <c:v>599</c:v>
                </c:pt>
                <c:pt idx="27">
                  <c:v>43294</c:v>
                </c:pt>
                <c:pt idx="28">
                  <c:v>56118</c:v>
                </c:pt>
                <c:pt idx="29">
                  <c:v>22465</c:v>
                </c:pt>
                <c:pt idx="30">
                  <c:v>13334</c:v>
                </c:pt>
                <c:pt idx="31">
                  <c:v>3491</c:v>
                </c:pt>
                <c:pt idx="32">
                  <c:v>2897</c:v>
                </c:pt>
                <c:pt idx="33">
                  <c:v>809</c:v>
                </c:pt>
                <c:pt idx="34">
                  <c:v>6220</c:v>
                </c:pt>
                <c:pt idx="35">
                  <c:v>12761</c:v>
                </c:pt>
                <c:pt idx="36">
                  <c:v>1472</c:v>
                </c:pt>
                <c:pt idx="37">
                  <c:v>6514</c:v>
                </c:pt>
                <c:pt idx="38">
                  <c:v>14132</c:v>
                </c:pt>
                <c:pt idx="39">
                  <c:v>21291</c:v>
                </c:pt>
                <c:pt idx="40">
                  <c:v>29797</c:v>
                </c:pt>
                <c:pt idx="41">
                  <c:v>29437</c:v>
                </c:pt>
                <c:pt idx="42">
                  <c:v>44053</c:v>
                </c:pt>
                <c:pt idx="43">
                  <c:v>3139</c:v>
                </c:pt>
                <c:pt idx="44">
                  <c:v>10503</c:v>
                </c:pt>
                <c:pt idx="45">
                  <c:v>43495</c:v>
                </c:pt>
                <c:pt idx="46">
                  <c:v>12837</c:v>
                </c:pt>
                <c:pt idx="47">
                  <c:v>13434</c:v>
                </c:pt>
                <c:pt idx="48">
                  <c:v>10996</c:v>
                </c:pt>
                <c:pt idx="49">
                  <c:v>11031</c:v>
                </c:pt>
                <c:pt idx="50">
                  <c:v>1129</c:v>
                </c:pt>
                <c:pt idx="51">
                  <c:v>32979</c:v>
                </c:pt>
                <c:pt idx="52">
                  <c:v>26812</c:v>
                </c:pt>
                <c:pt idx="53">
                  <c:v>1520</c:v>
                </c:pt>
                <c:pt idx="54">
                  <c:v>38923</c:v>
                </c:pt>
                <c:pt idx="55">
                  <c:v>7925</c:v>
                </c:pt>
                <c:pt idx="56">
                  <c:v>37599</c:v>
                </c:pt>
                <c:pt idx="57">
                  <c:v>3510</c:v>
                </c:pt>
                <c:pt idx="58">
                  <c:v>18627</c:v>
                </c:pt>
                <c:pt idx="59">
                  <c:v>38225</c:v>
                </c:pt>
                <c:pt idx="60">
                  <c:v>7474</c:v>
                </c:pt>
                <c:pt idx="61">
                  <c:v>4099</c:v>
                </c:pt>
                <c:pt idx="62">
                  <c:v>1225</c:v>
                </c:pt>
                <c:pt idx="63">
                  <c:v>1644</c:v>
                </c:pt>
                <c:pt idx="64">
                  <c:v>1386</c:v>
                </c:pt>
                <c:pt idx="65">
                  <c:v>31087</c:v>
                </c:pt>
                <c:pt idx="66">
                  <c:v>25430</c:v>
                </c:pt>
                <c:pt idx="67">
                  <c:v>11593</c:v>
                </c:pt>
                <c:pt idx="68">
                  <c:v>7279</c:v>
                </c:pt>
                <c:pt idx="69">
                  <c:v>6816</c:v>
                </c:pt>
                <c:pt idx="70">
                  <c:v>53874</c:v>
                </c:pt>
                <c:pt idx="71">
                  <c:v>4270</c:v>
                </c:pt>
                <c:pt idx="72">
                  <c:v>20260</c:v>
                </c:pt>
                <c:pt idx="73">
                  <c:v>1710</c:v>
                </c:pt>
                <c:pt idx="74">
                  <c:v>24200</c:v>
                </c:pt>
                <c:pt idx="75">
                  <c:v>10504</c:v>
                </c:pt>
                <c:pt idx="76">
                  <c:v>5903</c:v>
                </c:pt>
                <c:pt idx="77">
                  <c:v>47758</c:v>
                </c:pt>
                <c:pt idx="78">
                  <c:v>15573</c:v>
                </c:pt>
                <c:pt idx="79">
                  <c:v>14646</c:v>
                </c:pt>
                <c:pt idx="80">
                  <c:v>42182</c:v>
                </c:pt>
                <c:pt idx="81">
                  <c:v>31590</c:v>
                </c:pt>
                <c:pt idx="82">
                  <c:v>33297</c:v>
                </c:pt>
                <c:pt idx="83">
                  <c:v>8606</c:v>
                </c:pt>
                <c:pt idx="84">
                  <c:v>11752</c:v>
                </c:pt>
                <c:pt idx="85">
                  <c:v>36162</c:v>
                </c:pt>
                <c:pt idx="86">
                  <c:v>23468</c:v>
                </c:pt>
                <c:pt idx="87">
                  <c:v>2898</c:v>
                </c:pt>
                <c:pt idx="88">
                  <c:v>3245</c:v>
                </c:pt>
                <c:pt idx="89">
                  <c:v>3267</c:v>
                </c:pt>
                <c:pt idx="90">
                  <c:v>1824</c:v>
                </c:pt>
                <c:pt idx="91">
                  <c:v>34644</c:v>
                </c:pt>
                <c:pt idx="92">
                  <c:v>5212</c:v>
                </c:pt>
                <c:pt idx="93">
                  <c:v>17050</c:v>
                </c:pt>
                <c:pt idx="94">
                  <c:v>958</c:v>
                </c:pt>
                <c:pt idx="95">
                  <c:v>17261</c:v>
                </c:pt>
                <c:pt idx="96">
                  <c:v>9997</c:v>
                </c:pt>
                <c:pt idx="97">
                  <c:v>10624</c:v>
                </c:pt>
                <c:pt idx="98">
                  <c:v>2598</c:v>
                </c:pt>
                <c:pt idx="99">
                  <c:v>26665</c:v>
                </c:pt>
                <c:pt idx="100">
                  <c:v>23282</c:v>
                </c:pt>
                <c:pt idx="101">
                  <c:v>7319</c:v>
                </c:pt>
                <c:pt idx="102">
                  <c:v>4896</c:v>
                </c:pt>
                <c:pt idx="103">
                  <c:v>1400</c:v>
                </c:pt>
                <c:pt idx="104">
                  <c:v>14408</c:v>
                </c:pt>
                <c:pt idx="105">
                  <c:v>16850</c:v>
                </c:pt>
                <c:pt idx="106">
                  <c:v>3661</c:v>
                </c:pt>
                <c:pt idx="107">
                  <c:v>12547</c:v>
                </c:pt>
                <c:pt idx="108">
                  <c:v>1684</c:v>
                </c:pt>
                <c:pt idx="109">
                  <c:v>30265</c:v>
                </c:pt>
                <c:pt idx="110">
                  <c:v>4012</c:v>
                </c:pt>
                <c:pt idx="111">
                  <c:v>14833</c:v>
                </c:pt>
                <c:pt idx="112">
                  <c:v>11819</c:v>
                </c:pt>
                <c:pt idx="113">
                  <c:v>1176</c:v>
                </c:pt>
                <c:pt idx="114">
                  <c:v>3877</c:v>
                </c:pt>
                <c:pt idx="115">
                  <c:v>18350</c:v>
                </c:pt>
                <c:pt idx="116">
                  <c:v>799</c:v>
                </c:pt>
                <c:pt idx="117">
                  <c:v>24320</c:v>
                </c:pt>
                <c:pt idx="118">
                  <c:v>10040</c:v>
                </c:pt>
                <c:pt idx="119">
                  <c:v>943</c:v>
                </c:pt>
                <c:pt idx="120">
                  <c:v>5727</c:v>
                </c:pt>
                <c:pt idx="121">
                  <c:v>4712</c:v>
                </c:pt>
                <c:pt idx="122">
                  <c:v>45784</c:v>
                </c:pt>
                <c:pt idx="123">
                  <c:v>2352</c:v>
                </c:pt>
                <c:pt idx="124">
                  <c:v>34186</c:v>
                </c:pt>
                <c:pt idx="125">
                  <c:v>48226</c:v>
                </c:pt>
                <c:pt idx="126">
                  <c:v>4743</c:v>
                </c:pt>
                <c:pt idx="127">
                  <c:v>20485</c:v>
                </c:pt>
                <c:pt idx="128">
                  <c:v>11903</c:v>
                </c:pt>
                <c:pt idx="129">
                  <c:v>6876</c:v>
                </c:pt>
                <c:pt idx="130">
                  <c:v>2529</c:v>
                </c:pt>
                <c:pt idx="131">
                  <c:v>24787</c:v>
                </c:pt>
                <c:pt idx="132">
                  <c:v>1390</c:v>
                </c:pt>
                <c:pt idx="133">
                  <c:v>26437</c:v>
                </c:pt>
                <c:pt idx="134">
                  <c:v>8219</c:v>
                </c:pt>
                <c:pt idx="135">
                  <c:v>19203</c:v>
                </c:pt>
                <c:pt idx="136">
                  <c:v>23038</c:v>
                </c:pt>
                <c:pt idx="137">
                  <c:v>1549</c:v>
                </c:pt>
                <c:pt idx="138">
                  <c:v>52469</c:v>
                </c:pt>
                <c:pt idx="139">
                  <c:v>3975</c:v>
                </c:pt>
                <c:pt idx="140">
                  <c:v>2251</c:v>
                </c:pt>
                <c:pt idx="141">
                  <c:v>2047</c:v>
                </c:pt>
                <c:pt idx="142">
                  <c:v>2085</c:v>
                </c:pt>
                <c:pt idx="143">
                  <c:v>7776</c:v>
                </c:pt>
                <c:pt idx="144">
                  <c:v>624</c:v>
                </c:pt>
                <c:pt idx="145">
                  <c:v>12908</c:v>
                </c:pt>
                <c:pt idx="146">
                  <c:v>3047</c:v>
                </c:pt>
                <c:pt idx="147">
                  <c:v>3003</c:v>
                </c:pt>
                <c:pt idx="148">
                  <c:v>17125</c:v>
                </c:pt>
                <c:pt idx="149">
                  <c:v>27204</c:v>
                </c:pt>
                <c:pt idx="150">
                  <c:v>28550</c:v>
                </c:pt>
                <c:pt idx="151">
                  <c:v>44892</c:v>
                </c:pt>
                <c:pt idx="152">
                  <c:v>6095</c:v>
                </c:pt>
                <c:pt idx="153">
                  <c:v>25684</c:v>
                </c:pt>
                <c:pt idx="154">
                  <c:v>4637</c:v>
                </c:pt>
                <c:pt idx="155">
                  <c:v>2191</c:v>
                </c:pt>
                <c:pt idx="156">
                  <c:v>1433</c:v>
                </c:pt>
                <c:pt idx="157">
                  <c:v>14512</c:v>
                </c:pt>
                <c:pt idx="158">
                  <c:v>2582</c:v>
                </c:pt>
                <c:pt idx="159">
                  <c:v>15865</c:v>
                </c:pt>
                <c:pt idx="160">
                  <c:v>2086</c:v>
                </c:pt>
                <c:pt idx="161">
                  <c:v>5069</c:v>
                </c:pt>
                <c:pt idx="162">
                  <c:v>30113</c:v>
                </c:pt>
                <c:pt idx="163">
                  <c:v>11126</c:v>
                </c:pt>
                <c:pt idx="164">
                  <c:v>19360</c:v>
                </c:pt>
                <c:pt idx="165">
                  <c:v>2571</c:v>
                </c:pt>
                <c:pt idx="166">
                  <c:v>1680</c:v>
                </c:pt>
                <c:pt idx="167">
                  <c:v>8449</c:v>
                </c:pt>
                <c:pt idx="168">
                  <c:v>20438</c:v>
                </c:pt>
                <c:pt idx="169">
                  <c:v>53354</c:v>
                </c:pt>
                <c:pt idx="170">
                  <c:v>5598</c:v>
                </c:pt>
                <c:pt idx="171">
                  <c:v>10435</c:v>
                </c:pt>
                <c:pt idx="172">
                  <c:v>15753</c:v>
                </c:pt>
                <c:pt idx="173">
                  <c:v>5623</c:v>
                </c:pt>
                <c:pt idx="174">
                  <c:v>2912</c:v>
                </c:pt>
                <c:pt idx="175">
                  <c:v>5558</c:v>
                </c:pt>
                <c:pt idx="176">
                  <c:v>3887</c:v>
                </c:pt>
                <c:pt idx="177">
                  <c:v>12509</c:v>
                </c:pt>
                <c:pt idx="178">
                  <c:v>4034</c:v>
                </c:pt>
                <c:pt idx="179">
                  <c:v>1801</c:v>
                </c:pt>
              </c:numCache>
            </c:numRef>
          </c:xVal>
          <c:yVal>
            <c:numRef>
              <c:f>[0]!_05_y_values</c:f>
              <c:numCache>
                <c:formatCode>General</c:formatCode>
                <c:ptCount val="180"/>
                <c:pt idx="0">
                  <c:v>53.8</c:v>
                </c:pt>
                <c:pt idx="1">
                  <c:v>59.6</c:v>
                </c:pt>
                <c:pt idx="2">
                  <c:v>78</c:v>
                </c:pt>
                <c:pt idx="3">
                  <c:v>84.8</c:v>
                </c:pt>
                <c:pt idx="4">
                  <c:v>76.5</c:v>
                </c:pt>
                <c:pt idx="5">
                  <c:v>74.7</c:v>
                </c:pt>
                <c:pt idx="6">
                  <c:v>76.400000000000006</c:v>
                </c:pt>
                <c:pt idx="7">
                  <c:v>82.3</c:v>
                </c:pt>
                <c:pt idx="8">
                  <c:v>81.3</c:v>
                </c:pt>
                <c:pt idx="9">
                  <c:v>72.900000000000006</c:v>
                </c:pt>
                <c:pt idx="10">
                  <c:v>61.4</c:v>
                </c:pt>
                <c:pt idx="11">
                  <c:v>80.5</c:v>
                </c:pt>
                <c:pt idx="12">
                  <c:v>62.3</c:v>
                </c:pt>
                <c:pt idx="13">
                  <c:v>60.9</c:v>
                </c:pt>
                <c:pt idx="14">
                  <c:v>70.400000000000006</c:v>
                </c:pt>
                <c:pt idx="15">
                  <c:v>74.8</c:v>
                </c:pt>
                <c:pt idx="16">
                  <c:v>79.099999999999994</c:v>
                </c:pt>
                <c:pt idx="17">
                  <c:v>73.7</c:v>
                </c:pt>
                <c:pt idx="18">
                  <c:v>78.900000000000006</c:v>
                </c:pt>
                <c:pt idx="19">
                  <c:v>71</c:v>
                </c:pt>
                <c:pt idx="20">
                  <c:v>71.7</c:v>
                </c:pt>
                <c:pt idx="21">
                  <c:v>73.2</c:v>
                </c:pt>
                <c:pt idx="22">
                  <c:v>74.400000000000006</c:v>
                </c:pt>
                <c:pt idx="23">
                  <c:v>75.7</c:v>
                </c:pt>
                <c:pt idx="24">
                  <c:v>72.7</c:v>
                </c:pt>
                <c:pt idx="25">
                  <c:v>58.7</c:v>
                </c:pt>
                <c:pt idx="26">
                  <c:v>49.6</c:v>
                </c:pt>
                <c:pt idx="27">
                  <c:v>81.7</c:v>
                </c:pt>
                <c:pt idx="28">
                  <c:v>83</c:v>
                </c:pt>
                <c:pt idx="29">
                  <c:v>79.400000000000006</c:v>
                </c:pt>
                <c:pt idx="30">
                  <c:v>76.2</c:v>
                </c:pt>
                <c:pt idx="31">
                  <c:v>59.1</c:v>
                </c:pt>
                <c:pt idx="32">
                  <c:v>59.4</c:v>
                </c:pt>
                <c:pt idx="33">
                  <c:v>60.8</c:v>
                </c:pt>
                <c:pt idx="34">
                  <c:v>61.5</c:v>
                </c:pt>
                <c:pt idx="35">
                  <c:v>78</c:v>
                </c:pt>
                <c:pt idx="36">
                  <c:v>68.099999999999994</c:v>
                </c:pt>
                <c:pt idx="37">
                  <c:v>72.900000000000006</c:v>
                </c:pt>
                <c:pt idx="38">
                  <c:v>80.3</c:v>
                </c:pt>
                <c:pt idx="39">
                  <c:v>78.2</c:v>
                </c:pt>
                <c:pt idx="40">
                  <c:v>81.8</c:v>
                </c:pt>
                <c:pt idx="41">
                  <c:v>78.8</c:v>
                </c:pt>
                <c:pt idx="42">
                  <c:v>80.8</c:v>
                </c:pt>
                <c:pt idx="43">
                  <c:v>63.8</c:v>
                </c:pt>
                <c:pt idx="44">
                  <c:v>73.099999999999994</c:v>
                </c:pt>
                <c:pt idx="45">
                  <c:v>80.400000000000006</c:v>
                </c:pt>
                <c:pt idx="46">
                  <c:v>75.3</c:v>
                </c:pt>
                <c:pt idx="47">
                  <c:v>76.400000000000006</c:v>
                </c:pt>
                <c:pt idx="48">
                  <c:v>75.900000000000006</c:v>
                </c:pt>
                <c:pt idx="49">
                  <c:v>71.5</c:v>
                </c:pt>
                <c:pt idx="50">
                  <c:v>60.7</c:v>
                </c:pt>
                <c:pt idx="51">
                  <c:v>82.6</c:v>
                </c:pt>
                <c:pt idx="52">
                  <c:v>77.8</c:v>
                </c:pt>
                <c:pt idx="53">
                  <c:v>65.2</c:v>
                </c:pt>
                <c:pt idx="54">
                  <c:v>80.900000000000006</c:v>
                </c:pt>
                <c:pt idx="55">
                  <c:v>65.8</c:v>
                </c:pt>
                <c:pt idx="56">
                  <c:v>81.8</c:v>
                </c:pt>
                <c:pt idx="57">
                  <c:v>68.900000000000006</c:v>
                </c:pt>
                <c:pt idx="58">
                  <c:v>65.900000000000006</c:v>
                </c:pt>
                <c:pt idx="59">
                  <c:v>81</c:v>
                </c:pt>
                <c:pt idx="60">
                  <c:v>72.900000000000006</c:v>
                </c:pt>
                <c:pt idx="61">
                  <c:v>65.3</c:v>
                </c:pt>
                <c:pt idx="62">
                  <c:v>59.1</c:v>
                </c:pt>
                <c:pt idx="63">
                  <c:v>68.099999999999994</c:v>
                </c:pt>
                <c:pt idx="64">
                  <c:v>55.6</c:v>
                </c:pt>
                <c:pt idx="65">
                  <c:v>61</c:v>
                </c:pt>
                <c:pt idx="66">
                  <c:v>81</c:v>
                </c:pt>
                <c:pt idx="67">
                  <c:v>71.5</c:v>
                </c:pt>
                <c:pt idx="68">
                  <c:v>72.599999999999994</c:v>
                </c:pt>
                <c:pt idx="69">
                  <c:v>66.8</c:v>
                </c:pt>
                <c:pt idx="70">
                  <c:v>83.73</c:v>
                </c:pt>
                <c:pt idx="71">
                  <c:v>73</c:v>
                </c:pt>
                <c:pt idx="72">
                  <c:v>77.8</c:v>
                </c:pt>
                <c:pt idx="73">
                  <c:v>64.3</c:v>
                </c:pt>
                <c:pt idx="74">
                  <c:v>76.7</c:v>
                </c:pt>
                <c:pt idx="75">
                  <c:v>71.099999999999994</c:v>
                </c:pt>
                <c:pt idx="76">
                  <c:v>67.2</c:v>
                </c:pt>
                <c:pt idx="77">
                  <c:v>81.7</c:v>
                </c:pt>
                <c:pt idx="78">
                  <c:v>74.599999999999994</c:v>
                </c:pt>
                <c:pt idx="79">
                  <c:v>67.400000000000006</c:v>
                </c:pt>
                <c:pt idx="80">
                  <c:v>83.3</c:v>
                </c:pt>
                <c:pt idx="81">
                  <c:v>82.1</c:v>
                </c:pt>
                <c:pt idx="82">
                  <c:v>82.2</c:v>
                </c:pt>
                <c:pt idx="83">
                  <c:v>75</c:v>
                </c:pt>
                <c:pt idx="84">
                  <c:v>78.5</c:v>
                </c:pt>
                <c:pt idx="85">
                  <c:v>83.2</c:v>
                </c:pt>
                <c:pt idx="86">
                  <c:v>70.2</c:v>
                </c:pt>
                <c:pt idx="87">
                  <c:v>65.099999999999994</c:v>
                </c:pt>
                <c:pt idx="88">
                  <c:v>69.8</c:v>
                </c:pt>
                <c:pt idx="89">
                  <c:v>69.400000000000006</c:v>
                </c:pt>
                <c:pt idx="90">
                  <c:v>63</c:v>
                </c:pt>
                <c:pt idx="91">
                  <c:v>81</c:v>
                </c:pt>
                <c:pt idx="92">
                  <c:v>67.099999999999994</c:v>
                </c:pt>
                <c:pt idx="93">
                  <c:v>78.900000000000006</c:v>
                </c:pt>
                <c:pt idx="94">
                  <c:v>63.2</c:v>
                </c:pt>
                <c:pt idx="95">
                  <c:v>74.099999999999994</c:v>
                </c:pt>
                <c:pt idx="96">
                  <c:v>74.8</c:v>
                </c:pt>
                <c:pt idx="97">
                  <c:v>77.599999999999994</c:v>
                </c:pt>
                <c:pt idx="98">
                  <c:v>47.1</c:v>
                </c:pt>
                <c:pt idx="99">
                  <c:v>75.2</c:v>
                </c:pt>
                <c:pt idx="100">
                  <c:v>75.400000000000006</c:v>
                </c:pt>
                <c:pt idx="101">
                  <c:v>74.599999999999994</c:v>
                </c:pt>
                <c:pt idx="102">
                  <c:v>73.900000000000006</c:v>
                </c:pt>
                <c:pt idx="103">
                  <c:v>63.5</c:v>
                </c:pt>
                <c:pt idx="104">
                  <c:v>80</c:v>
                </c:pt>
                <c:pt idx="105">
                  <c:v>75.900000000000006</c:v>
                </c:pt>
                <c:pt idx="106">
                  <c:v>66.900000000000006</c:v>
                </c:pt>
                <c:pt idx="107">
                  <c:v>76.5</c:v>
                </c:pt>
                <c:pt idx="108">
                  <c:v>60.2</c:v>
                </c:pt>
                <c:pt idx="109">
                  <c:v>82.1</c:v>
                </c:pt>
                <c:pt idx="110">
                  <c:v>68</c:v>
                </c:pt>
                <c:pt idx="111">
                  <c:v>77.2</c:v>
                </c:pt>
                <c:pt idx="112">
                  <c:v>67.099999999999994</c:v>
                </c:pt>
                <c:pt idx="113">
                  <c:v>57.1</c:v>
                </c:pt>
                <c:pt idx="114">
                  <c:v>69.7</c:v>
                </c:pt>
                <c:pt idx="115">
                  <c:v>74.5</c:v>
                </c:pt>
                <c:pt idx="116">
                  <c:v>60.5</c:v>
                </c:pt>
                <c:pt idx="117">
                  <c:v>75.3</c:v>
                </c:pt>
                <c:pt idx="118">
                  <c:v>64.2</c:v>
                </c:pt>
                <c:pt idx="119">
                  <c:v>61</c:v>
                </c:pt>
                <c:pt idx="120">
                  <c:v>64.599999999999994</c:v>
                </c:pt>
                <c:pt idx="121">
                  <c:v>78</c:v>
                </c:pt>
                <c:pt idx="122">
                  <c:v>81.3</c:v>
                </c:pt>
                <c:pt idx="123">
                  <c:v>69.7</c:v>
                </c:pt>
                <c:pt idx="124">
                  <c:v>81.400000000000006</c:v>
                </c:pt>
                <c:pt idx="125">
                  <c:v>77.2</c:v>
                </c:pt>
                <c:pt idx="126">
                  <c:v>65.900000000000006</c:v>
                </c:pt>
                <c:pt idx="127">
                  <c:v>78.2</c:v>
                </c:pt>
                <c:pt idx="128">
                  <c:v>79.5</c:v>
                </c:pt>
                <c:pt idx="129">
                  <c:v>71</c:v>
                </c:pt>
                <c:pt idx="130">
                  <c:v>60.9</c:v>
                </c:pt>
                <c:pt idx="131">
                  <c:v>77.599999999999994</c:v>
                </c:pt>
                <c:pt idx="132">
                  <c:v>72.099999999999994</c:v>
                </c:pt>
                <c:pt idx="133">
                  <c:v>80.8</c:v>
                </c:pt>
                <c:pt idx="134">
                  <c:v>74.400000000000006</c:v>
                </c:pt>
                <c:pt idx="135">
                  <c:v>75.2</c:v>
                </c:pt>
                <c:pt idx="136">
                  <c:v>71</c:v>
                </c:pt>
                <c:pt idx="137">
                  <c:v>65.900000000000006</c:v>
                </c:pt>
                <c:pt idx="138">
                  <c:v>79.5</c:v>
                </c:pt>
                <c:pt idx="139">
                  <c:v>67.5</c:v>
                </c:pt>
                <c:pt idx="140">
                  <c:v>65.3</c:v>
                </c:pt>
                <c:pt idx="141">
                  <c:v>64</c:v>
                </c:pt>
                <c:pt idx="142">
                  <c:v>57.1</c:v>
                </c:pt>
                <c:pt idx="143">
                  <c:v>74.900000000000006</c:v>
                </c:pt>
                <c:pt idx="144">
                  <c:v>54.2</c:v>
                </c:pt>
                <c:pt idx="145">
                  <c:v>76.2</c:v>
                </c:pt>
                <c:pt idx="146">
                  <c:v>56.1</c:v>
                </c:pt>
                <c:pt idx="147">
                  <c:v>68</c:v>
                </c:pt>
                <c:pt idx="148">
                  <c:v>72</c:v>
                </c:pt>
                <c:pt idx="149">
                  <c:v>77.599999999999994</c:v>
                </c:pt>
                <c:pt idx="150">
                  <c:v>80.900000000000006</c:v>
                </c:pt>
                <c:pt idx="151">
                  <c:v>82.1</c:v>
                </c:pt>
                <c:pt idx="152">
                  <c:v>51.8</c:v>
                </c:pt>
                <c:pt idx="153">
                  <c:v>74.099999999999994</c:v>
                </c:pt>
                <c:pt idx="154">
                  <c:v>68.2</c:v>
                </c:pt>
                <c:pt idx="155">
                  <c:v>57.4</c:v>
                </c:pt>
                <c:pt idx="156">
                  <c:v>61.5</c:v>
                </c:pt>
                <c:pt idx="157">
                  <c:v>74.7</c:v>
                </c:pt>
                <c:pt idx="158">
                  <c:v>72.400000000000006</c:v>
                </c:pt>
                <c:pt idx="159">
                  <c:v>70</c:v>
                </c:pt>
                <c:pt idx="160">
                  <c:v>72.400000000000006</c:v>
                </c:pt>
                <c:pt idx="161">
                  <c:v>71.5</c:v>
                </c:pt>
                <c:pt idx="162">
                  <c:v>72.400000000000006</c:v>
                </c:pt>
                <c:pt idx="163">
                  <c:v>77.599999999999994</c:v>
                </c:pt>
                <c:pt idx="164">
                  <c:v>79.2</c:v>
                </c:pt>
                <c:pt idx="165">
                  <c:v>64.099999999999994</c:v>
                </c:pt>
                <c:pt idx="166">
                  <c:v>61.3</c:v>
                </c:pt>
                <c:pt idx="167">
                  <c:v>71.5</c:v>
                </c:pt>
                <c:pt idx="168">
                  <c:v>76.8</c:v>
                </c:pt>
                <c:pt idx="169">
                  <c:v>79.099999999999994</c:v>
                </c:pt>
                <c:pt idx="170">
                  <c:v>71.8</c:v>
                </c:pt>
                <c:pt idx="171">
                  <c:v>71.2</c:v>
                </c:pt>
                <c:pt idx="172">
                  <c:v>74.8</c:v>
                </c:pt>
                <c:pt idx="173">
                  <c:v>75.400000000000006</c:v>
                </c:pt>
                <c:pt idx="174">
                  <c:v>64.900000000000006</c:v>
                </c:pt>
                <c:pt idx="175">
                  <c:v>73.2</c:v>
                </c:pt>
                <c:pt idx="176">
                  <c:v>66</c:v>
                </c:pt>
                <c:pt idx="177">
                  <c:v>61.3</c:v>
                </c:pt>
                <c:pt idx="178">
                  <c:v>56.7</c:v>
                </c:pt>
                <c:pt idx="179">
                  <c:v>59.3</c:v>
                </c:pt>
              </c:numCache>
            </c:numRef>
          </c:yVal>
          <c:smooth val="0"/>
          <c:extLst>
            <c:ext xmlns:c16="http://schemas.microsoft.com/office/drawing/2014/chart" uri="{C3380CC4-5D6E-409C-BE32-E72D297353CC}">
              <c16:uniqueId val="{00000000-8BFA-4035-AA81-7EFDDA1A833F}"/>
            </c:ext>
          </c:extLst>
        </c:ser>
        <c:dLbls>
          <c:showLegendKey val="0"/>
          <c:showVal val="0"/>
          <c:showCatName val="0"/>
          <c:showSerName val="0"/>
          <c:showPercent val="0"/>
          <c:showBubbleSize val="0"/>
        </c:dLbls>
        <c:axId val="1454792399"/>
        <c:axId val="1454796143"/>
      </c:scatterChart>
      <c:scatterChart>
        <c:scatterStyle val="lineMarker"/>
        <c:varyColors val="0"/>
        <c:ser>
          <c:idx val="1"/>
          <c:order val="1"/>
          <c:tx>
            <c:v>x_barcodes</c:v>
          </c:tx>
          <c:spPr>
            <a:ln w="25400" cap="rnd">
              <a:noFill/>
              <a:round/>
            </a:ln>
            <a:effectLst/>
          </c:spPr>
          <c:marker>
            <c:symbol val="none"/>
          </c:marker>
          <c:errBars>
            <c:errDir val="y"/>
            <c:errBarType val="both"/>
            <c:errValType val="fixedVal"/>
            <c:noEndCap val="1"/>
            <c:val val="0.9"/>
            <c:spPr>
              <a:noFill/>
              <a:ln w="9525" cap="flat" cmpd="sng" algn="ctr">
                <a:solidFill>
                  <a:schemeClr val="bg1">
                    <a:lumMod val="50000"/>
                    <a:alpha val="50000"/>
                  </a:schemeClr>
                </a:solidFill>
                <a:round/>
              </a:ln>
              <a:effectLst/>
            </c:spPr>
          </c:errBars>
          <c:xVal>
            <c:numRef>
              <c:f>[0]!_04_x_values</c:f>
              <c:numCache>
                <c:formatCode>General</c:formatCode>
                <c:ptCount val="180"/>
                <c:pt idx="0">
                  <c:v>1925</c:v>
                </c:pt>
                <c:pt idx="1">
                  <c:v>7615</c:v>
                </c:pt>
                <c:pt idx="2">
                  <c:v>10620</c:v>
                </c:pt>
                <c:pt idx="3">
                  <c:v>46577</c:v>
                </c:pt>
                <c:pt idx="4">
                  <c:v>17344</c:v>
                </c:pt>
                <c:pt idx="5">
                  <c:v>7763</c:v>
                </c:pt>
                <c:pt idx="6">
                  <c:v>21049</c:v>
                </c:pt>
                <c:pt idx="7">
                  <c:v>44056</c:v>
                </c:pt>
                <c:pt idx="8">
                  <c:v>44401</c:v>
                </c:pt>
                <c:pt idx="9">
                  <c:v>16986</c:v>
                </c:pt>
                <c:pt idx="10">
                  <c:v>777</c:v>
                </c:pt>
                <c:pt idx="11">
                  <c:v>41240</c:v>
                </c:pt>
                <c:pt idx="12">
                  <c:v>1830</c:v>
                </c:pt>
                <c:pt idx="13">
                  <c:v>1654</c:v>
                </c:pt>
                <c:pt idx="14">
                  <c:v>3161</c:v>
                </c:pt>
                <c:pt idx="15">
                  <c:v>16371</c:v>
                </c:pt>
                <c:pt idx="16">
                  <c:v>44138</c:v>
                </c:pt>
                <c:pt idx="17">
                  <c:v>22818</c:v>
                </c:pt>
                <c:pt idx="18">
                  <c:v>9833</c:v>
                </c:pt>
                <c:pt idx="19">
                  <c:v>17415</c:v>
                </c:pt>
                <c:pt idx="20">
                  <c:v>8501</c:v>
                </c:pt>
                <c:pt idx="21">
                  <c:v>6295</c:v>
                </c:pt>
                <c:pt idx="22">
                  <c:v>15441</c:v>
                </c:pt>
                <c:pt idx="23">
                  <c:v>12984</c:v>
                </c:pt>
                <c:pt idx="24">
                  <c:v>7983</c:v>
                </c:pt>
                <c:pt idx="25">
                  <c:v>17196</c:v>
                </c:pt>
                <c:pt idx="26">
                  <c:v>599</c:v>
                </c:pt>
                <c:pt idx="27">
                  <c:v>43294</c:v>
                </c:pt>
                <c:pt idx="28">
                  <c:v>56118</c:v>
                </c:pt>
                <c:pt idx="29">
                  <c:v>22465</c:v>
                </c:pt>
                <c:pt idx="30">
                  <c:v>13334</c:v>
                </c:pt>
                <c:pt idx="31">
                  <c:v>3491</c:v>
                </c:pt>
                <c:pt idx="32">
                  <c:v>2897</c:v>
                </c:pt>
                <c:pt idx="33">
                  <c:v>809</c:v>
                </c:pt>
                <c:pt idx="34">
                  <c:v>6220</c:v>
                </c:pt>
                <c:pt idx="35">
                  <c:v>12761</c:v>
                </c:pt>
                <c:pt idx="36">
                  <c:v>1472</c:v>
                </c:pt>
                <c:pt idx="37">
                  <c:v>6514</c:v>
                </c:pt>
                <c:pt idx="38">
                  <c:v>14132</c:v>
                </c:pt>
                <c:pt idx="39">
                  <c:v>21291</c:v>
                </c:pt>
                <c:pt idx="40">
                  <c:v>29797</c:v>
                </c:pt>
                <c:pt idx="41">
                  <c:v>29437</c:v>
                </c:pt>
                <c:pt idx="42">
                  <c:v>44053</c:v>
                </c:pt>
                <c:pt idx="43">
                  <c:v>3139</c:v>
                </c:pt>
                <c:pt idx="44">
                  <c:v>10503</c:v>
                </c:pt>
                <c:pt idx="45">
                  <c:v>43495</c:v>
                </c:pt>
                <c:pt idx="46">
                  <c:v>12837</c:v>
                </c:pt>
                <c:pt idx="47">
                  <c:v>13434</c:v>
                </c:pt>
                <c:pt idx="48">
                  <c:v>10996</c:v>
                </c:pt>
                <c:pt idx="49">
                  <c:v>11031</c:v>
                </c:pt>
                <c:pt idx="50">
                  <c:v>1129</c:v>
                </c:pt>
                <c:pt idx="51">
                  <c:v>32979</c:v>
                </c:pt>
                <c:pt idx="52">
                  <c:v>26812</c:v>
                </c:pt>
                <c:pt idx="53">
                  <c:v>1520</c:v>
                </c:pt>
                <c:pt idx="54">
                  <c:v>38923</c:v>
                </c:pt>
                <c:pt idx="55">
                  <c:v>7925</c:v>
                </c:pt>
                <c:pt idx="56">
                  <c:v>37599</c:v>
                </c:pt>
                <c:pt idx="57">
                  <c:v>3510</c:v>
                </c:pt>
                <c:pt idx="58">
                  <c:v>18627</c:v>
                </c:pt>
                <c:pt idx="59">
                  <c:v>38225</c:v>
                </c:pt>
                <c:pt idx="60">
                  <c:v>7474</c:v>
                </c:pt>
                <c:pt idx="61">
                  <c:v>4099</c:v>
                </c:pt>
                <c:pt idx="62">
                  <c:v>1225</c:v>
                </c:pt>
                <c:pt idx="63">
                  <c:v>1644</c:v>
                </c:pt>
                <c:pt idx="64">
                  <c:v>1386</c:v>
                </c:pt>
                <c:pt idx="65">
                  <c:v>31087</c:v>
                </c:pt>
                <c:pt idx="66">
                  <c:v>25430</c:v>
                </c:pt>
                <c:pt idx="67">
                  <c:v>11593</c:v>
                </c:pt>
                <c:pt idx="68">
                  <c:v>7279</c:v>
                </c:pt>
                <c:pt idx="69">
                  <c:v>6816</c:v>
                </c:pt>
                <c:pt idx="70">
                  <c:v>53874</c:v>
                </c:pt>
                <c:pt idx="71">
                  <c:v>4270</c:v>
                </c:pt>
                <c:pt idx="72">
                  <c:v>20260</c:v>
                </c:pt>
                <c:pt idx="73">
                  <c:v>1710</c:v>
                </c:pt>
                <c:pt idx="74">
                  <c:v>24200</c:v>
                </c:pt>
                <c:pt idx="75">
                  <c:v>10504</c:v>
                </c:pt>
                <c:pt idx="76">
                  <c:v>5903</c:v>
                </c:pt>
                <c:pt idx="77">
                  <c:v>47758</c:v>
                </c:pt>
                <c:pt idx="78">
                  <c:v>15573</c:v>
                </c:pt>
                <c:pt idx="79">
                  <c:v>14646</c:v>
                </c:pt>
                <c:pt idx="80">
                  <c:v>42182</c:v>
                </c:pt>
                <c:pt idx="81">
                  <c:v>31590</c:v>
                </c:pt>
                <c:pt idx="82">
                  <c:v>33297</c:v>
                </c:pt>
                <c:pt idx="83">
                  <c:v>8606</c:v>
                </c:pt>
                <c:pt idx="84">
                  <c:v>11752</c:v>
                </c:pt>
                <c:pt idx="85">
                  <c:v>36162</c:v>
                </c:pt>
                <c:pt idx="86">
                  <c:v>23468</c:v>
                </c:pt>
                <c:pt idx="87">
                  <c:v>2898</c:v>
                </c:pt>
                <c:pt idx="88">
                  <c:v>3245</c:v>
                </c:pt>
                <c:pt idx="89">
                  <c:v>3267</c:v>
                </c:pt>
                <c:pt idx="90">
                  <c:v>1824</c:v>
                </c:pt>
                <c:pt idx="91">
                  <c:v>34644</c:v>
                </c:pt>
                <c:pt idx="92">
                  <c:v>5212</c:v>
                </c:pt>
                <c:pt idx="93">
                  <c:v>17050</c:v>
                </c:pt>
                <c:pt idx="94">
                  <c:v>958</c:v>
                </c:pt>
                <c:pt idx="95">
                  <c:v>17261</c:v>
                </c:pt>
                <c:pt idx="96">
                  <c:v>9997</c:v>
                </c:pt>
                <c:pt idx="97">
                  <c:v>10624</c:v>
                </c:pt>
                <c:pt idx="98">
                  <c:v>2598</c:v>
                </c:pt>
                <c:pt idx="99">
                  <c:v>26665</c:v>
                </c:pt>
                <c:pt idx="100">
                  <c:v>23282</c:v>
                </c:pt>
                <c:pt idx="101">
                  <c:v>7319</c:v>
                </c:pt>
                <c:pt idx="102">
                  <c:v>4896</c:v>
                </c:pt>
                <c:pt idx="103">
                  <c:v>1400</c:v>
                </c:pt>
                <c:pt idx="104">
                  <c:v>14408</c:v>
                </c:pt>
                <c:pt idx="105">
                  <c:v>16850</c:v>
                </c:pt>
                <c:pt idx="106">
                  <c:v>3661</c:v>
                </c:pt>
                <c:pt idx="107">
                  <c:v>12547</c:v>
                </c:pt>
                <c:pt idx="108">
                  <c:v>1684</c:v>
                </c:pt>
                <c:pt idx="109">
                  <c:v>30265</c:v>
                </c:pt>
                <c:pt idx="110">
                  <c:v>4012</c:v>
                </c:pt>
                <c:pt idx="111">
                  <c:v>14833</c:v>
                </c:pt>
                <c:pt idx="112">
                  <c:v>11819</c:v>
                </c:pt>
                <c:pt idx="113">
                  <c:v>1176</c:v>
                </c:pt>
                <c:pt idx="114">
                  <c:v>3877</c:v>
                </c:pt>
                <c:pt idx="115">
                  <c:v>18350</c:v>
                </c:pt>
                <c:pt idx="116">
                  <c:v>799</c:v>
                </c:pt>
                <c:pt idx="117">
                  <c:v>24320</c:v>
                </c:pt>
                <c:pt idx="118">
                  <c:v>10040</c:v>
                </c:pt>
                <c:pt idx="119">
                  <c:v>943</c:v>
                </c:pt>
                <c:pt idx="120">
                  <c:v>5727</c:v>
                </c:pt>
                <c:pt idx="121">
                  <c:v>4712</c:v>
                </c:pt>
                <c:pt idx="122">
                  <c:v>45784</c:v>
                </c:pt>
                <c:pt idx="123">
                  <c:v>2352</c:v>
                </c:pt>
                <c:pt idx="124">
                  <c:v>34186</c:v>
                </c:pt>
                <c:pt idx="125">
                  <c:v>48226</c:v>
                </c:pt>
                <c:pt idx="126">
                  <c:v>4743</c:v>
                </c:pt>
                <c:pt idx="127">
                  <c:v>20485</c:v>
                </c:pt>
                <c:pt idx="128">
                  <c:v>11903</c:v>
                </c:pt>
                <c:pt idx="129">
                  <c:v>6876</c:v>
                </c:pt>
                <c:pt idx="130">
                  <c:v>2529</c:v>
                </c:pt>
                <c:pt idx="131">
                  <c:v>24787</c:v>
                </c:pt>
                <c:pt idx="132">
                  <c:v>1390</c:v>
                </c:pt>
                <c:pt idx="133">
                  <c:v>26437</c:v>
                </c:pt>
                <c:pt idx="134">
                  <c:v>8219</c:v>
                </c:pt>
                <c:pt idx="135">
                  <c:v>19203</c:v>
                </c:pt>
                <c:pt idx="136">
                  <c:v>23038</c:v>
                </c:pt>
                <c:pt idx="137">
                  <c:v>1549</c:v>
                </c:pt>
                <c:pt idx="138">
                  <c:v>52469</c:v>
                </c:pt>
                <c:pt idx="139">
                  <c:v>3975</c:v>
                </c:pt>
                <c:pt idx="140">
                  <c:v>2251</c:v>
                </c:pt>
                <c:pt idx="141">
                  <c:v>2047</c:v>
                </c:pt>
                <c:pt idx="142">
                  <c:v>2085</c:v>
                </c:pt>
                <c:pt idx="143">
                  <c:v>7776</c:v>
                </c:pt>
                <c:pt idx="144">
                  <c:v>624</c:v>
                </c:pt>
                <c:pt idx="145">
                  <c:v>12908</c:v>
                </c:pt>
                <c:pt idx="146">
                  <c:v>3047</c:v>
                </c:pt>
                <c:pt idx="147">
                  <c:v>3003</c:v>
                </c:pt>
                <c:pt idx="148">
                  <c:v>17125</c:v>
                </c:pt>
                <c:pt idx="149">
                  <c:v>27204</c:v>
                </c:pt>
                <c:pt idx="150">
                  <c:v>28550</c:v>
                </c:pt>
                <c:pt idx="151">
                  <c:v>44892</c:v>
                </c:pt>
                <c:pt idx="152">
                  <c:v>6095</c:v>
                </c:pt>
                <c:pt idx="153">
                  <c:v>25684</c:v>
                </c:pt>
                <c:pt idx="154">
                  <c:v>4637</c:v>
                </c:pt>
                <c:pt idx="155">
                  <c:v>2191</c:v>
                </c:pt>
                <c:pt idx="156">
                  <c:v>1433</c:v>
                </c:pt>
                <c:pt idx="157">
                  <c:v>14512</c:v>
                </c:pt>
                <c:pt idx="158">
                  <c:v>2582</c:v>
                </c:pt>
                <c:pt idx="159">
                  <c:v>15865</c:v>
                </c:pt>
                <c:pt idx="160">
                  <c:v>2086</c:v>
                </c:pt>
                <c:pt idx="161">
                  <c:v>5069</c:v>
                </c:pt>
                <c:pt idx="162">
                  <c:v>30113</c:v>
                </c:pt>
                <c:pt idx="163">
                  <c:v>11126</c:v>
                </c:pt>
                <c:pt idx="164">
                  <c:v>19360</c:v>
                </c:pt>
                <c:pt idx="165">
                  <c:v>2571</c:v>
                </c:pt>
                <c:pt idx="166">
                  <c:v>1680</c:v>
                </c:pt>
                <c:pt idx="167">
                  <c:v>8449</c:v>
                </c:pt>
                <c:pt idx="168">
                  <c:v>20438</c:v>
                </c:pt>
                <c:pt idx="169">
                  <c:v>53354</c:v>
                </c:pt>
                <c:pt idx="170">
                  <c:v>5598</c:v>
                </c:pt>
                <c:pt idx="171">
                  <c:v>10435</c:v>
                </c:pt>
                <c:pt idx="172">
                  <c:v>15753</c:v>
                </c:pt>
                <c:pt idx="173">
                  <c:v>5623</c:v>
                </c:pt>
                <c:pt idx="174">
                  <c:v>2912</c:v>
                </c:pt>
                <c:pt idx="175">
                  <c:v>5558</c:v>
                </c:pt>
                <c:pt idx="176">
                  <c:v>3887</c:v>
                </c:pt>
                <c:pt idx="177">
                  <c:v>12509</c:v>
                </c:pt>
                <c:pt idx="178">
                  <c:v>4034</c:v>
                </c:pt>
                <c:pt idx="179">
                  <c:v>1801</c:v>
                </c:pt>
              </c:numCache>
            </c:numRef>
          </c:xVal>
          <c:yVal>
            <c:numRef>
              <c:f>[0]!_07_y_axis</c:f>
              <c:numCache>
                <c:formatCode>General</c:formatCode>
                <c:ptCount val="180"/>
                <c:pt idx="0">
                  <c:v>89.4</c:v>
                </c:pt>
                <c:pt idx="1">
                  <c:v>89.4</c:v>
                </c:pt>
                <c:pt idx="2">
                  <c:v>89.4</c:v>
                </c:pt>
                <c:pt idx="3">
                  <c:v>89.4</c:v>
                </c:pt>
                <c:pt idx="4">
                  <c:v>89.4</c:v>
                </c:pt>
                <c:pt idx="5">
                  <c:v>89.4</c:v>
                </c:pt>
                <c:pt idx="6">
                  <c:v>89.4</c:v>
                </c:pt>
                <c:pt idx="7">
                  <c:v>89.4</c:v>
                </c:pt>
                <c:pt idx="8">
                  <c:v>89.4</c:v>
                </c:pt>
                <c:pt idx="9">
                  <c:v>89.4</c:v>
                </c:pt>
                <c:pt idx="10">
                  <c:v>89.4</c:v>
                </c:pt>
                <c:pt idx="11">
                  <c:v>89.4</c:v>
                </c:pt>
                <c:pt idx="12">
                  <c:v>89.4</c:v>
                </c:pt>
                <c:pt idx="13">
                  <c:v>89.4</c:v>
                </c:pt>
                <c:pt idx="14">
                  <c:v>89.4</c:v>
                </c:pt>
                <c:pt idx="15">
                  <c:v>89.4</c:v>
                </c:pt>
                <c:pt idx="16">
                  <c:v>89.4</c:v>
                </c:pt>
                <c:pt idx="17">
                  <c:v>89.4</c:v>
                </c:pt>
                <c:pt idx="18">
                  <c:v>89.4</c:v>
                </c:pt>
                <c:pt idx="19">
                  <c:v>89.4</c:v>
                </c:pt>
                <c:pt idx="20">
                  <c:v>89.4</c:v>
                </c:pt>
                <c:pt idx="21">
                  <c:v>89.4</c:v>
                </c:pt>
                <c:pt idx="22">
                  <c:v>89.4</c:v>
                </c:pt>
                <c:pt idx="23">
                  <c:v>89.4</c:v>
                </c:pt>
                <c:pt idx="24">
                  <c:v>89.4</c:v>
                </c:pt>
                <c:pt idx="25">
                  <c:v>89.4</c:v>
                </c:pt>
                <c:pt idx="26">
                  <c:v>89.4</c:v>
                </c:pt>
                <c:pt idx="27">
                  <c:v>89.4</c:v>
                </c:pt>
                <c:pt idx="28">
                  <c:v>89.4</c:v>
                </c:pt>
                <c:pt idx="29">
                  <c:v>89.4</c:v>
                </c:pt>
                <c:pt idx="30">
                  <c:v>89.4</c:v>
                </c:pt>
                <c:pt idx="31">
                  <c:v>89.4</c:v>
                </c:pt>
                <c:pt idx="32">
                  <c:v>89.4</c:v>
                </c:pt>
                <c:pt idx="33">
                  <c:v>89.4</c:v>
                </c:pt>
                <c:pt idx="34">
                  <c:v>89.4</c:v>
                </c:pt>
                <c:pt idx="35">
                  <c:v>89.4</c:v>
                </c:pt>
                <c:pt idx="36">
                  <c:v>89.4</c:v>
                </c:pt>
                <c:pt idx="37">
                  <c:v>89.4</c:v>
                </c:pt>
                <c:pt idx="38">
                  <c:v>89.4</c:v>
                </c:pt>
                <c:pt idx="39">
                  <c:v>89.4</c:v>
                </c:pt>
                <c:pt idx="40">
                  <c:v>89.4</c:v>
                </c:pt>
                <c:pt idx="41">
                  <c:v>89.4</c:v>
                </c:pt>
                <c:pt idx="42">
                  <c:v>89.4</c:v>
                </c:pt>
                <c:pt idx="43">
                  <c:v>89.4</c:v>
                </c:pt>
                <c:pt idx="44">
                  <c:v>89.4</c:v>
                </c:pt>
                <c:pt idx="45">
                  <c:v>89.4</c:v>
                </c:pt>
                <c:pt idx="46">
                  <c:v>89.4</c:v>
                </c:pt>
                <c:pt idx="47">
                  <c:v>89.4</c:v>
                </c:pt>
                <c:pt idx="48">
                  <c:v>89.4</c:v>
                </c:pt>
                <c:pt idx="49">
                  <c:v>89.4</c:v>
                </c:pt>
                <c:pt idx="50">
                  <c:v>89.4</c:v>
                </c:pt>
                <c:pt idx="51">
                  <c:v>89.4</c:v>
                </c:pt>
                <c:pt idx="52">
                  <c:v>89.4</c:v>
                </c:pt>
                <c:pt idx="53">
                  <c:v>89.4</c:v>
                </c:pt>
                <c:pt idx="54">
                  <c:v>89.4</c:v>
                </c:pt>
                <c:pt idx="55">
                  <c:v>89.4</c:v>
                </c:pt>
                <c:pt idx="56">
                  <c:v>89.4</c:v>
                </c:pt>
                <c:pt idx="57">
                  <c:v>89.4</c:v>
                </c:pt>
                <c:pt idx="58">
                  <c:v>89.4</c:v>
                </c:pt>
                <c:pt idx="59">
                  <c:v>89.4</c:v>
                </c:pt>
                <c:pt idx="60">
                  <c:v>89.4</c:v>
                </c:pt>
                <c:pt idx="61">
                  <c:v>89.4</c:v>
                </c:pt>
                <c:pt idx="62">
                  <c:v>89.4</c:v>
                </c:pt>
                <c:pt idx="63">
                  <c:v>89.4</c:v>
                </c:pt>
                <c:pt idx="64">
                  <c:v>89.4</c:v>
                </c:pt>
                <c:pt idx="65">
                  <c:v>89.4</c:v>
                </c:pt>
                <c:pt idx="66">
                  <c:v>89.4</c:v>
                </c:pt>
                <c:pt idx="67">
                  <c:v>89.4</c:v>
                </c:pt>
                <c:pt idx="68">
                  <c:v>89.4</c:v>
                </c:pt>
                <c:pt idx="69">
                  <c:v>89.4</c:v>
                </c:pt>
                <c:pt idx="70">
                  <c:v>89.4</c:v>
                </c:pt>
                <c:pt idx="71">
                  <c:v>89.4</c:v>
                </c:pt>
                <c:pt idx="72">
                  <c:v>89.4</c:v>
                </c:pt>
                <c:pt idx="73">
                  <c:v>89.4</c:v>
                </c:pt>
                <c:pt idx="74">
                  <c:v>89.4</c:v>
                </c:pt>
                <c:pt idx="75">
                  <c:v>89.4</c:v>
                </c:pt>
                <c:pt idx="76">
                  <c:v>89.4</c:v>
                </c:pt>
                <c:pt idx="77">
                  <c:v>89.4</c:v>
                </c:pt>
                <c:pt idx="78">
                  <c:v>89.4</c:v>
                </c:pt>
                <c:pt idx="79">
                  <c:v>89.4</c:v>
                </c:pt>
                <c:pt idx="80">
                  <c:v>89.4</c:v>
                </c:pt>
                <c:pt idx="81">
                  <c:v>89.4</c:v>
                </c:pt>
                <c:pt idx="82">
                  <c:v>89.4</c:v>
                </c:pt>
                <c:pt idx="83">
                  <c:v>89.4</c:v>
                </c:pt>
                <c:pt idx="84">
                  <c:v>89.4</c:v>
                </c:pt>
                <c:pt idx="85">
                  <c:v>89.4</c:v>
                </c:pt>
                <c:pt idx="86">
                  <c:v>89.4</c:v>
                </c:pt>
                <c:pt idx="87">
                  <c:v>89.4</c:v>
                </c:pt>
                <c:pt idx="88">
                  <c:v>89.4</c:v>
                </c:pt>
                <c:pt idx="89">
                  <c:v>89.4</c:v>
                </c:pt>
                <c:pt idx="90">
                  <c:v>89.4</c:v>
                </c:pt>
                <c:pt idx="91">
                  <c:v>89.4</c:v>
                </c:pt>
                <c:pt idx="92">
                  <c:v>89.4</c:v>
                </c:pt>
                <c:pt idx="93">
                  <c:v>89.4</c:v>
                </c:pt>
                <c:pt idx="94">
                  <c:v>89.4</c:v>
                </c:pt>
                <c:pt idx="95">
                  <c:v>89.4</c:v>
                </c:pt>
                <c:pt idx="96">
                  <c:v>89.4</c:v>
                </c:pt>
                <c:pt idx="97">
                  <c:v>89.4</c:v>
                </c:pt>
                <c:pt idx="98">
                  <c:v>89.4</c:v>
                </c:pt>
                <c:pt idx="99">
                  <c:v>89.4</c:v>
                </c:pt>
                <c:pt idx="100">
                  <c:v>89.4</c:v>
                </c:pt>
                <c:pt idx="101">
                  <c:v>89.4</c:v>
                </c:pt>
                <c:pt idx="102">
                  <c:v>89.4</c:v>
                </c:pt>
                <c:pt idx="103">
                  <c:v>89.4</c:v>
                </c:pt>
                <c:pt idx="104">
                  <c:v>89.4</c:v>
                </c:pt>
                <c:pt idx="105">
                  <c:v>89.4</c:v>
                </c:pt>
                <c:pt idx="106">
                  <c:v>89.4</c:v>
                </c:pt>
                <c:pt idx="107">
                  <c:v>89.4</c:v>
                </c:pt>
                <c:pt idx="108">
                  <c:v>89.4</c:v>
                </c:pt>
                <c:pt idx="109">
                  <c:v>89.4</c:v>
                </c:pt>
                <c:pt idx="110">
                  <c:v>89.4</c:v>
                </c:pt>
                <c:pt idx="111">
                  <c:v>89.4</c:v>
                </c:pt>
                <c:pt idx="112">
                  <c:v>89.4</c:v>
                </c:pt>
                <c:pt idx="113">
                  <c:v>89.4</c:v>
                </c:pt>
                <c:pt idx="114">
                  <c:v>89.4</c:v>
                </c:pt>
                <c:pt idx="115">
                  <c:v>89.4</c:v>
                </c:pt>
                <c:pt idx="116">
                  <c:v>89.4</c:v>
                </c:pt>
                <c:pt idx="117">
                  <c:v>89.4</c:v>
                </c:pt>
                <c:pt idx="118">
                  <c:v>89.4</c:v>
                </c:pt>
                <c:pt idx="119">
                  <c:v>89.4</c:v>
                </c:pt>
                <c:pt idx="120">
                  <c:v>89.4</c:v>
                </c:pt>
                <c:pt idx="121">
                  <c:v>89.4</c:v>
                </c:pt>
                <c:pt idx="122">
                  <c:v>89.4</c:v>
                </c:pt>
                <c:pt idx="123">
                  <c:v>89.4</c:v>
                </c:pt>
                <c:pt idx="124">
                  <c:v>89.4</c:v>
                </c:pt>
                <c:pt idx="125">
                  <c:v>89.4</c:v>
                </c:pt>
                <c:pt idx="126">
                  <c:v>89.4</c:v>
                </c:pt>
                <c:pt idx="127">
                  <c:v>89.4</c:v>
                </c:pt>
                <c:pt idx="128">
                  <c:v>89.4</c:v>
                </c:pt>
                <c:pt idx="129">
                  <c:v>89.4</c:v>
                </c:pt>
                <c:pt idx="130">
                  <c:v>89.4</c:v>
                </c:pt>
                <c:pt idx="131">
                  <c:v>89.4</c:v>
                </c:pt>
                <c:pt idx="132">
                  <c:v>89.4</c:v>
                </c:pt>
                <c:pt idx="133">
                  <c:v>89.4</c:v>
                </c:pt>
                <c:pt idx="134">
                  <c:v>89.4</c:v>
                </c:pt>
                <c:pt idx="135">
                  <c:v>89.4</c:v>
                </c:pt>
                <c:pt idx="136">
                  <c:v>89.4</c:v>
                </c:pt>
                <c:pt idx="137">
                  <c:v>89.4</c:v>
                </c:pt>
                <c:pt idx="138">
                  <c:v>89.4</c:v>
                </c:pt>
                <c:pt idx="139">
                  <c:v>89.4</c:v>
                </c:pt>
                <c:pt idx="140">
                  <c:v>89.4</c:v>
                </c:pt>
                <c:pt idx="141">
                  <c:v>89.4</c:v>
                </c:pt>
                <c:pt idx="142">
                  <c:v>89.4</c:v>
                </c:pt>
                <c:pt idx="143">
                  <c:v>89.4</c:v>
                </c:pt>
                <c:pt idx="144">
                  <c:v>89.4</c:v>
                </c:pt>
                <c:pt idx="145">
                  <c:v>89.4</c:v>
                </c:pt>
                <c:pt idx="146">
                  <c:v>89.4</c:v>
                </c:pt>
                <c:pt idx="147">
                  <c:v>89.4</c:v>
                </c:pt>
                <c:pt idx="148">
                  <c:v>89.4</c:v>
                </c:pt>
                <c:pt idx="149">
                  <c:v>89.4</c:v>
                </c:pt>
                <c:pt idx="150">
                  <c:v>89.4</c:v>
                </c:pt>
                <c:pt idx="151">
                  <c:v>89.4</c:v>
                </c:pt>
                <c:pt idx="152">
                  <c:v>89.4</c:v>
                </c:pt>
                <c:pt idx="153">
                  <c:v>89.4</c:v>
                </c:pt>
                <c:pt idx="154">
                  <c:v>89.4</c:v>
                </c:pt>
                <c:pt idx="155">
                  <c:v>89.4</c:v>
                </c:pt>
                <c:pt idx="156">
                  <c:v>89.4</c:v>
                </c:pt>
                <c:pt idx="157">
                  <c:v>89.4</c:v>
                </c:pt>
                <c:pt idx="158">
                  <c:v>89.4</c:v>
                </c:pt>
                <c:pt idx="159">
                  <c:v>89.4</c:v>
                </c:pt>
                <c:pt idx="160">
                  <c:v>89.4</c:v>
                </c:pt>
                <c:pt idx="161">
                  <c:v>89.4</c:v>
                </c:pt>
                <c:pt idx="162">
                  <c:v>89.4</c:v>
                </c:pt>
                <c:pt idx="163">
                  <c:v>89.4</c:v>
                </c:pt>
                <c:pt idx="164">
                  <c:v>89.4</c:v>
                </c:pt>
                <c:pt idx="165">
                  <c:v>89.4</c:v>
                </c:pt>
                <c:pt idx="166">
                  <c:v>89.4</c:v>
                </c:pt>
                <c:pt idx="167">
                  <c:v>89.4</c:v>
                </c:pt>
                <c:pt idx="168">
                  <c:v>89.4</c:v>
                </c:pt>
                <c:pt idx="169">
                  <c:v>89.4</c:v>
                </c:pt>
                <c:pt idx="170">
                  <c:v>89.4</c:v>
                </c:pt>
                <c:pt idx="171">
                  <c:v>89.4</c:v>
                </c:pt>
                <c:pt idx="172">
                  <c:v>89.4</c:v>
                </c:pt>
                <c:pt idx="173">
                  <c:v>89.4</c:v>
                </c:pt>
                <c:pt idx="174">
                  <c:v>89.4</c:v>
                </c:pt>
                <c:pt idx="175">
                  <c:v>89.4</c:v>
                </c:pt>
                <c:pt idx="176">
                  <c:v>89.4</c:v>
                </c:pt>
                <c:pt idx="177">
                  <c:v>89.4</c:v>
                </c:pt>
                <c:pt idx="178">
                  <c:v>89.4</c:v>
                </c:pt>
                <c:pt idx="179">
                  <c:v>89.4</c:v>
                </c:pt>
              </c:numCache>
            </c:numRef>
          </c:yVal>
          <c:smooth val="0"/>
          <c:extLst>
            <c:ext xmlns:c16="http://schemas.microsoft.com/office/drawing/2014/chart" uri="{C3380CC4-5D6E-409C-BE32-E72D297353CC}">
              <c16:uniqueId val="{00000000-D240-48D2-B501-A492E788FF50}"/>
            </c:ext>
          </c:extLst>
        </c:ser>
        <c:ser>
          <c:idx val="2"/>
          <c:order val="2"/>
          <c:tx>
            <c:v>y_barcodes</c:v>
          </c:tx>
          <c:spPr>
            <a:ln w="25400" cap="rnd">
              <a:noFill/>
              <a:round/>
            </a:ln>
            <a:effectLst/>
          </c:spPr>
          <c:marker>
            <c:symbol val="none"/>
          </c:marker>
          <c:errBars>
            <c:errDir val="x"/>
            <c:errBarType val="both"/>
            <c:errValType val="fixedVal"/>
            <c:noEndCap val="1"/>
            <c:val val="1000"/>
            <c:spPr>
              <a:noFill/>
              <a:ln w="9525" cap="flat" cmpd="sng" algn="ctr">
                <a:solidFill>
                  <a:schemeClr val="bg1">
                    <a:lumMod val="50000"/>
                    <a:alpha val="50000"/>
                  </a:schemeClr>
                </a:solidFill>
                <a:round/>
              </a:ln>
              <a:effectLst/>
            </c:spPr>
          </c:errBars>
          <c:xVal>
            <c:numRef>
              <c:f>[0]!_06_x_axis</c:f>
              <c:numCache>
                <c:formatCode>General</c:formatCode>
                <c:ptCount val="180"/>
                <c:pt idx="0">
                  <c:v>59000</c:v>
                </c:pt>
                <c:pt idx="1">
                  <c:v>59000</c:v>
                </c:pt>
                <c:pt idx="2">
                  <c:v>59000</c:v>
                </c:pt>
                <c:pt idx="3">
                  <c:v>59000</c:v>
                </c:pt>
                <c:pt idx="4">
                  <c:v>59000</c:v>
                </c:pt>
                <c:pt idx="5">
                  <c:v>59000</c:v>
                </c:pt>
                <c:pt idx="6">
                  <c:v>59000</c:v>
                </c:pt>
                <c:pt idx="7">
                  <c:v>59000</c:v>
                </c:pt>
                <c:pt idx="8">
                  <c:v>59000</c:v>
                </c:pt>
                <c:pt idx="9">
                  <c:v>59000</c:v>
                </c:pt>
                <c:pt idx="10">
                  <c:v>59000</c:v>
                </c:pt>
                <c:pt idx="11">
                  <c:v>59000</c:v>
                </c:pt>
                <c:pt idx="12">
                  <c:v>59000</c:v>
                </c:pt>
                <c:pt idx="13">
                  <c:v>59000</c:v>
                </c:pt>
                <c:pt idx="14">
                  <c:v>59000</c:v>
                </c:pt>
                <c:pt idx="15">
                  <c:v>59000</c:v>
                </c:pt>
                <c:pt idx="16">
                  <c:v>59000</c:v>
                </c:pt>
                <c:pt idx="17">
                  <c:v>59000</c:v>
                </c:pt>
                <c:pt idx="18">
                  <c:v>59000</c:v>
                </c:pt>
                <c:pt idx="19">
                  <c:v>59000</c:v>
                </c:pt>
                <c:pt idx="20">
                  <c:v>59000</c:v>
                </c:pt>
                <c:pt idx="21">
                  <c:v>59000</c:v>
                </c:pt>
                <c:pt idx="22">
                  <c:v>59000</c:v>
                </c:pt>
                <c:pt idx="23">
                  <c:v>59000</c:v>
                </c:pt>
                <c:pt idx="24">
                  <c:v>59000</c:v>
                </c:pt>
                <c:pt idx="25">
                  <c:v>59000</c:v>
                </c:pt>
                <c:pt idx="26">
                  <c:v>59000</c:v>
                </c:pt>
                <c:pt idx="27">
                  <c:v>59000</c:v>
                </c:pt>
                <c:pt idx="28">
                  <c:v>59000</c:v>
                </c:pt>
                <c:pt idx="29">
                  <c:v>59000</c:v>
                </c:pt>
                <c:pt idx="30">
                  <c:v>59000</c:v>
                </c:pt>
                <c:pt idx="31">
                  <c:v>59000</c:v>
                </c:pt>
                <c:pt idx="32">
                  <c:v>59000</c:v>
                </c:pt>
                <c:pt idx="33">
                  <c:v>59000</c:v>
                </c:pt>
                <c:pt idx="34">
                  <c:v>59000</c:v>
                </c:pt>
                <c:pt idx="35">
                  <c:v>59000</c:v>
                </c:pt>
                <c:pt idx="36">
                  <c:v>59000</c:v>
                </c:pt>
                <c:pt idx="37">
                  <c:v>59000</c:v>
                </c:pt>
                <c:pt idx="38">
                  <c:v>59000</c:v>
                </c:pt>
                <c:pt idx="39">
                  <c:v>59000</c:v>
                </c:pt>
                <c:pt idx="40">
                  <c:v>59000</c:v>
                </c:pt>
                <c:pt idx="41">
                  <c:v>59000</c:v>
                </c:pt>
                <c:pt idx="42">
                  <c:v>59000</c:v>
                </c:pt>
                <c:pt idx="43">
                  <c:v>59000</c:v>
                </c:pt>
                <c:pt idx="44">
                  <c:v>59000</c:v>
                </c:pt>
                <c:pt idx="45">
                  <c:v>59000</c:v>
                </c:pt>
                <c:pt idx="46">
                  <c:v>59000</c:v>
                </c:pt>
                <c:pt idx="47">
                  <c:v>59000</c:v>
                </c:pt>
                <c:pt idx="48">
                  <c:v>59000</c:v>
                </c:pt>
                <c:pt idx="49">
                  <c:v>59000</c:v>
                </c:pt>
                <c:pt idx="50">
                  <c:v>59000</c:v>
                </c:pt>
                <c:pt idx="51">
                  <c:v>59000</c:v>
                </c:pt>
                <c:pt idx="52">
                  <c:v>59000</c:v>
                </c:pt>
                <c:pt idx="53">
                  <c:v>59000</c:v>
                </c:pt>
                <c:pt idx="54">
                  <c:v>59000</c:v>
                </c:pt>
                <c:pt idx="55">
                  <c:v>59000</c:v>
                </c:pt>
                <c:pt idx="56">
                  <c:v>59000</c:v>
                </c:pt>
                <c:pt idx="57">
                  <c:v>59000</c:v>
                </c:pt>
                <c:pt idx="58">
                  <c:v>59000</c:v>
                </c:pt>
                <c:pt idx="59">
                  <c:v>59000</c:v>
                </c:pt>
                <c:pt idx="60">
                  <c:v>59000</c:v>
                </c:pt>
                <c:pt idx="61">
                  <c:v>59000</c:v>
                </c:pt>
                <c:pt idx="62">
                  <c:v>59000</c:v>
                </c:pt>
                <c:pt idx="63">
                  <c:v>59000</c:v>
                </c:pt>
                <c:pt idx="64">
                  <c:v>59000</c:v>
                </c:pt>
                <c:pt idx="65">
                  <c:v>59000</c:v>
                </c:pt>
                <c:pt idx="66">
                  <c:v>59000</c:v>
                </c:pt>
                <c:pt idx="67">
                  <c:v>59000</c:v>
                </c:pt>
                <c:pt idx="68">
                  <c:v>59000</c:v>
                </c:pt>
                <c:pt idx="69">
                  <c:v>59000</c:v>
                </c:pt>
                <c:pt idx="70">
                  <c:v>59000</c:v>
                </c:pt>
                <c:pt idx="71">
                  <c:v>59000</c:v>
                </c:pt>
                <c:pt idx="72">
                  <c:v>59000</c:v>
                </c:pt>
                <c:pt idx="73">
                  <c:v>59000</c:v>
                </c:pt>
                <c:pt idx="74">
                  <c:v>59000</c:v>
                </c:pt>
                <c:pt idx="75">
                  <c:v>59000</c:v>
                </c:pt>
                <c:pt idx="76">
                  <c:v>59000</c:v>
                </c:pt>
                <c:pt idx="77">
                  <c:v>59000</c:v>
                </c:pt>
                <c:pt idx="78">
                  <c:v>59000</c:v>
                </c:pt>
                <c:pt idx="79">
                  <c:v>59000</c:v>
                </c:pt>
                <c:pt idx="80">
                  <c:v>59000</c:v>
                </c:pt>
                <c:pt idx="81">
                  <c:v>59000</c:v>
                </c:pt>
                <c:pt idx="82">
                  <c:v>59000</c:v>
                </c:pt>
                <c:pt idx="83">
                  <c:v>59000</c:v>
                </c:pt>
                <c:pt idx="84">
                  <c:v>59000</c:v>
                </c:pt>
                <c:pt idx="85">
                  <c:v>59000</c:v>
                </c:pt>
                <c:pt idx="86">
                  <c:v>59000</c:v>
                </c:pt>
                <c:pt idx="87">
                  <c:v>59000</c:v>
                </c:pt>
                <c:pt idx="88">
                  <c:v>59000</c:v>
                </c:pt>
                <c:pt idx="89">
                  <c:v>59000</c:v>
                </c:pt>
                <c:pt idx="90">
                  <c:v>59000</c:v>
                </c:pt>
                <c:pt idx="91">
                  <c:v>59000</c:v>
                </c:pt>
                <c:pt idx="92">
                  <c:v>59000</c:v>
                </c:pt>
                <c:pt idx="93">
                  <c:v>59000</c:v>
                </c:pt>
                <c:pt idx="94">
                  <c:v>59000</c:v>
                </c:pt>
                <c:pt idx="95">
                  <c:v>59000</c:v>
                </c:pt>
                <c:pt idx="96">
                  <c:v>59000</c:v>
                </c:pt>
                <c:pt idx="97">
                  <c:v>59000</c:v>
                </c:pt>
                <c:pt idx="98">
                  <c:v>59000</c:v>
                </c:pt>
                <c:pt idx="99">
                  <c:v>59000</c:v>
                </c:pt>
                <c:pt idx="100">
                  <c:v>59000</c:v>
                </c:pt>
                <c:pt idx="101">
                  <c:v>59000</c:v>
                </c:pt>
                <c:pt idx="102">
                  <c:v>59000</c:v>
                </c:pt>
                <c:pt idx="103">
                  <c:v>59000</c:v>
                </c:pt>
                <c:pt idx="104">
                  <c:v>59000</c:v>
                </c:pt>
                <c:pt idx="105">
                  <c:v>59000</c:v>
                </c:pt>
                <c:pt idx="106">
                  <c:v>59000</c:v>
                </c:pt>
                <c:pt idx="107">
                  <c:v>59000</c:v>
                </c:pt>
                <c:pt idx="108">
                  <c:v>59000</c:v>
                </c:pt>
                <c:pt idx="109">
                  <c:v>59000</c:v>
                </c:pt>
                <c:pt idx="110">
                  <c:v>59000</c:v>
                </c:pt>
                <c:pt idx="111">
                  <c:v>59000</c:v>
                </c:pt>
                <c:pt idx="112">
                  <c:v>59000</c:v>
                </c:pt>
                <c:pt idx="113">
                  <c:v>59000</c:v>
                </c:pt>
                <c:pt idx="114">
                  <c:v>59000</c:v>
                </c:pt>
                <c:pt idx="115">
                  <c:v>59000</c:v>
                </c:pt>
                <c:pt idx="116">
                  <c:v>59000</c:v>
                </c:pt>
                <c:pt idx="117">
                  <c:v>59000</c:v>
                </c:pt>
                <c:pt idx="118">
                  <c:v>59000</c:v>
                </c:pt>
                <c:pt idx="119">
                  <c:v>59000</c:v>
                </c:pt>
                <c:pt idx="120">
                  <c:v>59000</c:v>
                </c:pt>
                <c:pt idx="121">
                  <c:v>59000</c:v>
                </c:pt>
                <c:pt idx="122">
                  <c:v>59000</c:v>
                </c:pt>
                <c:pt idx="123">
                  <c:v>59000</c:v>
                </c:pt>
                <c:pt idx="124">
                  <c:v>59000</c:v>
                </c:pt>
                <c:pt idx="125">
                  <c:v>59000</c:v>
                </c:pt>
                <c:pt idx="126">
                  <c:v>59000</c:v>
                </c:pt>
                <c:pt idx="127">
                  <c:v>59000</c:v>
                </c:pt>
                <c:pt idx="128">
                  <c:v>59000</c:v>
                </c:pt>
                <c:pt idx="129">
                  <c:v>59000</c:v>
                </c:pt>
                <c:pt idx="130">
                  <c:v>59000</c:v>
                </c:pt>
                <c:pt idx="131">
                  <c:v>59000</c:v>
                </c:pt>
                <c:pt idx="132">
                  <c:v>59000</c:v>
                </c:pt>
                <c:pt idx="133">
                  <c:v>59000</c:v>
                </c:pt>
                <c:pt idx="134">
                  <c:v>59000</c:v>
                </c:pt>
                <c:pt idx="135">
                  <c:v>59000</c:v>
                </c:pt>
                <c:pt idx="136">
                  <c:v>59000</c:v>
                </c:pt>
                <c:pt idx="137">
                  <c:v>59000</c:v>
                </c:pt>
                <c:pt idx="138">
                  <c:v>59000</c:v>
                </c:pt>
                <c:pt idx="139">
                  <c:v>59000</c:v>
                </c:pt>
                <c:pt idx="140">
                  <c:v>59000</c:v>
                </c:pt>
                <c:pt idx="141">
                  <c:v>59000</c:v>
                </c:pt>
                <c:pt idx="142">
                  <c:v>59000</c:v>
                </c:pt>
                <c:pt idx="143">
                  <c:v>59000</c:v>
                </c:pt>
                <c:pt idx="144">
                  <c:v>59000</c:v>
                </c:pt>
                <c:pt idx="145">
                  <c:v>59000</c:v>
                </c:pt>
                <c:pt idx="146">
                  <c:v>59000</c:v>
                </c:pt>
                <c:pt idx="147">
                  <c:v>59000</c:v>
                </c:pt>
                <c:pt idx="148">
                  <c:v>59000</c:v>
                </c:pt>
                <c:pt idx="149">
                  <c:v>59000</c:v>
                </c:pt>
                <c:pt idx="150">
                  <c:v>59000</c:v>
                </c:pt>
                <c:pt idx="151">
                  <c:v>59000</c:v>
                </c:pt>
                <c:pt idx="152">
                  <c:v>59000</c:v>
                </c:pt>
                <c:pt idx="153">
                  <c:v>59000</c:v>
                </c:pt>
                <c:pt idx="154">
                  <c:v>59000</c:v>
                </c:pt>
                <c:pt idx="155">
                  <c:v>59000</c:v>
                </c:pt>
                <c:pt idx="156">
                  <c:v>59000</c:v>
                </c:pt>
                <c:pt idx="157">
                  <c:v>59000</c:v>
                </c:pt>
                <c:pt idx="158">
                  <c:v>59000</c:v>
                </c:pt>
                <c:pt idx="159">
                  <c:v>59000</c:v>
                </c:pt>
                <c:pt idx="160">
                  <c:v>59000</c:v>
                </c:pt>
                <c:pt idx="161">
                  <c:v>59000</c:v>
                </c:pt>
                <c:pt idx="162">
                  <c:v>59000</c:v>
                </c:pt>
                <c:pt idx="163">
                  <c:v>59000</c:v>
                </c:pt>
                <c:pt idx="164">
                  <c:v>59000</c:v>
                </c:pt>
                <c:pt idx="165">
                  <c:v>59000</c:v>
                </c:pt>
                <c:pt idx="166">
                  <c:v>59000</c:v>
                </c:pt>
                <c:pt idx="167">
                  <c:v>59000</c:v>
                </c:pt>
                <c:pt idx="168">
                  <c:v>59000</c:v>
                </c:pt>
                <c:pt idx="169">
                  <c:v>59000</c:v>
                </c:pt>
                <c:pt idx="170">
                  <c:v>59000</c:v>
                </c:pt>
                <c:pt idx="171">
                  <c:v>59000</c:v>
                </c:pt>
                <c:pt idx="172">
                  <c:v>59000</c:v>
                </c:pt>
                <c:pt idx="173">
                  <c:v>59000</c:v>
                </c:pt>
                <c:pt idx="174">
                  <c:v>59000</c:v>
                </c:pt>
                <c:pt idx="175">
                  <c:v>59000</c:v>
                </c:pt>
                <c:pt idx="176">
                  <c:v>59000</c:v>
                </c:pt>
                <c:pt idx="177">
                  <c:v>59000</c:v>
                </c:pt>
                <c:pt idx="178">
                  <c:v>59000</c:v>
                </c:pt>
                <c:pt idx="179">
                  <c:v>59000</c:v>
                </c:pt>
              </c:numCache>
            </c:numRef>
          </c:xVal>
          <c:yVal>
            <c:numRef>
              <c:f>[0]!_05_y_values</c:f>
              <c:numCache>
                <c:formatCode>General</c:formatCode>
                <c:ptCount val="180"/>
                <c:pt idx="0">
                  <c:v>53.8</c:v>
                </c:pt>
                <c:pt idx="1">
                  <c:v>59.6</c:v>
                </c:pt>
                <c:pt idx="2">
                  <c:v>78</c:v>
                </c:pt>
                <c:pt idx="3">
                  <c:v>84.8</c:v>
                </c:pt>
                <c:pt idx="4">
                  <c:v>76.5</c:v>
                </c:pt>
                <c:pt idx="5">
                  <c:v>74.7</c:v>
                </c:pt>
                <c:pt idx="6">
                  <c:v>76.400000000000006</c:v>
                </c:pt>
                <c:pt idx="7">
                  <c:v>82.3</c:v>
                </c:pt>
                <c:pt idx="8">
                  <c:v>81.3</c:v>
                </c:pt>
                <c:pt idx="9">
                  <c:v>72.900000000000006</c:v>
                </c:pt>
                <c:pt idx="10">
                  <c:v>61.4</c:v>
                </c:pt>
                <c:pt idx="11">
                  <c:v>80.5</c:v>
                </c:pt>
                <c:pt idx="12">
                  <c:v>62.3</c:v>
                </c:pt>
                <c:pt idx="13">
                  <c:v>60.9</c:v>
                </c:pt>
                <c:pt idx="14">
                  <c:v>70.400000000000006</c:v>
                </c:pt>
                <c:pt idx="15">
                  <c:v>74.8</c:v>
                </c:pt>
                <c:pt idx="16">
                  <c:v>79.099999999999994</c:v>
                </c:pt>
                <c:pt idx="17">
                  <c:v>73.7</c:v>
                </c:pt>
                <c:pt idx="18">
                  <c:v>78.900000000000006</c:v>
                </c:pt>
                <c:pt idx="19">
                  <c:v>71</c:v>
                </c:pt>
                <c:pt idx="20">
                  <c:v>71.7</c:v>
                </c:pt>
                <c:pt idx="21">
                  <c:v>73.2</c:v>
                </c:pt>
                <c:pt idx="22">
                  <c:v>74.400000000000006</c:v>
                </c:pt>
                <c:pt idx="23">
                  <c:v>75.7</c:v>
                </c:pt>
                <c:pt idx="24">
                  <c:v>72.7</c:v>
                </c:pt>
                <c:pt idx="25">
                  <c:v>58.7</c:v>
                </c:pt>
                <c:pt idx="26">
                  <c:v>49.6</c:v>
                </c:pt>
                <c:pt idx="27">
                  <c:v>81.7</c:v>
                </c:pt>
                <c:pt idx="28">
                  <c:v>83</c:v>
                </c:pt>
                <c:pt idx="29">
                  <c:v>79.400000000000006</c:v>
                </c:pt>
                <c:pt idx="30">
                  <c:v>76.2</c:v>
                </c:pt>
                <c:pt idx="31">
                  <c:v>59.1</c:v>
                </c:pt>
                <c:pt idx="32">
                  <c:v>59.4</c:v>
                </c:pt>
                <c:pt idx="33">
                  <c:v>60.8</c:v>
                </c:pt>
                <c:pt idx="34">
                  <c:v>61.5</c:v>
                </c:pt>
                <c:pt idx="35">
                  <c:v>78</c:v>
                </c:pt>
                <c:pt idx="36">
                  <c:v>68.099999999999994</c:v>
                </c:pt>
                <c:pt idx="37">
                  <c:v>72.900000000000006</c:v>
                </c:pt>
                <c:pt idx="38">
                  <c:v>80.3</c:v>
                </c:pt>
                <c:pt idx="39">
                  <c:v>78.2</c:v>
                </c:pt>
                <c:pt idx="40">
                  <c:v>81.8</c:v>
                </c:pt>
                <c:pt idx="41">
                  <c:v>78.8</c:v>
                </c:pt>
                <c:pt idx="42">
                  <c:v>80.8</c:v>
                </c:pt>
                <c:pt idx="43">
                  <c:v>63.8</c:v>
                </c:pt>
                <c:pt idx="44">
                  <c:v>73.099999999999994</c:v>
                </c:pt>
                <c:pt idx="45">
                  <c:v>80.400000000000006</c:v>
                </c:pt>
                <c:pt idx="46">
                  <c:v>75.3</c:v>
                </c:pt>
                <c:pt idx="47">
                  <c:v>76.400000000000006</c:v>
                </c:pt>
                <c:pt idx="48">
                  <c:v>75.900000000000006</c:v>
                </c:pt>
                <c:pt idx="49">
                  <c:v>71.5</c:v>
                </c:pt>
                <c:pt idx="50">
                  <c:v>60.7</c:v>
                </c:pt>
                <c:pt idx="51">
                  <c:v>82.6</c:v>
                </c:pt>
                <c:pt idx="52">
                  <c:v>77.8</c:v>
                </c:pt>
                <c:pt idx="53">
                  <c:v>65.2</c:v>
                </c:pt>
                <c:pt idx="54">
                  <c:v>80.900000000000006</c:v>
                </c:pt>
                <c:pt idx="55">
                  <c:v>65.8</c:v>
                </c:pt>
                <c:pt idx="56">
                  <c:v>81.8</c:v>
                </c:pt>
                <c:pt idx="57">
                  <c:v>68.900000000000006</c:v>
                </c:pt>
                <c:pt idx="58">
                  <c:v>65.900000000000006</c:v>
                </c:pt>
                <c:pt idx="59">
                  <c:v>81</c:v>
                </c:pt>
                <c:pt idx="60">
                  <c:v>72.900000000000006</c:v>
                </c:pt>
                <c:pt idx="61">
                  <c:v>65.3</c:v>
                </c:pt>
                <c:pt idx="62">
                  <c:v>59.1</c:v>
                </c:pt>
                <c:pt idx="63">
                  <c:v>68.099999999999994</c:v>
                </c:pt>
                <c:pt idx="64">
                  <c:v>55.6</c:v>
                </c:pt>
                <c:pt idx="65">
                  <c:v>61</c:v>
                </c:pt>
                <c:pt idx="66">
                  <c:v>81</c:v>
                </c:pt>
                <c:pt idx="67">
                  <c:v>71.5</c:v>
                </c:pt>
                <c:pt idx="68">
                  <c:v>72.599999999999994</c:v>
                </c:pt>
                <c:pt idx="69">
                  <c:v>66.8</c:v>
                </c:pt>
                <c:pt idx="70">
                  <c:v>83.73</c:v>
                </c:pt>
                <c:pt idx="71">
                  <c:v>73</c:v>
                </c:pt>
                <c:pt idx="72">
                  <c:v>77.8</c:v>
                </c:pt>
                <c:pt idx="73">
                  <c:v>64.3</c:v>
                </c:pt>
                <c:pt idx="74">
                  <c:v>76.7</c:v>
                </c:pt>
                <c:pt idx="75">
                  <c:v>71.099999999999994</c:v>
                </c:pt>
                <c:pt idx="76">
                  <c:v>67.2</c:v>
                </c:pt>
                <c:pt idx="77">
                  <c:v>81.7</c:v>
                </c:pt>
                <c:pt idx="78">
                  <c:v>74.599999999999994</c:v>
                </c:pt>
                <c:pt idx="79">
                  <c:v>67.400000000000006</c:v>
                </c:pt>
                <c:pt idx="80">
                  <c:v>83.3</c:v>
                </c:pt>
                <c:pt idx="81">
                  <c:v>82.1</c:v>
                </c:pt>
                <c:pt idx="82">
                  <c:v>82.2</c:v>
                </c:pt>
                <c:pt idx="83">
                  <c:v>75</c:v>
                </c:pt>
                <c:pt idx="84">
                  <c:v>78.5</c:v>
                </c:pt>
                <c:pt idx="85">
                  <c:v>83.2</c:v>
                </c:pt>
                <c:pt idx="86">
                  <c:v>70.2</c:v>
                </c:pt>
                <c:pt idx="87">
                  <c:v>65.099999999999994</c:v>
                </c:pt>
                <c:pt idx="88">
                  <c:v>69.8</c:v>
                </c:pt>
                <c:pt idx="89">
                  <c:v>69.400000000000006</c:v>
                </c:pt>
                <c:pt idx="90">
                  <c:v>63</c:v>
                </c:pt>
                <c:pt idx="91">
                  <c:v>81</c:v>
                </c:pt>
                <c:pt idx="92">
                  <c:v>67.099999999999994</c:v>
                </c:pt>
                <c:pt idx="93">
                  <c:v>78.900000000000006</c:v>
                </c:pt>
                <c:pt idx="94">
                  <c:v>63.2</c:v>
                </c:pt>
                <c:pt idx="95">
                  <c:v>74.099999999999994</c:v>
                </c:pt>
                <c:pt idx="96">
                  <c:v>74.8</c:v>
                </c:pt>
                <c:pt idx="97">
                  <c:v>77.599999999999994</c:v>
                </c:pt>
                <c:pt idx="98">
                  <c:v>47.1</c:v>
                </c:pt>
                <c:pt idx="99">
                  <c:v>75.2</c:v>
                </c:pt>
                <c:pt idx="100">
                  <c:v>75.400000000000006</c:v>
                </c:pt>
                <c:pt idx="101">
                  <c:v>74.599999999999994</c:v>
                </c:pt>
                <c:pt idx="102">
                  <c:v>73.900000000000006</c:v>
                </c:pt>
                <c:pt idx="103">
                  <c:v>63.5</c:v>
                </c:pt>
                <c:pt idx="104">
                  <c:v>80</c:v>
                </c:pt>
                <c:pt idx="105">
                  <c:v>75.900000000000006</c:v>
                </c:pt>
                <c:pt idx="106">
                  <c:v>66.900000000000006</c:v>
                </c:pt>
                <c:pt idx="107">
                  <c:v>76.5</c:v>
                </c:pt>
                <c:pt idx="108">
                  <c:v>60.2</c:v>
                </c:pt>
                <c:pt idx="109">
                  <c:v>82.1</c:v>
                </c:pt>
                <c:pt idx="110">
                  <c:v>68</c:v>
                </c:pt>
                <c:pt idx="111">
                  <c:v>77.2</c:v>
                </c:pt>
                <c:pt idx="112">
                  <c:v>67.099999999999994</c:v>
                </c:pt>
                <c:pt idx="113">
                  <c:v>57.1</c:v>
                </c:pt>
                <c:pt idx="114">
                  <c:v>69.7</c:v>
                </c:pt>
                <c:pt idx="115">
                  <c:v>74.5</c:v>
                </c:pt>
                <c:pt idx="116">
                  <c:v>60.5</c:v>
                </c:pt>
                <c:pt idx="117">
                  <c:v>75.3</c:v>
                </c:pt>
                <c:pt idx="118">
                  <c:v>64.2</c:v>
                </c:pt>
                <c:pt idx="119">
                  <c:v>61</c:v>
                </c:pt>
                <c:pt idx="120">
                  <c:v>64.599999999999994</c:v>
                </c:pt>
                <c:pt idx="121">
                  <c:v>78</c:v>
                </c:pt>
                <c:pt idx="122">
                  <c:v>81.3</c:v>
                </c:pt>
                <c:pt idx="123">
                  <c:v>69.7</c:v>
                </c:pt>
                <c:pt idx="124">
                  <c:v>81.400000000000006</c:v>
                </c:pt>
                <c:pt idx="125">
                  <c:v>77.2</c:v>
                </c:pt>
                <c:pt idx="126">
                  <c:v>65.900000000000006</c:v>
                </c:pt>
                <c:pt idx="127">
                  <c:v>78.2</c:v>
                </c:pt>
                <c:pt idx="128">
                  <c:v>79.5</c:v>
                </c:pt>
                <c:pt idx="129">
                  <c:v>71</c:v>
                </c:pt>
                <c:pt idx="130">
                  <c:v>60.9</c:v>
                </c:pt>
                <c:pt idx="131">
                  <c:v>77.599999999999994</c:v>
                </c:pt>
                <c:pt idx="132">
                  <c:v>72.099999999999994</c:v>
                </c:pt>
                <c:pt idx="133">
                  <c:v>80.8</c:v>
                </c:pt>
                <c:pt idx="134">
                  <c:v>74.400000000000006</c:v>
                </c:pt>
                <c:pt idx="135">
                  <c:v>75.2</c:v>
                </c:pt>
                <c:pt idx="136">
                  <c:v>71</c:v>
                </c:pt>
                <c:pt idx="137">
                  <c:v>65.900000000000006</c:v>
                </c:pt>
                <c:pt idx="138">
                  <c:v>79.5</c:v>
                </c:pt>
                <c:pt idx="139">
                  <c:v>67.5</c:v>
                </c:pt>
                <c:pt idx="140">
                  <c:v>65.3</c:v>
                </c:pt>
                <c:pt idx="141">
                  <c:v>64</c:v>
                </c:pt>
                <c:pt idx="142">
                  <c:v>57.1</c:v>
                </c:pt>
                <c:pt idx="143">
                  <c:v>74.900000000000006</c:v>
                </c:pt>
                <c:pt idx="144">
                  <c:v>54.2</c:v>
                </c:pt>
                <c:pt idx="145">
                  <c:v>76.2</c:v>
                </c:pt>
                <c:pt idx="146">
                  <c:v>56.1</c:v>
                </c:pt>
                <c:pt idx="147">
                  <c:v>68</c:v>
                </c:pt>
                <c:pt idx="148">
                  <c:v>72</c:v>
                </c:pt>
                <c:pt idx="149">
                  <c:v>77.599999999999994</c:v>
                </c:pt>
                <c:pt idx="150">
                  <c:v>80.900000000000006</c:v>
                </c:pt>
                <c:pt idx="151">
                  <c:v>82.1</c:v>
                </c:pt>
                <c:pt idx="152">
                  <c:v>51.8</c:v>
                </c:pt>
                <c:pt idx="153">
                  <c:v>74.099999999999994</c:v>
                </c:pt>
                <c:pt idx="154">
                  <c:v>68.2</c:v>
                </c:pt>
                <c:pt idx="155">
                  <c:v>57.4</c:v>
                </c:pt>
                <c:pt idx="156">
                  <c:v>61.5</c:v>
                </c:pt>
                <c:pt idx="157">
                  <c:v>74.7</c:v>
                </c:pt>
                <c:pt idx="158">
                  <c:v>72.400000000000006</c:v>
                </c:pt>
                <c:pt idx="159">
                  <c:v>70</c:v>
                </c:pt>
                <c:pt idx="160">
                  <c:v>72.400000000000006</c:v>
                </c:pt>
                <c:pt idx="161">
                  <c:v>71.5</c:v>
                </c:pt>
                <c:pt idx="162">
                  <c:v>72.400000000000006</c:v>
                </c:pt>
                <c:pt idx="163">
                  <c:v>77.599999999999994</c:v>
                </c:pt>
                <c:pt idx="164">
                  <c:v>79.2</c:v>
                </c:pt>
                <c:pt idx="165">
                  <c:v>64.099999999999994</c:v>
                </c:pt>
                <c:pt idx="166">
                  <c:v>61.3</c:v>
                </c:pt>
                <c:pt idx="167">
                  <c:v>71.5</c:v>
                </c:pt>
                <c:pt idx="168">
                  <c:v>76.8</c:v>
                </c:pt>
                <c:pt idx="169">
                  <c:v>79.099999999999994</c:v>
                </c:pt>
                <c:pt idx="170">
                  <c:v>71.8</c:v>
                </c:pt>
                <c:pt idx="171">
                  <c:v>71.2</c:v>
                </c:pt>
                <c:pt idx="172">
                  <c:v>74.8</c:v>
                </c:pt>
                <c:pt idx="173">
                  <c:v>75.400000000000006</c:v>
                </c:pt>
                <c:pt idx="174">
                  <c:v>64.900000000000006</c:v>
                </c:pt>
                <c:pt idx="175">
                  <c:v>73.2</c:v>
                </c:pt>
                <c:pt idx="176">
                  <c:v>66</c:v>
                </c:pt>
                <c:pt idx="177">
                  <c:v>61.3</c:v>
                </c:pt>
                <c:pt idx="178">
                  <c:v>56.7</c:v>
                </c:pt>
                <c:pt idx="179">
                  <c:v>59.3</c:v>
                </c:pt>
              </c:numCache>
            </c:numRef>
          </c:yVal>
          <c:smooth val="0"/>
          <c:extLst>
            <c:ext xmlns:c16="http://schemas.microsoft.com/office/drawing/2014/chart" uri="{C3380CC4-5D6E-409C-BE32-E72D297353CC}">
              <c16:uniqueId val="{00000003-D240-48D2-B501-A492E788FF50}"/>
            </c:ext>
          </c:extLst>
        </c:ser>
        <c:ser>
          <c:idx val="3"/>
          <c:order val="3"/>
          <c:tx>
            <c:strRef>
              <c:f>example!$AA$10</c:f>
              <c:strCache>
                <c:ptCount val="1"/>
                <c:pt idx="0">
                  <c:v>if highlight selected</c:v>
                </c:pt>
              </c:strCache>
            </c:strRef>
          </c:tx>
          <c:spPr>
            <a:ln w="25400" cap="rnd">
              <a:noFill/>
              <a:round/>
            </a:ln>
            <a:effectLst/>
          </c:spPr>
          <c:marker>
            <c:symbol val="circle"/>
            <c:size val="8"/>
            <c:spPr>
              <a:solidFill>
                <a:srgbClr val="FF3300">
                  <a:alpha val="50000"/>
                </a:srgbClr>
              </a:solidFill>
              <a:ln w="9525">
                <a:solidFill>
                  <a:srgbClr val="C00000"/>
                </a:solidFill>
              </a:ln>
              <a:effectLst/>
            </c:spPr>
          </c:marker>
          <c:xVal>
            <c:numRef>
              <c:f>[0]!_12_x_highlighted</c:f>
              <c:numCache>
                <c:formatCode>General</c:formatCode>
                <c:ptCount val="1"/>
                <c:pt idx="0">
                  <c:v>#N/A</c:v>
                </c:pt>
              </c:numCache>
            </c:numRef>
          </c:xVal>
          <c:yVal>
            <c:numRef>
              <c:f>[0]!_13_y_highlighted</c:f>
              <c:numCache>
                <c:formatCode>General</c:formatCode>
                <c:ptCount val="1"/>
                <c:pt idx="0">
                  <c:v>#N/A</c:v>
                </c:pt>
              </c:numCache>
            </c:numRef>
          </c:yVal>
          <c:smooth val="0"/>
          <c:extLst>
            <c:ext xmlns:c16="http://schemas.microsoft.com/office/drawing/2014/chart" uri="{C3380CC4-5D6E-409C-BE32-E72D297353CC}">
              <c16:uniqueId val="{00000000-C152-4F6E-814C-8980C5EBF105}"/>
            </c:ext>
          </c:extLst>
        </c:ser>
        <c:ser>
          <c:idx val="4"/>
          <c:order val="4"/>
          <c:tx>
            <c:strRef>
              <c:f>example!$Q$52</c:f>
              <c:strCache>
                <c:ptCount val="1"/>
                <c:pt idx="0">
                  <c:v>No highlight</c:v>
                </c:pt>
              </c:strCache>
            </c:strRef>
          </c:tx>
          <c:spPr>
            <a:ln w="25400" cap="rnd">
              <a:noFill/>
              <a:round/>
            </a:ln>
            <a:effectLst/>
          </c:spPr>
          <c:marker>
            <c:symbol val="circle"/>
            <c:size val="7"/>
            <c:spPr>
              <a:solidFill>
                <a:schemeClr val="tx1">
                  <a:lumMod val="65000"/>
                  <a:lumOff val="35000"/>
                </a:schemeClr>
              </a:solidFill>
              <a:ln w="9525">
                <a:solidFill>
                  <a:schemeClr val="tx1">
                    <a:lumMod val="65000"/>
                    <a:lumOff val="35000"/>
                  </a:schemeClr>
                </a:solidFill>
              </a:ln>
              <a:effectLst/>
            </c:spPr>
          </c:marker>
          <c:errBars>
            <c:errDir val="x"/>
            <c:errBarType val="minus"/>
            <c:errValType val="percentage"/>
            <c:noEndCap val="1"/>
            <c:val val="100"/>
            <c:spPr>
              <a:noFill/>
              <a:ln w="12700" cap="flat" cmpd="sng" algn="ctr">
                <a:solidFill>
                  <a:schemeClr val="tx1">
                    <a:lumMod val="50000"/>
                    <a:lumOff val="50000"/>
                  </a:schemeClr>
                </a:solidFill>
                <a:prstDash val="sysDot"/>
                <a:round/>
              </a:ln>
              <a:effectLst/>
            </c:spPr>
          </c:errBars>
          <c:errBars>
            <c:errDir val="y"/>
            <c:errBarType val="minus"/>
            <c:errValType val="percentage"/>
            <c:noEndCap val="1"/>
            <c:val val="100"/>
            <c:spPr>
              <a:noFill/>
              <a:ln w="12700" cap="flat" cmpd="sng" algn="ctr">
                <a:solidFill>
                  <a:schemeClr val="tx1">
                    <a:lumMod val="50000"/>
                    <a:lumOff val="50000"/>
                  </a:schemeClr>
                </a:solidFill>
                <a:prstDash val="sysDot"/>
                <a:round/>
              </a:ln>
              <a:effectLst/>
            </c:spPr>
          </c:errBars>
          <c:xVal>
            <c:numRef>
              <c:f>example!$R$52</c:f>
              <c:numCache>
                <c:formatCode>General</c:formatCode>
                <c:ptCount val="1"/>
                <c:pt idx="0">
                  <c:v>#N/A</c:v>
                </c:pt>
              </c:numCache>
            </c:numRef>
          </c:xVal>
          <c:yVal>
            <c:numRef>
              <c:f>example!$S$52</c:f>
              <c:numCache>
                <c:formatCode>General</c:formatCode>
                <c:ptCount val="1"/>
                <c:pt idx="0">
                  <c:v>#N/A</c:v>
                </c:pt>
              </c:numCache>
            </c:numRef>
          </c:yVal>
          <c:smooth val="0"/>
          <c:extLst>
            <c:ext xmlns:c16="http://schemas.microsoft.com/office/drawing/2014/chart" uri="{C3380CC4-5D6E-409C-BE32-E72D297353CC}">
              <c16:uniqueId val="{00000001-C152-4F6E-814C-8980C5EBF105}"/>
            </c:ext>
          </c:extLst>
        </c:ser>
        <c:dLbls>
          <c:showLegendKey val="0"/>
          <c:showVal val="0"/>
          <c:showCatName val="0"/>
          <c:showSerName val="0"/>
          <c:showPercent val="0"/>
          <c:showBubbleSize val="0"/>
        </c:dLbls>
        <c:axId val="1055933871"/>
        <c:axId val="1055923887"/>
      </c:scatterChart>
      <c:valAx>
        <c:axId val="1454792399"/>
        <c:scaling>
          <c:orientation val="minMax"/>
          <c:max val="60000"/>
          <c:min val="0"/>
        </c:scaling>
        <c:delete val="0"/>
        <c:axPos val="b"/>
        <c:majorGridlines>
          <c:spPr>
            <a:ln w="9525" cap="flat" cmpd="sng" algn="ctr">
              <a:solidFill>
                <a:schemeClr val="tx1">
                  <a:lumMod val="15000"/>
                  <a:lumOff val="85000"/>
                </a:schemeClr>
              </a:solidFill>
              <a:prstDash val="sysDot"/>
              <a:round/>
            </a:ln>
            <a:effectLst/>
          </c:spPr>
        </c:majorGridlines>
        <c:numFmt formatCode="#,##0," sourceLinked="0"/>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54796143"/>
        <c:crosses val="autoZero"/>
        <c:crossBetween val="midCat"/>
        <c:majorUnit val="5000"/>
        <c:minorUnit val="1000"/>
      </c:valAx>
      <c:valAx>
        <c:axId val="1454796143"/>
        <c:scaling>
          <c:orientation val="minMax"/>
          <c:max val="90"/>
          <c:min val="40"/>
        </c:scaling>
        <c:delete val="0"/>
        <c:axPos val="l"/>
        <c:majorGridlines>
          <c:spPr>
            <a:ln w="9525" cap="flat" cmpd="sng" algn="ctr">
              <a:solidFill>
                <a:schemeClr val="tx1">
                  <a:lumMod val="15000"/>
                  <a:lumOff val="85000"/>
                </a:schemeClr>
              </a:solidFill>
              <a:prstDash val="sysDot"/>
              <a:round/>
            </a:ln>
            <a:effectLst/>
          </c:spPr>
        </c:majorGridlines>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54792399"/>
        <c:crosses val="autoZero"/>
        <c:crossBetween val="midCat"/>
        <c:majorUnit val="5"/>
        <c:minorUnit val="1"/>
      </c:valAx>
      <c:valAx>
        <c:axId val="1055923887"/>
        <c:scaling>
          <c:orientation val="minMax"/>
          <c:max val="90"/>
          <c:min val="40"/>
        </c:scaling>
        <c:delete val="0"/>
        <c:axPos val="r"/>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055933871"/>
        <c:crosses val="max"/>
        <c:crossBetween val="midCat"/>
        <c:majorUnit val="5"/>
        <c:minorUnit val="1"/>
      </c:valAx>
      <c:valAx>
        <c:axId val="1055933871"/>
        <c:scaling>
          <c:orientation val="minMax"/>
          <c:max val="60000"/>
          <c:min val="0"/>
        </c:scaling>
        <c:delete val="0"/>
        <c:axPos val="t"/>
        <c:numFmt formatCode="#,##0," sourceLinked="0"/>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055923887"/>
        <c:crosses val="max"/>
        <c:crossBetween val="midCat"/>
        <c:majorUnit val="5000"/>
        <c:minorUnit val="1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Q58" fmlaRange="_09_highlight_continents" sel="1" val="0"/>
</file>

<file path=xl/ctrlProps/ctrlProp2.xml><?xml version="1.0" encoding="utf-8"?>
<formControlPr xmlns="http://schemas.microsoft.com/office/spreadsheetml/2009/9/main" objectType="List" dx="26" fmlaLink="R58" fmlaRange="_10_highlight_region" sel="1" val="0"/>
</file>

<file path=xl/ctrlProps/ctrlProp3.xml><?xml version="1.0" encoding="utf-8"?>
<formControlPr xmlns="http://schemas.microsoft.com/office/spreadsheetml/2009/9/main" objectType="List" dx="26" fmlaLink="S58" fmlaRange="_11_highlight_country" sel="1" val="0"/>
</file>

<file path=xl/ctrlProps/ctrlProp4.xml><?xml version="1.0" encoding="utf-8"?>
<formControlPr xmlns="http://schemas.microsoft.com/office/spreadsheetml/2009/9/main" objectType="List" dx="26" fmlaLink="R50" fmlaRange="_14_highlight_country" sel="1" val="0"/>
</file>

<file path=xl/ctrlProps/ctrlProp5.xml><?xml version="1.0" encoding="utf-8"?>
<formControlPr xmlns="http://schemas.microsoft.com/office/spreadsheetml/2009/9/main" objectType="Radio" checked="Checked" firstButton="1" fmlaLink="S55"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293077</xdr:colOff>
      <xdr:row>3</xdr:row>
      <xdr:rowOff>21687</xdr:rowOff>
    </xdr:from>
    <xdr:to>
      <xdr:col>13</xdr:col>
      <xdr:colOff>12309</xdr:colOff>
      <xdr:row>26</xdr:row>
      <xdr:rowOff>59787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56" t="16480" r="19902" b="11010"/>
        <a:stretch/>
      </xdr:blipFill>
      <xdr:spPr>
        <a:xfrm>
          <a:off x="293077" y="408549"/>
          <a:ext cx="6043832" cy="30040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22</xdr:col>
      <xdr:colOff>183456</xdr:colOff>
      <xdr:row>5</xdr:row>
      <xdr:rowOff>100250</xdr:rowOff>
    </xdr:from>
    <xdr:to>
      <xdr:col>25</xdr:col>
      <xdr:colOff>305100</xdr:colOff>
      <xdr:row>6</xdr:row>
      <xdr:rowOff>16429</xdr:rowOff>
    </xdr:to>
    <xdr:sp macro="" textlink="">
      <xdr:nvSpPr>
        <xdr:cNvPr id="44" name="Rectangle 43">
          <a:extLst>
            <a:ext uri="{FF2B5EF4-FFF2-40B4-BE49-F238E27FC236}">
              <a16:creationId xmlns:a16="http://schemas.microsoft.com/office/drawing/2014/main" id="{00000000-0008-0000-0100-00002C000000}"/>
            </a:ext>
          </a:extLst>
        </xdr:cNvPr>
        <xdr:cNvSpPr/>
      </xdr:nvSpPr>
      <xdr:spPr>
        <a:xfrm rot="16768435">
          <a:off x="10752258" y="-21532"/>
          <a:ext cx="45719" cy="1584684"/>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21</xdr:col>
      <xdr:colOff>442159</xdr:colOff>
      <xdr:row>5</xdr:row>
      <xdr:rowOff>96933</xdr:rowOff>
    </xdr:from>
    <xdr:to>
      <xdr:col>22</xdr:col>
      <xdr:colOff>65219</xdr:colOff>
      <xdr:row>11</xdr:row>
      <xdr:rowOff>25740</xdr:rowOff>
    </xdr:to>
    <xdr:sp macro="" textlink="">
      <xdr:nvSpPr>
        <xdr:cNvPr id="14" name="Arrow: Down 13">
          <a:extLst>
            <a:ext uri="{FF2B5EF4-FFF2-40B4-BE49-F238E27FC236}">
              <a16:creationId xmlns:a16="http://schemas.microsoft.com/office/drawing/2014/main" id="{00000000-0008-0000-0100-00000E000000}"/>
            </a:ext>
          </a:extLst>
        </xdr:cNvPr>
        <xdr:cNvSpPr/>
      </xdr:nvSpPr>
      <xdr:spPr>
        <a:xfrm>
          <a:off x="9753799" y="744633"/>
          <a:ext cx="110740" cy="706047"/>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25</xdr:col>
      <xdr:colOff>326441</xdr:colOff>
      <xdr:row>6</xdr:row>
      <xdr:rowOff>80899</xdr:rowOff>
    </xdr:from>
    <xdr:to>
      <xdr:col>25</xdr:col>
      <xdr:colOff>418944</xdr:colOff>
      <xdr:row>11</xdr:row>
      <xdr:rowOff>24880</xdr:rowOff>
    </xdr:to>
    <xdr:sp macro="" textlink="">
      <xdr:nvSpPr>
        <xdr:cNvPr id="43" name="Arrow: Down 42">
          <a:extLst>
            <a:ext uri="{FF2B5EF4-FFF2-40B4-BE49-F238E27FC236}">
              <a16:creationId xmlns:a16="http://schemas.microsoft.com/office/drawing/2014/main" id="{00000000-0008-0000-0100-00002B000000}"/>
            </a:ext>
          </a:extLst>
        </xdr:cNvPr>
        <xdr:cNvSpPr/>
      </xdr:nvSpPr>
      <xdr:spPr>
        <a:xfrm rot="20347811">
          <a:off x="11588801" y="858139"/>
          <a:ext cx="92503" cy="591681"/>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2</xdr:col>
      <xdr:colOff>1023513</xdr:colOff>
      <xdr:row>3</xdr:row>
      <xdr:rowOff>104140</xdr:rowOff>
    </xdr:from>
    <xdr:to>
      <xdr:col>4</xdr:col>
      <xdr:colOff>556261</xdr:colOff>
      <xdr:row>7</xdr:row>
      <xdr:rowOff>91247</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709313" y="492760"/>
          <a:ext cx="1590148"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a:solidFill>
                <a:schemeClr val="bg1">
                  <a:lumMod val="65000"/>
                </a:schemeClr>
              </a:solidFill>
              <a:latin typeface="Arial" panose="020B0604020202020204" pitchFamily="34" charset="0"/>
              <a:cs typeface="Arial" panose="020B0604020202020204" pitchFamily="34" charset="0"/>
            </a:rPr>
            <a:t>the data</a:t>
          </a:r>
        </a:p>
      </xdr:txBody>
    </xdr:sp>
    <xdr:clientData/>
  </xdr:twoCellAnchor>
  <xdr:twoCellAnchor editAs="absolute">
    <xdr:from>
      <xdr:col>1</xdr:col>
      <xdr:colOff>26246</xdr:colOff>
      <xdr:row>7</xdr:row>
      <xdr:rowOff>44248</xdr:rowOff>
    </xdr:from>
    <xdr:to>
      <xdr:col>6</xdr:col>
      <xdr:colOff>441959</xdr:colOff>
      <xdr:row>9</xdr:row>
      <xdr:rowOff>56304</xdr:rowOff>
    </xdr:to>
    <xdr:sp macro="" textlink="">
      <xdr:nvSpPr>
        <xdr:cNvPr id="3" name="Left Brace 2">
          <a:extLst>
            <a:ext uri="{FF2B5EF4-FFF2-40B4-BE49-F238E27FC236}">
              <a16:creationId xmlns:a16="http://schemas.microsoft.com/office/drawing/2014/main" id="{00000000-0008-0000-0100-000003000000}"/>
            </a:ext>
          </a:extLst>
        </xdr:cNvPr>
        <xdr:cNvSpPr/>
      </xdr:nvSpPr>
      <xdr:spPr>
        <a:xfrm rot="5400000">
          <a:off x="2201655" y="-1026261"/>
          <a:ext cx="271136" cy="4225713"/>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2</xdr:col>
      <xdr:colOff>205740</xdr:colOff>
      <xdr:row>4</xdr:row>
      <xdr:rowOff>38100</xdr:rowOff>
    </xdr:from>
    <xdr:to>
      <xdr:col>2</xdr:col>
      <xdr:colOff>1148611</xdr:colOff>
      <xdr:row>7</xdr:row>
      <xdr:rowOff>36766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891540" y="556260"/>
          <a:ext cx="94287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twoCellAnchor>
  <xdr:twoCellAnchor editAs="absolute">
    <xdr:from>
      <xdr:col>3</xdr:col>
      <xdr:colOff>135891</xdr:colOff>
      <xdr:row>0</xdr:row>
      <xdr:rowOff>114300</xdr:rowOff>
    </xdr:from>
    <xdr:to>
      <xdr:col>3</xdr:col>
      <xdr:colOff>540809</xdr:colOff>
      <xdr:row>4</xdr:row>
      <xdr:rowOff>49530</xdr:rowOff>
    </xdr:to>
    <xdr:sp macro="" textlink="">
      <xdr:nvSpPr>
        <xdr:cNvPr id="5" name="Oval 7">
          <a:extLst>
            <a:ext uri="{FF2B5EF4-FFF2-40B4-BE49-F238E27FC236}">
              <a16:creationId xmlns:a16="http://schemas.microsoft.com/office/drawing/2014/main" id="{00000000-0008-0000-0100-000005000000}"/>
            </a:ext>
          </a:extLst>
        </xdr:cNvPr>
        <xdr:cNvSpPr/>
      </xdr:nvSpPr>
      <xdr:spPr>
        <a:xfrm>
          <a:off x="2101851" y="114300"/>
          <a:ext cx="40491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editAs="absolute">
    <xdr:from>
      <xdr:col>11</xdr:col>
      <xdr:colOff>94826</xdr:colOff>
      <xdr:row>3</xdr:row>
      <xdr:rowOff>114300</xdr:rowOff>
    </xdr:from>
    <xdr:to>
      <xdr:col>12</xdr:col>
      <xdr:colOff>5714</xdr:colOff>
      <xdr:row>7</xdr:row>
      <xdr:rowOff>55880</xdr:rowOff>
    </xdr:to>
    <xdr:sp macro="" textlink="">
      <xdr:nvSpPr>
        <xdr:cNvPr id="6" name="Oval 5">
          <a:extLst>
            <a:ext uri="{FF2B5EF4-FFF2-40B4-BE49-F238E27FC236}">
              <a16:creationId xmlns:a16="http://schemas.microsoft.com/office/drawing/2014/main" id="{00000000-0008-0000-0100-000006000000}"/>
            </a:ext>
          </a:extLst>
        </xdr:cNvPr>
        <xdr:cNvSpPr/>
      </xdr:nvSpPr>
      <xdr:spPr>
        <a:xfrm>
          <a:off x="5756486" y="502920"/>
          <a:ext cx="398568"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editAs="absolute">
    <xdr:from>
      <xdr:col>30</xdr:col>
      <xdr:colOff>55879</xdr:colOff>
      <xdr:row>0</xdr:row>
      <xdr:rowOff>114300</xdr:rowOff>
    </xdr:from>
    <xdr:to>
      <xdr:col>31</xdr:col>
      <xdr:colOff>253152</xdr:colOff>
      <xdr:row>4</xdr:row>
      <xdr:rowOff>45720</xdr:rowOff>
    </xdr:to>
    <xdr:sp macro="" textlink="">
      <xdr:nvSpPr>
        <xdr:cNvPr id="8" name="Oval 7">
          <a:extLst>
            <a:ext uri="{FF2B5EF4-FFF2-40B4-BE49-F238E27FC236}">
              <a16:creationId xmlns:a16="http://schemas.microsoft.com/office/drawing/2014/main" id="{00000000-0008-0000-0100-000008000000}"/>
            </a:ext>
          </a:extLst>
        </xdr:cNvPr>
        <xdr:cNvSpPr/>
      </xdr:nvSpPr>
      <xdr:spPr>
        <a:xfrm>
          <a:off x="14221459" y="114300"/>
          <a:ext cx="395393" cy="44958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twoCellAnchor editAs="absolute">
    <xdr:from>
      <xdr:col>17</xdr:col>
      <xdr:colOff>154517</xdr:colOff>
      <xdr:row>4</xdr:row>
      <xdr:rowOff>0</xdr:rowOff>
    </xdr:from>
    <xdr:to>
      <xdr:col>17</xdr:col>
      <xdr:colOff>553086</xdr:colOff>
      <xdr:row>7</xdr:row>
      <xdr:rowOff>71120</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7911677" y="51816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editAs="absolute">
    <xdr:from>
      <xdr:col>17</xdr:col>
      <xdr:colOff>114300</xdr:colOff>
      <xdr:row>43</xdr:row>
      <xdr:rowOff>60960</xdr:rowOff>
    </xdr:from>
    <xdr:to>
      <xdr:col>17</xdr:col>
      <xdr:colOff>513926</xdr:colOff>
      <xdr:row>47</xdr:row>
      <xdr:rowOff>2540</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7871460" y="563118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editAs="absolute">
    <xdr:from>
      <xdr:col>22</xdr:col>
      <xdr:colOff>427989</xdr:colOff>
      <xdr:row>3</xdr:row>
      <xdr:rowOff>30480</xdr:rowOff>
    </xdr:from>
    <xdr:to>
      <xdr:col>23</xdr:col>
      <xdr:colOff>339936</xdr:colOff>
      <xdr:row>6</xdr:row>
      <xdr:rowOff>95250</xdr:rowOff>
    </xdr:to>
    <xdr:sp macro="" textlink="">
      <xdr:nvSpPr>
        <xdr:cNvPr id="11" name="Oval 10">
          <a:extLst>
            <a:ext uri="{FF2B5EF4-FFF2-40B4-BE49-F238E27FC236}">
              <a16:creationId xmlns:a16="http://schemas.microsoft.com/office/drawing/2014/main" id="{00000000-0008-0000-0100-00000B000000}"/>
            </a:ext>
          </a:extLst>
        </xdr:cNvPr>
        <xdr:cNvSpPr/>
      </xdr:nvSpPr>
      <xdr:spPr>
        <a:xfrm>
          <a:off x="10227309" y="419100"/>
          <a:ext cx="399627"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editAs="absolute">
    <xdr:from>
      <xdr:col>49</xdr:col>
      <xdr:colOff>101175</xdr:colOff>
      <xdr:row>22</xdr:row>
      <xdr:rowOff>68580</xdr:rowOff>
    </xdr:from>
    <xdr:to>
      <xdr:col>50</xdr:col>
      <xdr:colOff>180761</xdr:colOff>
      <xdr:row>26</xdr:row>
      <xdr:rowOff>10160</xdr:rowOff>
    </xdr:to>
    <xdr:sp macro="" textlink="">
      <xdr:nvSpPr>
        <xdr:cNvPr id="12" name="Oval 11">
          <a:extLst>
            <a:ext uri="{FF2B5EF4-FFF2-40B4-BE49-F238E27FC236}">
              <a16:creationId xmlns:a16="http://schemas.microsoft.com/office/drawing/2014/main" id="{00000000-0008-0000-0100-00000C000000}"/>
            </a:ext>
          </a:extLst>
        </xdr:cNvPr>
        <xdr:cNvSpPr/>
      </xdr:nvSpPr>
      <xdr:spPr>
        <a:xfrm>
          <a:off x="22778295" y="291846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editAs="absolute">
    <xdr:from>
      <xdr:col>27</xdr:col>
      <xdr:colOff>339087</xdr:colOff>
      <xdr:row>3</xdr:row>
      <xdr:rowOff>22860</xdr:rowOff>
    </xdr:from>
    <xdr:to>
      <xdr:col>28</xdr:col>
      <xdr:colOff>121493</xdr:colOff>
      <xdr:row>6</xdr:row>
      <xdr:rowOff>93980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805407" y="41148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9</a:t>
          </a:r>
        </a:p>
      </xdr:txBody>
    </xdr:sp>
    <xdr:clientData/>
  </xdr:twoCellAnchor>
  <xdr:twoCellAnchor editAs="absolute">
    <xdr:from>
      <xdr:col>21</xdr:col>
      <xdr:colOff>34714</xdr:colOff>
      <xdr:row>2</xdr:row>
      <xdr:rowOff>83820</xdr:rowOff>
    </xdr:from>
    <xdr:to>
      <xdr:col>22</xdr:col>
      <xdr:colOff>280568</xdr:colOff>
      <xdr:row>5</xdr:row>
      <xdr:rowOff>100567</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9346354" y="342900"/>
          <a:ext cx="733534"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1000" b="1" i="1">
              <a:solidFill>
                <a:schemeClr val="accent2"/>
              </a:solidFill>
            </a:rPr>
            <a:t>Backbone</a:t>
          </a:r>
          <a:r>
            <a:rPr lang="es-419" sz="1000" b="1" i="1" baseline="0">
              <a:solidFill>
                <a:schemeClr val="accent2"/>
              </a:solidFill>
            </a:rPr>
            <a:t> </a:t>
          </a:r>
          <a:br>
            <a:rPr lang="es-419" sz="1000" b="1" i="1" baseline="0">
              <a:solidFill>
                <a:schemeClr val="accent2"/>
              </a:solidFill>
            </a:rPr>
          </a:br>
          <a:r>
            <a:rPr lang="es-419" sz="1000" b="1" i="1" baseline="0">
              <a:solidFill>
                <a:schemeClr val="accent2"/>
              </a:solidFill>
            </a:rPr>
            <a:t>formulas</a:t>
          </a:r>
          <a:endParaRPr lang="es-419" sz="1000" b="1" i="1">
            <a:solidFill>
              <a:schemeClr val="accent2"/>
            </a:solidFill>
          </a:endParaRPr>
        </a:p>
      </xdr:txBody>
    </xdr:sp>
    <xdr:clientData/>
  </xdr:twoCellAnchor>
  <xdr:twoCellAnchor editAs="absolute">
    <xdr:from>
      <xdr:col>9</xdr:col>
      <xdr:colOff>335282</xdr:colOff>
      <xdr:row>7</xdr:row>
      <xdr:rowOff>99063</xdr:rowOff>
    </xdr:from>
    <xdr:to>
      <xdr:col>13</xdr:col>
      <xdr:colOff>191349</xdr:colOff>
      <xdr:row>9</xdr:row>
      <xdr:rowOff>83824</xdr:rowOff>
    </xdr:to>
    <xdr:sp macro="" textlink="">
      <xdr:nvSpPr>
        <xdr:cNvPr id="16" name="Left Brace 15">
          <a:extLst>
            <a:ext uri="{FF2B5EF4-FFF2-40B4-BE49-F238E27FC236}">
              <a16:creationId xmlns:a16="http://schemas.microsoft.com/office/drawing/2014/main" id="{00000000-0008-0000-0100-000010000000}"/>
            </a:ext>
          </a:extLst>
        </xdr:cNvPr>
        <xdr:cNvSpPr/>
      </xdr:nvSpPr>
      <xdr:spPr>
        <a:xfrm rot="5400000">
          <a:off x="5803055" y="475830"/>
          <a:ext cx="243841" cy="1303867"/>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31</xdr:col>
      <xdr:colOff>91440</xdr:colOff>
      <xdr:row>5</xdr:row>
      <xdr:rowOff>76200</xdr:rowOff>
    </xdr:from>
    <xdr:to>
      <xdr:col>42</xdr:col>
      <xdr:colOff>126960</xdr:colOff>
      <xdr:row>45</xdr:row>
      <xdr:rowOff>119340</xdr:rowOff>
    </xdr:to>
    <xdr:graphicFrame macro="">
      <xdr:nvGraphicFramePr>
        <xdr:cNvPr id="18" name="Chart 1">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42</xdr:col>
      <xdr:colOff>152400</xdr:colOff>
      <xdr:row>4</xdr:row>
      <xdr:rowOff>7620</xdr:rowOff>
    </xdr:from>
    <xdr:to>
      <xdr:col>44</xdr:col>
      <xdr:colOff>426720</xdr:colOff>
      <xdr:row>13</xdr:row>
      <xdr:rowOff>76200</xdr:rowOff>
    </xdr:to>
    <mc:AlternateContent xmlns:mc="http://schemas.openxmlformats.org/markup-compatibility/2006" xmlns:a14="http://schemas.microsoft.com/office/drawing/2010/main">
      <mc:Choice Requires="a14">
        <xdr:graphicFrame macro="">
          <xdr:nvGraphicFramePr>
            <xdr:cNvPr id="19" name="continent">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19880580" y="525780"/>
              <a:ext cx="124968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152400</xdr:colOff>
      <xdr:row>13</xdr:row>
      <xdr:rowOff>38100</xdr:rowOff>
    </xdr:from>
    <xdr:to>
      <xdr:col>44</xdr:col>
      <xdr:colOff>403860</xdr:colOff>
      <xdr:row>39</xdr:row>
      <xdr:rowOff>30480</xdr:rowOff>
    </xdr:to>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002500" y="1722120"/>
              <a:ext cx="1226820" cy="3360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144780</xdr:colOff>
      <xdr:row>38</xdr:row>
      <xdr:rowOff>121920</xdr:rowOff>
    </xdr:from>
    <xdr:to>
      <xdr:col>44</xdr:col>
      <xdr:colOff>403860</xdr:colOff>
      <xdr:row>43</xdr:row>
      <xdr:rowOff>45720</xdr:rowOff>
    </xdr:to>
    <mc:AlternateContent xmlns:mc="http://schemas.openxmlformats.org/markup-compatibility/2006" xmlns:a14="http://schemas.microsoft.com/office/drawing/2010/main">
      <mc:Choice Requires="a14">
        <xdr:graphicFrame macro="">
          <xdr:nvGraphicFramePr>
            <xdr:cNvPr id="21" name="units">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microsoft.com/office/drawing/2010/slicer">
              <sle:slicer xmlns:sle="http://schemas.microsoft.com/office/drawing/2010/slicer" name="units"/>
            </a:graphicData>
          </a:graphic>
        </xdr:graphicFrame>
      </mc:Choice>
      <mc:Fallback xmlns="">
        <xdr:sp macro="" textlink="">
          <xdr:nvSpPr>
            <xdr:cNvPr id="0" name=""/>
            <xdr:cNvSpPr>
              <a:spLocks noTextEdit="1"/>
            </xdr:cNvSpPr>
          </xdr:nvSpPr>
          <xdr:spPr>
            <a:xfrm>
              <a:off x="19994880" y="5044440"/>
              <a:ext cx="1234440" cy="571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45</xdr:col>
          <xdr:colOff>114300</xdr:colOff>
          <xdr:row>4</xdr:row>
          <xdr:rowOff>83820</xdr:rowOff>
        </xdr:from>
        <xdr:to>
          <xdr:col>48</xdr:col>
          <xdr:colOff>38100</xdr:colOff>
          <xdr:row>11</xdr:row>
          <xdr:rowOff>68580</xdr:rowOff>
        </xdr:to>
        <xdr:sp macro="" textlink="">
          <xdr:nvSpPr>
            <xdr:cNvPr id="2049" name="List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114300</xdr:colOff>
          <xdr:row>13</xdr:row>
          <xdr:rowOff>91440</xdr:rowOff>
        </xdr:from>
        <xdr:to>
          <xdr:col>48</xdr:col>
          <xdr:colOff>38100</xdr:colOff>
          <xdr:row>19</xdr:row>
          <xdr:rowOff>68580</xdr:rowOff>
        </xdr:to>
        <xdr:sp macro="" textlink="">
          <xdr:nvSpPr>
            <xdr:cNvPr id="2050" name="List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106680</xdr:colOff>
          <xdr:row>21</xdr:row>
          <xdr:rowOff>106680</xdr:rowOff>
        </xdr:from>
        <xdr:to>
          <xdr:col>48</xdr:col>
          <xdr:colOff>45720</xdr:colOff>
          <xdr:row>28</xdr:row>
          <xdr:rowOff>114300</xdr:rowOff>
        </xdr:to>
        <xdr:sp macro="" textlink="">
          <xdr:nvSpPr>
            <xdr:cNvPr id="2052" name="List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106680</xdr:colOff>
          <xdr:row>31</xdr:row>
          <xdr:rowOff>53340</xdr:rowOff>
        </xdr:from>
        <xdr:to>
          <xdr:col>48</xdr:col>
          <xdr:colOff>45720</xdr:colOff>
          <xdr:row>40</xdr:row>
          <xdr:rowOff>76200</xdr:rowOff>
        </xdr:to>
        <xdr:sp macro="" textlink="">
          <xdr:nvSpPr>
            <xdr:cNvPr id="2053" name="List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20</xdr:col>
      <xdr:colOff>71968</xdr:colOff>
      <xdr:row>7</xdr:row>
      <xdr:rowOff>29008</xdr:rowOff>
    </xdr:from>
    <xdr:to>
      <xdr:col>25</xdr:col>
      <xdr:colOff>457200</xdr:colOff>
      <xdr:row>9</xdr:row>
      <xdr:rowOff>41064</xdr:rowOff>
    </xdr:to>
    <xdr:sp macro="" textlink="">
      <xdr:nvSpPr>
        <xdr:cNvPr id="25" name="Left Brace 24">
          <a:extLst>
            <a:ext uri="{FF2B5EF4-FFF2-40B4-BE49-F238E27FC236}">
              <a16:creationId xmlns:a16="http://schemas.microsoft.com/office/drawing/2014/main" id="{00000000-0008-0000-0100-000019000000}"/>
            </a:ext>
          </a:extLst>
        </xdr:cNvPr>
        <xdr:cNvSpPr/>
      </xdr:nvSpPr>
      <xdr:spPr>
        <a:xfrm rot="5400000">
          <a:off x="10316956" y="-195680"/>
          <a:ext cx="271136" cy="253407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23</xdr:col>
      <xdr:colOff>220980</xdr:colOff>
      <xdr:row>0</xdr:row>
      <xdr:rowOff>7620</xdr:rowOff>
    </xdr:from>
    <xdr:to>
      <xdr:col>28</xdr:col>
      <xdr:colOff>274319</xdr:colOff>
      <xdr:row>3</xdr:row>
      <xdr:rowOff>65212</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0507980" y="7620"/>
          <a:ext cx="2849879"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chemeClr val="bg1">
                  <a:lumMod val="65000"/>
                </a:schemeClr>
              </a:solidFill>
              <a:latin typeface="Arial" panose="020B0604020202020204" pitchFamily="34" charset="0"/>
              <a:cs typeface="Arial" panose="020B0604020202020204" pitchFamily="34" charset="0"/>
            </a:rPr>
            <a:t>dynamic arrays</a:t>
          </a:r>
        </a:p>
      </xdr:txBody>
    </xdr:sp>
    <xdr:clientData/>
  </xdr:twoCellAnchor>
  <xdr:twoCellAnchor editAs="absolute">
    <xdr:from>
      <xdr:col>48</xdr:col>
      <xdr:colOff>102348</xdr:colOff>
      <xdr:row>3</xdr:row>
      <xdr:rowOff>22860</xdr:rowOff>
    </xdr:from>
    <xdr:to>
      <xdr:col>49</xdr:col>
      <xdr:colOff>53444</xdr:colOff>
      <xdr:row>45</xdr:row>
      <xdr:rowOff>106680</xdr:rowOff>
    </xdr:to>
    <xdr:sp macro="" textlink="">
      <xdr:nvSpPr>
        <xdr:cNvPr id="27" name="Left Brace 26">
          <a:extLst>
            <a:ext uri="{FF2B5EF4-FFF2-40B4-BE49-F238E27FC236}">
              <a16:creationId xmlns:a16="http://schemas.microsoft.com/office/drawing/2014/main" id="{00000000-0008-0000-0100-00001B000000}"/>
            </a:ext>
          </a:extLst>
        </xdr:cNvPr>
        <xdr:cNvSpPr/>
      </xdr:nvSpPr>
      <xdr:spPr>
        <a:xfrm rot="10800000">
          <a:off x="22459428" y="411480"/>
          <a:ext cx="271136" cy="552450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472440</xdr:colOff>
          <xdr:row>41</xdr:row>
          <xdr:rowOff>0</xdr:rowOff>
        </xdr:from>
        <xdr:to>
          <xdr:col>48</xdr:col>
          <xdr:colOff>198120</xdr:colOff>
          <xdr:row>42</xdr:row>
          <xdr:rowOff>91440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On highlighted countries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472440</xdr:colOff>
          <xdr:row>42</xdr:row>
          <xdr:rowOff>114300</xdr:rowOff>
        </xdr:from>
        <xdr:to>
          <xdr:col>48</xdr:col>
          <xdr:colOff>152400</xdr:colOff>
          <xdr:row>44</xdr:row>
          <xdr:rowOff>91440</xdr:rowOff>
        </xdr:to>
        <xdr:sp macro="" textlink="">
          <xdr:nvSpPr>
            <xdr:cNvPr id="2055" name="Option 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All countries</a:t>
              </a:r>
            </a:p>
          </xdr:txBody>
        </xdr:sp>
        <xdr:clientData/>
      </xdr:twoCellAnchor>
    </mc:Choice>
    <mc:Fallback/>
  </mc:AlternateContent>
  <xdr:oneCellAnchor>
    <xdr:from>
      <xdr:col>42</xdr:col>
      <xdr:colOff>114300</xdr:colOff>
      <xdr:row>1</xdr:row>
      <xdr:rowOff>68580</xdr:rowOff>
    </xdr:from>
    <xdr:ext cx="825803" cy="224998"/>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9842480" y="198120"/>
          <a:ext cx="825803"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solidFill>
                <a:schemeClr val="tx1">
                  <a:lumMod val="65000"/>
                  <a:lumOff val="35000"/>
                </a:schemeClr>
              </a:solidFill>
              <a:latin typeface="Arial" panose="020B0604020202020204" pitchFamily="34" charset="0"/>
              <a:cs typeface="Arial" panose="020B0604020202020204" pitchFamily="34" charset="0"/>
            </a:rPr>
            <a:t>For</a:t>
          </a:r>
          <a:r>
            <a:rPr lang="en-US" sz="900" b="1" baseline="0">
              <a:solidFill>
                <a:schemeClr val="tx1">
                  <a:lumMod val="65000"/>
                  <a:lumOff val="35000"/>
                </a:schemeClr>
              </a:solidFill>
              <a:latin typeface="Arial" panose="020B0604020202020204" pitchFamily="34" charset="0"/>
              <a:cs typeface="Arial" panose="020B0604020202020204" pitchFamily="34" charset="0"/>
            </a:rPr>
            <a:t> filtering</a:t>
          </a:r>
          <a:endParaRPr lang="en-US" sz="900" b="1">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oneCellAnchor>
    <xdr:from>
      <xdr:col>45</xdr:col>
      <xdr:colOff>99060</xdr:colOff>
      <xdr:row>0</xdr:row>
      <xdr:rowOff>121920</xdr:rowOff>
    </xdr:from>
    <xdr:ext cx="1075872" cy="224998"/>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21183600" y="121920"/>
          <a:ext cx="1075872"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solidFill>
                <a:srgbClr val="FF0000"/>
              </a:solidFill>
              <a:latin typeface="Arial" panose="020B0604020202020204" pitchFamily="34" charset="0"/>
              <a:cs typeface="Arial" panose="020B0604020202020204" pitchFamily="34" charset="0"/>
            </a:rPr>
            <a:t>For</a:t>
          </a:r>
          <a:r>
            <a:rPr lang="en-US" sz="900" b="1" baseline="0">
              <a:solidFill>
                <a:srgbClr val="FF0000"/>
              </a:solidFill>
              <a:latin typeface="Arial" panose="020B0604020202020204" pitchFamily="34" charset="0"/>
              <a:cs typeface="Arial" panose="020B0604020202020204" pitchFamily="34" charset="0"/>
            </a:rPr>
            <a:t> Highlighting</a:t>
          </a:r>
          <a:endParaRPr lang="en-US" sz="900" b="1">
            <a:solidFill>
              <a:srgbClr val="FF0000"/>
            </a:solidFill>
            <a:latin typeface="Arial" panose="020B0604020202020204" pitchFamily="34" charset="0"/>
            <a:cs typeface="Arial" panose="020B0604020202020204" pitchFamily="34" charset="0"/>
          </a:endParaRPr>
        </a:p>
      </xdr:txBody>
    </xdr:sp>
    <xdr:clientData/>
  </xdr:oneCellAnchor>
  <xdr:oneCellAnchor>
    <xdr:from>
      <xdr:col>46</xdr:col>
      <xdr:colOff>53340</xdr:colOff>
      <xdr:row>2</xdr:row>
      <xdr:rowOff>114300</xdr:rowOff>
    </xdr:from>
    <xdr:ext cx="704039" cy="224998"/>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21328380" y="373380"/>
          <a:ext cx="704039"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latin typeface="Arial" panose="020B0604020202020204" pitchFamily="34" charset="0"/>
              <a:cs typeface="Arial" panose="020B0604020202020204" pitchFamily="34" charset="0"/>
            </a:rPr>
            <a:t>continent</a:t>
          </a:r>
        </a:p>
      </xdr:txBody>
    </xdr:sp>
    <xdr:clientData/>
  </xdr:oneCellAnchor>
  <xdr:oneCellAnchor>
    <xdr:from>
      <xdr:col>46</xdr:col>
      <xdr:colOff>121920</xdr:colOff>
      <xdr:row>11</xdr:row>
      <xdr:rowOff>114300</xdr:rowOff>
    </xdr:from>
    <xdr:ext cx="537391" cy="224998"/>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21396960" y="1539240"/>
          <a:ext cx="537391"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latin typeface="Arial" panose="020B0604020202020204" pitchFamily="34" charset="0"/>
              <a:cs typeface="Arial" panose="020B0604020202020204" pitchFamily="34" charset="0"/>
            </a:rPr>
            <a:t>region</a:t>
          </a:r>
        </a:p>
      </xdr:txBody>
    </xdr:sp>
    <xdr:clientData/>
  </xdr:oneCellAnchor>
  <xdr:oneCellAnchor>
    <xdr:from>
      <xdr:col>46</xdr:col>
      <xdr:colOff>106680</xdr:colOff>
      <xdr:row>20</xdr:row>
      <xdr:rowOff>0</xdr:rowOff>
    </xdr:from>
    <xdr:ext cx="607923" cy="224998"/>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21381720" y="2590800"/>
          <a:ext cx="607923"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latin typeface="Arial" panose="020B0604020202020204" pitchFamily="34" charset="0"/>
              <a:cs typeface="Arial" panose="020B0604020202020204" pitchFamily="34" charset="0"/>
            </a:rPr>
            <a:t>country</a:t>
          </a:r>
        </a:p>
      </xdr:txBody>
    </xdr:sp>
    <xdr:clientData/>
  </xdr:oneCellAnchor>
  <xdr:oneCellAnchor>
    <xdr:from>
      <xdr:col>45</xdr:col>
      <xdr:colOff>22860</xdr:colOff>
      <xdr:row>29</xdr:row>
      <xdr:rowOff>76200</xdr:rowOff>
    </xdr:from>
    <xdr:ext cx="1300484" cy="224998"/>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21107400" y="3832860"/>
          <a:ext cx="130048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solidFill>
                <a:sysClr val="windowText" lastClr="000000"/>
              </a:solidFill>
              <a:latin typeface="Arial" panose="020B0604020202020204" pitchFamily="34" charset="0"/>
              <a:cs typeface="Arial" panose="020B0604020202020204" pitchFamily="34" charset="0"/>
            </a:rPr>
            <a:t>For</a:t>
          </a:r>
          <a:r>
            <a:rPr lang="en-US" sz="900" b="1" baseline="0">
              <a:solidFill>
                <a:sysClr val="windowText" lastClr="000000"/>
              </a:solidFill>
              <a:latin typeface="Arial" panose="020B0604020202020204" pitchFamily="34" charset="0"/>
              <a:cs typeface="Arial" panose="020B0604020202020204" pitchFamily="34" charset="0"/>
            </a:rPr>
            <a:t> locating country</a:t>
          </a:r>
          <a:endParaRPr lang="en-US" sz="900" b="1">
            <a:solidFill>
              <a:sysClr val="windowText" lastClr="000000"/>
            </a:solidFill>
            <a:latin typeface="Arial" panose="020B0604020202020204" pitchFamily="34" charset="0"/>
            <a:cs typeface="Arial" panose="020B0604020202020204" pitchFamily="34" charset="0"/>
          </a:endParaRPr>
        </a:p>
      </xdr:txBody>
    </xdr:sp>
    <xdr:clientData/>
  </xdr:oneCellAnchor>
  <xdr:twoCellAnchor>
    <xdr:from>
      <xdr:col>15</xdr:col>
      <xdr:colOff>167640</xdr:colOff>
      <xdr:row>24</xdr:row>
      <xdr:rowOff>53340</xdr:rowOff>
    </xdr:from>
    <xdr:to>
      <xdr:col>18</xdr:col>
      <xdr:colOff>518160</xdr:colOff>
      <xdr:row>32</xdr:row>
      <xdr:rowOff>68580</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7239000" y="3162300"/>
          <a:ext cx="1668780" cy="1051560"/>
        </a:xfrm>
        <a:prstGeom prst="roundRect">
          <a:avLst/>
        </a:prstGeom>
        <a:solidFill>
          <a:srgbClr val="FFFF00"/>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solidFill>
                <a:sysClr val="windowText" lastClr="000000"/>
              </a:solidFill>
              <a:latin typeface="Arial" panose="020B0604020202020204" pitchFamily="34" charset="0"/>
              <a:cs typeface="Arial" panose="020B0604020202020204" pitchFamily="34" charset="0"/>
            </a:rPr>
            <a:t>Huge thanks to:</a:t>
          </a:r>
          <a:br>
            <a:rPr lang="en-US" sz="800">
              <a:solidFill>
                <a:sysClr val="windowText" lastClr="000000"/>
              </a:solidFill>
              <a:latin typeface="Arial" panose="020B0604020202020204" pitchFamily="34" charset="0"/>
              <a:cs typeface="Arial" panose="020B0604020202020204" pitchFamily="34" charset="0"/>
            </a:rPr>
          </a:br>
          <a:r>
            <a:rPr lang="en-US" sz="800">
              <a:solidFill>
                <a:sysClr val="windowText" lastClr="000000"/>
              </a:solidFill>
              <a:latin typeface="Arial" panose="020B0604020202020204" pitchFamily="34" charset="0"/>
              <a:cs typeface="Arial" panose="020B0604020202020204" pitchFamily="34" charset="0"/>
            </a:rPr>
            <a:t>Jon</a:t>
          </a:r>
          <a:r>
            <a:rPr lang="en-US" sz="800" baseline="0">
              <a:solidFill>
                <a:sysClr val="windowText" lastClr="000000"/>
              </a:solidFill>
              <a:latin typeface="Arial" panose="020B0604020202020204" pitchFamily="34" charset="0"/>
              <a:cs typeface="Arial" panose="020B0604020202020204" pitchFamily="34" charset="0"/>
            </a:rPr>
            <a:t> Peltier &amp; Mark Proctor for User Defined Function (UDF) for setting the Min and Max of the chart axis and Jorge Camões for the dataset to produce this one.</a:t>
          </a:r>
          <a:endParaRPr lang="en-US" sz="80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absolute">
    <xdr:from>
      <xdr:col>16</xdr:col>
      <xdr:colOff>0</xdr:colOff>
      <xdr:row>7</xdr:row>
      <xdr:rowOff>121924</xdr:rowOff>
    </xdr:from>
    <xdr:to>
      <xdr:col>19</xdr:col>
      <xdr:colOff>23708</xdr:colOff>
      <xdr:row>9</xdr:row>
      <xdr:rowOff>106685</xdr:rowOff>
    </xdr:to>
    <xdr:sp macro="" textlink="">
      <xdr:nvSpPr>
        <xdr:cNvPr id="22" name="Left Brace 21">
          <a:extLst>
            <a:ext uri="{FF2B5EF4-FFF2-40B4-BE49-F238E27FC236}">
              <a16:creationId xmlns:a16="http://schemas.microsoft.com/office/drawing/2014/main" id="{00000000-0008-0000-0100-000016000000}"/>
            </a:ext>
          </a:extLst>
        </xdr:cNvPr>
        <xdr:cNvSpPr/>
      </xdr:nvSpPr>
      <xdr:spPr>
        <a:xfrm rot="5400000">
          <a:off x="7982373" y="315811"/>
          <a:ext cx="243841" cy="1669628"/>
        </a:xfrm>
        <a:prstGeom prst="leftBrace">
          <a:avLst>
            <a:gd name="adj1" fmla="val 171180"/>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15</xdr:col>
      <xdr:colOff>99060</xdr:colOff>
      <xdr:row>8</xdr:row>
      <xdr:rowOff>121920</xdr:rowOff>
    </xdr:from>
    <xdr:to>
      <xdr:col>19</xdr:col>
      <xdr:colOff>91440</xdr:colOff>
      <xdr:row>40</xdr:row>
      <xdr:rowOff>83820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7170420" y="1158240"/>
          <a:ext cx="1836420" cy="4107180"/>
        </a:xfrm>
        <a:prstGeom prst="round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25</xdr:col>
      <xdr:colOff>483448</xdr:colOff>
      <xdr:row>7</xdr:row>
      <xdr:rowOff>21388</xdr:rowOff>
    </xdr:from>
    <xdr:to>
      <xdr:col>30</xdr:col>
      <xdr:colOff>114300</xdr:colOff>
      <xdr:row>9</xdr:row>
      <xdr:rowOff>33444</xdr:rowOff>
    </xdr:to>
    <xdr:sp macro="" textlink="">
      <xdr:nvSpPr>
        <xdr:cNvPr id="24" name="Left Brace 23">
          <a:extLst>
            <a:ext uri="{FF2B5EF4-FFF2-40B4-BE49-F238E27FC236}">
              <a16:creationId xmlns:a16="http://schemas.microsoft.com/office/drawing/2014/main" id="{00000000-0008-0000-0100-000018000000}"/>
            </a:ext>
          </a:extLst>
        </xdr:cNvPr>
        <xdr:cNvSpPr/>
      </xdr:nvSpPr>
      <xdr:spPr>
        <a:xfrm rot="5400000">
          <a:off x="12877276" y="-203300"/>
          <a:ext cx="271136" cy="253407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43</xdr:col>
      <xdr:colOff>466936</xdr:colOff>
      <xdr:row>0</xdr:row>
      <xdr:rowOff>38100</xdr:rowOff>
    </xdr:from>
    <xdr:to>
      <xdr:col>44</xdr:col>
      <xdr:colOff>377824</xdr:colOff>
      <xdr:row>3</xdr:row>
      <xdr:rowOff>102870</xdr:rowOff>
    </xdr:to>
    <xdr:sp macro="" textlink="">
      <xdr:nvSpPr>
        <xdr:cNvPr id="7" name="Oval 6">
          <a:extLst>
            <a:ext uri="{FF2B5EF4-FFF2-40B4-BE49-F238E27FC236}">
              <a16:creationId xmlns:a16="http://schemas.microsoft.com/office/drawing/2014/main" id="{00000000-0008-0000-0100-000007000000}"/>
            </a:ext>
          </a:extLst>
        </xdr:cNvPr>
        <xdr:cNvSpPr/>
      </xdr:nvSpPr>
      <xdr:spPr>
        <a:xfrm>
          <a:off x="20682796" y="38100"/>
          <a:ext cx="39856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editAs="absolute">
    <xdr:from>
      <xdr:col>15</xdr:col>
      <xdr:colOff>91440</xdr:colOff>
      <xdr:row>47</xdr:row>
      <xdr:rowOff>38109</xdr:rowOff>
    </xdr:from>
    <xdr:to>
      <xdr:col>19</xdr:col>
      <xdr:colOff>60960</xdr:colOff>
      <xdr:row>49</xdr:row>
      <xdr:rowOff>22870</xdr:rowOff>
    </xdr:to>
    <xdr:sp macro="" textlink="">
      <xdr:nvSpPr>
        <xdr:cNvPr id="29" name="Left Brace 28">
          <a:extLst>
            <a:ext uri="{FF2B5EF4-FFF2-40B4-BE49-F238E27FC236}">
              <a16:creationId xmlns:a16="http://schemas.microsoft.com/office/drawing/2014/main" id="{00000000-0008-0000-0100-00001D000000}"/>
            </a:ext>
          </a:extLst>
        </xdr:cNvPr>
        <xdr:cNvSpPr/>
      </xdr:nvSpPr>
      <xdr:spPr>
        <a:xfrm rot="5400000">
          <a:off x="7947659" y="5341630"/>
          <a:ext cx="243841" cy="1813560"/>
        </a:xfrm>
        <a:prstGeom prst="leftBrace">
          <a:avLst>
            <a:gd name="adj1" fmla="val 74305"/>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31</xdr:col>
      <xdr:colOff>304800</xdr:colOff>
      <xdr:row>1</xdr:row>
      <xdr:rowOff>91440</xdr:rowOff>
    </xdr:from>
    <xdr:ext cx="2735580" cy="446212"/>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4668500" y="220980"/>
          <a:ext cx="2735580"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chemeClr val="tx1">
                  <a:lumMod val="65000"/>
                  <a:lumOff val="35000"/>
                </a:schemeClr>
              </a:solidFill>
              <a:latin typeface="Arial" panose="020B0604020202020204" pitchFamily="34" charset="0"/>
              <a:cs typeface="Arial" panose="020B0604020202020204" pitchFamily="34" charset="0"/>
            </a:rPr>
            <a:t>Barcode</a:t>
          </a:r>
          <a:r>
            <a:rPr lang="en-US" sz="2400" b="1" baseline="0">
              <a:solidFill>
                <a:schemeClr val="tx1">
                  <a:lumMod val="65000"/>
                  <a:lumOff val="35000"/>
                </a:schemeClr>
              </a:solidFill>
              <a:latin typeface="Arial" panose="020B0604020202020204" pitchFamily="34" charset="0"/>
              <a:cs typeface="Arial" panose="020B0604020202020204" pitchFamily="34" charset="0"/>
            </a:rPr>
            <a:t> Dot Plot</a:t>
          </a:r>
          <a:endParaRPr lang="en-US" sz="2400" b="1">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oneCellAnchor>
    <xdr:from>
      <xdr:col>37</xdr:col>
      <xdr:colOff>91440</xdr:colOff>
      <xdr:row>1</xdr:row>
      <xdr:rowOff>121920</xdr:rowOff>
    </xdr:from>
    <xdr:ext cx="1127760" cy="269369"/>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7381220" y="251460"/>
          <a:ext cx="112776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en-US" sz="1200" b="0">
              <a:solidFill>
                <a:schemeClr val="tx1">
                  <a:lumMod val="65000"/>
                  <a:lumOff val="35000"/>
                </a:schemeClr>
              </a:solidFill>
              <a:latin typeface="Arial" panose="020B0604020202020204" pitchFamily="34" charset="0"/>
              <a:cs typeface="Arial" panose="020B0604020202020204" pitchFamily="34" charset="0"/>
            </a:rPr>
            <a:t>Highlighted:</a:t>
          </a:r>
        </a:p>
      </xdr:txBody>
    </xdr:sp>
    <xdr:clientData/>
  </xdr:oneCellAnchor>
  <xdr:oneCellAnchor>
    <xdr:from>
      <xdr:col>37</xdr:col>
      <xdr:colOff>358140</xdr:colOff>
      <xdr:row>3</xdr:row>
      <xdr:rowOff>83820</xdr:rowOff>
    </xdr:from>
    <xdr:ext cx="853440" cy="269369"/>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17647920" y="472440"/>
          <a:ext cx="85344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en-US" sz="1200" b="0">
              <a:solidFill>
                <a:schemeClr val="tx1">
                  <a:lumMod val="65000"/>
                  <a:lumOff val="35000"/>
                </a:schemeClr>
              </a:solidFill>
              <a:latin typeface="Arial" panose="020B0604020202020204" pitchFamily="34" charset="0"/>
              <a:cs typeface="Arial" panose="020B0604020202020204" pitchFamily="34" charset="0"/>
            </a:rPr>
            <a:t>Located:</a:t>
          </a:r>
        </a:p>
      </xdr:txBody>
    </xdr:sp>
    <xdr:clientData/>
  </xdr:oneCellAnchor>
  <xdr:oneCellAnchor>
    <xdr:from>
      <xdr:col>37</xdr:col>
      <xdr:colOff>396240</xdr:colOff>
      <xdr:row>0</xdr:row>
      <xdr:rowOff>38100</xdr:rowOff>
    </xdr:from>
    <xdr:ext cx="1501140" cy="254557"/>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17686020" y="38100"/>
          <a:ext cx="150114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en-US" sz="1100" b="0" i="1">
              <a:solidFill>
                <a:schemeClr val="tx1">
                  <a:lumMod val="65000"/>
                  <a:lumOff val="35000"/>
                </a:schemeClr>
              </a:solidFill>
              <a:latin typeface="Arial" panose="020B0604020202020204" pitchFamily="34" charset="0"/>
              <a:cs typeface="Arial" panose="020B0604020202020204" pitchFamily="34" charset="0"/>
            </a:rPr>
            <a:t>Individual country</a:t>
          </a:r>
        </a:p>
      </xdr:txBody>
    </xdr:sp>
    <xdr:clientData/>
  </xdr:oneCellAnchor>
  <xdr:oneCellAnchor>
    <xdr:from>
      <xdr:col>39</xdr:col>
      <xdr:colOff>129540</xdr:colOff>
      <xdr:row>3</xdr:row>
      <xdr:rowOff>83820</xdr:rowOff>
    </xdr:from>
    <xdr:ext cx="1501140" cy="269369"/>
    <xdr:sp macro="" textlink="$Q$52">
      <xdr:nvSpPr>
        <xdr:cNvPr id="41" name="TextBox 40">
          <a:extLst>
            <a:ext uri="{FF2B5EF4-FFF2-40B4-BE49-F238E27FC236}">
              <a16:creationId xmlns:a16="http://schemas.microsoft.com/office/drawing/2014/main" id="{00000000-0008-0000-0100-000029000000}"/>
            </a:ext>
          </a:extLst>
        </xdr:cNvPr>
        <xdr:cNvSpPr txBox="1"/>
      </xdr:nvSpPr>
      <xdr:spPr>
        <a:xfrm>
          <a:off x="18394680" y="472440"/>
          <a:ext cx="150114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A7F80AB7-A627-4AAA-9C86-3992E1A46252}" type="TxLink">
            <a:rPr lang="en-US" sz="1200" b="1">
              <a:solidFill>
                <a:schemeClr val="tx1">
                  <a:lumMod val="65000"/>
                  <a:lumOff val="35000"/>
                </a:schemeClr>
              </a:solidFill>
              <a:latin typeface="Arial" panose="020B0604020202020204" pitchFamily="34" charset="0"/>
              <a:ea typeface="+mn-ea"/>
              <a:cs typeface="Arial" panose="020B0604020202020204" pitchFamily="34" charset="0"/>
            </a:rPr>
            <a:pPr marL="0" indent="0" algn="l"/>
            <a:t>No highlight</a:t>
          </a:fld>
          <a:endParaRPr lang="en-US" sz="1200" b="1">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oneCellAnchor>
  <xdr:oneCellAnchor>
    <xdr:from>
      <xdr:col>39</xdr:col>
      <xdr:colOff>121920</xdr:colOff>
      <xdr:row>2</xdr:row>
      <xdr:rowOff>0</xdr:rowOff>
    </xdr:from>
    <xdr:ext cx="1501140" cy="269369"/>
    <xdr:sp macro="" textlink="$S$59">
      <xdr:nvSpPr>
        <xdr:cNvPr id="42" name="TextBox 41">
          <a:extLst>
            <a:ext uri="{FF2B5EF4-FFF2-40B4-BE49-F238E27FC236}">
              <a16:creationId xmlns:a16="http://schemas.microsoft.com/office/drawing/2014/main" id="{00000000-0008-0000-0100-00002A000000}"/>
            </a:ext>
          </a:extLst>
        </xdr:cNvPr>
        <xdr:cNvSpPr txBox="1"/>
      </xdr:nvSpPr>
      <xdr:spPr>
        <a:xfrm>
          <a:off x="18387060" y="259080"/>
          <a:ext cx="150114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C518C69D-E31A-41F4-81AA-653E9F2BDCBC}" type="TxLink">
            <a:rPr lang="en-US" sz="1200" b="1">
              <a:solidFill>
                <a:srgbClr val="FF3300"/>
              </a:solidFill>
              <a:latin typeface="Arial" panose="020B0604020202020204" pitchFamily="34" charset="0"/>
              <a:ea typeface="+mn-ea"/>
              <a:cs typeface="Arial" panose="020B0604020202020204" pitchFamily="34" charset="0"/>
            </a:rPr>
            <a:pPr marL="0" indent="0" algn="l"/>
            <a:t>Select a cotinent</a:t>
          </a:fld>
          <a:endParaRPr lang="en-US" sz="1200" b="1">
            <a:solidFill>
              <a:srgbClr val="FF3300"/>
            </a:solidFill>
            <a:latin typeface="Arial" panose="020B0604020202020204" pitchFamily="34" charset="0"/>
            <a:ea typeface="+mn-ea"/>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200-000002000000}"/>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00000000-0008-0000-02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2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2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2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2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200-00000F000000}"/>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2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2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2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7.097317476851" createdVersion="7" refreshedVersion="7" minRefreshableVersion="3" recordCount="180" xr:uid="{F9F68C6F-EBB1-40C9-96B0-CF6741777C77}">
  <cacheSource type="worksheet">
    <worksheetSource name="_01_data"/>
  </cacheSource>
  <cacheFields count="6">
    <cacheField name="code" numFmtId="0">
      <sharedItems/>
    </cacheField>
    <cacheField name="country" numFmtId="0">
      <sharedItems count="180">
        <s v="Afghanistan"/>
        <s v="Angola"/>
        <s v="Albania"/>
        <s v="Andorra"/>
        <s v="Argentina"/>
        <s v="Armenia"/>
        <s v="Antigua and Barbuda"/>
        <s v="Australia"/>
        <s v="Austria"/>
        <s v="Azerbaijan"/>
        <s v="Burundi"/>
        <s v="Belgium"/>
        <s v="Benin"/>
        <s v="Burkina Faso"/>
        <s v="Bangladesh"/>
        <s v="Bulgaria"/>
        <s v="Bahrain"/>
        <s v="Bahamas (the)"/>
        <s v="Bosnia and Herzegovina"/>
        <s v="Belarus"/>
        <s v="Belize"/>
        <s v="Bolivia (Plurinational State of)"/>
        <s v="Brazil"/>
        <s v="Barbados"/>
        <s v="Bhutan"/>
        <s v="Botswana"/>
        <s v="Central African Republic (the)"/>
        <s v="Canada"/>
        <s v="Switzerland"/>
        <s v="Chile"/>
        <s v="China"/>
        <s v="Côte d'Ivoire"/>
        <s v="Cameroon"/>
        <s v="Congo (the Democratic Republic of the)"/>
        <s v="Congo (the)"/>
        <s v="Colombia"/>
        <s v="Comoros (the)"/>
        <s v="Cabo Verde"/>
        <s v="Costa Rica"/>
        <s v="Cuba"/>
        <s v="Cyprus"/>
        <s v="Czechia"/>
        <s v="Germany"/>
        <s v="Djibouti"/>
        <s v="Dominica"/>
        <s v="Denmark"/>
        <s v="Dominican Republic (the)"/>
        <s v="Algeria"/>
        <s v="Ecuador"/>
        <s v="Egypt"/>
        <s v="Eritrea"/>
        <s v="Spain"/>
        <s v="Estonia"/>
        <s v="Ethiopia"/>
        <s v="Finland"/>
        <s v="Fiji"/>
        <s v="France"/>
        <s v="Micronesia (Federated States of)"/>
        <s v="Gabon"/>
        <s v="United Kingdom of Great Britain and Northern Ireland (the)"/>
        <s v="Georgia"/>
        <s v="Ghana"/>
        <s v="Guinea"/>
        <s v="Gambia (the)"/>
        <s v="Guinea-Bissau"/>
        <s v="Equatorial Guinea"/>
        <s v="Greece"/>
        <s v="Grenada"/>
        <s v="Guatemala"/>
        <s v="Guyana"/>
        <s v="Hong Kong"/>
        <s v="Honduras"/>
        <s v="Croatia"/>
        <s v="Haiti"/>
        <s v="Hungary"/>
        <s v="Indonesia"/>
        <s v="India"/>
        <s v="Ireland"/>
        <s v="Iran (Islamic Republic of)"/>
        <s v="Iraq"/>
        <s v="Iceland"/>
        <s v="Israel"/>
        <s v="Italy"/>
        <s v="Jamaica"/>
        <s v="Jordan"/>
        <s v="Japan"/>
        <s v="Kazakhstan"/>
        <s v="Kenya"/>
        <s v="Kyrgyzstan"/>
        <s v="Cambodia"/>
        <s v="Kiribati"/>
        <s v="Korea (the Republic of)"/>
        <s v="Lao People's Democratic Republic (the)"/>
        <s v="Lebanon"/>
        <s v="Liberia"/>
        <s v="Libya"/>
        <s v="Saint Lucia"/>
        <s v="Sri Lanka"/>
        <s v="Lesotho"/>
        <s v="Lithuania"/>
        <s v="Latvia"/>
        <s v="Morocco"/>
        <s v="Moldova (the Republic of)"/>
        <s v="Madagascar"/>
        <s v="Maldives"/>
        <s v="Mexico"/>
        <s v="Marshall Islands (the)"/>
        <s v="Republic of North Macedonia"/>
        <s v="Mali"/>
        <s v="Malta"/>
        <s v="Myanmar"/>
        <s v="Montenegro"/>
        <s v="Mongolia"/>
        <s v="Mozambique"/>
        <s v="Mauritania"/>
        <s v="Mauritius"/>
        <s v="Malawi"/>
        <s v="Malaysia"/>
        <s v="Namibia"/>
        <s v="Niger (the)"/>
        <s v="Nigeria"/>
        <s v="Nicaragua"/>
        <s v="Netherlands (the)"/>
        <s v="Nepal"/>
        <s v="New Zealand"/>
        <s v="Oman"/>
        <s v="Pakistan"/>
        <s v="Panama"/>
        <s v="Peru"/>
        <s v="Philippines (the)"/>
        <s v="Papua New Guinea"/>
        <s v="Poland"/>
        <s v="Korea (the Democratic People's Republic of)"/>
        <s v="Portugal"/>
        <s v="Paraguay"/>
        <s v="Romania"/>
        <s v="Russian Federation (the)"/>
        <s v="Rwanda"/>
        <s v="Saudi Arabia"/>
        <s v="Sudan (the)"/>
        <s v="Senegal"/>
        <s v="Solomon Islands"/>
        <s v="Sierra Leone"/>
        <s v="El Salvador"/>
        <s v="Somalia"/>
        <s v="Serbia"/>
        <s v="South Sudan"/>
        <s v="Sao Tome and Principe"/>
        <s v="Suriname"/>
        <s v="Slovakia"/>
        <s v="Slovenia"/>
        <s v="Sweden"/>
        <s v="Eswatini"/>
        <s v="Seychelles"/>
        <s v="Syrian Arab Republic"/>
        <s v="Chad"/>
        <s v="Togo"/>
        <s v="Thailand"/>
        <s v="Tajikistan"/>
        <s v="Turkmenistan"/>
        <s v="Timor-Leste"/>
        <s v="Tonga"/>
        <s v="Trinidad and Tobago"/>
        <s v="Tunisia"/>
        <s v="Turkey"/>
        <s v="Tanzania, United Republic of"/>
        <s v="Uganda"/>
        <s v="Ukraine"/>
        <s v="Uruguay"/>
        <s v="United States of America (the)"/>
        <s v="Uzbekistan"/>
        <s v="Saint Vincent and the Grenadines"/>
        <s v="Venezuela (Bolivarian Republic of)"/>
        <s v="Viet Nam"/>
        <s v="Vanuatu"/>
        <s v="Samoa"/>
        <s v="Yemen"/>
        <s v="South Africa"/>
        <s v="Zambia"/>
        <s v="Zimbabwe"/>
      </sharedItems>
    </cacheField>
    <cacheField name="continent" numFmtId="0">
      <sharedItems count="5">
        <s v="Asia"/>
        <s v="Africa"/>
        <s v="Europe"/>
        <s v="Americas"/>
        <s v="Oceania"/>
      </sharedItems>
    </cacheField>
    <cacheField name="region" numFmtId="0">
      <sharedItems count="17">
        <s v="Southern Asia"/>
        <s v="Middle Africa"/>
        <s v="Eastern Europe"/>
        <s v="Western Europe"/>
        <s v="South America"/>
        <s v="Western Asia"/>
        <s v="North America"/>
        <s v="Oceania"/>
        <s v="Eastern Africa"/>
        <s v="Western Africa"/>
        <s v="Central America"/>
        <s v="Caribbean"/>
        <s v="Southern Africa"/>
        <s v="Eastern Asia"/>
        <s v="Northern Africa"/>
        <s v="South-Eastern Asia"/>
        <s v="Central Asia"/>
      </sharedItems>
    </cacheField>
    <cacheField name="x_values" numFmtId="0">
      <sharedItems containsSemiMixedTypes="0" containsString="0" containsNumber="1" containsInteger="1" minValue="599" maxValue="56118"/>
    </cacheField>
    <cacheField name="y_values" numFmtId="0">
      <sharedItems containsSemiMixedTypes="0" containsString="0" containsNumber="1" minValue="47.1" maxValue="84.8"/>
    </cacheField>
  </cacheFields>
  <extLst>
    <ext xmlns:x14="http://schemas.microsoft.com/office/spreadsheetml/2009/9/main" uri="{725AE2AE-9491-48be-B2B4-4EB974FC3084}">
      <x14:pivotCacheDefinition pivotCacheId="2106093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7.477848032409" createdVersion="7" refreshedVersion="7" minRefreshableVersion="3" recordCount="2" xr:uid="{83CA9333-20E6-48E4-A5AB-36C7E9A43259}">
  <cacheSource type="worksheet">
    <worksheetSource ref="Q22:Q24" sheet="example"/>
  </cacheSource>
  <cacheFields count="1">
    <cacheField name="units" numFmtId="3">
      <sharedItems containsSemiMixedTypes="0" containsString="0" containsNumber="1" containsInteger="1" minValue="5000" maxValue="10000" count="2">
        <n v="5000"/>
        <n v="10000"/>
      </sharedItems>
    </cacheField>
  </cacheFields>
  <extLst>
    <ext xmlns:x14="http://schemas.microsoft.com/office/spreadsheetml/2009/9/main" uri="{725AE2AE-9491-48be-B2B4-4EB974FC3084}">
      <x14:pivotCacheDefinition pivotCacheId="1284416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
  <r>
    <s v="AFG"/>
    <x v="0"/>
    <x v="0"/>
    <x v="0"/>
    <n v="1925"/>
    <n v="53.8"/>
  </r>
  <r>
    <s v="AGO"/>
    <x v="1"/>
    <x v="1"/>
    <x v="1"/>
    <n v="7615"/>
    <n v="59.6"/>
  </r>
  <r>
    <s v="ALB"/>
    <x v="2"/>
    <x v="2"/>
    <x v="2"/>
    <n v="10620"/>
    <n v="78"/>
  </r>
  <r>
    <s v="AND"/>
    <x v="3"/>
    <x v="2"/>
    <x v="3"/>
    <n v="46577"/>
    <n v="84.8"/>
  </r>
  <r>
    <s v="ARG"/>
    <x v="4"/>
    <x v="3"/>
    <x v="4"/>
    <n v="17344"/>
    <n v="76.5"/>
  </r>
  <r>
    <s v="ARM"/>
    <x v="5"/>
    <x v="2"/>
    <x v="5"/>
    <n v="7763"/>
    <n v="74.7"/>
  </r>
  <r>
    <s v="ATG"/>
    <x v="6"/>
    <x v="3"/>
    <x v="6"/>
    <n v="21049"/>
    <n v="76.400000000000006"/>
  </r>
  <r>
    <s v="AUS"/>
    <x v="7"/>
    <x v="4"/>
    <x v="7"/>
    <n v="44056"/>
    <n v="82.3"/>
  </r>
  <r>
    <s v="AUT"/>
    <x v="8"/>
    <x v="2"/>
    <x v="3"/>
    <n v="44401"/>
    <n v="81.3"/>
  </r>
  <r>
    <s v="AZE"/>
    <x v="9"/>
    <x v="2"/>
    <x v="5"/>
    <n v="16986"/>
    <n v="72.900000000000006"/>
  </r>
  <r>
    <s v="BDI"/>
    <x v="10"/>
    <x v="1"/>
    <x v="8"/>
    <n v="777"/>
    <n v="61.4"/>
  </r>
  <r>
    <s v="BEL"/>
    <x v="11"/>
    <x v="2"/>
    <x v="3"/>
    <n v="41240"/>
    <n v="80.5"/>
  </r>
  <r>
    <s v="BEN"/>
    <x v="12"/>
    <x v="1"/>
    <x v="9"/>
    <n v="1830"/>
    <n v="62.3"/>
  </r>
  <r>
    <s v="BFA"/>
    <x v="13"/>
    <x v="1"/>
    <x v="9"/>
    <n v="1654"/>
    <n v="60.9"/>
  </r>
  <r>
    <s v="BGD"/>
    <x v="14"/>
    <x v="0"/>
    <x v="0"/>
    <n v="3161"/>
    <n v="70.400000000000006"/>
  </r>
  <r>
    <s v="BGR"/>
    <x v="15"/>
    <x v="2"/>
    <x v="2"/>
    <n v="16371"/>
    <n v="74.8"/>
  </r>
  <r>
    <s v="BHR"/>
    <x v="16"/>
    <x v="0"/>
    <x v="5"/>
    <n v="44138"/>
    <n v="79.099999999999994"/>
  </r>
  <r>
    <s v="BHS"/>
    <x v="17"/>
    <x v="3"/>
    <x v="6"/>
    <n v="22818"/>
    <n v="73.7"/>
  </r>
  <r>
    <s v="BIH"/>
    <x v="18"/>
    <x v="2"/>
    <x v="2"/>
    <n v="9833"/>
    <n v="78.900000000000006"/>
  </r>
  <r>
    <s v="BLR"/>
    <x v="19"/>
    <x v="2"/>
    <x v="2"/>
    <n v="17415"/>
    <n v="71"/>
  </r>
  <r>
    <s v="BLZ"/>
    <x v="20"/>
    <x v="3"/>
    <x v="10"/>
    <n v="8501"/>
    <n v="71.7"/>
  </r>
  <r>
    <s v="BOL"/>
    <x v="21"/>
    <x v="3"/>
    <x v="4"/>
    <n v="6295"/>
    <n v="73.2"/>
  </r>
  <r>
    <s v="BRA"/>
    <x v="22"/>
    <x v="3"/>
    <x v="4"/>
    <n v="15441"/>
    <n v="74.400000000000006"/>
  </r>
  <r>
    <s v="BRB"/>
    <x v="23"/>
    <x v="3"/>
    <x v="11"/>
    <n v="12984"/>
    <n v="75.7"/>
  </r>
  <r>
    <s v="BTN"/>
    <x v="24"/>
    <x v="0"/>
    <x v="0"/>
    <n v="7983"/>
    <n v="72.7"/>
  </r>
  <r>
    <s v="BWA"/>
    <x v="25"/>
    <x v="1"/>
    <x v="12"/>
    <n v="17196"/>
    <n v="58.7"/>
  </r>
  <r>
    <s v="CAF"/>
    <x v="26"/>
    <x v="1"/>
    <x v="1"/>
    <n v="599"/>
    <n v="49.6"/>
  </r>
  <r>
    <s v="CAN"/>
    <x v="27"/>
    <x v="3"/>
    <x v="6"/>
    <n v="43294"/>
    <n v="81.7"/>
  </r>
  <r>
    <s v="CHE"/>
    <x v="28"/>
    <x v="2"/>
    <x v="3"/>
    <n v="56118"/>
    <n v="83"/>
  </r>
  <r>
    <s v="CHL"/>
    <x v="29"/>
    <x v="3"/>
    <x v="4"/>
    <n v="22465"/>
    <n v="79.400000000000006"/>
  </r>
  <r>
    <s v="CHN"/>
    <x v="30"/>
    <x v="0"/>
    <x v="13"/>
    <n v="13334"/>
    <n v="76.2"/>
  </r>
  <r>
    <s v="CIV"/>
    <x v="31"/>
    <x v="1"/>
    <x v="9"/>
    <n v="3491"/>
    <n v="59.1"/>
  </r>
  <r>
    <s v="CMR"/>
    <x v="32"/>
    <x v="1"/>
    <x v="1"/>
    <n v="2897"/>
    <n v="59.4"/>
  </r>
  <r>
    <s v="COD"/>
    <x v="33"/>
    <x v="1"/>
    <x v="1"/>
    <n v="809"/>
    <n v="60.8"/>
  </r>
  <r>
    <s v="COG"/>
    <x v="34"/>
    <x v="1"/>
    <x v="1"/>
    <n v="6220"/>
    <n v="61.5"/>
  </r>
  <r>
    <s v="COL"/>
    <x v="35"/>
    <x v="3"/>
    <x v="4"/>
    <n v="12761"/>
    <n v="78"/>
  </r>
  <r>
    <s v="COM"/>
    <x v="36"/>
    <x v="1"/>
    <x v="8"/>
    <n v="1472"/>
    <n v="68.099999999999994"/>
  </r>
  <r>
    <s v="CPV"/>
    <x v="37"/>
    <x v="1"/>
    <x v="9"/>
    <n v="6514"/>
    <n v="72.900000000000006"/>
  </r>
  <r>
    <s v="CRI"/>
    <x v="38"/>
    <x v="3"/>
    <x v="10"/>
    <n v="14132"/>
    <n v="80.3"/>
  </r>
  <r>
    <s v="CUB"/>
    <x v="39"/>
    <x v="3"/>
    <x v="11"/>
    <n v="21291"/>
    <n v="78.2"/>
  </r>
  <r>
    <s v="CYP"/>
    <x v="40"/>
    <x v="2"/>
    <x v="2"/>
    <n v="29797"/>
    <n v="81.8"/>
  </r>
  <r>
    <s v="CZE"/>
    <x v="41"/>
    <x v="2"/>
    <x v="2"/>
    <n v="29437"/>
    <n v="78.8"/>
  </r>
  <r>
    <s v="DEU"/>
    <x v="42"/>
    <x v="2"/>
    <x v="3"/>
    <n v="44053"/>
    <n v="80.8"/>
  </r>
  <r>
    <s v="DJI"/>
    <x v="43"/>
    <x v="1"/>
    <x v="8"/>
    <n v="3139"/>
    <n v="63.8"/>
  </r>
  <r>
    <s v="DMA"/>
    <x v="44"/>
    <x v="3"/>
    <x v="11"/>
    <n v="10503"/>
    <n v="73.099999999999994"/>
  </r>
  <r>
    <s v="DNK"/>
    <x v="45"/>
    <x v="2"/>
    <x v="3"/>
    <n v="43495"/>
    <n v="80.400000000000006"/>
  </r>
  <r>
    <s v="DOM"/>
    <x v="46"/>
    <x v="3"/>
    <x v="11"/>
    <n v="12837"/>
    <n v="75.3"/>
  </r>
  <r>
    <s v="DZA"/>
    <x v="47"/>
    <x v="1"/>
    <x v="14"/>
    <n v="13434"/>
    <n v="76.400000000000006"/>
  </r>
  <r>
    <s v="ECU"/>
    <x v="48"/>
    <x v="3"/>
    <x v="4"/>
    <n v="10996"/>
    <n v="75.900000000000006"/>
  </r>
  <r>
    <s v="EGY"/>
    <x v="49"/>
    <x v="1"/>
    <x v="14"/>
    <n v="11031"/>
    <n v="71.5"/>
  </r>
  <r>
    <s v="ERI"/>
    <x v="50"/>
    <x v="1"/>
    <x v="8"/>
    <n v="1129"/>
    <n v="60.7"/>
  </r>
  <r>
    <s v="ESP"/>
    <x v="51"/>
    <x v="2"/>
    <x v="3"/>
    <n v="32979"/>
    <n v="82.6"/>
  </r>
  <r>
    <s v="EST"/>
    <x v="52"/>
    <x v="2"/>
    <x v="2"/>
    <n v="26812"/>
    <n v="77.8"/>
  </r>
  <r>
    <s v="ETH"/>
    <x v="53"/>
    <x v="1"/>
    <x v="8"/>
    <n v="1520"/>
    <n v="65.2"/>
  </r>
  <r>
    <s v="FIN"/>
    <x v="54"/>
    <x v="2"/>
    <x v="3"/>
    <n v="38923"/>
    <n v="80.900000000000006"/>
  </r>
  <r>
    <s v="FJI"/>
    <x v="55"/>
    <x v="4"/>
    <x v="7"/>
    <n v="7925"/>
    <n v="65.8"/>
  </r>
  <r>
    <s v="FRA"/>
    <x v="56"/>
    <x v="2"/>
    <x v="3"/>
    <n v="37599"/>
    <n v="81.8"/>
  </r>
  <r>
    <s v="FSM"/>
    <x v="57"/>
    <x v="4"/>
    <x v="7"/>
    <n v="3510"/>
    <n v="68.900000000000006"/>
  </r>
  <r>
    <s v="GAB"/>
    <x v="58"/>
    <x v="1"/>
    <x v="1"/>
    <n v="18627"/>
    <n v="65.900000000000006"/>
  </r>
  <r>
    <s v="GBR"/>
    <x v="59"/>
    <x v="2"/>
    <x v="3"/>
    <n v="38225"/>
    <n v="81"/>
  </r>
  <r>
    <s v="GEO"/>
    <x v="60"/>
    <x v="2"/>
    <x v="5"/>
    <n v="7474"/>
    <n v="72.900000000000006"/>
  </r>
  <r>
    <s v="GHA"/>
    <x v="61"/>
    <x v="1"/>
    <x v="9"/>
    <n v="4099"/>
    <n v="65.3"/>
  </r>
  <r>
    <s v="GIN"/>
    <x v="62"/>
    <x v="1"/>
    <x v="9"/>
    <n v="1225"/>
    <n v="59.1"/>
  </r>
  <r>
    <s v="GMB"/>
    <x v="63"/>
    <x v="1"/>
    <x v="9"/>
    <n v="1644"/>
    <n v="68.099999999999994"/>
  </r>
  <r>
    <s v="GNB"/>
    <x v="64"/>
    <x v="1"/>
    <x v="9"/>
    <n v="1386"/>
    <n v="55.6"/>
  </r>
  <r>
    <s v="GNQ"/>
    <x v="65"/>
    <x v="1"/>
    <x v="1"/>
    <n v="31087"/>
    <n v="61"/>
  </r>
  <r>
    <s v="GRC"/>
    <x v="66"/>
    <x v="2"/>
    <x v="2"/>
    <n v="25430"/>
    <n v="81"/>
  </r>
  <r>
    <s v="GRD"/>
    <x v="67"/>
    <x v="3"/>
    <x v="11"/>
    <n v="11593"/>
    <n v="71.5"/>
  </r>
  <r>
    <s v="GTM"/>
    <x v="68"/>
    <x v="3"/>
    <x v="10"/>
    <n v="7279"/>
    <n v="72.599999999999994"/>
  </r>
  <r>
    <s v="GUY"/>
    <x v="69"/>
    <x v="3"/>
    <x v="4"/>
    <n v="6816"/>
    <n v="66.8"/>
  </r>
  <r>
    <s v="HKG"/>
    <x v="70"/>
    <x v="0"/>
    <x v="13"/>
    <n v="53874"/>
    <n v="83.73"/>
  </r>
  <r>
    <s v="HND"/>
    <x v="71"/>
    <x v="3"/>
    <x v="10"/>
    <n v="4270"/>
    <n v="73"/>
  </r>
  <r>
    <s v="HRV"/>
    <x v="72"/>
    <x v="2"/>
    <x v="2"/>
    <n v="20260"/>
    <n v="77.8"/>
  </r>
  <r>
    <s v="HTI"/>
    <x v="73"/>
    <x v="3"/>
    <x v="11"/>
    <n v="1710"/>
    <n v="64.3"/>
  </r>
  <r>
    <s v="HUN"/>
    <x v="74"/>
    <x v="2"/>
    <x v="2"/>
    <n v="24200"/>
    <n v="76.7"/>
  </r>
  <r>
    <s v="IDN"/>
    <x v="75"/>
    <x v="0"/>
    <x v="15"/>
    <n v="10504"/>
    <n v="71.099999999999994"/>
  </r>
  <r>
    <s v="IND"/>
    <x v="76"/>
    <x v="0"/>
    <x v="0"/>
    <n v="5903"/>
    <n v="67.2"/>
  </r>
  <r>
    <s v="IRL"/>
    <x v="77"/>
    <x v="2"/>
    <x v="3"/>
    <n v="47758"/>
    <n v="81.7"/>
  </r>
  <r>
    <s v="IRN"/>
    <x v="78"/>
    <x v="0"/>
    <x v="0"/>
    <n v="15573"/>
    <n v="74.599999999999994"/>
  </r>
  <r>
    <s v="IRQ"/>
    <x v="79"/>
    <x v="0"/>
    <x v="5"/>
    <n v="14646"/>
    <n v="67.400000000000006"/>
  </r>
  <r>
    <s v="ISL"/>
    <x v="80"/>
    <x v="2"/>
    <x v="3"/>
    <n v="42182"/>
    <n v="83.3"/>
  </r>
  <r>
    <s v="ISR"/>
    <x v="81"/>
    <x v="0"/>
    <x v="5"/>
    <n v="31590"/>
    <n v="82.1"/>
  </r>
  <r>
    <s v="ITA"/>
    <x v="82"/>
    <x v="2"/>
    <x v="3"/>
    <n v="33297"/>
    <n v="82.2"/>
  </r>
  <r>
    <s v="JAM"/>
    <x v="83"/>
    <x v="3"/>
    <x v="11"/>
    <n v="8606"/>
    <n v="75"/>
  </r>
  <r>
    <s v="JOR"/>
    <x v="84"/>
    <x v="0"/>
    <x v="5"/>
    <n v="11752"/>
    <n v="78.5"/>
  </r>
  <r>
    <s v="JPN"/>
    <x v="85"/>
    <x v="0"/>
    <x v="13"/>
    <n v="36162"/>
    <n v="83.2"/>
  </r>
  <r>
    <s v="KAZ"/>
    <x v="86"/>
    <x v="0"/>
    <x v="16"/>
    <n v="23468"/>
    <n v="70.2"/>
  </r>
  <r>
    <s v="KEN"/>
    <x v="87"/>
    <x v="1"/>
    <x v="8"/>
    <n v="2898"/>
    <n v="65.099999999999994"/>
  </r>
  <r>
    <s v="KGZ"/>
    <x v="88"/>
    <x v="0"/>
    <x v="16"/>
    <n v="3245"/>
    <n v="69.8"/>
  </r>
  <r>
    <s v="KHM"/>
    <x v="89"/>
    <x v="0"/>
    <x v="15"/>
    <n v="3267"/>
    <n v="69.400000000000006"/>
  </r>
  <r>
    <s v="KIR"/>
    <x v="90"/>
    <x v="4"/>
    <x v="7"/>
    <n v="1824"/>
    <n v="63"/>
  </r>
  <r>
    <s v="KOR"/>
    <x v="91"/>
    <x v="0"/>
    <x v="13"/>
    <n v="34644"/>
    <n v="81"/>
  </r>
  <r>
    <s v="LAO"/>
    <x v="92"/>
    <x v="0"/>
    <x v="15"/>
    <n v="5212"/>
    <n v="67.099999999999994"/>
  </r>
  <r>
    <s v="LBN"/>
    <x v="93"/>
    <x v="0"/>
    <x v="5"/>
    <n v="17050"/>
    <n v="78.900000000000006"/>
  </r>
  <r>
    <s v="LBR"/>
    <x v="94"/>
    <x v="1"/>
    <x v="9"/>
    <n v="958"/>
    <n v="63.2"/>
  </r>
  <r>
    <s v="LBY"/>
    <x v="95"/>
    <x v="1"/>
    <x v="14"/>
    <n v="17261"/>
    <n v="74.099999999999994"/>
  </r>
  <r>
    <s v="LCA"/>
    <x v="96"/>
    <x v="3"/>
    <x v="11"/>
    <n v="9997"/>
    <n v="74.8"/>
  </r>
  <r>
    <s v="LKA"/>
    <x v="97"/>
    <x v="0"/>
    <x v="0"/>
    <n v="10624"/>
    <n v="77.599999999999994"/>
  </r>
  <r>
    <s v="LSO"/>
    <x v="98"/>
    <x v="1"/>
    <x v="12"/>
    <n v="2598"/>
    <n v="47.1"/>
  </r>
  <r>
    <s v="LTU"/>
    <x v="99"/>
    <x v="2"/>
    <x v="2"/>
    <n v="26665"/>
    <n v="75.2"/>
  </r>
  <r>
    <s v="LVA"/>
    <x v="100"/>
    <x v="2"/>
    <x v="2"/>
    <n v="23282"/>
    <n v="75.400000000000006"/>
  </r>
  <r>
    <s v="MAR"/>
    <x v="101"/>
    <x v="1"/>
    <x v="14"/>
    <n v="7319"/>
    <n v="74.599999999999994"/>
  </r>
  <r>
    <s v="MDA"/>
    <x v="102"/>
    <x v="2"/>
    <x v="2"/>
    <n v="4896"/>
    <n v="73.900000000000006"/>
  </r>
  <r>
    <s v="MDG"/>
    <x v="103"/>
    <x v="1"/>
    <x v="8"/>
    <n v="1400"/>
    <n v="63.5"/>
  </r>
  <r>
    <s v="MDV"/>
    <x v="104"/>
    <x v="0"/>
    <x v="0"/>
    <n v="14408"/>
    <n v="80"/>
  </r>
  <r>
    <s v="MEX"/>
    <x v="105"/>
    <x v="3"/>
    <x v="10"/>
    <n v="16850"/>
    <n v="75.900000000000006"/>
  </r>
  <r>
    <s v="MHL"/>
    <x v="106"/>
    <x v="4"/>
    <x v="15"/>
    <n v="3661"/>
    <n v="66.900000000000006"/>
  </r>
  <r>
    <s v="MKD"/>
    <x v="107"/>
    <x v="2"/>
    <x v="2"/>
    <n v="12547"/>
    <n v="76.5"/>
  </r>
  <r>
    <s v="MLI"/>
    <x v="108"/>
    <x v="1"/>
    <x v="9"/>
    <n v="1684"/>
    <n v="60.2"/>
  </r>
  <r>
    <s v="MLT"/>
    <x v="109"/>
    <x v="2"/>
    <x v="3"/>
    <n v="30265"/>
    <n v="82.1"/>
  </r>
  <r>
    <s v="MMR"/>
    <x v="110"/>
    <x v="0"/>
    <x v="15"/>
    <n v="4012"/>
    <n v="68"/>
  </r>
  <r>
    <s v="MNE"/>
    <x v="111"/>
    <x v="2"/>
    <x v="2"/>
    <n v="14833"/>
    <n v="77.2"/>
  </r>
  <r>
    <s v="MNG"/>
    <x v="112"/>
    <x v="0"/>
    <x v="13"/>
    <n v="11819"/>
    <n v="67.099999999999994"/>
  </r>
  <r>
    <s v="MOZ"/>
    <x v="113"/>
    <x v="1"/>
    <x v="8"/>
    <n v="1176"/>
    <n v="57.1"/>
  </r>
  <r>
    <s v="MRT"/>
    <x v="114"/>
    <x v="1"/>
    <x v="9"/>
    <n v="3877"/>
    <n v="69.7"/>
  </r>
  <r>
    <s v="MUS"/>
    <x v="115"/>
    <x v="1"/>
    <x v="8"/>
    <n v="18350"/>
    <n v="74.5"/>
  </r>
  <r>
    <s v="MWI"/>
    <x v="116"/>
    <x v="1"/>
    <x v="8"/>
    <n v="799"/>
    <n v="60.5"/>
  </r>
  <r>
    <s v="MYS"/>
    <x v="117"/>
    <x v="0"/>
    <x v="15"/>
    <n v="24320"/>
    <n v="75.3"/>
  </r>
  <r>
    <s v="NAM"/>
    <x v="118"/>
    <x v="1"/>
    <x v="12"/>
    <n v="10040"/>
    <n v="64.2"/>
  </r>
  <r>
    <s v="NER"/>
    <x v="119"/>
    <x v="1"/>
    <x v="9"/>
    <n v="943"/>
    <n v="61"/>
  </r>
  <r>
    <s v="NGA"/>
    <x v="120"/>
    <x v="1"/>
    <x v="9"/>
    <n v="5727"/>
    <n v="64.599999999999994"/>
  </r>
  <r>
    <s v="NIC"/>
    <x v="121"/>
    <x v="3"/>
    <x v="10"/>
    <n v="4712"/>
    <n v="78"/>
  </r>
  <r>
    <s v="NLD"/>
    <x v="122"/>
    <x v="2"/>
    <x v="3"/>
    <n v="45784"/>
    <n v="81.3"/>
  </r>
  <r>
    <s v="NPL"/>
    <x v="123"/>
    <x v="0"/>
    <x v="0"/>
    <n v="2352"/>
    <n v="69.7"/>
  </r>
  <r>
    <s v="NZL"/>
    <x v="124"/>
    <x v="4"/>
    <x v="7"/>
    <n v="34186"/>
    <n v="81.400000000000006"/>
  </r>
  <r>
    <s v="OMN"/>
    <x v="125"/>
    <x v="0"/>
    <x v="5"/>
    <n v="48226"/>
    <n v="77.2"/>
  </r>
  <r>
    <s v="PAK"/>
    <x v="126"/>
    <x v="0"/>
    <x v="0"/>
    <n v="4743"/>
    <n v="65.900000000000006"/>
  </r>
  <r>
    <s v="PAN"/>
    <x v="127"/>
    <x v="3"/>
    <x v="10"/>
    <n v="20485"/>
    <n v="78.2"/>
  </r>
  <r>
    <s v="PER"/>
    <x v="128"/>
    <x v="3"/>
    <x v="4"/>
    <n v="11903"/>
    <n v="79.5"/>
  </r>
  <r>
    <s v="PHL"/>
    <x v="129"/>
    <x v="0"/>
    <x v="15"/>
    <n v="6876"/>
    <n v="71"/>
  </r>
  <r>
    <s v="PNG"/>
    <x v="130"/>
    <x v="4"/>
    <x v="7"/>
    <n v="2529"/>
    <n v="60.9"/>
  </r>
  <r>
    <s v="POL"/>
    <x v="131"/>
    <x v="2"/>
    <x v="2"/>
    <n v="24787"/>
    <n v="77.599999999999994"/>
  </r>
  <r>
    <s v="PRK"/>
    <x v="132"/>
    <x v="0"/>
    <x v="13"/>
    <n v="1390"/>
    <n v="72.099999999999994"/>
  </r>
  <r>
    <s v="PRT"/>
    <x v="133"/>
    <x v="2"/>
    <x v="3"/>
    <n v="26437"/>
    <n v="80.8"/>
  </r>
  <r>
    <s v="PRY"/>
    <x v="134"/>
    <x v="3"/>
    <x v="4"/>
    <n v="8219"/>
    <n v="74.400000000000006"/>
  </r>
  <r>
    <s v="ROU"/>
    <x v="135"/>
    <x v="2"/>
    <x v="2"/>
    <n v="19203"/>
    <n v="75.2"/>
  </r>
  <r>
    <s v="RUS"/>
    <x v="136"/>
    <x v="2"/>
    <x v="2"/>
    <n v="23038"/>
    <n v="71"/>
  </r>
  <r>
    <s v="RWA"/>
    <x v="137"/>
    <x v="1"/>
    <x v="8"/>
    <n v="1549"/>
    <n v="65.900000000000006"/>
  </r>
  <r>
    <s v="SAU"/>
    <x v="138"/>
    <x v="0"/>
    <x v="5"/>
    <n v="52469"/>
    <n v="79.5"/>
  </r>
  <r>
    <s v="SDN"/>
    <x v="139"/>
    <x v="1"/>
    <x v="8"/>
    <n v="3975"/>
    <n v="67.5"/>
  </r>
  <r>
    <s v="SEN"/>
    <x v="140"/>
    <x v="1"/>
    <x v="9"/>
    <n v="2251"/>
    <n v="65.3"/>
  </r>
  <r>
    <s v="SLB"/>
    <x v="141"/>
    <x v="4"/>
    <x v="7"/>
    <n v="2047"/>
    <n v="64"/>
  </r>
  <r>
    <s v="SLE"/>
    <x v="142"/>
    <x v="1"/>
    <x v="9"/>
    <n v="2085"/>
    <n v="57.1"/>
  </r>
  <r>
    <s v="SLV"/>
    <x v="143"/>
    <x v="3"/>
    <x v="10"/>
    <n v="7776"/>
    <n v="74.900000000000006"/>
  </r>
  <r>
    <s v="SOM"/>
    <x v="144"/>
    <x v="1"/>
    <x v="8"/>
    <n v="624"/>
    <n v="54.2"/>
  </r>
  <r>
    <s v="SRB"/>
    <x v="145"/>
    <x v="2"/>
    <x v="2"/>
    <n v="12908"/>
    <n v="76.2"/>
  </r>
  <r>
    <s v="SSD"/>
    <x v="146"/>
    <x v="1"/>
    <x v="8"/>
    <n v="3047"/>
    <n v="56.1"/>
  </r>
  <r>
    <s v="STP"/>
    <x v="147"/>
    <x v="1"/>
    <x v="1"/>
    <n v="3003"/>
    <n v="68"/>
  </r>
  <r>
    <s v="SUR"/>
    <x v="148"/>
    <x v="3"/>
    <x v="4"/>
    <n v="17125"/>
    <n v="72"/>
  </r>
  <r>
    <s v="SVK"/>
    <x v="149"/>
    <x v="2"/>
    <x v="2"/>
    <n v="27204"/>
    <n v="77.599999999999994"/>
  </r>
  <r>
    <s v="SVN"/>
    <x v="150"/>
    <x v="2"/>
    <x v="2"/>
    <n v="28550"/>
    <n v="80.900000000000006"/>
  </r>
  <r>
    <s v="SWE"/>
    <x v="151"/>
    <x v="2"/>
    <x v="3"/>
    <n v="44892"/>
    <n v="82.1"/>
  </r>
  <r>
    <s v="SWZ"/>
    <x v="152"/>
    <x v="0"/>
    <x v="15"/>
    <n v="6095"/>
    <n v="51.8"/>
  </r>
  <r>
    <s v="SYC"/>
    <x v="153"/>
    <x v="1"/>
    <x v="8"/>
    <n v="25684"/>
    <n v="74.099999999999994"/>
  </r>
  <r>
    <s v="SYR"/>
    <x v="154"/>
    <x v="0"/>
    <x v="5"/>
    <n v="4637"/>
    <n v="68.2"/>
  </r>
  <r>
    <s v="TCD"/>
    <x v="155"/>
    <x v="1"/>
    <x v="1"/>
    <n v="2191"/>
    <n v="57.4"/>
  </r>
  <r>
    <s v="TGO"/>
    <x v="156"/>
    <x v="1"/>
    <x v="9"/>
    <n v="1433"/>
    <n v="61.5"/>
  </r>
  <r>
    <s v="THA"/>
    <x v="157"/>
    <x v="0"/>
    <x v="15"/>
    <n v="14512"/>
    <n v="74.7"/>
  </r>
  <r>
    <s v="TJK"/>
    <x v="158"/>
    <x v="0"/>
    <x v="16"/>
    <n v="2582"/>
    <n v="72.400000000000006"/>
  </r>
  <r>
    <s v="TKM"/>
    <x v="159"/>
    <x v="0"/>
    <x v="16"/>
    <n v="15865"/>
    <n v="70"/>
  </r>
  <r>
    <s v="TLS"/>
    <x v="160"/>
    <x v="0"/>
    <x v="15"/>
    <n v="2086"/>
    <n v="72.400000000000006"/>
  </r>
  <r>
    <s v="TON"/>
    <x v="161"/>
    <x v="4"/>
    <x v="7"/>
    <n v="5069"/>
    <n v="71.5"/>
  </r>
  <r>
    <s v="TTO"/>
    <x v="162"/>
    <x v="3"/>
    <x v="11"/>
    <n v="30113"/>
    <n v="72.400000000000006"/>
  </r>
  <r>
    <s v="TUN"/>
    <x v="163"/>
    <x v="1"/>
    <x v="14"/>
    <n v="11126"/>
    <n v="77.599999999999994"/>
  </r>
  <r>
    <s v="TUR"/>
    <x v="164"/>
    <x v="2"/>
    <x v="5"/>
    <n v="19360"/>
    <n v="79.2"/>
  </r>
  <r>
    <s v="TZA"/>
    <x v="165"/>
    <x v="1"/>
    <x v="8"/>
    <n v="2571"/>
    <n v="64.099999999999994"/>
  </r>
  <r>
    <s v="UGA"/>
    <x v="166"/>
    <x v="1"/>
    <x v="8"/>
    <n v="1680"/>
    <n v="61.3"/>
  </r>
  <r>
    <s v="UKR"/>
    <x v="167"/>
    <x v="2"/>
    <x v="2"/>
    <n v="8449"/>
    <n v="71.5"/>
  </r>
  <r>
    <s v="URY"/>
    <x v="168"/>
    <x v="3"/>
    <x v="4"/>
    <n v="20438"/>
    <n v="76.8"/>
  </r>
  <r>
    <s v="USA"/>
    <x v="169"/>
    <x v="3"/>
    <x v="6"/>
    <n v="53354"/>
    <n v="79.099999999999994"/>
  </r>
  <r>
    <s v="UZB"/>
    <x v="170"/>
    <x v="0"/>
    <x v="16"/>
    <n v="5598"/>
    <n v="71.8"/>
  </r>
  <r>
    <s v="VCT"/>
    <x v="171"/>
    <x v="3"/>
    <x v="11"/>
    <n v="10435"/>
    <n v="71.2"/>
  </r>
  <r>
    <s v="VEN"/>
    <x v="172"/>
    <x v="3"/>
    <x v="4"/>
    <n v="15753"/>
    <n v="74.8"/>
  </r>
  <r>
    <s v="VNM"/>
    <x v="173"/>
    <x v="0"/>
    <x v="15"/>
    <n v="5623"/>
    <n v="75.400000000000006"/>
  </r>
  <r>
    <s v="VUT"/>
    <x v="174"/>
    <x v="4"/>
    <x v="7"/>
    <n v="2912"/>
    <n v="64.900000000000006"/>
  </r>
  <r>
    <s v="WSM"/>
    <x v="175"/>
    <x v="4"/>
    <x v="7"/>
    <n v="5558"/>
    <n v="73.2"/>
  </r>
  <r>
    <s v="YEM"/>
    <x v="176"/>
    <x v="0"/>
    <x v="5"/>
    <n v="3887"/>
    <n v="66"/>
  </r>
  <r>
    <s v="ZAF"/>
    <x v="177"/>
    <x v="1"/>
    <x v="12"/>
    <n v="12509"/>
    <n v="61.3"/>
  </r>
  <r>
    <s v="ZMB"/>
    <x v="178"/>
    <x v="1"/>
    <x v="8"/>
    <n v="4034"/>
    <n v="56.7"/>
  </r>
  <r>
    <s v="ZWE"/>
    <x v="179"/>
    <x v="1"/>
    <x v="8"/>
    <n v="1801"/>
    <n v="59.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6974D2-3B9E-4900-B52C-A749341053F0}" name="01 pt_filtering_continents" cacheId="0" applyNumberFormats="0" applyBorderFormats="0" applyFontFormats="0" applyPatternFormats="0" applyAlignmentFormats="0" applyWidthHeightFormats="1" dataCaption="Values" showError="1" updatedVersion="8" minRefreshableVersion="3" rowGrandTotals="0" itemPrintTitles="1" createdVersion="7" indent="0" compact="0" compactData="0" multipleFieldFilters="0">
  <location ref="J11:J16" firstHeaderRow="1" firstDataRow="1" firstDataCol="1"/>
  <pivotFields count="6">
    <pivotField compact="0" outline="0" showAll="0"/>
    <pivotField compact="0" outline="0" showAll="0">
      <items count="181">
        <item x="0"/>
        <item x="2"/>
        <item x="47"/>
        <item x="3"/>
        <item x="1"/>
        <item x="6"/>
        <item x="4"/>
        <item x="5"/>
        <item x="7"/>
        <item x="8"/>
        <item x="9"/>
        <item x="17"/>
        <item x="16"/>
        <item x="14"/>
        <item x="23"/>
        <item x="19"/>
        <item x="11"/>
        <item x="20"/>
        <item x="12"/>
        <item x="24"/>
        <item x="21"/>
        <item x="18"/>
        <item x="25"/>
        <item x="22"/>
        <item x="15"/>
        <item x="13"/>
        <item x="10"/>
        <item x="37"/>
        <item x="89"/>
        <item x="32"/>
        <item x="27"/>
        <item x="26"/>
        <item x="155"/>
        <item x="29"/>
        <item x="30"/>
        <item x="35"/>
        <item x="36"/>
        <item x="33"/>
        <item x="34"/>
        <item x="38"/>
        <item x="31"/>
        <item x="72"/>
        <item x="39"/>
        <item x="40"/>
        <item x="41"/>
        <item x="45"/>
        <item x="43"/>
        <item x="44"/>
        <item x="46"/>
        <item x="48"/>
        <item x="49"/>
        <item x="143"/>
        <item x="65"/>
        <item x="50"/>
        <item x="52"/>
        <item x="152"/>
        <item x="53"/>
        <item x="55"/>
        <item x="54"/>
        <item x="56"/>
        <item x="58"/>
        <item x="63"/>
        <item x="60"/>
        <item x="42"/>
        <item x="61"/>
        <item x="66"/>
        <item x="67"/>
        <item x="68"/>
        <item x="62"/>
        <item x="64"/>
        <item x="69"/>
        <item x="73"/>
        <item x="71"/>
        <item x="70"/>
        <item x="74"/>
        <item x="80"/>
        <item x="76"/>
        <item x="75"/>
        <item x="78"/>
        <item x="79"/>
        <item x="77"/>
        <item x="81"/>
        <item x="82"/>
        <item x="83"/>
        <item x="85"/>
        <item x="84"/>
        <item x="86"/>
        <item x="87"/>
        <item x="90"/>
        <item x="132"/>
        <item x="91"/>
        <item x="88"/>
        <item x="92"/>
        <item x="100"/>
        <item x="93"/>
        <item x="98"/>
        <item x="94"/>
        <item x="95"/>
        <item x="99"/>
        <item x="103"/>
        <item x="116"/>
        <item x="117"/>
        <item x="104"/>
        <item x="108"/>
        <item x="109"/>
        <item x="106"/>
        <item x="114"/>
        <item x="115"/>
        <item x="105"/>
        <item x="57"/>
        <item x="102"/>
        <item x="112"/>
        <item x="111"/>
        <item x="101"/>
        <item x="113"/>
        <item x="110"/>
        <item x="118"/>
        <item x="123"/>
        <item x="122"/>
        <item x="124"/>
        <item x="121"/>
        <item x="119"/>
        <item x="120"/>
        <item x="125"/>
        <item x="126"/>
        <item x="127"/>
        <item x="130"/>
        <item x="134"/>
        <item x="128"/>
        <item x="129"/>
        <item x="131"/>
        <item x="133"/>
        <item x="107"/>
        <item x="135"/>
        <item x="136"/>
        <item x="137"/>
        <item x="96"/>
        <item x="171"/>
        <item x="175"/>
        <item x="147"/>
        <item x="138"/>
        <item x="140"/>
        <item x="145"/>
        <item x="153"/>
        <item x="142"/>
        <item x="149"/>
        <item x="150"/>
        <item x="141"/>
        <item x="144"/>
        <item x="177"/>
        <item x="146"/>
        <item x="51"/>
        <item x="97"/>
        <item x="139"/>
        <item x="148"/>
        <item x="151"/>
        <item x="28"/>
        <item x="154"/>
        <item x="158"/>
        <item x="165"/>
        <item x="157"/>
        <item x="160"/>
        <item x="156"/>
        <item x="161"/>
        <item x="162"/>
        <item x="163"/>
        <item x="164"/>
        <item x="159"/>
        <item x="166"/>
        <item x="167"/>
        <item x="59"/>
        <item x="169"/>
        <item x="168"/>
        <item x="170"/>
        <item x="174"/>
        <item x="172"/>
        <item x="173"/>
        <item x="176"/>
        <item x="178"/>
        <item x="179"/>
        <item t="default"/>
      </items>
    </pivotField>
    <pivotField axis="axisRow" compact="0" outline="0" showAll="0">
      <items count="6">
        <item x="1"/>
        <item x="3"/>
        <item x="0"/>
        <item x="2"/>
        <item x="4"/>
        <item t="default"/>
      </items>
    </pivotField>
    <pivotField compact="0" outline="0" showAll="0">
      <items count="18">
        <item x="11"/>
        <item x="10"/>
        <item x="16"/>
        <item x="8"/>
        <item x="13"/>
        <item x="2"/>
        <item x="1"/>
        <item x="6"/>
        <item x="14"/>
        <item x="7"/>
        <item x="4"/>
        <item x="15"/>
        <item x="12"/>
        <item x="0"/>
        <item x="9"/>
        <item x="5"/>
        <item x="3"/>
        <item t="default"/>
      </items>
    </pivotField>
    <pivotField compact="0" outline="0" showAll="0"/>
    <pivotField compact="0" outline="0" showAll="0"/>
  </pivotFields>
  <rowFields count="1">
    <field x="2"/>
  </rowFields>
  <rowItems count="5">
    <i>
      <x/>
    </i>
    <i>
      <x v="1"/>
    </i>
    <i>
      <x v="2"/>
    </i>
    <i>
      <x v="3"/>
    </i>
    <i>
      <x v="4"/>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3911A1-2AFB-4ACD-AF47-81CDC0A5AE1A}" name="pt_units" cacheId="1"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Q20:Q21" firstHeaderRow="1" firstDataRow="1" firstDataCol="1"/>
  <pivotFields count="1">
    <pivotField axis="axisRow" compact="0" outline="0" showAll="0">
      <items count="3">
        <item x="0"/>
        <item h="1" x="1"/>
        <item t="default"/>
      </items>
    </pivotField>
  </pivotFields>
  <rowFields count="1">
    <field x="0"/>
  </rowFields>
  <rowItems count="1">
    <i>
      <x/>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79AEBC-A48F-49A6-A8BC-E61CAED17431}" name="03 pt_filtering_countries" cacheId="0" applyNumberFormats="0" applyBorderFormats="0" applyFontFormats="0" applyPatternFormats="0" applyAlignmentFormats="0" applyWidthHeightFormats="1" dataCaption="Values" showError="1" updatedVersion="8" minRefreshableVersion="3" rowGrandTotals="0" itemPrintTitles="1" createdVersion="7" indent="0" compact="0" compactData="0" multipleFieldFilters="0">
  <location ref="N11:N191" firstHeaderRow="1" firstDataRow="1" firstDataCol="1"/>
  <pivotFields count="6">
    <pivotField compact="0" outline="0" showAll="0"/>
    <pivotField axis="axisRow" compact="0" outline="0" showAll="0">
      <items count="181">
        <item x="0"/>
        <item x="2"/>
        <item x="47"/>
        <item x="3"/>
        <item x="1"/>
        <item x="6"/>
        <item x="4"/>
        <item x="5"/>
        <item x="7"/>
        <item x="8"/>
        <item x="9"/>
        <item x="17"/>
        <item x="16"/>
        <item x="14"/>
        <item x="23"/>
        <item x="19"/>
        <item x="11"/>
        <item x="20"/>
        <item x="12"/>
        <item x="24"/>
        <item x="21"/>
        <item x="18"/>
        <item x="25"/>
        <item x="22"/>
        <item x="15"/>
        <item x="13"/>
        <item x="10"/>
        <item x="37"/>
        <item x="89"/>
        <item x="32"/>
        <item x="27"/>
        <item x="26"/>
        <item x="155"/>
        <item x="29"/>
        <item x="30"/>
        <item x="35"/>
        <item x="36"/>
        <item x="33"/>
        <item x="34"/>
        <item x="38"/>
        <item x="31"/>
        <item x="72"/>
        <item x="39"/>
        <item x="40"/>
        <item x="41"/>
        <item x="45"/>
        <item x="43"/>
        <item x="44"/>
        <item x="46"/>
        <item x="48"/>
        <item x="49"/>
        <item x="143"/>
        <item x="65"/>
        <item x="50"/>
        <item x="52"/>
        <item x="152"/>
        <item x="53"/>
        <item x="55"/>
        <item x="54"/>
        <item x="56"/>
        <item x="58"/>
        <item x="63"/>
        <item x="60"/>
        <item x="42"/>
        <item x="61"/>
        <item x="66"/>
        <item x="67"/>
        <item x="68"/>
        <item x="62"/>
        <item x="64"/>
        <item x="69"/>
        <item x="73"/>
        <item x="71"/>
        <item x="70"/>
        <item x="74"/>
        <item x="80"/>
        <item x="76"/>
        <item x="75"/>
        <item x="78"/>
        <item x="79"/>
        <item x="77"/>
        <item x="81"/>
        <item x="82"/>
        <item x="83"/>
        <item x="85"/>
        <item x="84"/>
        <item x="86"/>
        <item x="87"/>
        <item x="90"/>
        <item x="132"/>
        <item x="91"/>
        <item x="88"/>
        <item x="92"/>
        <item x="100"/>
        <item x="93"/>
        <item x="98"/>
        <item x="94"/>
        <item x="95"/>
        <item x="99"/>
        <item x="103"/>
        <item x="116"/>
        <item x="117"/>
        <item x="104"/>
        <item x="108"/>
        <item x="109"/>
        <item x="106"/>
        <item x="114"/>
        <item x="115"/>
        <item x="105"/>
        <item x="57"/>
        <item x="102"/>
        <item x="112"/>
        <item x="111"/>
        <item x="101"/>
        <item x="113"/>
        <item x="110"/>
        <item x="118"/>
        <item x="123"/>
        <item x="122"/>
        <item x="124"/>
        <item x="121"/>
        <item x="119"/>
        <item x="120"/>
        <item x="125"/>
        <item x="126"/>
        <item x="127"/>
        <item x="130"/>
        <item x="134"/>
        <item x="128"/>
        <item x="129"/>
        <item x="131"/>
        <item x="133"/>
        <item x="107"/>
        <item x="135"/>
        <item x="136"/>
        <item x="137"/>
        <item x="96"/>
        <item x="171"/>
        <item x="175"/>
        <item x="147"/>
        <item x="138"/>
        <item x="140"/>
        <item x="145"/>
        <item x="153"/>
        <item x="142"/>
        <item x="149"/>
        <item x="150"/>
        <item x="141"/>
        <item x="144"/>
        <item x="177"/>
        <item x="146"/>
        <item x="51"/>
        <item x="97"/>
        <item x="139"/>
        <item x="148"/>
        <item x="151"/>
        <item x="28"/>
        <item x="154"/>
        <item x="158"/>
        <item x="165"/>
        <item x="157"/>
        <item x="160"/>
        <item x="156"/>
        <item x="161"/>
        <item x="162"/>
        <item x="163"/>
        <item x="164"/>
        <item x="159"/>
        <item x="166"/>
        <item x="167"/>
        <item x="59"/>
        <item x="169"/>
        <item x="168"/>
        <item x="170"/>
        <item x="174"/>
        <item x="172"/>
        <item x="173"/>
        <item x="176"/>
        <item x="178"/>
        <item x="179"/>
        <item t="default"/>
      </items>
    </pivotField>
    <pivotField compact="0" outline="0" showAll="0">
      <items count="6">
        <item x="1"/>
        <item x="3"/>
        <item x="0"/>
        <item x="2"/>
        <item x="4"/>
        <item t="default"/>
      </items>
    </pivotField>
    <pivotField compact="0" outline="0" showAll="0">
      <items count="18">
        <item x="11"/>
        <item x="10"/>
        <item x="16"/>
        <item x="8"/>
        <item x="13"/>
        <item x="2"/>
        <item x="1"/>
        <item x="6"/>
        <item x="14"/>
        <item x="7"/>
        <item x="4"/>
        <item x="15"/>
        <item x="12"/>
        <item x="0"/>
        <item x="9"/>
        <item x="5"/>
        <item x="3"/>
        <item t="default"/>
      </items>
    </pivotField>
    <pivotField compact="0" outline="0" showAll="0"/>
    <pivotField compact="0" outline="0" showAll="0"/>
  </pivotFields>
  <rowFields count="1">
    <field x="1"/>
  </rowFields>
  <rowItems count="1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5F3868-1A54-4C93-8386-DD16C529351A}" name="02 pt_filtering_regions" cacheId="0" applyNumberFormats="0" applyBorderFormats="0" applyFontFormats="0" applyPatternFormats="0" applyAlignmentFormats="0" applyWidthHeightFormats="1" dataCaption="Values" showError="1" updatedVersion="8" minRefreshableVersion="3" rowGrandTotals="0" itemPrintTitles="1" createdVersion="7" indent="0" compact="0" compactData="0" multipleFieldFilters="0">
  <location ref="L11:L28" firstHeaderRow="1" firstDataRow="1" firstDataCol="1"/>
  <pivotFields count="6">
    <pivotField compact="0" outline="0" showAll="0"/>
    <pivotField compact="0" outline="0" showAll="0">
      <items count="181">
        <item x="0"/>
        <item x="2"/>
        <item x="47"/>
        <item x="3"/>
        <item x="1"/>
        <item x="6"/>
        <item x="4"/>
        <item x="5"/>
        <item x="7"/>
        <item x="8"/>
        <item x="9"/>
        <item x="17"/>
        <item x="16"/>
        <item x="14"/>
        <item x="23"/>
        <item x="19"/>
        <item x="11"/>
        <item x="20"/>
        <item x="12"/>
        <item x="24"/>
        <item x="21"/>
        <item x="18"/>
        <item x="25"/>
        <item x="22"/>
        <item x="15"/>
        <item x="13"/>
        <item x="10"/>
        <item x="37"/>
        <item x="89"/>
        <item x="32"/>
        <item x="27"/>
        <item x="26"/>
        <item x="155"/>
        <item x="29"/>
        <item x="30"/>
        <item x="35"/>
        <item x="36"/>
        <item x="33"/>
        <item x="34"/>
        <item x="38"/>
        <item x="31"/>
        <item x="72"/>
        <item x="39"/>
        <item x="40"/>
        <item x="41"/>
        <item x="45"/>
        <item x="43"/>
        <item x="44"/>
        <item x="46"/>
        <item x="48"/>
        <item x="49"/>
        <item x="143"/>
        <item x="65"/>
        <item x="50"/>
        <item x="52"/>
        <item x="152"/>
        <item x="53"/>
        <item x="55"/>
        <item x="54"/>
        <item x="56"/>
        <item x="58"/>
        <item x="63"/>
        <item x="60"/>
        <item x="42"/>
        <item x="61"/>
        <item x="66"/>
        <item x="67"/>
        <item x="68"/>
        <item x="62"/>
        <item x="64"/>
        <item x="69"/>
        <item x="73"/>
        <item x="71"/>
        <item x="70"/>
        <item x="74"/>
        <item x="80"/>
        <item x="76"/>
        <item x="75"/>
        <item x="78"/>
        <item x="79"/>
        <item x="77"/>
        <item x="81"/>
        <item x="82"/>
        <item x="83"/>
        <item x="85"/>
        <item x="84"/>
        <item x="86"/>
        <item x="87"/>
        <item x="90"/>
        <item x="132"/>
        <item x="91"/>
        <item x="88"/>
        <item x="92"/>
        <item x="100"/>
        <item x="93"/>
        <item x="98"/>
        <item x="94"/>
        <item x="95"/>
        <item x="99"/>
        <item x="103"/>
        <item x="116"/>
        <item x="117"/>
        <item x="104"/>
        <item x="108"/>
        <item x="109"/>
        <item x="106"/>
        <item x="114"/>
        <item x="115"/>
        <item x="105"/>
        <item x="57"/>
        <item x="102"/>
        <item x="112"/>
        <item x="111"/>
        <item x="101"/>
        <item x="113"/>
        <item x="110"/>
        <item x="118"/>
        <item x="123"/>
        <item x="122"/>
        <item x="124"/>
        <item x="121"/>
        <item x="119"/>
        <item x="120"/>
        <item x="125"/>
        <item x="126"/>
        <item x="127"/>
        <item x="130"/>
        <item x="134"/>
        <item x="128"/>
        <item x="129"/>
        <item x="131"/>
        <item x="133"/>
        <item x="107"/>
        <item x="135"/>
        <item x="136"/>
        <item x="137"/>
        <item x="96"/>
        <item x="171"/>
        <item x="175"/>
        <item x="147"/>
        <item x="138"/>
        <item x="140"/>
        <item x="145"/>
        <item x="153"/>
        <item x="142"/>
        <item x="149"/>
        <item x="150"/>
        <item x="141"/>
        <item x="144"/>
        <item x="177"/>
        <item x="146"/>
        <item x="51"/>
        <item x="97"/>
        <item x="139"/>
        <item x="148"/>
        <item x="151"/>
        <item x="28"/>
        <item x="154"/>
        <item x="158"/>
        <item x="165"/>
        <item x="157"/>
        <item x="160"/>
        <item x="156"/>
        <item x="161"/>
        <item x="162"/>
        <item x="163"/>
        <item x="164"/>
        <item x="159"/>
        <item x="166"/>
        <item x="167"/>
        <item x="59"/>
        <item x="169"/>
        <item x="168"/>
        <item x="170"/>
        <item x="174"/>
        <item x="172"/>
        <item x="173"/>
        <item x="176"/>
        <item x="178"/>
        <item x="179"/>
        <item t="default"/>
      </items>
    </pivotField>
    <pivotField compact="0" outline="0" showAll="0">
      <items count="6">
        <item x="1"/>
        <item x="3"/>
        <item x="0"/>
        <item x="2"/>
        <item x="4"/>
        <item t="default"/>
      </items>
    </pivotField>
    <pivotField axis="axisRow" compact="0" outline="0" showAll="0">
      <items count="18">
        <item x="11"/>
        <item x="10"/>
        <item x="16"/>
        <item x="8"/>
        <item x="13"/>
        <item x="2"/>
        <item x="1"/>
        <item x="6"/>
        <item x="14"/>
        <item x="7"/>
        <item x="4"/>
        <item x="15"/>
        <item x="12"/>
        <item x="0"/>
        <item x="9"/>
        <item x="5"/>
        <item x="3"/>
        <item t="default"/>
      </items>
    </pivotField>
    <pivotField compact="0" outline="0" showAll="0"/>
    <pivotField compact="0" outline="0" showAll="0"/>
  </pivotFields>
  <rowFields count="1">
    <field x="3"/>
  </rowFields>
  <rowItems count="17">
    <i>
      <x/>
    </i>
    <i>
      <x v="1"/>
    </i>
    <i>
      <x v="2"/>
    </i>
    <i>
      <x v="3"/>
    </i>
    <i>
      <x v="4"/>
    </i>
    <i>
      <x v="5"/>
    </i>
    <i>
      <x v="6"/>
    </i>
    <i>
      <x v="7"/>
    </i>
    <i>
      <x v="8"/>
    </i>
    <i>
      <x v="9"/>
    </i>
    <i>
      <x v="10"/>
    </i>
    <i>
      <x v="11"/>
    </i>
    <i>
      <x v="12"/>
    </i>
    <i>
      <x v="13"/>
    </i>
    <i>
      <x v="14"/>
    </i>
    <i>
      <x v="15"/>
    </i>
    <i>
      <x v="16"/>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2_continent_slicer" xr10:uid="{3991885F-1578-40DF-A4AA-6B78A5636E60}" sourceName="continent">
  <pivotTables>
    <pivotTable tabId="4" name="01 pt_filtering_continents"/>
    <pivotTable tabId="4" name="02 pt_filtering_regions"/>
    <pivotTable tabId="4" name="03 pt_filtering_countries"/>
  </pivotTables>
  <data>
    <tabular pivotCacheId="210609368">
      <items count="5">
        <i x="1" s="1"/>
        <i x="3" s="1"/>
        <i x="0"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3_region_slicer" xr10:uid="{CFC2EA2C-3D56-40A5-A431-EA0CBA4595E6}" sourceName="region">
  <pivotTables>
    <pivotTable tabId="4" name="01 pt_filtering_continents"/>
    <pivotTable tabId="4" name="03 pt_filtering_countries"/>
    <pivotTable tabId="4" name="02 pt_filtering_regions"/>
  </pivotTables>
  <data>
    <tabular pivotCacheId="210609368">
      <items count="17">
        <i x="11" s="1"/>
        <i x="10" s="1"/>
        <i x="16" s="1"/>
        <i x="8" s="1"/>
        <i x="13" s="1"/>
        <i x="2" s="1"/>
        <i x="1" s="1"/>
        <i x="6" s="1"/>
        <i x="14" s="1"/>
        <i x="7" s="1"/>
        <i x="4" s="1"/>
        <i x="15" s="1"/>
        <i x="12" s="1"/>
        <i x="0" s="1"/>
        <i x="9"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8_major_units_slicer" xr10:uid="{E25AF33F-466F-4105-B7A6-4A2522C443D5}" sourceName="units">
  <pivotTables>
    <pivotTable tabId="4" name="pt_units"/>
  </pivotTables>
  <data>
    <tabular pivotCacheId="128441601">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xr10:uid="{FDE2A2C9-DF65-40AB-87B8-1590B8DBAA44}" cache="_02_continent_slicer" caption="continent" style="xlorla" rowHeight="144000"/>
  <slicer name="region" xr10:uid="{7EA816FC-1D5B-4F7C-AD06-47537491007A}" cache="_03_region_slicer" caption="region" style="xlorla" rowHeight="144000"/>
  <slicer name="units" xr10:uid="{3F225414-7BFB-4CD4-92B2-CA606FEC9F7C}" cache="_08_major_units_slicer" caption="major units" columnCount="2" style="xlorla" rowHeight="171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7DF7CD-0DBD-4981-B298-8966BD4387D2}" name="_01_data" displayName="_01_data" ref="B11:G191" totalsRowShown="0">
  <autoFilter ref="B11:G191" xr:uid="{357DF7CD-0DBD-4981-B298-8966BD4387D2}"/>
  <sortState xmlns:xlrd2="http://schemas.microsoft.com/office/spreadsheetml/2017/richdata2" ref="B12:G14">
    <sortCondition ref="F11:F14"/>
  </sortState>
  <tableColumns count="6">
    <tableColumn id="3" xr3:uid="{A81532DA-9046-4A69-873B-EC028C20905B}" name="code" dataDxfId="3"/>
    <tableColumn id="4" xr3:uid="{03723F05-87BB-4D5A-9BD9-C3D07EED8646}" name="country" dataDxfId="2"/>
    <tableColumn id="6" xr3:uid="{E7E24EE9-87C9-43C9-88F3-C3BFB96C3D34}" name="continent" dataDxfId="1"/>
    <tableColumn id="5" xr3:uid="{F4599A3F-3D2F-4C00-8CA0-DA656B2BE172}" name="region" dataDxfId="0"/>
    <tableColumn id="1" xr3:uid="{83DE81F7-E848-49B9-ABDF-58E8AEFFE8CC}" name="x_values"/>
    <tableColumn id="2" xr3:uid="{2B564560-0D4E-425E-9644-D467B15CF2B5}" name="y_values"/>
  </tableColumns>
  <tableStyleInfo name="Peltier Tech Minima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kedin.com/in/camoesjo/" TargetMode="Externa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hyperlink" Target="https://peltiertech.com/chart-udf-control-axis-scale/" TargetMode="External"/><Relationship Id="rId11" Type="http://schemas.openxmlformats.org/officeDocument/2006/relationships/ctrlProp" Target="../ctrlProps/ctrlProp2.xml"/><Relationship Id="rId5" Type="http://schemas.openxmlformats.org/officeDocument/2006/relationships/hyperlink" Target="https://exceloffthegrid.com/chart-axis-min-mix/"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www.linkedin.com/in/ca-b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8D5D7-ECD9-42E9-B281-079AF1F476C2}">
  <dimension ref="A1:N28"/>
  <sheetViews>
    <sheetView showGridLines="0" zoomScale="130" zoomScaleNormal="130" workbookViewId="0">
      <selection activeCell="N1" sqref="N1"/>
    </sheetView>
  </sheetViews>
  <sheetFormatPr defaultColWidth="0" defaultRowHeight="10.5" zeroHeight="1"/>
  <cols>
    <col min="1" max="14" width="9.140625" customWidth="1"/>
    <col min="15" max="16384" width="9.140625" hidden="1"/>
  </cols>
  <sheetData>
    <row r="1" spans="2:7"/>
    <row r="2" spans="2:7">
      <c r="B2" s="19" t="s">
        <v>0</v>
      </c>
      <c r="C2" s="21" t="s">
        <v>1</v>
      </c>
      <c r="G2" s="10" t="s">
        <v>2</v>
      </c>
    </row>
    <row r="3" spans="2:7"/>
    <row r="4" spans="2:7"/>
    <row r="5" spans="2:7"/>
    <row r="6" spans="2:7"/>
    <row r="7" spans="2:7"/>
    <row r="8" spans="2:7"/>
    <row r="9" spans="2:7"/>
    <row r="10" spans="2:7"/>
    <row r="11" spans="2:7"/>
    <row r="12" spans="2:7"/>
    <row r="13" spans="2:7"/>
    <row r="14" spans="2:7"/>
    <row r="15" spans="2:7"/>
    <row r="16" spans="2:7"/>
    <row r="17"/>
    <row r="18"/>
    <row r="19"/>
    <row r="20"/>
    <row r="21"/>
    <row r="22"/>
    <row r="23"/>
    <row r="24"/>
    <row r="25"/>
    <row r="26"/>
    <row r="27"/>
    <row r="28"/>
  </sheetData>
  <hyperlinks>
    <hyperlink ref="C2" r:id="rId1" xr:uid="{3D2F5044-674B-4B63-B4E9-87009C18A539}"/>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C0EF-BA00-42C2-BBFA-4AAA4010BE5F}">
  <sheetPr codeName="Sheet2"/>
  <dimension ref="A1:AY200"/>
  <sheetViews>
    <sheetView showGridLines="0" topLeftCell="U1" workbookViewId="0">
      <selection activeCell="AY1" sqref="AY1"/>
    </sheetView>
  </sheetViews>
  <sheetFormatPr defaultColWidth="0" defaultRowHeight="10.5" zeroHeight="1"/>
  <cols>
    <col min="1" max="1" width="3.7109375" customWidth="1"/>
    <col min="2" max="2" width="9.140625" customWidth="1"/>
    <col min="3" max="3" width="24" customWidth="1"/>
    <col min="4" max="5" width="14.42578125" customWidth="1"/>
    <col min="6" max="7" width="9.140625" customWidth="1"/>
    <col min="8" max="9" width="4.140625" customWidth="1"/>
    <col min="10" max="10" width="9.140625" customWidth="1"/>
    <col min="11" max="11" width="4.42578125" customWidth="1"/>
    <col min="12" max="12" width="9.140625" customWidth="1"/>
    <col min="13" max="13" width="4.42578125" customWidth="1"/>
    <col min="14" max="14" width="9.140625" customWidth="1"/>
    <col min="15" max="16" width="3.7109375" customWidth="1"/>
    <col min="17" max="17" width="9.140625" bestFit="1" customWidth="1"/>
    <col min="18" max="18" width="11.85546875" customWidth="1"/>
    <col min="19" max="19" width="9.85546875" customWidth="1"/>
    <col min="20" max="21" width="3.7109375" customWidth="1"/>
    <col min="22" max="26" width="9.140625" customWidth="1"/>
    <col min="27" max="27" width="13.42578125" customWidth="1"/>
    <col min="28" max="29" width="11.42578125" bestFit="1" customWidth="1"/>
    <col min="30" max="30" width="8.7109375" customWidth="1"/>
    <col min="31" max="31" width="3.7109375" customWidth="1"/>
    <col min="32" max="45" width="9.140625" customWidth="1"/>
    <col min="46" max="46" width="3.42578125" customWidth="1"/>
    <col min="47" max="48" width="9.140625" customWidth="1"/>
    <col min="49" max="51" width="6" customWidth="1"/>
    <col min="52" max="16384" width="6" hidden="1"/>
  </cols>
  <sheetData>
    <row r="1" spans="2:32"/>
    <row r="2" spans="2:32"/>
    <row r="3" spans="2:32">
      <c r="AF3" s="8"/>
    </row>
    <row r="4" spans="2:32"/>
    <row r="5" spans="2:32"/>
    <row r="6" spans="2:32"/>
    <row r="7" spans="2:32"/>
    <row r="8" spans="2:32"/>
    <row r="9" spans="2:32"/>
    <row r="10" spans="2:32">
      <c r="AA10" s="10" t="s">
        <v>3</v>
      </c>
      <c r="AD10" s="8" t="s">
        <v>4</v>
      </c>
    </row>
    <row r="11" spans="2:32">
      <c r="B11" t="s">
        <v>5</v>
      </c>
      <c r="C11" t="s">
        <v>6</v>
      </c>
      <c r="D11" t="s">
        <v>7</v>
      </c>
      <c r="E11" t="s">
        <v>8</v>
      </c>
      <c r="F11" t="s">
        <v>9</v>
      </c>
      <c r="G11" t="s">
        <v>10</v>
      </c>
      <c r="J11" s="7" t="s">
        <v>7</v>
      </c>
      <c r="L11" s="7" t="s">
        <v>8</v>
      </c>
      <c r="N11" s="7" t="s">
        <v>6</v>
      </c>
      <c r="O11" s="7"/>
      <c r="R11" s="8" t="s">
        <v>11</v>
      </c>
      <c r="S11" s="8" t="s">
        <v>12</v>
      </c>
      <c r="V11" t="s">
        <v>13</v>
      </c>
      <c r="W11" s="8" t="s">
        <v>9</v>
      </c>
      <c r="X11" s="8" t="s">
        <v>10</v>
      </c>
      <c r="Y11" s="8" t="s">
        <v>14</v>
      </c>
      <c r="Z11" s="15" t="s">
        <v>15</v>
      </c>
      <c r="AA11" t="s">
        <v>13</v>
      </c>
      <c r="AB11" s="8" t="s">
        <v>16</v>
      </c>
      <c r="AC11" s="8" t="s">
        <v>17</v>
      </c>
      <c r="AD11" s="8" t="s">
        <v>6</v>
      </c>
      <c r="AE11" s="8"/>
    </row>
    <row r="12" spans="2:32">
      <c r="B12" t="s">
        <v>18</v>
      </c>
      <c r="C12" t="s">
        <v>19</v>
      </c>
      <c r="D12" t="s">
        <v>20</v>
      </c>
      <c r="E12" t="s">
        <v>21</v>
      </c>
      <c r="F12">
        <v>1925</v>
      </c>
      <c r="G12">
        <v>53.8</v>
      </c>
      <c r="J12" t="s">
        <v>22</v>
      </c>
      <c r="L12" t="s">
        <v>23</v>
      </c>
      <c r="M12" s="9" t="s">
        <v>24</v>
      </c>
      <c r="N12" t="s">
        <v>19</v>
      </c>
      <c r="O12" s="9" t="s">
        <v>24</v>
      </c>
      <c r="Q12" s="8" t="s">
        <v>25</v>
      </c>
      <c r="R12">
        <v>0</v>
      </c>
      <c r="S12">
        <f xml:space="preserve"> MROUND( MIN(_xlfn.ANCHORARRAY( X12) ), 5 ) - 5</f>
        <v>40</v>
      </c>
      <c r="V12" s="11" t="str" cm="1">
        <f t="array" ref="V12:V191" xml:space="preserve"> _xlfn._xlws.FILTER( _01_data[country],
                 ISNUMBER( _xlfn.XMATCH( _01_data[country], N12:N191 ) )
                 )</f>
        <v>Afghanistan</v>
      </c>
      <c r="W12" s="11" cm="1">
        <f t="array" ref="W12:W191" xml:space="preserve"> SUMIFS( _01_data[x_values],
                   _01_data[country],_xlfn.ANCHORARRAY(
                   V12) )</f>
        <v>1925</v>
      </c>
      <c r="X12" s="11" cm="1">
        <f t="array" ref="X12:X191" xml:space="preserve"> SUMIFS( _01_data[y_values],
                   _01_data[country],_xlfn.ANCHORARRAY(
                   V12) )</f>
        <v>53.8</v>
      </c>
      <c r="Y12" s="11" cm="1">
        <f t="array" ref="Y12:Y191" xml:space="preserve"> IF( ISTEXT(_xlfn.ANCHORARRAY( V12) ),
         R13 - 1000,
         NA() )</f>
        <v>59000</v>
      </c>
      <c r="Z12" s="11" cm="1">
        <f t="array" ref="Z12:Z191" xml:space="preserve"> IF( ISTEXT(_xlfn.ANCHORARRAY( V12) ),
         S13 - 0.6,
         NA() )</f>
        <v>89.4</v>
      </c>
      <c r="AA12" s="11" t="str" cm="1">
        <f t="array" ref="AA12" xml:space="preserve"> _xlfn.IFS( ( Q59 &lt;&gt; "No highlight" ) * ( R59 &lt;&gt; "No highlight" ) * ( S59 &lt;&gt; "No highlight" ),
          _xlfn._xlws.SORT(
               _xlfn.UNIQUE(
                     _xlfn._xlws.FILTER( _01_data[country],
                                  ( _01_data[continent] = INDEX(_xlfn.ANCHORARRAY( Q63), Q58 ) )
                               * ( _01_data[region] = INDEX(_xlfn.ANCHORARRAY( R63), R58 ) )
                               * ( _01_data[country] = INDEX(_xlfn.ANCHORARRAY( S63), S58 ) )
                               )
                         )
                    ),
           ( Q59 &lt;&gt; "No highlight" ) * ( R59 &lt;&gt; "No highlight" ),
            _xlfn._xlws.SORT(
               _xlfn.UNIQUE(
                     _xlfn._xlws.FILTER( _01_data[country],
                                  ( _01_data[continent] = INDEX(_xlfn.ANCHORARRAY( Q63), Q58 ) )
                               * ( _01_data[region] = INDEX(_xlfn.ANCHORARRAY( R63), R58 ) )
                               )
                         )
                    ),
           R59 = "No highlight",
              _xlfn._xlws.SORT(
                   _xlfn.UNIQUE(
                         _xlfn._xlws.FILTER( _01_data[country],
                                       _01_data[continent] = INDEX(_xlfn.ANCHORARRAY( Q63), Q58 )
                                     )
                               )
                    ),
           Q59 = "No highlight", "No continent selected"
            )</f>
        <v>No continent selected</v>
      </c>
      <c r="AB12" s="11" t="e" cm="1">
        <f t="array" ref="AB12" xml:space="preserve"> IF( AA12 = "No continent selected",
         NA(),
         SUMIFS( _01_data[x_values],
                   _01_data[country],_xlfn.ANCHORARRAY(
                   AA12) )
         )</f>
        <v>#N/A</v>
      </c>
      <c r="AC12" s="11" t="e" cm="1">
        <f t="array" ref="AC12" xml:space="preserve"> IF( AA12 = "No continent selected",
         NA(),
         SUMIFS( _01_data[y_values],
                         _01_data[country],_xlfn.ANCHORARRAY(
                         AA12) )
        )</f>
        <v>#N/A</v>
      </c>
      <c r="AD12" s="11" t="str" cm="1">
        <f t="array" ref="AD12:AD13" xml:space="preserve"> _xlfn.LET(
           _xlpm.countries, _xlfn._xlws.FILTER( N12:N191, N12:N191 &lt;&gt;  "" ),
           _xlpm.Rows, _xlfn.SEQUENCE( ROWS( _xlpm.countries ) + 1, , 0 ),
           _xlpm.highlightedcountries,_xlfn.ANCHORARRAY( AA12),
           _xlpm.Rows2, _xlfn.SEQUENCE( ROWS( _xlpm.highlightedcountries ) + 1, , 0 ),
           IF( S55 = 1,
                 IF( _xlpm.Rows2 = 0,
                      "No highlight",
                      INDEX( _xlpm.highlightedcountries, _xlpm.Rows2 )
                    ),
                IF( _xlpm.Rows = 0,
                      "No highlight",
                      INDEX( _xlpm.countries, _xlpm.Rows )
                    )
               )
           )</f>
        <v>No highlight</v>
      </c>
      <c r="AE12" s="9" t="s">
        <v>24</v>
      </c>
    </row>
    <row r="13" spans="2:32">
      <c r="B13" t="s">
        <v>26</v>
      </c>
      <c r="C13" t="s">
        <v>27</v>
      </c>
      <c r="D13" t="s">
        <v>22</v>
      </c>
      <c r="E13" t="s">
        <v>28</v>
      </c>
      <c r="F13">
        <v>7615</v>
      </c>
      <c r="G13">
        <v>59.6</v>
      </c>
      <c r="J13" t="s">
        <v>29</v>
      </c>
      <c r="L13" t="s">
        <v>30</v>
      </c>
      <c r="M13" s="9" t="s">
        <v>24</v>
      </c>
      <c r="N13" t="s">
        <v>31</v>
      </c>
      <c r="O13" s="9" t="s">
        <v>24</v>
      </c>
      <c r="Q13" s="8" t="s">
        <v>32</v>
      </c>
      <c r="R13">
        <f xml:space="preserve"> MROUND( MAX(_xlfn.ANCHORARRAY( W12) ), 10000 )</f>
        <v>60000</v>
      </c>
      <c r="S13">
        <f xml:space="preserve"> MROUND( MAX(_xlfn.ANCHORARRAY( X12) ), 5 ) + 5</f>
        <v>90</v>
      </c>
      <c r="V13" t="str">
        <v>Angola</v>
      </c>
      <c r="W13">
        <v>7615</v>
      </c>
      <c r="X13">
        <v>59.6</v>
      </c>
      <c r="Y13">
        <v>59000</v>
      </c>
      <c r="Z13">
        <v>89.4</v>
      </c>
      <c r="AD13" t="str">
        <v>No continent selected</v>
      </c>
      <c r="AE13" s="9" t="s">
        <v>24</v>
      </c>
    </row>
    <row r="14" spans="2:32">
      <c r="B14" t="s">
        <v>33</v>
      </c>
      <c r="C14" t="s">
        <v>31</v>
      </c>
      <c r="D14" t="s">
        <v>34</v>
      </c>
      <c r="E14" t="s">
        <v>35</v>
      </c>
      <c r="F14">
        <v>10620</v>
      </c>
      <c r="G14">
        <v>78</v>
      </c>
      <c r="J14" t="s">
        <v>20</v>
      </c>
      <c r="L14" t="s">
        <v>36</v>
      </c>
      <c r="M14" s="9" t="s">
        <v>24</v>
      </c>
      <c r="N14" t="s">
        <v>37</v>
      </c>
      <c r="O14" s="9" t="s">
        <v>24</v>
      </c>
      <c r="Q14" s="8" t="s">
        <v>38</v>
      </c>
      <c r="R14">
        <f>Q21</f>
        <v>5000</v>
      </c>
      <c r="S14">
        <v>5</v>
      </c>
      <c r="V14" t="str">
        <v>Albania</v>
      </c>
      <c r="W14">
        <v>10620</v>
      </c>
      <c r="X14">
        <v>78</v>
      </c>
      <c r="Y14">
        <v>59000</v>
      </c>
      <c r="Z14">
        <v>89.4</v>
      </c>
      <c r="AE14" s="9" t="s">
        <v>24</v>
      </c>
    </row>
    <row r="15" spans="2:32">
      <c r="B15" t="s">
        <v>39</v>
      </c>
      <c r="C15" t="s">
        <v>40</v>
      </c>
      <c r="D15" t="s">
        <v>34</v>
      </c>
      <c r="E15" t="s">
        <v>41</v>
      </c>
      <c r="F15">
        <v>46577</v>
      </c>
      <c r="G15">
        <v>84.8</v>
      </c>
      <c r="J15" t="s">
        <v>34</v>
      </c>
      <c r="L15" t="s">
        <v>42</v>
      </c>
      <c r="M15" s="9" t="s">
        <v>24</v>
      </c>
      <c r="N15" t="s">
        <v>40</v>
      </c>
      <c r="O15" s="9" t="s">
        <v>24</v>
      </c>
      <c r="Q15" s="8" t="s">
        <v>43</v>
      </c>
      <c r="R15">
        <v>1000</v>
      </c>
      <c r="S15">
        <v>1</v>
      </c>
      <c r="V15" t="str">
        <v>Andorra</v>
      </c>
      <c r="W15">
        <v>46577</v>
      </c>
      <c r="X15">
        <v>84.8</v>
      </c>
      <c r="Y15">
        <v>59000</v>
      </c>
      <c r="Z15">
        <v>89.4</v>
      </c>
      <c r="AE15" s="9" t="s">
        <v>24</v>
      </c>
    </row>
    <row r="16" spans="2:32">
      <c r="B16" t="s">
        <v>44</v>
      </c>
      <c r="C16" t="s">
        <v>45</v>
      </c>
      <c r="D16" t="s">
        <v>29</v>
      </c>
      <c r="E16" t="s">
        <v>46</v>
      </c>
      <c r="F16">
        <v>17344</v>
      </c>
      <c r="G16">
        <v>76.5</v>
      </c>
      <c r="J16" t="s">
        <v>47</v>
      </c>
      <c r="L16" t="s">
        <v>48</v>
      </c>
      <c r="M16" s="9" t="s">
        <v>24</v>
      </c>
      <c r="N16" t="s">
        <v>27</v>
      </c>
      <c r="O16" s="9" t="s">
        <v>24</v>
      </c>
      <c r="V16" t="str">
        <v>Argentina</v>
      </c>
      <c r="W16">
        <v>17344</v>
      </c>
      <c r="X16">
        <v>76.5</v>
      </c>
      <c r="Y16">
        <v>59000</v>
      </c>
      <c r="Z16">
        <v>89.4</v>
      </c>
      <c r="AE16" s="9" t="s">
        <v>24</v>
      </c>
    </row>
    <row r="17" spans="2:31">
      <c r="B17" t="s">
        <v>49</v>
      </c>
      <c r="C17" t="s">
        <v>50</v>
      </c>
      <c r="D17" t="s">
        <v>34</v>
      </c>
      <c r="E17" t="s">
        <v>51</v>
      </c>
      <c r="F17">
        <v>7763</v>
      </c>
      <c r="G17">
        <v>74.7</v>
      </c>
      <c r="L17" t="s">
        <v>35</v>
      </c>
      <c r="M17" s="9" t="s">
        <v>24</v>
      </c>
      <c r="N17" t="s">
        <v>52</v>
      </c>
      <c r="O17" s="9" t="s">
        <v>24</v>
      </c>
      <c r="Q17" s="8" t="s">
        <v>53</v>
      </c>
      <c r="R17" s="22" t="str" cm="1">
        <f t="array" aca="1" ref="R17" ca="1" xml:space="preserve"> ScaleChartAxis( "example",
                                   "Chart 1","X","Primary",
                                   R12, R13, R14, R15 )</f>
        <v>Sheet 'example' Chart 'Chart 1' Primary X Axis {0, 60000, 5000, 1000}</v>
      </c>
      <c r="S17" s="22" t="str" cm="1">
        <f t="array" aca="1" ref="S17" ca="1" xml:space="preserve"> ScaleChartAxis( "example",
                                   "Chart 1","Y","Primary",
                                   S12, S13, S14, S15 )</f>
        <v>Sheet 'example' Chart 'Chart 1' Primary Y Axis {40, 90, 5, 1}</v>
      </c>
      <c r="T17" s="9" t="s">
        <v>24</v>
      </c>
      <c r="V17" t="str">
        <v>Armenia</v>
      </c>
      <c r="W17">
        <v>7763</v>
      </c>
      <c r="X17">
        <v>74.7</v>
      </c>
      <c r="Y17">
        <v>59000</v>
      </c>
      <c r="Z17">
        <v>89.4</v>
      </c>
      <c r="AE17" s="9" t="s">
        <v>24</v>
      </c>
    </row>
    <row r="18" spans="2:31">
      <c r="B18" t="s">
        <v>54</v>
      </c>
      <c r="C18" t="s">
        <v>52</v>
      </c>
      <c r="D18" t="s">
        <v>29</v>
      </c>
      <c r="E18" t="s">
        <v>55</v>
      </c>
      <c r="F18">
        <v>21049</v>
      </c>
      <c r="G18">
        <v>76.400000000000006</v>
      </c>
      <c r="L18" t="s">
        <v>28</v>
      </c>
      <c r="M18" s="9" t="s">
        <v>24</v>
      </c>
      <c r="N18" t="s">
        <v>45</v>
      </c>
      <c r="O18" s="9" t="s">
        <v>24</v>
      </c>
      <c r="Q18" s="8" t="s">
        <v>56</v>
      </c>
      <c r="R18" s="22" t="str" cm="1">
        <f t="array" aca="1" ref="R18" ca="1" xml:space="preserve"> ScaleChartAxis( "example",
                                   "Chart 1","X","Secondary",
                                   R12, R13, R14, R15 )</f>
        <v>Sheet 'example' Chart 'Chart 1' Secondary X Axis {0, 60000, 5000, 1000}</v>
      </c>
      <c r="S18" s="22" t="str" cm="1">
        <f t="array" aca="1" ref="S18" ca="1" xml:space="preserve"> ScaleChartAxis( "example",
                                   "Chart 1","Y","Secondary",
                                   S12, S13, S14, S15 )</f>
        <v>Sheet 'example' Chart 'Chart 1' Secondary Y Axis {40, 90, 5, 1}</v>
      </c>
      <c r="T18" s="9" t="s">
        <v>24</v>
      </c>
      <c r="V18" t="str">
        <v>Antigua and Barbuda</v>
      </c>
      <c r="W18">
        <v>21049</v>
      </c>
      <c r="X18">
        <v>76.400000000000006</v>
      </c>
      <c r="Y18">
        <v>59000</v>
      </c>
      <c r="Z18">
        <v>89.4</v>
      </c>
      <c r="AE18" s="9" t="s">
        <v>24</v>
      </c>
    </row>
    <row r="19" spans="2:31">
      <c r="B19" t="s">
        <v>57</v>
      </c>
      <c r="C19" t="s">
        <v>58</v>
      </c>
      <c r="D19" t="s">
        <v>47</v>
      </c>
      <c r="E19" t="s">
        <v>47</v>
      </c>
      <c r="F19">
        <v>44056</v>
      </c>
      <c r="G19">
        <v>82.3</v>
      </c>
      <c r="L19" t="s">
        <v>55</v>
      </c>
      <c r="M19" s="9" t="s">
        <v>24</v>
      </c>
      <c r="N19" t="s">
        <v>50</v>
      </c>
      <c r="O19" s="9" t="s">
        <v>24</v>
      </c>
      <c r="V19" t="str">
        <v>Australia</v>
      </c>
      <c r="W19">
        <v>44056</v>
      </c>
      <c r="X19">
        <v>82.3</v>
      </c>
      <c r="Y19">
        <v>59000</v>
      </c>
      <c r="Z19">
        <v>89.4</v>
      </c>
      <c r="AE19" s="9" t="s">
        <v>24</v>
      </c>
    </row>
    <row r="20" spans="2:31">
      <c r="B20" t="s">
        <v>59</v>
      </c>
      <c r="C20" t="s">
        <v>60</v>
      </c>
      <c r="D20" t="s">
        <v>34</v>
      </c>
      <c r="E20" t="s">
        <v>41</v>
      </c>
      <c r="F20">
        <v>44401</v>
      </c>
      <c r="G20">
        <v>81.3</v>
      </c>
      <c r="L20" t="s">
        <v>61</v>
      </c>
      <c r="M20" s="9" t="s">
        <v>24</v>
      </c>
      <c r="N20" t="s">
        <v>58</v>
      </c>
      <c r="O20" s="9" t="s">
        <v>24</v>
      </c>
      <c r="Q20" s="7" t="s">
        <v>62</v>
      </c>
      <c r="V20" t="str">
        <v>Austria</v>
      </c>
      <c r="W20">
        <v>44401</v>
      </c>
      <c r="X20">
        <v>81.3</v>
      </c>
      <c r="Y20">
        <v>59000</v>
      </c>
      <c r="Z20">
        <v>89.4</v>
      </c>
      <c r="AE20" s="9" t="s">
        <v>24</v>
      </c>
    </row>
    <row r="21" spans="2:31">
      <c r="B21" t="s">
        <v>63</v>
      </c>
      <c r="C21" t="s">
        <v>64</v>
      </c>
      <c r="D21" t="s">
        <v>34</v>
      </c>
      <c r="E21" t="s">
        <v>51</v>
      </c>
      <c r="F21">
        <v>16986</v>
      </c>
      <c r="G21">
        <v>72.900000000000006</v>
      </c>
      <c r="L21" t="s">
        <v>47</v>
      </c>
      <c r="M21" s="9" t="s">
        <v>24</v>
      </c>
      <c r="N21" t="s">
        <v>60</v>
      </c>
      <c r="O21" s="9" t="s">
        <v>24</v>
      </c>
      <c r="Q21">
        <v>5000</v>
      </c>
      <c r="V21" t="str">
        <v>Azerbaijan</v>
      </c>
      <c r="W21">
        <v>16986</v>
      </c>
      <c r="X21">
        <v>72.900000000000006</v>
      </c>
      <c r="Y21">
        <v>59000</v>
      </c>
      <c r="Z21">
        <v>89.4</v>
      </c>
      <c r="AE21" s="9" t="s">
        <v>24</v>
      </c>
    </row>
    <row r="22" spans="2:31">
      <c r="B22" t="s">
        <v>65</v>
      </c>
      <c r="C22" t="s">
        <v>66</v>
      </c>
      <c r="D22" t="s">
        <v>22</v>
      </c>
      <c r="E22" t="s">
        <v>42</v>
      </c>
      <c r="F22">
        <v>777</v>
      </c>
      <c r="G22">
        <v>61.4</v>
      </c>
      <c r="L22" t="s">
        <v>46</v>
      </c>
      <c r="M22" s="9" t="s">
        <v>24</v>
      </c>
      <c r="N22" t="s">
        <v>64</v>
      </c>
      <c r="O22" s="9" t="s">
        <v>24</v>
      </c>
      <c r="Q22" t="s">
        <v>62</v>
      </c>
      <c r="V22" t="str">
        <v>Burundi</v>
      </c>
      <c r="W22">
        <v>777</v>
      </c>
      <c r="X22">
        <v>61.4</v>
      </c>
      <c r="Y22">
        <v>59000</v>
      </c>
      <c r="Z22">
        <v>89.4</v>
      </c>
      <c r="AE22" s="9" t="s">
        <v>24</v>
      </c>
    </row>
    <row r="23" spans="2:31">
      <c r="B23" t="s">
        <v>67</v>
      </c>
      <c r="C23" t="s">
        <v>68</v>
      </c>
      <c r="D23" t="s">
        <v>34</v>
      </c>
      <c r="E23" t="s">
        <v>41</v>
      </c>
      <c r="F23">
        <v>41240</v>
      </c>
      <c r="G23">
        <v>80.5</v>
      </c>
      <c r="L23" t="s">
        <v>69</v>
      </c>
      <c r="M23" s="9" t="s">
        <v>24</v>
      </c>
      <c r="N23" t="s">
        <v>70</v>
      </c>
      <c r="O23" s="9" t="s">
        <v>24</v>
      </c>
      <c r="Q23" s="12">
        <v>5000</v>
      </c>
      <c r="V23" t="str">
        <v>Belgium</v>
      </c>
      <c r="W23">
        <v>41240</v>
      </c>
      <c r="X23">
        <v>80.5</v>
      </c>
      <c r="Y23">
        <v>59000</v>
      </c>
      <c r="Z23">
        <v>89.4</v>
      </c>
      <c r="AE23" s="9" t="s">
        <v>24</v>
      </c>
    </row>
    <row r="24" spans="2:31">
      <c r="B24" t="s">
        <v>71</v>
      </c>
      <c r="C24" t="s">
        <v>72</v>
      </c>
      <c r="D24" t="s">
        <v>22</v>
      </c>
      <c r="E24" t="s">
        <v>73</v>
      </c>
      <c r="F24">
        <v>1830</v>
      </c>
      <c r="G24">
        <v>62.3</v>
      </c>
      <c r="L24" t="s">
        <v>74</v>
      </c>
      <c r="M24" s="9" t="s">
        <v>24</v>
      </c>
      <c r="N24" t="s">
        <v>75</v>
      </c>
      <c r="O24" s="9" t="s">
        <v>24</v>
      </c>
      <c r="Q24" s="12">
        <v>10000</v>
      </c>
      <c r="V24" t="str">
        <v>Benin</v>
      </c>
      <c r="W24">
        <v>1830</v>
      </c>
      <c r="X24">
        <v>62.3</v>
      </c>
      <c r="Y24">
        <v>59000</v>
      </c>
      <c r="Z24">
        <v>89.4</v>
      </c>
      <c r="AE24" s="9" t="s">
        <v>24</v>
      </c>
    </row>
    <row r="25" spans="2:31">
      <c r="B25" t="s">
        <v>76</v>
      </c>
      <c r="C25" t="s">
        <v>77</v>
      </c>
      <c r="D25" t="s">
        <v>22</v>
      </c>
      <c r="E25" t="s">
        <v>73</v>
      </c>
      <c r="F25">
        <v>1654</v>
      </c>
      <c r="G25">
        <v>60.9</v>
      </c>
      <c r="L25" t="s">
        <v>21</v>
      </c>
      <c r="M25" s="9" t="s">
        <v>24</v>
      </c>
      <c r="N25" t="s">
        <v>78</v>
      </c>
      <c r="O25" s="9" t="s">
        <v>24</v>
      </c>
      <c r="V25" t="str">
        <v>Burkina Faso</v>
      </c>
      <c r="W25">
        <v>1654</v>
      </c>
      <c r="X25">
        <v>60.9</v>
      </c>
      <c r="Y25">
        <v>59000</v>
      </c>
      <c r="Z25">
        <v>89.4</v>
      </c>
      <c r="AE25" s="9" t="s">
        <v>24</v>
      </c>
    </row>
    <row r="26" spans="2:31">
      <c r="B26" t="s">
        <v>79</v>
      </c>
      <c r="C26" t="s">
        <v>78</v>
      </c>
      <c r="D26" t="s">
        <v>20</v>
      </c>
      <c r="E26" t="s">
        <v>21</v>
      </c>
      <c r="F26">
        <v>3161</v>
      </c>
      <c r="G26">
        <v>70.400000000000006</v>
      </c>
      <c r="L26" t="s">
        <v>73</v>
      </c>
      <c r="M26" s="9" t="s">
        <v>24</v>
      </c>
      <c r="N26" t="s">
        <v>80</v>
      </c>
      <c r="O26" s="9" t="s">
        <v>24</v>
      </c>
      <c r="V26" t="str">
        <v>Bangladesh</v>
      </c>
      <c r="W26">
        <v>3161</v>
      </c>
      <c r="X26">
        <v>70.400000000000006</v>
      </c>
      <c r="Y26">
        <v>59000</v>
      </c>
      <c r="Z26">
        <v>89.4</v>
      </c>
      <c r="AE26" s="9" t="s">
        <v>24</v>
      </c>
    </row>
    <row r="27" spans="2:31">
      <c r="B27" t="s">
        <v>81</v>
      </c>
      <c r="C27" t="s">
        <v>82</v>
      </c>
      <c r="D27" t="s">
        <v>34</v>
      </c>
      <c r="E27" t="s">
        <v>35</v>
      </c>
      <c r="F27">
        <v>16371</v>
      </c>
      <c r="G27">
        <v>74.8</v>
      </c>
      <c r="L27" t="s">
        <v>51</v>
      </c>
      <c r="M27" s="9" t="s">
        <v>24</v>
      </c>
      <c r="N27" t="s">
        <v>83</v>
      </c>
      <c r="O27" s="9" t="s">
        <v>24</v>
      </c>
      <c r="V27" t="str">
        <v>Bulgaria</v>
      </c>
      <c r="W27">
        <v>16371</v>
      </c>
      <c r="X27">
        <v>74.8</v>
      </c>
      <c r="Y27">
        <v>59000</v>
      </c>
      <c r="Z27">
        <v>89.4</v>
      </c>
      <c r="AE27" s="9" t="s">
        <v>24</v>
      </c>
    </row>
    <row r="28" spans="2:31">
      <c r="B28" t="s">
        <v>84</v>
      </c>
      <c r="C28" t="s">
        <v>75</v>
      </c>
      <c r="D28" t="s">
        <v>20</v>
      </c>
      <c r="E28" t="s">
        <v>51</v>
      </c>
      <c r="F28">
        <v>44138</v>
      </c>
      <c r="G28">
        <v>79.099999999999994</v>
      </c>
      <c r="L28" t="s">
        <v>41</v>
      </c>
      <c r="M28" s="9" t="s">
        <v>24</v>
      </c>
      <c r="N28" t="s">
        <v>68</v>
      </c>
      <c r="O28" s="9" t="s">
        <v>24</v>
      </c>
      <c r="V28" t="str">
        <v>Bahrain</v>
      </c>
      <c r="W28">
        <v>44138</v>
      </c>
      <c r="X28">
        <v>79.099999999999994</v>
      </c>
      <c r="Y28">
        <v>59000</v>
      </c>
      <c r="Z28">
        <v>89.4</v>
      </c>
      <c r="AE28" s="9" t="s">
        <v>24</v>
      </c>
    </row>
    <row r="29" spans="2:31">
      <c r="B29" t="s">
        <v>85</v>
      </c>
      <c r="C29" t="s">
        <v>70</v>
      </c>
      <c r="D29" t="s">
        <v>29</v>
      </c>
      <c r="E29" t="s">
        <v>55</v>
      </c>
      <c r="F29">
        <v>22818</v>
      </c>
      <c r="G29">
        <v>73.7</v>
      </c>
      <c r="N29" t="s">
        <v>86</v>
      </c>
      <c r="O29" s="9" t="s">
        <v>24</v>
      </c>
      <c r="V29" t="str">
        <v>Bahamas (the)</v>
      </c>
      <c r="W29">
        <v>22818</v>
      </c>
      <c r="X29">
        <v>73.7</v>
      </c>
      <c r="Y29">
        <v>59000</v>
      </c>
      <c r="Z29">
        <v>89.4</v>
      </c>
      <c r="AE29" s="9" t="s">
        <v>24</v>
      </c>
    </row>
    <row r="30" spans="2:31">
      <c r="B30" t="s">
        <v>87</v>
      </c>
      <c r="C30" t="s">
        <v>88</v>
      </c>
      <c r="D30" t="s">
        <v>34</v>
      </c>
      <c r="E30" t="s">
        <v>35</v>
      </c>
      <c r="F30">
        <v>9833</v>
      </c>
      <c r="G30">
        <v>78.900000000000006</v>
      </c>
      <c r="N30" t="s">
        <v>72</v>
      </c>
      <c r="O30" s="9" t="s">
        <v>24</v>
      </c>
      <c r="V30" t="str">
        <v>Bosnia and Herzegovina</v>
      </c>
      <c r="W30">
        <v>9833</v>
      </c>
      <c r="X30">
        <v>78.900000000000006</v>
      </c>
      <c r="Y30">
        <v>59000</v>
      </c>
      <c r="Z30">
        <v>89.4</v>
      </c>
      <c r="AE30" s="9" t="s">
        <v>24</v>
      </c>
    </row>
    <row r="31" spans="2:31">
      <c r="B31" t="s">
        <v>89</v>
      </c>
      <c r="C31" t="s">
        <v>83</v>
      </c>
      <c r="D31" t="s">
        <v>34</v>
      </c>
      <c r="E31" t="s">
        <v>35</v>
      </c>
      <c r="F31">
        <v>17415</v>
      </c>
      <c r="G31">
        <v>71</v>
      </c>
      <c r="N31" t="s">
        <v>90</v>
      </c>
      <c r="O31" s="9" t="s">
        <v>24</v>
      </c>
      <c r="V31" t="str">
        <v>Belarus</v>
      </c>
      <c r="W31">
        <v>17415</v>
      </c>
      <c r="X31">
        <v>71</v>
      </c>
      <c r="Y31">
        <v>59000</v>
      </c>
      <c r="Z31">
        <v>89.4</v>
      </c>
      <c r="AE31" s="9" t="s">
        <v>24</v>
      </c>
    </row>
    <row r="32" spans="2:31">
      <c r="B32" t="s">
        <v>91</v>
      </c>
      <c r="C32" t="s">
        <v>86</v>
      </c>
      <c r="D32" t="s">
        <v>29</v>
      </c>
      <c r="E32" t="s">
        <v>30</v>
      </c>
      <c r="F32">
        <v>8501</v>
      </c>
      <c r="G32">
        <v>71.7</v>
      </c>
      <c r="N32" t="s">
        <v>92</v>
      </c>
      <c r="O32" s="9" t="s">
        <v>24</v>
      </c>
      <c r="V32" t="str">
        <v>Belize</v>
      </c>
      <c r="W32">
        <v>8501</v>
      </c>
      <c r="X32">
        <v>71.7</v>
      </c>
      <c r="Y32">
        <v>59000</v>
      </c>
      <c r="Z32">
        <v>89.4</v>
      </c>
      <c r="AE32" s="9" t="s">
        <v>24</v>
      </c>
    </row>
    <row r="33" spans="2:31">
      <c r="B33" t="s">
        <v>93</v>
      </c>
      <c r="C33" t="s">
        <v>92</v>
      </c>
      <c r="D33" t="s">
        <v>29</v>
      </c>
      <c r="E33" t="s">
        <v>46</v>
      </c>
      <c r="F33">
        <v>6295</v>
      </c>
      <c r="G33">
        <v>73.2</v>
      </c>
      <c r="N33" t="s">
        <v>88</v>
      </c>
      <c r="O33" s="9" t="s">
        <v>24</v>
      </c>
      <c r="V33" t="str">
        <v>Bolivia (Plurinational State of)</v>
      </c>
      <c r="W33">
        <v>6295</v>
      </c>
      <c r="X33">
        <v>73.2</v>
      </c>
      <c r="Y33">
        <v>59000</v>
      </c>
      <c r="Z33">
        <v>89.4</v>
      </c>
      <c r="AE33" s="9" t="s">
        <v>24</v>
      </c>
    </row>
    <row r="34" spans="2:31">
      <c r="B34" t="s">
        <v>94</v>
      </c>
      <c r="C34" t="s">
        <v>95</v>
      </c>
      <c r="D34" t="s">
        <v>29</v>
      </c>
      <c r="E34" t="s">
        <v>46</v>
      </c>
      <c r="F34">
        <v>15441</v>
      </c>
      <c r="G34">
        <v>74.400000000000006</v>
      </c>
      <c r="N34" t="s">
        <v>96</v>
      </c>
      <c r="O34" s="9" t="s">
        <v>24</v>
      </c>
      <c r="V34" t="str">
        <v>Brazil</v>
      </c>
      <c r="W34">
        <v>15441</v>
      </c>
      <c r="X34">
        <v>74.400000000000006</v>
      </c>
      <c r="Y34">
        <v>59000</v>
      </c>
      <c r="Z34">
        <v>89.4</v>
      </c>
      <c r="AE34" s="9" t="s">
        <v>24</v>
      </c>
    </row>
    <row r="35" spans="2:31">
      <c r="B35" t="s">
        <v>97</v>
      </c>
      <c r="C35" t="s">
        <v>80</v>
      </c>
      <c r="D35" t="s">
        <v>29</v>
      </c>
      <c r="E35" t="s">
        <v>23</v>
      </c>
      <c r="F35">
        <v>12984</v>
      </c>
      <c r="G35">
        <v>75.7</v>
      </c>
      <c r="N35" t="s">
        <v>95</v>
      </c>
      <c r="O35" s="9" t="s">
        <v>24</v>
      </c>
      <c r="Q35" s="23" t="s">
        <v>98</v>
      </c>
      <c r="R35" s="23"/>
      <c r="V35" t="str">
        <v>Barbados</v>
      </c>
      <c r="W35">
        <v>12984</v>
      </c>
      <c r="X35">
        <v>75.7</v>
      </c>
      <c r="Y35">
        <v>59000</v>
      </c>
      <c r="Z35">
        <v>89.4</v>
      </c>
      <c r="AE35" s="9" t="s">
        <v>24</v>
      </c>
    </row>
    <row r="36" spans="2:31">
      <c r="B36" t="s">
        <v>99</v>
      </c>
      <c r="C36" t="s">
        <v>90</v>
      </c>
      <c r="D36" t="s">
        <v>20</v>
      </c>
      <c r="E36" t="s">
        <v>21</v>
      </c>
      <c r="F36">
        <v>7983</v>
      </c>
      <c r="G36">
        <v>72.7</v>
      </c>
      <c r="N36" t="s">
        <v>82</v>
      </c>
      <c r="O36" s="9" t="s">
        <v>24</v>
      </c>
      <c r="Q36" s="20" t="s">
        <v>100</v>
      </c>
      <c r="T36" s="9" t="s">
        <v>24</v>
      </c>
      <c r="V36" t="str">
        <v>Bhutan</v>
      </c>
      <c r="W36">
        <v>7983</v>
      </c>
      <c r="X36">
        <v>72.7</v>
      </c>
      <c r="Y36">
        <v>59000</v>
      </c>
      <c r="Z36">
        <v>89.4</v>
      </c>
      <c r="AE36" s="9" t="s">
        <v>24</v>
      </c>
    </row>
    <row r="37" spans="2:31">
      <c r="B37" t="s">
        <v>101</v>
      </c>
      <c r="C37" t="s">
        <v>96</v>
      </c>
      <c r="D37" t="s">
        <v>22</v>
      </c>
      <c r="E37" t="s">
        <v>74</v>
      </c>
      <c r="F37">
        <v>17196</v>
      </c>
      <c r="G37">
        <v>58.7</v>
      </c>
      <c r="N37" t="s">
        <v>77</v>
      </c>
      <c r="O37" s="9" t="s">
        <v>24</v>
      </c>
      <c r="V37" t="str">
        <v>Botswana</v>
      </c>
      <c r="W37">
        <v>17196</v>
      </c>
      <c r="X37">
        <v>58.7</v>
      </c>
      <c r="Y37">
        <v>59000</v>
      </c>
      <c r="Z37">
        <v>89.4</v>
      </c>
      <c r="AE37" s="9" t="s">
        <v>24</v>
      </c>
    </row>
    <row r="38" spans="2:31">
      <c r="B38" t="s">
        <v>102</v>
      </c>
      <c r="C38" t="s">
        <v>103</v>
      </c>
      <c r="D38" t="s">
        <v>22</v>
      </c>
      <c r="E38" t="s">
        <v>28</v>
      </c>
      <c r="F38">
        <v>599</v>
      </c>
      <c r="G38">
        <v>49.6</v>
      </c>
      <c r="N38" t="s">
        <v>66</v>
      </c>
      <c r="O38" s="9" t="s">
        <v>24</v>
      </c>
      <c r="Q38" s="23" t="s">
        <v>104</v>
      </c>
      <c r="R38" s="23"/>
      <c r="V38" t="str">
        <v>Central African Republic (the)</v>
      </c>
      <c r="W38">
        <v>599</v>
      </c>
      <c r="X38">
        <v>49.6</v>
      </c>
      <c r="Y38">
        <v>59000</v>
      </c>
      <c r="Z38">
        <v>89.4</v>
      </c>
      <c r="AE38" s="9" t="s">
        <v>24</v>
      </c>
    </row>
    <row r="39" spans="2:31">
      <c r="B39" t="s">
        <v>105</v>
      </c>
      <c r="C39" t="s">
        <v>106</v>
      </c>
      <c r="D39" t="s">
        <v>29</v>
      </c>
      <c r="E39" t="s">
        <v>55</v>
      </c>
      <c r="F39">
        <v>43294</v>
      </c>
      <c r="G39">
        <v>81.7</v>
      </c>
      <c r="N39" t="s">
        <v>107</v>
      </c>
      <c r="O39" s="9" t="s">
        <v>24</v>
      </c>
      <c r="Q39" s="21" t="s">
        <v>108</v>
      </c>
      <c r="T39" s="9" t="s">
        <v>24</v>
      </c>
      <c r="V39" t="str">
        <v>Canada</v>
      </c>
      <c r="W39">
        <v>43294</v>
      </c>
      <c r="X39">
        <v>81.7</v>
      </c>
      <c r="Y39">
        <v>59000</v>
      </c>
      <c r="Z39">
        <v>89.4</v>
      </c>
      <c r="AE39" s="9" t="s">
        <v>24</v>
      </c>
    </row>
    <row r="40" spans="2:31">
      <c r="B40" t="s">
        <v>109</v>
      </c>
      <c r="C40" t="s">
        <v>110</v>
      </c>
      <c r="D40" t="s">
        <v>34</v>
      </c>
      <c r="E40" t="s">
        <v>41</v>
      </c>
      <c r="F40">
        <v>56118</v>
      </c>
      <c r="G40">
        <v>83</v>
      </c>
      <c r="N40" t="s">
        <v>111</v>
      </c>
      <c r="O40" s="9" t="s">
        <v>24</v>
      </c>
      <c r="V40" t="str">
        <v>Switzerland</v>
      </c>
      <c r="W40">
        <v>56118</v>
      </c>
      <c r="X40">
        <v>83</v>
      </c>
      <c r="Y40">
        <v>59000</v>
      </c>
      <c r="Z40">
        <v>89.4</v>
      </c>
      <c r="AE40" s="9" t="s">
        <v>24</v>
      </c>
    </row>
    <row r="41" spans="2:31">
      <c r="B41" t="s">
        <v>112</v>
      </c>
      <c r="C41" t="s">
        <v>113</v>
      </c>
      <c r="D41" t="s">
        <v>29</v>
      </c>
      <c r="E41" t="s">
        <v>46</v>
      </c>
      <c r="F41">
        <v>22465</v>
      </c>
      <c r="G41">
        <v>79.400000000000006</v>
      </c>
      <c r="N41" t="s">
        <v>114</v>
      </c>
      <c r="O41" s="9" t="s">
        <v>24</v>
      </c>
      <c r="V41" t="str">
        <v>Chile</v>
      </c>
      <c r="W41">
        <v>22465</v>
      </c>
      <c r="X41">
        <v>79.400000000000006</v>
      </c>
      <c r="Y41">
        <v>59000</v>
      </c>
      <c r="Z41">
        <v>89.4</v>
      </c>
      <c r="AE41" s="9" t="s">
        <v>24</v>
      </c>
    </row>
    <row r="42" spans="2:31">
      <c r="B42" t="s">
        <v>115</v>
      </c>
      <c r="C42" t="s">
        <v>116</v>
      </c>
      <c r="D42" t="s">
        <v>20</v>
      </c>
      <c r="E42" t="s">
        <v>48</v>
      </c>
      <c r="F42">
        <v>13334</v>
      </c>
      <c r="G42">
        <v>76.2</v>
      </c>
      <c r="N42" t="s">
        <v>106</v>
      </c>
      <c r="O42" s="9" t="s">
        <v>24</v>
      </c>
      <c r="V42" t="str">
        <v>China</v>
      </c>
      <c r="W42">
        <v>13334</v>
      </c>
      <c r="X42">
        <v>76.2</v>
      </c>
      <c r="Y42">
        <v>59000</v>
      </c>
      <c r="Z42">
        <v>89.4</v>
      </c>
      <c r="AE42" s="9" t="s">
        <v>24</v>
      </c>
    </row>
    <row r="43" spans="2:31">
      <c r="B43" t="s">
        <v>117</v>
      </c>
      <c r="C43" t="s">
        <v>118</v>
      </c>
      <c r="D43" t="s">
        <v>22</v>
      </c>
      <c r="E43" t="s">
        <v>73</v>
      </c>
      <c r="F43">
        <v>3491</v>
      </c>
      <c r="G43">
        <v>59.1</v>
      </c>
      <c r="N43" t="s">
        <v>103</v>
      </c>
      <c r="O43" s="9" t="s">
        <v>24</v>
      </c>
      <c r="V43" t="str">
        <v>Côte d'Ivoire</v>
      </c>
      <c r="W43">
        <v>3491</v>
      </c>
      <c r="X43">
        <v>59.1</v>
      </c>
      <c r="Y43">
        <v>59000</v>
      </c>
      <c r="Z43">
        <v>89.4</v>
      </c>
      <c r="AE43" s="9" t="s">
        <v>24</v>
      </c>
    </row>
    <row r="44" spans="2:31">
      <c r="B44" t="s">
        <v>119</v>
      </c>
      <c r="C44" t="s">
        <v>114</v>
      </c>
      <c r="D44" t="s">
        <v>22</v>
      </c>
      <c r="E44" t="s">
        <v>28</v>
      </c>
      <c r="F44">
        <v>2897</v>
      </c>
      <c r="G44">
        <v>59.4</v>
      </c>
      <c r="N44" t="s">
        <v>120</v>
      </c>
      <c r="O44" s="9" t="s">
        <v>24</v>
      </c>
      <c r="V44" t="str">
        <v>Cameroon</v>
      </c>
      <c r="W44">
        <v>2897</v>
      </c>
      <c r="X44">
        <v>59.4</v>
      </c>
      <c r="Y44">
        <v>59000</v>
      </c>
      <c r="Z44">
        <v>89.4</v>
      </c>
      <c r="AE44" s="9" t="s">
        <v>24</v>
      </c>
    </row>
    <row r="45" spans="2:31">
      <c r="B45" t="s">
        <v>121</v>
      </c>
      <c r="C45" t="s">
        <v>122</v>
      </c>
      <c r="D45" t="s">
        <v>22</v>
      </c>
      <c r="E45" t="s">
        <v>28</v>
      </c>
      <c r="F45">
        <v>809</v>
      </c>
      <c r="G45">
        <v>60.8</v>
      </c>
      <c r="N45" t="s">
        <v>113</v>
      </c>
      <c r="O45" s="9" t="s">
        <v>24</v>
      </c>
      <c r="V45" t="str">
        <v>Congo (the Democratic Republic of the)</v>
      </c>
      <c r="W45">
        <v>809</v>
      </c>
      <c r="X45">
        <v>60.8</v>
      </c>
      <c r="Y45">
        <v>59000</v>
      </c>
      <c r="Z45">
        <v>89.4</v>
      </c>
      <c r="AE45" s="9" t="s">
        <v>24</v>
      </c>
    </row>
    <row r="46" spans="2:31">
      <c r="B46" t="s">
        <v>123</v>
      </c>
      <c r="C46" t="s">
        <v>124</v>
      </c>
      <c r="D46" t="s">
        <v>22</v>
      </c>
      <c r="E46" t="s">
        <v>28</v>
      </c>
      <c r="F46">
        <v>6220</v>
      </c>
      <c r="G46">
        <v>61.5</v>
      </c>
      <c r="N46" t="s">
        <v>116</v>
      </c>
      <c r="O46" s="9" t="s">
        <v>24</v>
      </c>
      <c r="V46" t="str">
        <v>Congo (the)</v>
      </c>
      <c r="W46">
        <v>6220</v>
      </c>
      <c r="X46">
        <v>61.5</v>
      </c>
      <c r="Y46">
        <v>59000</v>
      </c>
      <c r="Z46">
        <v>89.4</v>
      </c>
      <c r="AE46" s="9" t="s">
        <v>24</v>
      </c>
    </row>
    <row r="47" spans="2:31">
      <c r="B47" t="s">
        <v>125</v>
      </c>
      <c r="C47" t="s">
        <v>126</v>
      </c>
      <c r="D47" t="s">
        <v>29</v>
      </c>
      <c r="E47" t="s">
        <v>46</v>
      </c>
      <c r="F47">
        <v>12761</v>
      </c>
      <c r="G47">
        <v>78</v>
      </c>
      <c r="N47" t="s">
        <v>126</v>
      </c>
      <c r="O47" s="9" t="s">
        <v>24</v>
      </c>
      <c r="V47" t="str">
        <v>Colombia</v>
      </c>
      <c r="W47">
        <v>12761</v>
      </c>
      <c r="X47">
        <v>78</v>
      </c>
      <c r="Y47">
        <v>59000</v>
      </c>
      <c r="Z47">
        <v>89.4</v>
      </c>
      <c r="AE47" s="9" t="s">
        <v>24</v>
      </c>
    </row>
    <row r="48" spans="2:31">
      <c r="B48" t="s">
        <v>127</v>
      </c>
      <c r="C48" t="s">
        <v>128</v>
      </c>
      <c r="D48" t="s">
        <v>22</v>
      </c>
      <c r="E48" t="s">
        <v>42</v>
      </c>
      <c r="F48">
        <v>1472</v>
      </c>
      <c r="G48">
        <v>68.099999999999994</v>
      </c>
      <c r="N48" t="s">
        <v>128</v>
      </c>
      <c r="O48" s="9" t="s">
        <v>24</v>
      </c>
      <c r="V48" t="str">
        <v>Comoros (the)</v>
      </c>
      <c r="W48">
        <v>1472</v>
      </c>
      <c r="X48">
        <v>68.099999999999994</v>
      </c>
      <c r="Y48">
        <v>59000</v>
      </c>
      <c r="Z48">
        <v>89.4</v>
      </c>
      <c r="AE48" s="9" t="s">
        <v>24</v>
      </c>
    </row>
    <row r="49" spans="2:31">
      <c r="B49" t="s">
        <v>129</v>
      </c>
      <c r="C49" t="s">
        <v>107</v>
      </c>
      <c r="D49" t="s">
        <v>22</v>
      </c>
      <c r="E49" t="s">
        <v>73</v>
      </c>
      <c r="F49">
        <v>6514</v>
      </c>
      <c r="G49">
        <v>72.900000000000006</v>
      </c>
      <c r="N49" t="s">
        <v>122</v>
      </c>
      <c r="O49" s="9" t="s">
        <v>24</v>
      </c>
      <c r="V49" t="str">
        <v>Cabo Verde</v>
      </c>
      <c r="W49">
        <v>6514</v>
      </c>
      <c r="X49">
        <v>72.900000000000006</v>
      </c>
      <c r="Y49">
        <v>59000</v>
      </c>
      <c r="Z49">
        <v>89.4</v>
      </c>
      <c r="AE49" s="9" t="s">
        <v>24</v>
      </c>
    </row>
    <row r="50" spans="2:31">
      <c r="B50" t="s">
        <v>130</v>
      </c>
      <c r="C50" t="s">
        <v>131</v>
      </c>
      <c r="D50" t="s">
        <v>29</v>
      </c>
      <c r="E50" t="s">
        <v>30</v>
      </c>
      <c r="F50">
        <v>14132</v>
      </c>
      <c r="G50">
        <v>80.3</v>
      </c>
      <c r="N50" t="s">
        <v>124</v>
      </c>
      <c r="O50" s="9" t="s">
        <v>24</v>
      </c>
      <c r="Q50" t="s">
        <v>132</v>
      </c>
      <c r="R50" s="24">
        <v>1</v>
      </c>
      <c r="V50" t="str">
        <v>Costa Rica</v>
      </c>
      <c r="W50">
        <v>14132</v>
      </c>
      <c r="X50">
        <v>80.3</v>
      </c>
      <c r="Y50">
        <v>59000</v>
      </c>
      <c r="Z50">
        <v>89.4</v>
      </c>
      <c r="AE50" s="9" t="s">
        <v>24</v>
      </c>
    </row>
    <row r="51" spans="2:31">
      <c r="B51" t="s">
        <v>133</v>
      </c>
      <c r="C51" t="s">
        <v>134</v>
      </c>
      <c r="D51" t="s">
        <v>29</v>
      </c>
      <c r="E51" t="s">
        <v>23</v>
      </c>
      <c r="F51">
        <v>21291</v>
      </c>
      <c r="G51">
        <v>78.2</v>
      </c>
      <c r="N51" t="s">
        <v>131</v>
      </c>
      <c r="O51" s="9" t="s">
        <v>24</v>
      </c>
      <c r="Q51" s="8" t="s">
        <v>135</v>
      </c>
      <c r="R51" s="25" t="s">
        <v>136</v>
      </c>
      <c r="S51" s="25" t="s">
        <v>137</v>
      </c>
      <c r="V51" t="str">
        <v>Cuba</v>
      </c>
      <c r="W51">
        <v>21291</v>
      </c>
      <c r="X51">
        <v>78.2</v>
      </c>
      <c r="Y51">
        <v>59000</v>
      </c>
      <c r="Z51">
        <v>89.4</v>
      </c>
      <c r="AE51" s="9" t="s">
        <v>24</v>
      </c>
    </row>
    <row r="52" spans="2:31">
      <c r="B52" t="s">
        <v>138</v>
      </c>
      <c r="C52" t="s">
        <v>139</v>
      </c>
      <c r="D52" t="s">
        <v>34</v>
      </c>
      <c r="E52" t="s">
        <v>35</v>
      </c>
      <c r="F52">
        <v>29797</v>
      </c>
      <c r="G52">
        <v>81.8</v>
      </c>
      <c r="N52" t="s">
        <v>118</v>
      </c>
      <c r="O52" s="9" t="s">
        <v>24</v>
      </c>
      <c r="Q52" s="8" t="str" cm="1">
        <f t="array" ref="Q52" xml:space="preserve"> INDEX(_xlfn.ANCHORARRAY( AD12), R50 )</f>
        <v>No highlight</v>
      </c>
      <c r="R52" t="e" cm="1">
        <f t="array" ref="R52" xml:space="preserve"> _xlfn.XLOOKUP( Q52,_xlfn.ANCHORARRAY( V12),_xlfn.ANCHORARRAY( W12) )</f>
        <v>#N/A</v>
      </c>
      <c r="S52" t="e" cm="1">
        <f t="array" ref="S52" xml:space="preserve"> _xlfn.XLOOKUP( Q52,_xlfn.ANCHORARRAY( V12),_xlfn.ANCHORARRAY( X12) )</f>
        <v>#N/A</v>
      </c>
      <c r="V52" t="str">
        <v>Cyprus</v>
      </c>
      <c r="W52">
        <v>29797</v>
      </c>
      <c r="X52">
        <v>81.8</v>
      </c>
      <c r="Y52">
        <v>59000</v>
      </c>
      <c r="Z52">
        <v>89.4</v>
      </c>
      <c r="AE52" s="9" t="s">
        <v>24</v>
      </c>
    </row>
    <row r="53" spans="2:31">
      <c r="B53" t="s">
        <v>140</v>
      </c>
      <c r="C53" t="s">
        <v>141</v>
      </c>
      <c r="D53" t="s">
        <v>34</v>
      </c>
      <c r="E53" t="s">
        <v>35</v>
      </c>
      <c r="F53">
        <v>29437</v>
      </c>
      <c r="G53">
        <v>78.8</v>
      </c>
      <c r="N53" t="s">
        <v>142</v>
      </c>
      <c r="O53" s="9" t="s">
        <v>24</v>
      </c>
      <c r="V53" t="str">
        <v>Czechia</v>
      </c>
      <c r="W53">
        <v>29437</v>
      </c>
      <c r="X53">
        <v>78.8</v>
      </c>
      <c r="Y53">
        <v>59000</v>
      </c>
      <c r="Z53">
        <v>89.4</v>
      </c>
      <c r="AE53" s="9" t="s">
        <v>24</v>
      </c>
    </row>
    <row r="54" spans="2:31">
      <c r="B54" t="s">
        <v>143</v>
      </c>
      <c r="C54" t="s">
        <v>144</v>
      </c>
      <c r="D54" t="s">
        <v>34</v>
      </c>
      <c r="E54" t="s">
        <v>41</v>
      </c>
      <c r="F54">
        <v>44053</v>
      </c>
      <c r="G54">
        <v>80.8</v>
      </c>
      <c r="N54" t="s">
        <v>134</v>
      </c>
      <c r="O54" s="9" t="s">
        <v>24</v>
      </c>
      <c r="V54" t="str">
        <v>Germany</v>
      </c>
      <c r="W54">
        <v>44053</v>
      </c>
      <c r="X54">
        <v>80.8</v>
      </c>
      <c r="Y54">
        <v>59000</v>
      </c>
      <c r="Z54">
        <v>89.4</v>
      </c>
      <c r="AE54" s="9" t="s">
        <v>24</v>
      </c>
    </row>
    <row r="55" spans="2:31">
      <c r="B55" t="s">
        <v>145</v>
      </c>
      <c r="C55" t="s">
        <v>146</v>
      </c>
      <c r="D55" t="s">
        <v>22</v>
      </c>
      <c r="E55" t="s">
        <v>42</v>
      </c>
      <c r="F55">
        <v>3139</v>
      </c>
      <c r="G55">
        <v>63.8</v>
      </c>
      <c r="N55" t="s">
        <v>139</v>
      </c>
      <c r="O55" s="9" t="s">
        <v>24</v>
      </c>
      <c r="R55" s="19" t="s">
        <v>147</v>
      </c>
      <c r="S55" s="16">
        <v>1</v>
      </c>
      <c r="V55" t="str">
        <v>Djibouti</v>
      </c>
      <c r="W55">
        <v>3139</v>
      </c>
      <c r="X55">
        <v>63.8</v>
      </c>
      <c r="Y55">
        <v>59000</v>
      </c>
      <c r="Z55">
        <v>89.4</v>
      </c>
      <c r="AE55" s="9" t="s">
        <v>24</v>
      </c>
    </row>
    <row r="56" spans="2:31">
      <c r="B56" t="s">
        <v>148</v>
      </c>
      <c r="C56" t="s">
        <v>149</v>
      </c>
      <c r="D56" t="s">
        <v>29</v>
      </c>
      <c r="E56" t="s">
        <v>23</v>
      </c>
      <c r="F56">
        <v>10503</v>
      </c>
      <c r="G56">
        <v>73.099999999999994</v>
      </c>
      <c r="N56" t="s">
        <v>141</v>
      </c>
      <c r="O56" s="9" t="s">
        <v>24</v>
      </c>
      <c r="V56" t="str">
        <v>Dominica</v>
      </c>
      <c r="W56">
        <v>10503</v>
      </c>
      <c r="X56">
        <v>73.099999999999994</v>
      </c>
      <c r="Y56">
        <v>59000</v>
      </c>
      <c r="Z56">
        <v>89.4</v>
      </c>
      <c r="AE56" s="9" t="s">
        <v>24</v>
      </c>
    </row>
    <row r="57" spans="2:31">
      <c r="B57" t="s">
        <v>150</v>
      </c>
      <c r="C57" t="s">
        <v>151</v>
      </c>
      <c r="D57" t="s">
        <v>34</v>
      </c>
      <c r="E57" t="s">
        <v>41</v>
      </c>
      <c r="F57">
        <v>43495</v>
      </c>
      <c r="G57">
        <v>80.400000000000006</v>
      </c>
      <c r="N57" t="s">
        <v>151</v>
      </c>
      <c r="O57" s="9" t="s">
        <v>24</v>
      </c>
      <c r="Q57" s="18" t="s">
        <v>152</v>
      </c>
      <c r="R57" s="18"/>
      <c r="S57" s="18"/>
      <c r="V57" t="str">
        <v>Denmark</v>
      </c>
      <c r="W57">
        <v>43495</v>
      </c>
      <c r="X57">
        <v>80.400000000000006</v>
      </c>
      <c r="Y57">
        <v>59000</v>
      </c>
      <c r="Z57">
        <v>89.4</v>
      </c>
      <c r="AE57" s="9" t="s">
        <v>24</v>
      </c>
    </row>
    <row r="58" spans="2:31">
      <c r="B58" t="s">
        <v>153</v>
      </c>
      <c r="C58" t="s">
        <v>154</v>
      </c>
      <c r="D58" t="s">
        <v>29</v>
      </c>
      <c r="E58" t="s">
        <v>23</v>
      </c>
      <c r="F58">
        <v>12837</v>
      </c>
      <c r="G58">
        <v>75.3</v>
      </c>
      <c r="N58" t="s">
        <v>146</v>
      </c>
      <c r="O58" s="9" t="s">
        <v>24</v>
      </c>
      <c r="Q58" s="13">
        <v>1</v>
      </c>
      <c r="R58" s="13">
        <v>1</v>
      </c>
      <c r="S58" s="14">
        <v>1</v>
      </c>
      <c r="V58" t="str">
        <v>Dominican Republic (the)</v>
      </c>
      <c r="W58">
        <v>12837</v>
      </c>
      <c r="X58">
        <v>75.3</v>
      </c>
      <c r="Y58">
        <v>59000</v>
      </c>
      <c r="Z58">
        <v>89.4</v>
      </c>
      <c r="AE58" s="9" t="s">
        <v>24</v>
      </c>
    </row>
    <row r="59" spans="2:31">
      <c r="B59" t="s">
        <v>155</v>
      </c>
      <c r="C59" t="s">
        <v>37</v>
      </c>
      <c r="D59" t="s">
        <v>22</v>
      </c>
      <c r="E59" t="s">
        <v>61</v>
      </c>
      <c r="F59">
        <v>13434</v>
      </c>
      <c r="G59">
        <v>76.400000000000006</v>
      </c>
      <c r="N59" t="s">
        <v>149</v>
      </c>
      <c r="O59" s="9" t="s">
        <v>24</v>
      </c>
      <c r="Q59" t="str" cm="1">
        <f t="array" ref="Q59" xml:space="preserve"> INDEX(_xlfn.ANCHORARRAY( Q63), Q58 )</f>
        <v>No highlight</v>
      </c>
      <c r="R59" t="str" cm="1">
        <f t="array" ref="R59" xml:space="preserve"> INDEX(_xlfn.ANCHORARRAY( R63), R58 )</f>
        <v>Select a continent</v>
      </c>
      <c r="S59" t="str" cm="1">
        <f t="array" ref="S59" xml:space="preserve"> INDEX(_xlfn.ANCHORARRAY( S63), S58 )</f>
        <v>Select a cotinent</v>
      </c>
      <c r="V59" t="str">
        <v>Algeria</v>
      </c>
      <c r="W59">
        <v>13434</v>
      </c>
      <c r="X59">
        <v>76.400000000000006</v>
      </c>
      <c r="Y59">
        <v>59000</v>
      </c>
      <c r="Z59">
        <v>89.4</v>
      </c>
      <c r="AE59" s="9" t="s">
        <v>24</v>
      </c>
    </row>
    <row r="60" spans="2:31">
      <c r="B60" t="s">
        <v>156</v>
      </c>
      <c r="C60" t="s">
        <v>157</v>
      </c>
      <c r="D60" t="s">
        <v>29</v>
      </c>
      <c r="E60" t="s">
        <v>46</v>
      </c>
      <c r="F60">
        <v>10996</v>
      </c>
      <c r="G60">
        <v>75.900000000000006</v>
      </c>
      <c r="N60" t="s">
        <v>154</v>
      </c>
      <c r="O60" s="9" t="s">
        <v>24</v>
      </c>
      <c r="V60" t="str">
        <v>Ecuador</v>
      </c>
      <c r="W60">
        <v>10996</v>
      </c>
      <c r="X60">
        <v>75.900000000000006</v>
      </c>
      <c r="Y60">
        <v>59000</v>
      </c>
      <c r="Z60">
        <v>89.4</v>
      </c>
      <c r="AE60" s="9" t="s">
        <v>24</v>
      </c>
    </row>
    <row r="61" spans="2:31">
      <c r="B61" t="s">
        <v>158</v>
      </c>
      <c r="C61" t="s">
        <v>159</v>
      </c>
      <c r="D61" t="s">
        <v>22</v>
      </c>
      <c r="E61" t="s">
        <v>61</v>
      </c>
      <c r="F61">
        <v>11031</v>
      </c>
      <c r="G61">
        <v>71.5</v>
      </c>
      <c r="N61" t="s">
        <v>157</v>
      </c>
      <c r="O61" s="9" t="s">
        <v>24</v>
      </c>
      <c r="Q61" s="17" t="s">
        <v>160</v>
      </c>
      <c r="R61" s="17"/>
      <c r="S61" s="17"/>
      <c r="V61" t="str">
        <v>Egypt</v>
      </c>
      <c r="W61">
        <v>11031</v>
      </c>
      <c r="X61">
        <v>71.5</v>
      </c>
      <c r="Y61">
        <v>59000</v>
      </c>
      <c r="Z61">
        <v>89.4</v>
      </c>
      <c r="AE61" s="9" t="s">
        <v>24</v>
      </c>
    </row>
    <row r="62" spans="2:31">
      <c r="B62" t="s">
        <v>161</v>
      </c>
      <c r="C62" t="s">
        <v>162</v>
      </c>
      <c r="D62" t="s">
        <v>22</v>
      </c>
      <c r="E62" t="s">
        <v>42</v>
      </c>
      <c r="F62">
        <v>1129</v>
      </c>
      <c r="G62">
        <v>60.7</v>
      </c>
      <c r="N62" t="s">
        <v>159</v>
      </c>
      <c r="O62" s="9" t="s">
        <v>24</v>
      </c>
      <c r="Q62" t="s">
        <v>7</v>
      </c>
      <c r="R62" t="s">
        <v>8</v>
      </c>
      <c r="S62" t="s">
        <v>6</v>
      </c>
      <c r="V62" t="str">
        <v>Eritrea</v>
      </c>
      <c r="W62">
        <v>1129</v>
      </c>
      <c r="X62">
        <v>60.7</v>
      </c>
      <c r="Y62">
        <v>59000</v>
      </c>
      <c r="Z62">
        <v>89.4</v>
      </c>
      <c r="AE62" s="9" t="s">
        <v>24</v>
      </c>
    </row>
    <row r="63" spans="2:31">
      <c r="B63" t="s">
        <v>163</v>
      </c>
      <c r="C63" t="s">
        <v>164</v>
      </c>
      <c r="D63" t="s">
        <v>34</v>
      </c>
      <c r="E63" t="s">
        <v>41</v>
      </c>
      <c r="F63">
        <v>32979</v>
      </c>
      <c r="G63">
        <v>82.6</v>
      </c>
      <c r="N63" t="s">
        <v>165</v>
      </c>
      <c r="O63" s="9" t="s">
        <v>24</v>
      </c>
      <c r="Q63" t="str" cm="1">
        <f t="array" ref="Q63:Q68" xml:space="preserve"> _xlfn.LET(
           _xlpm.SUL, _xlfn._xlws.FILTER( J12:J16, J12:J16 &lt;&gt;  "" ),
           _xlpm.Rows, _xlfn.SEQUENCE( ROWS( _xlpm.SUL ) + 1, , 0 ),
           IF( _xlpm.Rows = 0,
                 "No highlight",
                 INDEX( _xlpm.SUL, _xlpm.Rows )
                )
           )</f>
        <v>No highlight</v>
      </c>
      <c r="R63" t="str" cm="1">
        <f t="array" ref="R63" xml:space="preserve"> _xlfn.LET(
           _xlpm.SUL, _xlfn._xlws.SORT(
                     _xlfn.UNIQUE(
                           _xlfn._xlws.FILTER( _01_data[region],
                                         _01_data[continent] = INDEX(_xlfn.ANCHORARRAY( Q63), Q58)
                                       )
                                   )
                            ),
           _xlpm.Rows, _xlfn.SEQUENCE( ROWS( _xlpm.SUL ) + 1, , 0 ),
           IF( Q59 = "No highlight",
                "Select a continent",
                IF( _xlpm.Rows = 0,
                      "No highlight",
                      INDEX( _xlpm.SUL, _xlpm.Rows )
                    )
               )
          )</f>
        <v>Select a continent</v>
      </c>
      <c r="S63" t="str" cm="1">
        <f t="array" ref="S63" xml:space="preserve"> _xlfn.LET(
           _xlpm.SUL, _xlfn._xlws.SORT(
                     _xlfn.UNIQUE(
                           _xlfn._xlws.FILTER( _01_data[country],
                                         _01_data[region] = INDEX(_xlfn.ANCHORARRAY( R63), R58)
                                       )
                                   )
                            ),
           _xlpm.Rows, _xlfn.SEQUENCE( ROWS( _xlpm.SUL ) + 1, , 0 ),
           _xlfn.IFS( Q59 = "No highlight", "Select a cotinent",
                   R59 = "No highlight", "Select a region",
                   _xlpm.Rows = 0, "No highlight",
                   TRUE, INDEX( _xlpm.SUL, _xlpm.Rows )
                    )
               )</f>
        <v>Select a cotinent</v>
      </c>
      <c r="V63" t="str">
        <v>Spain</v>
      </c>
      <c r="W63">
        <v>32979</v>
      </c>
      <c r="X63">
        <v>82.6</v>
      </c>
      <c r="Y63">
        <v>59000</v>
      </c>
      <c r="Z63">
        <v>89.4</v>
      </c>
      <c r="AE63" s="9" t="s">
        <v>24</v>
      </c>
    </row>
    <row r="64" spans="2:31">
      <c r="B64" t="s">
        <v>166</v>
      </c>
      <c r="C64" t="s">
        <v>167</v>
      </c>
      <c r="D64" t="s">
        <v>34</v>
      </c>
      <c r="E64" t="s">
        <v>35</v>
      </c>
      <c r="F64">
        <v>26812</v>
      </c>
      <c r="G64">
        <v>77.8</v>
      </c>
      <c r="N64" t="s">
        <v>168</v>
      </c>
      <c r="O64" s="9" t="s">
        <v>24</v>
      </c>
      <c r="Q64" t="str">
        <v>Africa</v>
      </c>
      <c r="V64" t="str">
        <v>Estonia</v>
      </c>
      <c r="W64">
        <v>26812</v>
      </c>
      <c r="X64">
        <v>77.8</v>
      </c>
      <c r="Y64">
        <v>59000</v>
      </c>
      <c r="Z64">
        <v>89.4</v>
      </c>
      <c r="AE64" s="9" t="s">
        <v>24</v>
      </c>
    </row>
    <row r="65" spans="2:31">
      <c r="B65" t="s">
        <v>169</v>
      </c>
      <c r="C65" t="s">
        <v>170</v>
      </c>
      <c r="D65" t="s">
        <v>22</v>
      </c>
      <c r="E65" t="s">
        <v>42</v>
      </c>
      <c r="F65">
        <v>1520</v>
      </c>
      <c r="G65">
        <v>65.2</v>
      </c>
      <c r="N65" t="s">
        <v>162</v>
      </c>
      <c r="O65" s="9" t="s">
        <v>24</v>
      </c>
      <c r="Q65" t="str">
        <v>Americas</v>
      </c>
      <c r="V65" t="str">
        <v>Ethiopia</v>
      </c>
      <c r="W65">
        <v>1520</v>
      </c>
      <c r="X65">
        <v>65.2</v>
      </c>
      <c r="Y65">
        <v>59000</v>
      </c>
      <c r="Z65">
        <v>89.4</v>
      </c>
      <c r="AE65" s="9" t="s">
        <v>24</v>
      </c>
    </row>
    <row r="66" spans="2:31">
      <c r="B66" t="s">
        <v>171</v>
      </c>
      <c r="C66" t="s">
        <v>172</v>
      </c>
      <c r="D66" t="s">
        <v>34</v>
      </c>
      <c r="E66" t="s">
        <v>41</v>
      </c>
      <c r="F66">
        <v>38923</v>
      </c>
      <c r="G66">
        <v>80.900000000000006</v>
      </c>
      <c r="N66" t="s">
        <v>167</v>
      </c>
      <c r="O66" s="9" t="s">
        <v>24</v>
      </c>
      <c r="Q66" t="str">
        <v>Asia</v>
      </c>
      <c r="V66" t="str">
        <v>Finland</v>
      </c>
      <c r="W66">
        <v>38923</v>
      </c>
      <c r="X66">
        <v>80.900000000000006</v>
      </c>
      <c r="Y66">
        <v>59000</v>
      </c>
      <c r="Z66">
        <v>89.4</v>
      </c>
      <c r="AE66" s="9" t="s">
        <v>24</v>
      </c>
    </row>
    <row r="67" spans="2:31">
      <c r="B67" t="s">
        <v>173</v>
      </c>
      <c r="C67" t="s">
        <v>174</v>
      </c>
      <c r="D67" t="s">
        <v>47</v>
      </c>
      <c r="E67" t="s">
        <v>47</v>
      </c>
      <c r="F67">
        <v>7925</v>
      </c>
      <c r="G67">
        <v>65.8</v>
      </c>
      <c r="N67" t="s">
        <v>175</v>
      </c>
      <c r="O67" s="9" t="s">
        <v>24</v>
      </c>
      <c r="Q67" t="str">
        <v>Europe</v>
      </c>
      <c r="V67" t="str">
        <v>Fiji</v>
      </c>
      <c r="W67">
        <v>7925</v>
      </c>
      <c r="X67">
        <v>65.8</v>
      </c>
      <c r="Y67">
        <v>59000</v>
      </c>
      <c r="Z67">
        <v>89.4</v>
      </c>
      <c r="AE67" s="9" t="s">
        <v>24</v>
      </c>
    </row>
    <row r="68" spans="2:31">
      <c r="B68" t="s">
        <v>176</v>
      </c>
      <c r="C68" t="s">
        <v>177</v>
      </c>
      <c r="D68" t="s">
        <v>34</v>
      </c>
      <c r="E68" t="s">
        <v>41</v>
      </c>
      <c r="F68">
        <v>37599</v>
      </c>
      <c r="G68">
        <v>81.8</v>
      </c>
      <c r="N68" t="s">
        <v>170</v>
      </c>
      <c r="O68" s="9" t="s">
        <v>24</v>
      </c>
      <c r="Q68" t="str">
        <v>Oceania</v>
      </c>
      <c r="V68" t="str">
        <v>France</v>
      </c>
      <c r="W68">
        <v>37599</v>
      </c>
      <c r="X68">
        <v>81.8</v>
      </c>
      <c r="Y68">
        <v>59000</v>
      </c>
      <c r="Z68">
        <v>89.4</v>
      </c>
      <c r="AE68" s="9" t="s">
        <v>24</v>
      </c>
    </row>
    <row r="69" spans="2:31">
      <c r="B69" t="s">
        <v>178</v>
      </c>
      <c r="C69" t="s">
        <v>179</v>
      </c>
      <c r="D69" t="s">
        <v>47</v>
      </c>
      <c r="E69" t="s">
        <v>47</v>
      </c>
      <c r="F69">
        <v>3510</v>
      </c>
      <c r="G69">
        <v>68.900000000000006</v>
      </c>
      <c r="N69" t="s">
        <v>174</v>
      </c>
      <c r="O69" s="9" t="s">
        <v>24</v>
      </c>
      <c r="V69" t="str">
        <v>Micronesia (Federated States of)</v>
      </c>
      <c r="W69">
        <v>3510</v>
      </c>
      <c r="X69">
        <v>68.900000000000006</v>
      </c>
      <c r="Y69">
        <v>59000</v>
      </c>
      <c r="Z69">
        <v>89.4</v>
      </c>
      <c r="AE69" s="9" t="s">
        <v>24</v>
      </c>
    </row>
    <row r="70" spans="2:31">
      <c r="B70" t="s">
        <v>180</v>
      </c>
      <c r="C70" t="s">
        <v>181</v>
      </c>
      <c r="D70" t="s">
        <v>22</v>
      </c>
      <c r="E70" t="s">
        <v>28</v>
      </c>
      <c r="F70">
        <v>18627</v>
      </c>
      <c r="G70">
        <v>65.900000000000006</v>
      </c>
      <c r="N70" t="s">
        <v>172</v>
      </c>
      <c r="O70" s="9" t="s">
        <v>24</v>
      </c>
      <c r="V70" t="str">
        <v>Gabon</v>
      </c>
      <c r="W70">
        <v>18627</v>
      </c>
      <c r="X70">
        <v>65.900000000000006</v>
      </c>
      <c r="Y70">
        <v>59000</v>
      </c>
      <c r="Z70">
        <v>89.4</v>
      </c>
      <c r="AE70" s="9" t="s">
        <v>24</v>
      </c>
    </row>
    <row r="71" spans="2:31">
      <c r="B71" t="s">
        <v>182</v>
      </c>
      <c r="C71" t="s">
        <v>183</v>
      </c>
      <c r="D71" t="s">
        <v>34</v>
      </c>
      <c r="E71" t="s">
        <v>41</v>
      </c>
      <c r="F71">
        <v>38225</v>
      </c>
      <c r="G71">
        <v>81</v>
      </c>
      <c r="N71" t="s">
        <v>177</v>
      </c>
      <c r="O71" s="9" t="s">
        <v>24</v>
      </c>
      <c r="V71" t="str">
        <v>United Kingdom of Great Britain and Northern Ireland (the)</v>
      </c>
      <c r="W71">
        <v>38225</v>
      </c>
      <c r="X71">
        <v>81</v>
      </c>
      <c r="Y71">
        <v>59000</v>
      </c>
      <c r="Z71">
        <v>89.4</v>
      </c>
      <c r="AE71" s="9" t="s">
        <v>24</v>
      </c>
    </row>
    <row r="72" spans="2:31">
      <c r="B72" t="s">
        <v>184</v>
      </c>
      <c r="C72" t="s">
        <v>185</v>
      </c>
      <c r="D72" t="s">
        <v>34</v>
      </c>
      <c r="E72" t="s">
        <v>51</v>
      </c>
      <c r="F72">
        <v>7474</v>
      </c>
      <c r="G72">
        <v>72.900000000000006</v>
      </c>
      <c r="N72" t="s">
        <v>181</v>
      </c>
      <c r="O72" s="9" t="s">
        <v>24</v>
      </c>
      <c r="V72" t="str">
        <v>Georgia</v>
      </c>
      <c r="W72">
        <v>7474</v>
      </c>
      <c r="X72">
        <v>72.900000000000006</v>
      </c>
      <c r="Y72">
        <v>59000</v>
      </c>
      <c r="Z72">
        <v>89.4</v>
      </c>
      <c r="AE72" s="9" t="s">
        <v>24</v>
      </c>
    </row>
    <row r="73" spans="2:31">
      <c r="B73" t="s">
        <v>186</v>
      </c>
      <c r="C73" t="s">
        <v>187</v>
      </c>
      <c r="D73" t="s">
        <v>22</v>
      </c>
      <c r="E73" t="s">
        <v>73</v>
      </c>
      <c r="F73">
        <v>4099</v>
      </c>
      <c r="G73">
        <v>65.3</v>
      </c>
      <c r="N73" t="s">
        <v>188</v>
      </c>
      <c r="O73" s="9" t="s">
        <v>24</v>
      </c>
      <c r="V73" t="str">
        <v>Ghana</v>
      </c>
      <c r="W73">
        <v>4099</v>
      </c>
      <c r="X73">
        <v>65.3</v>
      </c>
      <c r="Y73">
        <v>59000</v>
      </c>
      <c r="Z73">
        <v>89.4</v>
      </c>
      <c r="AE73" s="9" t="s">
        <v>24</v>
      </c>
    </row>
    <row r="74" spans="2:31">
      <c r="B74" t="s">
        <v>189</v>
      </c>
      <c r="C74" t="s">
        <v>190</v>
      </c>
      <c r="D74" t="s">
        <v>22</v>
      </c>
      <c r="E74" t="s">
        <v>73</v>
      </c>
      <c r="F74">
        <v>1225</v>
      </c>
      <c r="G74">
        <v>59.1</v>
      </c>
      <c r="N74" t="s">
        <v>185</v>
      </c>
      <c r="O74" s="9" t="s">
        <v>24</v>
      </c>
      <c r="V74" t="str">
        <v>Guinea</v>
      </c>
      <c r="W74">
        <v>1225</v>
      </c>
      <c r="X74">
        <v>59.1</v>
      </c>
      <c r="Y74">
        <v>59000</v>
      </c>
      <c r="Z74">
        <v>89.4</v>
      </c>
      <c r="AE74" s="9" t="s">
        <v>24</v>
      </c>
    </row>
    <row r="75" spans="2:31">
      <c r="B75" t="s">
        <v>191</v>
      </c>
      <c r="C75" t="s">
        <v>188</v>
      </c>
      <c r="D75" t="s">
        <v>22</v>
      </c>
      <c r="E75" t="s">
        <v>73</v>
      </c>
      <c r="F75">
        <v>1644</v>
      </c>
      <c r="G75">
        <v>68.099999999999994</v>
      </c>
      <c r="N75" t="s">
        <v>144</v>
      </c>
      <c r="O75" s="9" t="s">
        <v>24</v>
      </c>
      <c r="V75" t="str">
        <v>Gambia (the)</v>
      </c>
      <c r="W75">
        <v>1644</v>
      </c>
      <c r="X75">
        <v>68.099999999999994</v>
      </c>
      <c r="Y75">
        <v>59000</v>
      </c>
      <c r="Z75">
        <v>89.4</v>
      </c>
      <c r="AE75" s="9" t="s">
        <v>24</v>
      </c>
    </row>
    <row r="76" spans="2:31">
      <c r="B76" t="s">
        <v>192</v>
      </c>
      <c r="C76" t="s">
        <v>193</v>
      </c>
      <c r="D76" t="s">
        <v>22</v>
      </c>
      <c r="E76" t="s">
        <v>73</v>
      </c>
      <c r="F76">
        <v>1386</v>
      </c>
      <c r="G76">
        <v>55.6</v>
      </c>
      <c r="N76" t="s">
        <v>187</v>
      </c>
      <c r="O76" s="9" t="s">
        <v>24</v>
      </c>
      <c r="V76" t="str">
        <v>Guinea-Bissau</v>
      </c>
      <c r="W76">
        <v>1386</v>
      </c>
      <c r="X76">
        <v>55.6</v>
      </c>
      <c r="Y76">
        <v>59000</v>
      </c>
      <c r="Z76">
        <v>89.4</v>
      </c>
      <c r="AE76" s="9" t="s">
        <v>24</v>
      </c>
    </row>
    <row r="77" spans="2:31">
      <c r="B77" t="s">
        <v>194</v>
      </c>
      <c r="C77" t="s">
        <v>168</v>
      </c>
      <c r="D77" t="s">
        <v>22</v>
      </c>
      <c r="E77" t="s">
        <v>28</v>
      </c>
      <c r="F77">
        <v>31087</v>
      </c>
      <c r="G77">
        <v>61</v>
      </c>
      <c r="N77" t="s">
        <v>195</v>
      </c>
      <c r="O77" s="9" t="s">
        <v>24</v>
      </c>
      <c r="V77" t="str">
        <v>Equatorial Guinea</v>
      </c>
      <c r="W77">
        <v>31087</v>
      </c>
      <c r="X77">
        <v>61</v>
      </c>
      <c r="Y77">
        <v>59000</v>
      </c>
      <c r="Z77">
        <v>89.4</v>
      </c>
      <c r="AE77" s="9" t="s">
        <v>24</v>
      </c>
    </row>
    <row r="78" spans="2:31">
      <c r="B78" t="s">
        <v>196</v>
      </c>
      <c r="C78" t="s">
        <v>195</v>
      </c>
      <c r="D78" t="s">
        <v>34</v>
      </c>
      <c r="E78" t="s">
        <v>35</v>
      </c>
      <c r="F78">
        <v>25430</v>
      </c>
      <c r="G78">
        <v>81</v>
      </c>
      <c r="N78" t="s">
        <v>197</v>
      </c>
      <c r="O78" s="9" t="s">
        <v>24</v>
      </c>
      <c r="V78" t="str">
        <v>Greece</v>
      </c>
      <c r="W78">
        <v>25430</v>
      </c>
      <c r="X78">
        <v>81</v>
      </c>
      <c r="Y78">
        <v>59000</v>
      </c>
      <c r="Z78">
        <v>89.4</v>
      </c>
      <c r="AE78" s="9" t="s">
        <v>24</v>
      </c>
    </row>
    <row r="79" spans="2:31">
      <c r="B79" t="s">
        <v>198</v>
      </c>
      <c r="C79" t="s">
        <v>197</v>
      </c>
      <c r="D79" t="s">
        <v>29</v>
      </c>
      <c r="E79" t="s">
        <v>23</v>
      </c>
      <c r="F79">
        <v>11593</v>
      </c>
      <c r="G79">
        <v>71.5</v>
      </c>
      <c r="N79" t="s">
        <v>199</v>
      </c>
      <c r="O79" s="9" t="s">
        <v>24</v>
      </c>
      <c r="V79" t="str">
        <v>Grenada</v>
      </c>
      <c r="W79">
        <v>11593</v>
      </c>
      <c r="X79">
        <v>71.5</v>
      </c>
      <c r="Y79">
        <v>59000</v>
      </c>
      <c r="Z79">
        <v>89.4</v>
      </c>
      <c r="AE79" s="9" t="s">
        <v>24</v>
      </c>
    </row>
    <row r="80" spans="2:31">
      <c r="B80" t="s">
        <v>200</v>
      </c>
      <c r="C80" t="s">
        <v>199</v>
      </c>
      <c r="D80" t="s">
        <v>29</v>
      </c>
      <c r="E80" t="s">
        <v>30</v>
      </c>
      <c r="F80">
        <v>7279</v>
      </c>
      <c r="G80">
        <v>72.599999999999994</v>
      </c>
      <c r="N80" t="s">
        <v>190</v>
      </c>
      <c r="O80" s="9" t="s">
        <v>24</v>
      </c>
      <c r="V80" t="str">
        <v>Guatemala</v>
      </c>
      <c r="W80">
        <v>7279</v>
      </c>
      <c r="X80">
        <v>72.599999999999994</v>
      </c>
      <c r="Y80">
        <v>59000</v>
      </c>
      <c r="Z80">
        <v>89.4</v>
      </c>
      <c r="AE80" s="9" t="s">
        <v>24</v>
      </c>
    </row>
    <row r="81" spans="2:31">
      <c r="B81" t="s">
        <v>201</v>
      </c>
      <c r="C81" t="s">
        <v>202</v>
      </c>
      <c r="D81" t="s">
        <v>29</v>
      </c>
      <c r="E81" t="s">
        <v>46</v>
      </c>
      <c r="F81">
        <v>6816</v>
      </c>
      <c r="G81">
        <v>66.8</v>
      </c>
      <c r="N81" t="s">
        <v>193</v>
      </c>
      <c r="O81" s="9" t="s">
        <v>24</v>
      </c>
      <c r="V81" t="str">
        <v>Guyana</v>
      </c>
      <c r="W81">
        <v>6816</v>
      </c>
      <c r="X81">
        <v>66.8</v>
      </c>
      <c r="Y81">
        <v>59000</v>
      </c>
      <c r="Z81">
        <v>89.4</v>
      </c>
      <c r="AE81" s="9" t="s">
        <v>24</v>
      </c>
    </row>
    <row r="82" spans="2:31">
      <c r="B82" t="s">
        <v>203</v>
      </c>
      <c r="C82" t="s">
        <v>204</v>
      </c>
      <c r="D82" t="s">
        <v>20</v>
      </c>
      <c r="E82" t="s">
        <v>48</v>
      </c>
      <c r="F82">
        <v>53874</v>
      </c>
      <c r="G82">
        <v>83.73</v>
      </c>
      <c r="N82" t="s">
        <v>202</v>
      </c>
      <c r="O82" s="9" t="s">
        <v>24</v>
      </c>
      <c r="V82" t="str">
        <v>Hong Kong</v>
      </c>
      <c r="W82">
        <v>53874</v>
      </c>
      <c r="X82">
        <v>83.73</v>
      </c>
      <c r="Y82">
        <v>59000</v>
      </c>
      <c r="Z82">
        <v>89.4</v>
      </c>
      <c r="AE82" s="9" t="s">
        <v>24</v>
      </c>
    </row>
    <row r="83" spans="2:31">
      <c r="B83" t="s">
        <v>205</v>
      </c>
      <c r="C83" t="s">
        <v>206</v>
      </c>
      <c r="D83" t="s">
        <v>29</v>
      </c>
      <c r="E83" t="s">
        <v>30</v>
      </c>
      <c r="F83">
        <v>4270</v>
      </c>
      <c r="G83">
        <v>73</v>
      </c>
      <c r="N83" t="s">
        <v>207</v>
      </c>
      <c r="O83" s="9" t="s">
        <v>24</v>
      </c>
      <c r="V83" t="str">
        <v>Honduras</v>
      </c>
      <c r="W83">
        <v>4270</v>
      </c>
      <c r="X83">
        <v>73</v>
      </c>
      <c r="Y83">
        <v>59000</v>
      </c>
      <c r="Z83">
        <v>89.4</v>
      </c>
      <c r="AE83" s="9" t="s">
        <v>24</v>
      </c>
    </row>
    <row r="84" spans="2:31">
      <c r="B84" t="s">
        <v>208</v>
      </c>
      <c r="C84" t="s">
        <v>142</v>
      </c>
      <c r="D84" t="s">
        <v>34</v>
      </c>
      <c r="E84" t="s">
        <v>35</v>
      </c>
      <c r="F84">
        <v>20260</v>
      </c>
      <c r="G84">
        <v>77.8</v>
      </c>
      <c r="N84" t="s">
        <v>206</v>
      </c>
      <c r="O84" s="9" t="s">
        <v>24</v>
      </c>
      <c r="V84" t="str">
        <v>Croatia</v>
      </c>
      <c r="W84">
        <v>20260</v>
      </c>
      <c r="X84">
        <v>77.8</v>
      </c>
      <c r="Y84">
        <v>59000</v>
      </c>
      <c r="Z84">
        <v>89.4</v>
      </c>
      <c r="AE84" s="9" t="s">
        <v>24</v>
      </c>
    </row>
    <row r="85" spans="2:31">
      <c r="B85" t="s">
        <v>209</v>
      </c>
      <c r="C85" t="s">
        <v>207</v>
      </c>
      <c r="D85" t="s">
        <v>29</v>
      </c>
      <c r="E85" t="s">
        <v>23</v>
      </c>
      <c r="F85">
        <v>1710</v>
      </c>
      <c r="G85">
        <v>64.3</v>
      </c>
      <c r="N85" t="s">
        <v>204</v>
      </c>
      <c r="O85" s="9" t="s">
        <v>24</v>
      </c>
      <c r="V85" t="str">
        <v>Haiti</v>
      </c>
      <c r="W85">
        <v>1710</v>
      </c>
      <c r="X85">
        <v>64.3</v>
      </c>
      <c r="Y85">
        <v>59000</v>
      </c>
      <c r="Z85">
        <v>89.4</v>
      </c>
      <c r="AE85" s="9" t="s">
        <v>24</v>
      </c>
    </row>
    <row r="86" spans="2:31">
      <c r="B86" t="s">
        <v>210</v>
      </c>
      <c r="C86" t="s">
        <v>211</v>
      </c>
      <c r="D86" t="s">
        <v>34</v>
      </c>
      <c r="E86" t="s">
        <v>35</v>
      </c>
      <c r="F86">
        <v>24200</v>
      </c>
      <c r="G86">
        <v>76.7</v>
      </c>
      <c r="N86" t="s">
        <v>211</v>
      </c>
      <c r="O86" s="9" t="s">
        <v>24</v>
      </c>
      <c r="V86" t="str">
        <v>Hungary</v>
      </c>
      <c r="W86">
        <v>24200</v>
      </c>
      <c r="X86">
        <v>76.7</v>
      </c>
      <c r="Y86">
        <v>59000</v>
      </c>
      <c r="Z86">
        <v>89.4</v>
      </c>
      <c r="AE86" s="9" t="s">
        <v>24</v>
      </c>
    </row>
    <row r="87" spans="2:31">
      <c r="B87" t="s">
        <v>212</v>
      </c>
      <c r="C87" t="s">
        <v>213</v>
      </c>
      <c r="D87" t="s">
        <v>20</v>
      </c>
      <c r="E87" t="s">
        <v>69</v>
      </c>
      <c r="F87">
        <v>10504</v>
      </c>
      <c r="G87">
        <v>71.099999999999994</v>
      </c>
      <c r="N87" t="s">
        <v>214</v>
      </c>
      <c r="O87" s="9" t="s">
        <v>24</v>
      </c>
      <c r="V87" t="str">
        <v>Indonesia</v>
      </c>
      <c r="W87">
        <v>10504</v>
      </c>
      <c r="X87">
        <v>71.099999999999994</v>
      </c>
      <c r="Y87">
        <v>59000</v>
      </c>
      <c r="Z87">
        <v>89.4</v>
      </c>
      <c r="AE87" s="9" t="s">
        <v>24</v>
      </c>
    </row>
    <row r="88" spans="2:31">
      <c r="B88" t="s">
        <v>215</v>
      </c>
      <c r="C88" t="s">
        <v>216</v>
      </c>
      <c r="D88" t="s">
        <v>20</v>
      </c>
      <c r="E88" t="s">
        <v>21</v>
      </c>
      <c r="F88">
        <v>5903</v>
      </c>
      <c r="G88">
        <v>67.2</v>
      </c>
      <c r="N88" t="s">
        <v>216</v>
      </c>
      <c r="O88" s="9" t="s">
        <v>24</v>
      </c>
      <c r="V88" t="str">
        <v>India</v>
      </c>
      <c r="W88">
        <v>5903</v>
      </c>
      <c r="X88">
        <v>67.2</v>
      </c>
      <c r="Y88">
        <v>59000</v>
      </c>
      <c r="Z88">
        <v>89.4</v>
      </c>
      <c r="AE88" s="9" t="s">
        <v>24</v>
      </c>
    </row>
    <row r="89" spans="2:31">
      <c r="B89" t="s">
        <v>217</v>
      </c>
      <c r="C89" t="s">
        <v>218</v>
      </c>
      <c r="D89" t="s">
        <v>34</v>
      </c>
      <c r="E89" t="s">
        <v>41</v>
      </c>
      <c r="F89">
        <v>47758</v>
      </c>
      <c r="G89">
        <v>81.7</v>
      </c>
      <c r="N89" t="s">
        <v>213</v>
      </c>
      <c r="O89" s="9" t="s">
        <v>24</v>
      </c>
      <c r="V89" t="str">
        <v>Ireland</v>
      </c>
      <c r="W89">
        <v>47758</v>
      </c>
      <c r="X89">
        <v>81.7</v>
      </c>
      <c r="Y89">
        <v>59000</v>
      </c>
      <c r="Z89">
        <v>89.4</v>
      </c>
      <c r="AE89" s="9" t="s">
        <v>24</v>
      </c>
    </row>
    <row r="90" spans="2:31">
      <c r="B90" t="s">
        <v>219</v>
      </c>
      <c r="C90" t="s">
        <v>220</v>
      </c>
      <c r="D90" t="s">
        <v>20</v>
      </c>
      <c r="E90" t="s">
        <v>21</v>
      </c>
      <c r="F90">
        <v>15573</v>
      </c>
      <c r="G90">
        <v>74.599999999999994</v>
      </c>
      <c r="N90" t="s">
        <v>220</v>
      </c>
      <c r="O90" s="9" t="s">
        <v>24</v>
      </c>
      <c r="V90" t="str">
        <v>Iran (Islamic Republic of)</v>
      </c>
      <c r="W90">
        <v>15573</v>
      </c>
      <c r="X90">
        <v>74.599999999999994</v>
      </c>
      <c r="Y90">
        <v>59000</v>
      </c>
      <c r="Z90">
        <v>89.4</v>
      </c>
      <c r="AE90" s="9" t="s">
        <v>24</v>
      </c>
    </row>
    <row r="91" spans="2:31">
      <c r="B91" t="s">
        <v>221</v>
      </c>
      <c r="C91" t="s">
        <v>222</v>
      </c>
      <c r="D91" t="s">
        <v>20</v>
      </c>
      <c r="E91" t="s">
        <v>51</v>
      </c>
      <c r="F91">
        <v>14646</v>
      </c>
      <c r="G91">
        <v>67.400000000000006</v>
      </c>
      <c r="N91" t="s">
        <v>222</v>
      </c>
      <c r="O91" s="9" t="s">
        <v>24</v>
      </c>
      <c r="V91" t="str">
        <v>Iraq</v>
      </c>
      <c r="W91">
        <v>14646</v>
      </c>
      <c r="X91">
        <v>67.400000000000006</v>
      </c>
      <c r="Y91">
        <v>59000</v>
      </c>
      <c r="Z91">
        <v>89.4</v>
      </c>
      <c r="AE91" s="9" t="s">
        <v>24</v>
      </c>
    </row>
    <row r="92" spans="2:31">
      <c r="B92" t="s">
        <v>223</v>
      </c>
      <c r="C92" t="s">
        <v>214</v>
      </c>
      <c r="D92" t="s">
        <v>34</v>
      </c>
      <c r="E92" t="s">
        <v>41</v>
      </c>
      <c r="F92">
        <v>42182</v>
      </c>
      <c r="G92">
        <v>83.3</v>
      </c>
      <c r="N92" t="s">
        <v>218</v>
      </c>
      <c r="O92" s="9" t="s">
        <v>24</v>
      </c>
      <c r="V92" t="str">
        <v>Iceland</v>
      </c>
      <c r="W92">
        <v>42182</v>
      </c>
      <c r="X92">
        <v>83.3</v>
      </c>
      <c r="Y92">
        <v>59000</v>
      </c>
      <c r="Z92">
        <v>89.4</v>
      </c>
      <c r="AE92" s="9" t="s">
        <v>24</v>
      </c>
    </row>
    <row r="93" spans="2:31">
      <c r="B93" t="s">
        <v>224</v>
      </c>
      <c r="C93" t="s">
        <v>225</v>
      </c>
      <c r="D93" t="s">
        <v>20</v>
      </c>
      <c r="E93" t="s">
        <v>51</v>
      </c>
      <c r="F93">
        <v>31590</v>
      </c>
      <c r="G93">
        <v>82.1</v>
      </c>
      <c r="N93" t="s">
        <v>225</v>
      </c>
      <c r="O93" s="9" t="s">
        <v>24</v>
      </c>
      <c r="V93" t="str">
        <v>Israel</v>
      </c>
      <c r="W93">
        <v>31590</v>
      </c>
      <c r="X93">
        <v>82.1</v>
      </c>
      <c r="Y93">
        <v>59000</v>
      </c>
      <c r="Z93">
        <v>89.4</v>
      </c>
      <c r="AE93" s="9" t="s">
        <v>24</v>
      </c>
    </row>
    <row r="94" spans="2:31">
      <c r="B94" t="s">
        <v>226</v>
      </c>
      <c r="C94" t="s">
        <v>227</v>
      </c>
      <c r="D94" t="s">
        <v>34</v>
      </c>
      <c r="E94" t="s">
        <v>41</v>
      </c>
      <c r="F94">
        <v>33297</v>
      </c>
      <c r="G94">
        <v>82.2</v>
      </c>
      <c r="N94" t="s">
        <v>227</v>
      </c>
      <c r="O94" s="9" t="s">
        <v>24</v>
      </c>
      <c r="V94" t="str">
        <v>Italy</v>
      </c>
      <c r="W94">
        <v>33297</v>
      </c>
      <c r="X94">
        <v>82.2</v>
      </c>
      <c r="Y94">
        <v>59000</v>
      </c>
      <c r="Z94">
        <v>89.4</v>
      </c>
      <c r="AE94" s="9" t="s">
        <v>24</v>
      </c>
    </row>
    <row r="95" spans="2:31">
      <c r="B95" t="s">
        <v>228</v>
      </c>
      <c r="C95" t="s">
        <v>229</v>
      </c>
      <c r="D95" t="s">
        <v>29</v>
      </c>
      <c r="E95" t="s">
        <v>23</v>
      </c>
      <c r="F95">
        <v>8606</v>
      </c>
      <c r="G95">
        <v>75</v>
      </c>
      <c r="N95" t="s">
        <v>229</v>
      </c>
      <c r="O95" s="9" t="s">
        <v>24</v>
      </c>
      <c r="V95" t="str">
        <v>Jamaica</v>
      </c>
      <c r="W95">
        <v>8606</v>
      </c>
      <c r="X95">
        <v>75</v>
      </c>
      <c r="Y95">
        <v>59000</v>
      </c>
      <c r="Z95">
        <v>89.4</v>
      </c>
      <c r="AE95" s="9" t="s">
        <v>24</v>
      </c>
    </row>
    <row r="96" spans="2:31">
      <c r="B96" t="s">
        <v>230</v>
      </c>
      <c r="C96" t="s">
        <v>231</v>
      </c>
      <c r="D96" t="s">
        <v>20</v>
      </c>
      <c r="E96" t="s">
        <v>51</v>
      </c>
      <c r="F96">
        <v>11752</v>
      </c>
      <c r="G96">
        <v>78.5</v>
      </c>
      <c r="N96" t="s">
        <v>232</v>
      </c>
      <c r="O96" s="9" t="s">
        <v>24</v>
      </c>
      <c r="V96" t="str">
        <v>Jordan</v>
      </c>
      <c r="W96">
        <v>11752</v>
      </c>
      <c r="X96">
        <v>78.5</v>
      </c>
      <c r="Y96">
        <v>59000</v>
      </c>
      <c r="Z96">
        <v>89.4</v>
      </c>
      <c r="AE96" s="9" t="s">
        <v>24</v>
      </c>
    </row>
    <row r="97" spans="2:31">
      <c r="B97" t="s">
        <v>233</v>
      </c>
      <c r="C97" t="s">
        <v>232</v>
      </c>
      <c r="D97" t="s">
        <v>20</v>
      </c>
      <c r="E97" t="s">
        <v>48</v>
      </c>
      <c r="F97">
        <v>36162</v>
      </c>
      <c r="G97">
        <v>83.2</v>
      </c>
      <c r="N97" t="s">
        <v>231</v>
      </c>
      <c r="O97" s="9" t="s">
        <v>24</v>
      </c>
      <c r="V97" t="str">
        <v>Japan</v>
      </c>
      <c r="W97">
        <v>36162</v>
      </c>
      <c r="X97">
        <v>83.2</v>
      </c>
      <c r="Y97">
        <v>59000</v>
      </c>
      <c r="Z97">
        <v>89.4</v>
      </c>
      <c r="AE97" s="9" t="s">
        <v>24</v>
      </c>
    </row>
    <row r="98" spans="2:31">
      <c r="B98" t="s">
        <v>234</v>
      </c>
      <c r="C98" t="s">
        <v>235</v>
      </c>
      <c r="D98" t="s">
        <v>20</v>
      </c>
      <c r="E98" t="s">
        <v>36</v>
      </c>
      <c r="F98">
        <v>23468</v>
      </c>
      <c r="G98">
        <v>70.2</v>
      </c>
      <c r="N98" t="s">
        <v>235</v>
      </c>
      <c r="O98" s="9" t="s">
        <v>24</v>
      </c>
      <c r="V98" t="str">
        <v>Kazakhstan</v>
      </c>
      <c r="W98">
        <v>23468</v>
      </c>
      <c r="X98">
        <v>70.2</v>
      </c>
      <c r="Y98">
        <v>59000</v>
      </c>
      <c r="Z98">
        <v>89.4</v>
      </c>
      <c r="AE98" s="9" t="s">
        <v>24</v>
      </c>
    </row>
    <row r="99" spans="2:31">
      <c r="B99" t="s">
        <v>236</v>
      </c>
      <c r="C99" t="s">
        <v>237</v>
      </c>
      <c r="D99" t="s">
        <v>22</v>
      </c>
      <c r="E99" t="s">
        <v>42</v>
      </c>
      <c r="F99">
        <v>2898</v>
      </c>
      <c r="G99">
        <v>65.099999999999994</v>
      </c>
      <c r="N99" t="s">
        <v>237</v>
      </c>
      <c r="O99" s="9" t="s">
        <v>24</v>
      </c>
      <c r="V99" t="str">
        <v>Kenya</v>
      </c>
      <c r="W99">
        <v>2898</v>
      </c>
      <c r="X99">
        <v>65.099999999999994</v>
      </c>
      <c r="Y99">
        <v>59000</v>
      </c>
      <c r="Z99">
        <v>89.4</v>
      </c>
      <c r="AE99" s="9" t="s">
        <v>24</v>
      </c>
    </row>
    <row r="100" spans="2:31">
      <c r="B100" t="s">
        <v>238</v>
      </c>
      <c r="C100" t="s">
        <v>239</v>
      </c>
      <c r="D100" t="s">
        <v>20</v>
      </c>
      <c r="E100" t="s">
        <v>36</v>
      </c>
      <c r="F100">
        <v>3245</v>
      </c>
      <c r="G100">
        <v>69.8</v>
      </c>
      <c r="N100" t="s">
        <v>240</v>
      </c>
      <c r="O100" s="9" t="s">
        <v>24</v>
      </c>
      <c r="V100" t="str">
        <v>Kyrgyzstan</v>
      </c>
      <c r="W100">
        <v>3245</v>
      </c>
      <c r="X100">
        <v>69.8</v>
      </c>
      <c r="Y100">
        <v>59000</v>
      </c>
      <c r="Z100">
        <v>89.4</v>
      </c>
      <c r="AE100" s="9" t="s">
        <v>24</v>
      </c>
    </row>
    <row r="101" spans="2:31">
      <c r="B101" t="s">
        <v>241</v>
      </c>
      <c r="C101" t="s">
        <v>111</v>
      </c>
      <c r="D101" t="s">
        <v>20</v>
      </c>
      <c r="E101" t="s">
        <v>69</v>
      </c>
      <c r="F101">
        <v>3267</v>
      </c>
      <c r="G101">
        <v>69.400000000000006</v>
      </c>
      <c r="N101" t="s">
        <v>242</v>
      </c>
      <c r="O101" s="9" t="s">
        <v>24</v>
      </c>
      <c r="V101" t="str">
        <v>Cambodia</v>
      </c>
      <c r="W101">
        <v>3267</v>
      </c>
      <c r="X101">
        <v>69.400000000000006</v>
      </c>
      <c r="Y101">
        <v>59000</v>
      </c>
      <c r="Z101">
        <v>89.4</v>
      </c>
      <c r="AE101" s="9" t="s">
        <v>24</v>
      </c>
    </row>
    <row r="102" spans="2:31">
      <c r="B102" t="s">
        <v>243</v>
      </c>
      <c r="C102" t="s">
        <v>240</v>
      </c>
      <c r="D102" t="s">
        <v>47</v>
      </c>
      <c r="E102" t="s">
        <v>47</v>
      </c>
      <c r="F102">
        <v>1824</v>
      </c>
      <c r="G102">
        <v>63</v>
      </c>
      <c r="N102" t="s">
        <v>244</v>
      </c>
      <c r="O102" s="9" t="s">
        <v>24</v>
      </c>
      <c r="V102" t="str">
        <v>Kiribati</v>
      </c>
      <c r="W102">
        <v>1824</v>
      </c>
      <c r="X102">
        <v>63</v>
      </c>
      <c r="Y102">
        <v>59000</v>
      </c>
      <c r="Z102">
        <v>89.4</v>
      </c>
      <c r="AE102" s="9" t="s">
        <v>24</v>
      </c>
    </row>
    <row r="103" spans="2:31">
      <c r="B103" t="s">
        <v>245</v>
      </c>
      <c r="C103" t="s">
        <v>244</v>
      </c>
      <c r="D103" t="s">
        <v>20</v>
      </c>
      <c r="E103" t="s">
        <v>48</v>
      </c>
      <c r="F103">
        <v>34644</v>
      </c>
      <c r="G103">
        <v>81</v>
      </c>
      <c r="N103" t="s">
        <v>239</v>
      </c>
      <c r="O103" s="9" t="s">
        <v>24</v>
      </c>
      <c r="V103" t="str">
        <v>Korea (the Republic of)</v>
      </c>
      <c r="W103">
        <v>34644</v>
      </c>
      <c r="X103">
        <v>81</v>
      </c>
      <c r="Y103">
        <v>59000</v>
      </c>
      <c r="Z103">
        <v>89.4</v>
      </c>
      <c r="AE103" s="9" t="s">
        <v>24</v>
      </c>
    </row>
    <row r="104" spans="2:31">
      <c r="B104" t="s">
        <v>246</v>
      </c>
      <c r="C104" t="s">
        <v>247</v>
      </c>
      <c r="D104" t="s">
        <v>20</v>
      </c>
      <c r="E104" t="s">
        <v>69</v>
      </c>
      <c r="F104">
        <v>5212</v>
      </c>
      <c r="G104">
        <v>67.099999999999994</v>
      </c>
      <c r="N104" t="s">
        <v>247</v>
      </c>
      <c r="O104" s="9" t="s">
        <v>24</v>
      </c>
      <c r="V104" t="str">
        <v>Lao People's Democratic Republic (the)</v>
      </c>
      <c r="W104">
        <v>5212</v>
      </c>
      <c r="X104">
        <v>67.099999999999994</v>
      </c>
      <c r="Y104">
        <v>59000</v>
      </c>
      <c r="Z104">
        <v>89.4</v>
      </c>
      <c r="AE104" s="9" t="s">
        <v>24</v>
      </c>
    </row>
    <row r="105" spans="2:31">
      <c r="B105" t="s">
        <v>248</v>
      </c>
      <c r="C105" t="s">
        <v>249</v>
      </c>
      <c r="D105" t="s">
        <v>20</v>
      </c>
      <c r="E105" t="s">
        <v>51</v>
      </c>
      <c r="F105">
        <v>17050</v>
      </c>
      <c r="G105">
        <v>78.900000000000006</v>
      </c>
      <c r="N105" t="s">
        <v>250</v>
      </c>
      <c r="O105" s="9" t="s">
        <v>24</v>
      </c>
      <c r="V105" t="str">
        <v>Lebanon</v>
      </c>
      <c r="W105">
        <v>17050</v>
      </c>
      <c r="X105">
        <v>78.900000000000006</v>
      </c>
      <c r="Y105">
        <v>59000</v>
      </c>
      <c r="Z105">
        <v>89.4</v>
      </c>
      <c r="AE105" s="9" t="s">
        <v>24</v>
      </c>
    </row>
    <row r="106" spans="2:31">
      <c r="B106" t="s">
        <v>251</v>
      </c>
      <c r="C106" t="s">
        <v>252</v>
      </c>
      <c r="D106" t="s">
        <v>22</v>
      </c>
      <c r="E106" t="s">
        <v>73</v>
      </c>
      <c r="F106">
        <v>958</v>
      </c>
      <c r="G106">
        <v>63.2</v>
      </c>
      <c r="N106" t="s">
        <v>249</v>
      </c>
      <c r="O106" s="9" t="s">
        <v>24</v>
      </c>
      <c r="V106" t="str">
        <v>Liberia</v>
      </c>
      <c r="W106">
        <v>958</v>
      </c>
      <c r="X106">
        <v>63.2</v>
      </c>
      <c r="Y106">
        <v>59000</v>
      </c>
      <c r="Z106">
        <v>89.4</v>
      </c>
      <c r="AE106" s="9" t="s">
        <v>24</v>
      </c>
    </row>
    <row r="107" spans="2:31">
      <c r="B107" t="s">
        <v>253</v>
      </c>
      <c r="C107" t="s">
        <v>254</v>
      </c>
      <c r="D107" t="s">
        <v>22</v>
      </c>
      <c r="E107" t="s">
        <v>61</v>
      </c>
      <c r="F107">
        <v>17261</v>
      </c>
      <c r="G107">
        <v>74.099999999999994</v>
      </c>
      <c r="N107" t="s">
        <v>255</v>
      </c>
      <c r="O107" s="9" t="s">
        <v>24</v>
      </c>
      <c r="V107" t="str">
        <v>Libya</v>
      </c>
      <c r="W107">
        <v>17261</v>
      </c>
      <c r="X107">
        <v>74.099999999999994</v>
      </c>
      <c r="Y107">
        <v>59000</v>
      </c>
      <c r="Z107">
        <v>89.4</v>
      </c>
      <c r="AE107" s="9" t="s">
        <v>24</v>
      </c>
    </row>
    <row r="108" spans="2:31">
      <c r="B108" t="s">
        <v>256</v>
      </c>
      <c r="C108" t="s">
        <v>257</v>
      </c>
      <c r="D108" t="s">
        <v>29</v>
      </c>
      <c r="E108" t="s">
        <v>23</v>
      </c>
      <c r="F108">
        <v>9997</v>
      </c>
      <c r="G108">
        <v>74.8</v>
      </c>
      <c r="N108" t="s">
        <v>252</v>
      </c>
      <c r="O108" s="9" t="s">
        <v>24</v>
      </c>
      <c r="V108" t="str">
        <v>Saint Lucia</v>
      </c>
      <c r="W108">
        <v>9997</v>
      </c>
      <c r="X108">
        <v>74.8</v>
      </c>
      <c r="Y108">
        <v>59000</v>
      </c>
      <c r="Z108">
        <v>89.4</v>
      </c>
      <c r="AE108" s="9" t="s">
        <v>24</v>
      </c>
    </row>
    <row r="109" spans="2:31">
      <c r="B109" t="s">
        <v>258</v>
      </c>
      <c r="C109" t="s">
        <v>259</v>
      </c>
      <c r="D109" t="s">
        <v>20</v>
      </c>
      <c r="E109" t="s">
        <v>21</v>
      </c>
      <c r="F109">
        <v>10624</v>
      </c>
      <c r="G109">
        <v>77.599999999999994</v>
      </c>
      <c r="N109" t="s">
        <v>254</v>
      </c>
      <c r="O109" s="9" t="s">
        <v>24</v>
      </c>
      <c r="V109" t="str">
        <v>Sri Lanka</v>
      </c>
      <c r="W109">
        <v>10624</v>
      </c>
      <c r="X109">
        <v>77.599999999999994</v>
      </c>
      <c r="Y109">
        <v>59000</v>
      </c>
      <c r="Z109">
        <v>89.4</v>
      </c>
      <c r="AE109" s="9" t="s">
        <v>24</v>
      </c>
    </row>
    <row r="110" spans="2:31">
      <c r="B110" t="s">
        <v>260</v>
      </c>
      <c r="C110" t="s">
        <v>255</v>
      </c>
      <c r="D110" t="s">
        <v>22</v>
      </c>
      <c r="E110" t="s">
        <v>74</v>
      </c>
      <c r="F110">
        <v>2598</v>
      </c>
      <c r="G110">
        <v>47.1</v>
      </c>
      <c r="N110" t="s">
        <v>261</v>
      </c>
      <c r="O110" s="9" t="s">
        <v>24</v>
      </c>
      <c r="V110" t="str">
        <v>Lesotho</v>
      </c>
      <c r="W110">
        <v>2598</v>
      </c>
      <c r="X110">
        <v>47.1</v>
      </c>
      <c r="Y110">
        <v>59000</v>
      </c>
      <c r="Z110">
        <v>89.4</v>
      </c>
      <c r="AE110" s="9" t="s">
        <v>24</v>
      </c>
    </row>
    <row r="111" spans="2:31">
      <c r="B111" t="s">
        <v>262</v>
      </c>
      <c r="C111" t="s">
        <v>261</v>
      </c>
      <c r="D111" t="s">
        <v>34</v>
      </c>
      <c r="E111" t="s">
        <v>35</v>
      </c>
      <c r="F111">
        <v>26665</v>
      </c>
      <c r="G111">
        <v>75.2</v>
      </c>
      <c r="N111" t="s">
        <v>263</v>
      </c>
      <c r="O111" s="9" t="s">
        <v>24</v>
      </c>
      <c r="V111" t="str">
        <v>Lithuania</v>
      </c>
      <c r="W111">
        <v>26665</v>
      </c>
      <c r="X111">
        <v>75.2</v>
      </c>
      <c r="Y111">
        <v>59000</v>
      </c>
      <c r="Z111">
        <v>89.4</v>
      </c>
      <c r="AE111" s="9" t="s">
        <v>24</v>
      </c>
    </row>
    <row r="112" spans="2:31">
      <c r="B112" t="s">
        <v>264</v>
      </c>
      <c r="C112" t="s">
        <v>250</v>
      </c>
      <c r="D112" t="s">
        <v>34</v>
      </c>
      <c r="E112" t="s">
        <v>35</v>
      </c>
      <c r="F112">
        <v>23282</v>
      </c>
      <c r="G112">
        <v>75.400000000000006</v>
      </c>
      <c r="N112" t="s">
        <v>265</v>
      </c>
      <c r="O112" s="9" t="s">
        <v>24</v>
      </c>
      <c r="V112" t="str">
        <v>Latvia</v>
      </c>
      <c r="W112">
        <v>23282</v>
      </c>
      <c r="X112">
        <v>75.400000000000006</v>
      </c>
      <c r="Y112">
        <v>59000</v>
      </c>
      <c r="Z112">
        <v>89.4</v>
      </c>
      <c r="AE112" s="9" t="s">
        <v>24</v>
      </c>
    </row>
    <row r="113" spans="2:31">
      <c r="B113" t="s">
        <v>266</v>
      </c>
      <c r="C113" t="s">
        <v>267</v>
      </c>
      <c r="D113" t="s">
        <v>22</v>
      </c>
      <c r="E113" t="s">
        <v>61</v>
      </c>
      <c r="F113">
        <v>7319</v>
      </c>
      <c r="G113">
        <v>74.599999999999994</v>
      </c>
      <c r="N113" t="s">
        <v>268</v>
      </c>
      <c r="O113" s="9" t="s">
        <v>24</v>
      </c>
      <c r="V113" t="str">
        <v>Morocco</v>
      </c>
      <c r="W113">
        <v>7319</v>
      </c>
      <c r="X113">
        <v>74.599999999999994</v>
      </c>
      <c r="Y113">
        <v>59000</v>
      </c>
      <c r="Z113">
        <v>89.4</v>
      </c>
      <c r="AE113" s="9" t="s">
        <v>24</v>
      </c>
    </row>
    <row r="114" spans="2:31">
      <c r="B114" t="s">
        <v>269</v>
      </c>
      <c r="C114" t="s">
        <v>270</v>
      </c>
      <c r="D114" t="s">
        <v>34</v>
      </c>
      <c r="E114" t="s">
        <v>35</v>
      </c>
      <c r="F114">
        <v>4896</v>
      </c>
      <c r="G114">
        <v>73.900000000000006</v>
      </c>
      <c r="N114" t="s">
        <v>271</v>
      </c>
      <c r="O114" s="9" t="s">
        <v>24</v>
      </c>
      <c r="V114" t="str">
        <v>Moldova (the Republic of)</v>
      </c>
      <c r="W114">
        <v>4896</v>
      </c>
      <c r="X114">
        <v>73.900000000000006</v>
      </c>
      <c r="Y114">
        <v>59000</v>
      </c>
      <c r="Z114">
        <v>89.4</v>
      </c>
      <c r="AE114" s="9" t="s">
        <v>24</v>
      </c>
    </row>
    <row r="115" spans="2:31">
      <c r="B115" t="s">
        <v>272</v>
      </c>
      <c r="C115" t="s">
        <v>263</v>
      </c>
      <c r="D115" t="s">
        <v>22</v>
      </c>
      <c r="E115" t="s">
        <v>42</v>
      </c>
      <c r="F115">
        <v>1400</v>
      </c>
      <c r="G115">
        <v>63.5</v>
      </c>
      <c r="N115" t="s">
        <v>273</v>
      </c>
      <c r="O115" s="9" t="s">
        <v>24</v>
      </c>
      <c r="V115" t="str">
        <v>Madagascar</v>
      </c>
      <c r="W115">
        <v>1400</v>
      </c>
      <c r="X115">
        <v>63.5</v>
      </c>
      <c r="Y115">
        <v>59000</v>
      </c>
      <c r="Z115">
        <v>89.4</v>
      </c>
      <c r="AE115" s="9" t="s">
        <v>24</v>
      </c>
    </row>
    <row r="116" spans="2:31">
      <c r="B116" t="s">
        <v>274</v>
      </c>
      <c r="C116" t="s">
        <v>271</v>
      </c>
      <c r="D116" t="s">
        <v>20</v>
      </c>
      <c r="E116" t="s">
        <v>21</v>
      </c>
      <c r="F116">
        <v>14408</v>
      </c>
      <c r="G116">
        <v>80</v>
      </c>
      <c r="N116" t="s">
        <v>275</v>
      </c>
      <c r="O116" s="9" t="s">
        <v>24</v>
      </c>
      <c r="V116" t="str">
        <v>Maldives</v>
      </c>
      <c r="W116">
        <v>14408</v>
      </c>
      <c r="X116">
        <v>80</v>
      </c>
      <c r="Y116">
        <v>59000</v>
      </c>
      <c r="Z116">
        <v>89.4</v>
      </c>
      <c r="AE116" s="9" t="s">
        <v>24</v>
      </c>
    </row>
    <row r="117" spans="2:31">
      <c r="B117" t="s">
        <v>276</v>
      </c>
      <c r="C117" t="s">
        <v>277</v>
      </c>
      <c r="D117" t="s">
        <v>29</v>
      </c>
      <c r="E117" t="s">
        <v>30</v>
      </c>
      <c r="F117">
        <v>16850</v>
      </c>
      <c r="G117">
        <v>75.900000000000006</v>
      </c>
      <c r="N117" t="s">
        <v>278</v>
      </c>
      <c r="O117" s="9" t="s">
        <v>24</v>
      </c>
      <c r="V117" t="str">
        <v>Mexico</v>
      </c>
      <c r="W117">
        <v>16850</v>
      </c>
      <c r="X117">
        <v>75.900000000000006</v>
      </c>
      <c r="Y117">
        <v>59000</v>
      </c>
      <c r="Z117">
        <v>89.4</v>
      </c>
      <c r="AE117" s="9" t="s">
        <v>24</v>
      </c>
    </row>
    <row r="118" spans="2:31">
      <c r="B118" t="s">
        <v>279</v>
      </c>
      <c r="C118" t="s">
        <v>278</v>
      </c>
      <c r="D118" t="s">
        <v>47</v>
      </c>
      <c r="E118" t="s">
        <v>47</v>
      </c>
      <c r="F118">
        <v>3661</v>
      </c>
      <c r="G118">
        <v>66.900000000000006</v>
      </c>
      <c r="N118" t="s">
        <v>280</v>
      </c>
      <c r="O118" s="9" t="s">
        <v>24</v>
      </c>
      <c r="V118" t="str">
        <v>Marshall Islands (the)</v>
      </c>
      <c r="W118">
        <v>3661</v>
      </c>
      <c r="X118">
        <v>66.900000000000006</v>
      </c>
      <c r="Y118">
        <v>59000</v>
      </c>
      <c r="Z118">
        <v>89.4</v>
      </c>
      <c r="AE118" s="9" t="s">
        <v>24</v>
      </c>
    </row>
    <row r="119" spans="2:31">
      <c r="B119" t="s">
        <v>281</v>
      </c>
      <c r="C119" t="s">
        <v>282</v>
      </c>
      <c r="D119" t="s">
        <v>34</v>
      </c>
      <c r="E119" t="s">
        <v>35</v>
      </c>
      <c r="F119">
        <v>12547</v>
      </c>
      <c r="G119">
        <v>76.5</v>
      </c>
      <c r="N119" t="s">
        <v>283</v>
      </c>
      <c r="O119" s="9" t="s">
        <v>24</v>
      </c>
      <c r="V119" t="str">
        <v>Republic of North Macedonia</v>
      </c>
      <c r="W119">
        <v>12547</v>
      </c>
      <c r="X119">
        <v>76.5</v>
      </c>
      <c r="Y119">
        <v>59000</v>
      </c>
      <c r="Z119">
        <v>89.4</v>
      </c>
      <c r="AE119" s="9" t="s">
        <v>24</v>
      </c>
    </row>
    <row r="120" spans="2:31">
      <c r="B120" t="s">
        <v>284</v>
      </c>
      <c r="C120" t="s">
        <v>273</v>
      </c>
      <c r="D120" t="s">
        <v>22</v>
      </c>
      <c r="E120" t="s">
        <v>73</v>
      </c>
      <c r="F120">
        <v>1684</v>
      </c>
      <c r="G120">
        <v>60.2</v>
      </c>
      <c r="N120" t="s">
        <v>277</v>
      </c>
      <c r="O120" s="9" t="s">
        <v>24</v>
      </c>
      <c r="V120" t="str">
        <v>Mali</v>
      </c>
      <c r="W120">
        <v>1684</v>
      </c>
      <c r="X120">
        <v>60.2</v>
      </c>
      <c r="Y120">
        <v>59000</v>
      </c>
      <c r="Z120">
        <v>89.4</v>
      </c>
      <c r="AE120" s="9" t="s">
        <v>24</v>
      </c>
    </row>
    <row r="121" spans="2:31">
      <c r="B121" t="s">
        <v>285</v>
      </c>
      <c r="C121" t="s">
        <v>275</v>
      </c>
      <c r="D121" t="s">
        <v>34</v>
      </c>
      <c r="E121" t="s">
        <v>41</v>
      </c>
      <c r="F121">
        <v>30265</v>
      </c>
      <c r="G121">
        <v>82.1</v>
      </c>
      <c r="N121" t="s">
        <v>179</v>
      </c>
      <c r="O121" s="9" t="s">
        <v>24</v>
      </c>
      <c r="V121" t="str">
        <v>Malta</v>
      </c>
      <c r="W121">
        <v>30265</v>
      </c>
      <c r="X121">
        <v>82.1</v>
      </c>
      <c r="Y121">
        <v>59000</v>
      </c>
      <c r="Z121">
        <v>89.4</v>
      </c>
      <c r="AE121" s="9" t="s">
        <v>24</v>
      </c>
    </row>
    <row r="122" spans="2:31">
      <c r="B122" t="s">
        <v>286</v>
      </c>
      <c r="C122" t="s">
        <v>287</v>
      </c>
      <c r="D122" t="s">
        <v>20</v>
      </c>
      <c r="E122" t="s">
        <v>69</v>
      </c>
      <c r="F122">
        <v>4012</v>
      </c>
      <c r="G122">
        <v>68</v>
      </c>
      <c r="N122" t="s">
        <v>270</v>
      </c>
      <c r="O122" s="9" t="s">
        <v>24</v>
      </c>
      <c r="V122" t="str">
        <v>Myanmar</v>
      </c>
      <c r="W122">
        <v>4012</v>
      </c>
      <c r="X122">
        <v>68</v>
      </c>
      <c r="Y122">
        <v>59000</v>
      </c>
      <c r="Z122">
        <v>89.4</v>
      </c>
      <c r="AE122" s="9" t="s">
        <v>24</v>
      </c>
    </row>
    <row r="123" spans="2:31">
      <c r="B123" t="s">
        <v>288</v>
      </c>
      <c r="C123" t="s">
        <v>289</v>
      </c>
      <c r="D123" t="s">
        <v>34</v>
      </c>
      <c r="E123" t="s">
        <v>35</v>
      </c>
      <c r="F123">
        <v>14833</v>
      </c>
      <c r="G123">
        <v>77.2</v>
      </c>
      <c r="N123" t="s">
        <v>290</v>
      </c>
      <c r="O123" s="9" t="s">
        <v>24</v>
      </c>
      <c r="V123" t="str">
        <v>Montenegro</v>
      </c>
      <c r="W123">
        <v>14833</v>
      </c>
      <c r="X123">
        <v>77.2</v>
      </c>
      <c r="Y123">
        <v>59000</v>
      </c>
      <c r="Z123">
        <v>89.4</v>
      </c>
      <c r="AE123" s="9" t="s">
        <v>24</v>
      </c>
    </row>
    <row r="124" spans="2:31">
      <c r="B124" t="s">
        <v>291</v>
      </c>
      <c r="C124" t="s">
        <v>290</v>
      </c>
      <c r="D124" t="s">
        <v>20</v>
      </c>
      <c r="E124" t="s">
        <v>48</v>
      </c>
      <c r="F124">
        <v>11819</v>
      </c>
      <c r="G124">
        <v>67.099999999999994</v>
      </c>
      <c r="N124" t="s">
        <v>289</v>
      </c>
      <c r="O124" s="9" t="s">
        <v>24</v>
      </c>
      <c r="V124" t="str">
        <v>Mongolia</v>
      </c>
      <c r="W124">
        <v>11819</v>
      </c>
      <c r="X124">
        <v>67.099999999999994</v>
      </c>
      <c r="Y124">
        <v>59000</v>
      </c>
      <c r="Z124">
        <v>89.4</v>
      </c>
      <c r="AE124" s="9" t="s">
        <v>24</v>
      </c>
    </row>
    <row r="125" spans="2:31">
      <c r="B125" t="s">
        <v>292</v>
      </c>
      <c r="C125" t="s">
        <v>293</v>
      </c>
      <c r="D125" t="s">
        <v>22</v>
      </c>
      <c r="E125" t="s">
        <v>42</v>
      </c>
      <c r="F125">
        <v>1176</v>
      </c>
      <c r="G125">
        <v>57.1</v>
      </c>
      <c r="N125" t="s">
        <v>267</v>
      </c>
      <c r="O125" s="9" t="s">
        <v>24</v>
      </c>
      <c r="V125" t="str">
        <v>Mozambique</v>
      </c>
      <c r="W125">
        <v>1176</v>
      </c>
      <c r="X125">
        <v>57.1</v>
      </c>
      <c r="Y125">
        <v>59000</v>
      </c>
      <c r="Z125">
        <v>89.4</v>
      </c>
      <c r="AE125" s="9" t="s">
        <v>24</v>
      </c>
    </row>
    <row r="126" spans="2:31">
      <c r="B126" t="s">
        <v>294</v>
      </c>
      <c r="C126" t="s">
        <v>280</v>
      </c>
      <c r="D126" t="s">
        <v>22</v>
      </c>
      <c r="E126" t="s">
        <v>73</v>
      </c>
      <c r="F126">
        <v>3877</v>
      </c>
      <c r="G126">
        <v>69.7</v>
      </c>
      <c r="N126" t="s">
        <v>293</v>
      </c>
      <c r="O126" s="9" t="s">
        <v>24</v>
      </c>
      <c r="V126" t="str">
        <v>Mauritania</v>
      </c>
      <c r="W126">
        <v>3877</v>
      </c>
      <c r="X126">
        <v>69.7</v>
      </c>
      <c r="Y126">
        <v>59000</v>
      </c>
      <c r="Z126">
        <v>89.4</v>
      </c>
      <c r="AE126" s="9" t="s">
        <v>24</v>
      </c>
    </row>
    <row r="127" spans="2:31">
      <c r="B127" t="s">
        <v>295</v>
      </c>
      <c r="C127" t="s">
        <v>283</v>
      </c>
      <c r="D127" t="s">
        <v>22</v>
      </c>
      <c r="E127" t="s">
        <v>42</v>
      </c>
      <c r="F127">
        <v>18350</v>
      </c>
      <c r="G127">
        <v>74.5</v>
      </c>
      <c r="N127" t="s">
        <v>287</v>
      </c>
      <c r="O127" s="9" t="s">
        <v>24</v>
      </c>
      <c r="V127" t="str">
        <v>Mauritius</v>
      </c>
      <c r="W127">
        <v>18350</v>
      </c>
      <c r="X127">
        <v>74.5</v>
      </c>
      <c r="Y127">
        <v>59000</v>
      </c>
      <c r="Z127">
        <v>89.4</v>
      </c>
      <c r="AE127" s="9" t="s">
        <v>24</v>
      </c>
    </row>
    <row r="128" spans="2:31">
      <c r="B128" t="s">
        <v>296</v>
      </c>
      <c r="C128" t="s">
        <v>265</v>
      </c>
      <c r="D128" t="s">
        <v>22</v>
      </c>
      <c r="E128" t="s">
        <v>42</v>
      </c>
      <c r="F128">
        <v>799</v>
      </c>
      <c r="G128">
        <v>60.5</v>
      </c>
      <c r="N128" t="s">
        <v>297</v>
      </c>
      <c r="O128" s="9" t="s">
        <v>24</v>
      </c>
      <c r="V128" t="str">
        <v>Malawi</v>
      </c>
      <c r="W128">
        <v>799</v>
      </c>
      <c r="X128">
        <v>60.5</v>
      </c>
      <c r="Y128">
        <v>59000</v>
      </c>
      <c r="Z128">
        <v>89.4</v>
      </c>
      <c r="AE128" s="9" t="s">
        <v>24</v>
      </c>
    </row>
    <row r="129" spans="2:31">
      <c r="B129" t="s">
        <v>298</v>
      </c>
      <c r="C129" t="s">
        <v>268</v>
      </c>
      <c r="D129" t="s">
        <v>20</v>
      </c>
      <c r="E129" t="s">
        <v>69</v>
      </c>
      <c r="F129">
        <v>24320</v>
      </c>
      <c r="G129">
        <v>75.3</v>
      </c>
      <c r="N129" t="s">
        <v>299</v>
      </c>
      <c r="O129" s="9" t="s">
        <v>24</v>
      </c>
      <c r="V129" t="str">
        <v>Malaysia</v>
      </c>
      <c r="W129">
        <v>24320</v>
      </c>
      <c r="X129">
        <v>75.3</v>
      </c>
      <c r="Y129">
        <v>59000</v>
      </c>
      <c r="Z129">
        <v>89.4</v>
      </c>
      <c r="AE129" s="9" t="s">
        <v>24</v>
      </c>
    </row>
    <row r="130" spans="2:31">
      <c r="B130" t="s">
        <v>300</v>
      </c>
      <c r="C130" t="s">
        <v>297</v>
      </c>
      <c r="D130" t="s">
        <v>22</v>
      </c>
      <c r="E130" t="s">
        <v>74</v>
      </c>
      <c r="F130">
        <v>10040</v>
      </c>
      <c r="G130">
        <v>64.2</v>
      </c>
      <c r="N130" t="s">
        <v>301</v>
      </c>
      <c r="O130" s="9" t="s">
        <v>24</v>
      </c>
      <c r="V130" t="str">
        <v>Namibia</v>
      </c>
      <c r="W130">
        <v>10040</v>
      </c>
      <c r="X130">
        <v>64.2</v>
      </c>
      <c r="Y130">
        <v>59000</v>
      </c>
      <c r="Z130">
        <v>89.4</v>
      </c>
      <c r="AE130" s="9" t="s">
        <v>24</v>
      </c>
    </row>
    <row r="131" spans="2:31">
      <c r="B131" t="s">
        <v>302</v>
      </c>
      <c r="C131" t="s">
        <v>303</v>
      </c>
      <c r="D131" t="s">
        <v>22</v>
      </c>
      <c r="E131" t="s">
        <v>73</v>
      </c>
      <c r="F131">
        <v>943</v>
      </c>
      <c r="G131">
        <v>61</v>
      </c>
      <c r="N131" t="s">
        <v>304</v>
      </c>
      <c r="O131" s="9" t="s">
        <v>24</v>
      </c>
      <c r="V131" t="str">
        <v>Niger (the)</v>
      </c>
      <c r="W131">
        <v>943</v>
      </c>
      <c r="X131">
        <v>61</v>
      </c>
      <c r="Y131">
        <v>59000</v>
      </c>
      <c r="Z131">
        <v>89.4</v>
      </c>
      <c r="AE131" s="9" t="s">
        <v>24</v>
      </c>
    </row>
    <row r="132" spans="2:31">
      <c r="B132" t="s">
        <v>305</v>
      </c>
      <c r="C132" t="s">
        <v>306</v>
      </c>
      <c r="D132" t="s">
        <v>22</v>
      </c>
      <c r="E132" t="s">
        <v>73</v>
      </c>
      <c r="F132">
        <v>5727</v>
      </c>
      <c r="G132">
        <v>64.599999999999994</v>
      </c>
      <c r="N132" t="s">
        <v>307</v>
      </c>
      <c r="O132" s="9" t="s">
        <v>24</v>
      </c>
      <c r="V132" t="str">
        <v>Nigeria</v>
      </c>
      <c r="W132">
        <v>5727</v>
      </c>
      <c r="X132">
        <v>64.599999999999994</v>
      </c>
      <c r="Y132">
        <v>59000</v>
      </c>
      <c r="Z132">
        <v>89.4</v>
      </c>
      <c r="AE132" s="9" t="s">
        <v>24</v>
      </c>
    </row>
    <row r="133" spans="2:31">
      <c r="B133" t="s">
        <v>308</v>
      </c>
      <c r="C133" t="s">
        <v>307</v>
      </c>
      <c r="D133" t="s">
        <v>29</v>
      </c>
      <c r="E133" t="s">
        <v>30</v>
      </c>
      <c r="F133">
        <v>4712</v>
      </c>
      <c r="G133">
        <v>78</v>
      </c>
      <c r="N133" t="s">
        <v>303</v>
      </c>
      <c r="O133" s="9" t="s">
        <v>24</v>
      </c>
      <c r="V133" t="str">
        <v>Nicaragua</v>
      </c>
      <c r="W133">
        <v>4712</v>
      </c>
      <c r="X133">
        <v>78</v>
      </c>
      <c r="Y133">
        <v>59000</v>
      </c>
      <c r="Z133">
        <v>89.4</v>
      </c>
      <c r="AE133" s="9" t="s">
        <v>24</v>
      </c>
    </row>
    <row r="134" spans="2:31">
      <c r="B134" t="s">
        <v>309</v>
      </c>
      <c r="C134" t="s">
        <v>301</v>
      </c>
      <c r="D134" t="s">
        <v>34</v>
      </c>
      <c r="E134" t="s">
        <v>41</v>
      </c>
      <c r="F134">
        <v>45784</v>
      </c>
      <c r="G134">
        <v>81.3</v>
      </c>
      <c r="N134" t="s">
        <v>306</v>
      </c>
      <c r="O134" s="9" t="s">
        <v>24</v>
      </c>
      <c r="V134" t="str">
        <v>Netherlands (the)</v>
      </c>
      <c r="W134">
        <v>45784</v>
      </c>
      <c r="X134">
        <v>81.3</v>
      </c>
      <c r="Y134">
        <v>59000</v>
      </c>
      <c r="Z134">
        <v>89.4</v>
      </c>
      <c r="AE134" s="9" t="s">
        <v>24</v>
      </c>
    </row>
    <row r="135" spans="2:31">
      <c r="B135" t="s">
        <v>310</v>
      </c>
      <c r="C135" t="s">
        <v>299</v>
      </c>
      <c r="D135" t="s">
        <v>20</v>
      </c>
      <c r="E135" t="s">
        <v>21</v>
      </c>
      <c r="F135">
        <v>2352</v>
      </c>
      <c r="G135">
        <v>69.7</v>
      </c>
      <c r="N135" t="s">
        <v>311</v>
      </c>
      <c r="O135" s="9" t="s">
        <v>24</v>
      </c>
      <c r="V135" t="str">
        <v>Nepal</v>
      </c>
      <c r="W135">
        <v>2352</v>
      </c>
      <c r="X135">
        <v>69.7</v>
      </c>
      <c r="Y135">
        <v>59000</v>
      </c>
      <c r="Z135">
        <v>89.4</v>
      </c>
      <c r="AE135" s="9" t="s">
        <v>24</v>
      </c>
    </row>
    <row r="136" spans="2:31">
      <c r="B136" t="s">
        <v>312</v>
      </c>
      <c r="C136" t="s">
        <v>304</v>
      </c>
      <c r="D136" t="s">
        <v>47</v>
      </c>
      <c r="E136" t="s">
        <v>47</v>
      </c>
      <c r="F136">
        <v>34186</v>
      </c>
      <c r="G136">
        <v>81.400000000000006</v>
      </c>
      <c r="N136" t="s">
        <v>313</v>
      </c>
      <c r="O136" s="9" t="s">
        <v>24</v>
      </c>
      <c r="V136" t="str">
        <v>New Zealand</v>
      </c>
      <c r="W136">
        <v>34186</v>
      </c>
      <c r="X136">
        <v>81.400000000000006</v>
      </c>
      <c r="Y136">
        <v>59000</v>
      </c>
      <c r="Z136">
        <v>89.4</v>
      </c>
      <c r="AE136" s="9" t="s">
        <v>24</v>
      </c>
    </row>
    <row r="137" spans="2:31">
      <c r="B137" t="s">
        <v>314</v>
      </c>
      <c r="C137" t="s">
        <v>311</v>
      </c>
      <c r="D137" t="s">
        <v>20</v>
      </c>
      <c r="E137" t="s">
        <v>51</v>
      </c>
      <c r="F137">
        <v>48226</v>
      </c>
      <c r="G137">
        <v>77.2</v>
      </c>
      <c r="N137" t="s">
        <v>315</v>
      </c>
      <c r="O137" s="9" t="s">
        <v>24</v>
      </c>
      <c r="V137" t="str">
        <v>Oman</v>
      </c>
      <c r="W137">
        <v>48226</v>
      </c>
      <c r="X137">
        <v>77.2</v>
      </c>
      <c r="Y137">
        <v>59000</v>
      </c>
      <c r="Z137">
        <v>89.4</v>
      </c>
      <c r="AE137" s="9" t="s">
        <v>24</v>
      </c>
    </row>
    <row r="138" spans="2:31">
      <c r="B138" t="s">
        <v>316</v>
      </c>
      <c r="C138" t="s">
        <v>313</v>
      </c>
      <c r="D138" t="s">
        <v>20</v>
      </c>
      <c r="E138" t="s">
        <v>21</v>
      </c>
      <c r="F138">
        <v>4743</v>
      </c>
      <c r="G138">
        <v>65.900000000000006</v>
      </c>
      <c r="N138" t="s">
        <v>317</v>
      </c>
      <c r="O138" s="9" t="s">
        <v>24</v>
      </c>
      <c r="V138" t="str">
        <v>Pakistan</v>
      </c>
      <c r="W138">
        <v>4743</v>
      </c>
      <c r="X138">
        <v>65.900000000000006</v>
      </c>
      <c r="Y138">
        <v>59000</v>
      </c>
      <c r="Z138">
        <v>89.4</v>
      </c>
      <c r="AE138" s="9" t="s">
        <v>24</v>
      </c>
    </row>
    <row r="139" spans="2:31">
      <c r="B139" t="s">
        <v>318</v>
      </c>
      <c r="C139" t="s">
        <v>315</v>
      </c>
      <c r="D139" t="s">
        <v>29</v>
      </c>
      <c r="E139" t="s">
        <v>30</v>
      </c>
      <c r="F139">
        <v>20485</v>
      </c>
      <c r="G139">
        <v>78.2</v>
      </c>
      <c r="N139" t="s">
        <v>319</v>
      </c>
      <c r="O139" s="9" t="s">
        <v>24</v>
      </c>
      <c r="V139" t="str">
        <v>Panama</v>
      </c>
      <c r="W139">
        <v>20485</v>
      </c>
      <c r="X139">
        <v>78.2</v>
      </c>
      <c r="Y139">
        <v>59000</v>
      </c>
      <c r="Z139">
        <v>89.4</v>
      </c>
      <c r="AE139" s="9" t="s">
        <v>24</v>
      </c>
    </row>
    <row r="140" spans="2:31">
      <c r="B140" t="s">
        <v>320</v>
      </c>
      <c r="C140" t="s">
        <v>321</v>
      </c>
      <c r="D140" t="s">
        <v>29</v>
      </c>
      <c r="E140" t="s">
        <v>46</v>
      </c>
      <c r="F140">
        <v>11903</v>
      </c>
      <c r="G140">
        <v>79.5</v>
      </c>
      <c r="N140" t="s">
        <v>321</v>
      </c>
      <c r="O140" s="9" t="s">
        <v>24</v>
      </c>
      <c r="V140" t="str">
        <v>Peru</v>
      </c>
      <c r="W140">
        <v>11903</v>
      </c>
      <c r="X140">
        <v>79.5</v>
      </c>
      <c r="Y140">
        <v>59000</v>
      </c>
      <c r="Z140">
        <v>89.4</v>
      </c>
      <c r="AE140" s="9" t="s">
        <v>24</v>
      </c>
    </row>
    <row r="141" spans="2:31">
      <c r="B141" t="s">
        <v>322</v>
      </c>
      <c r="C141" t="s">
        <v>323</v>
      </c>
      <c r="D141" t="s">
        <v>20</v>
      </c>
      <c r="E141" t="s">
        <v>69</v>
      </c>
      <c r="F141">
        <v>6876</v>
      </c>
      <c r="G141">
        <v>71</v>
      </c>
      <c r="N141" t="s">
        <v>323</v>
      </c>
      <c r="O141" s="9" t="s">
        <v>24</v>
      </c>
      <c r="V141" t="str">
        <v>Philippines (the)</v>
      </c>
      <c r="W141">
        <v>6876</v>
      </c>
      <c r="X141">
        <v>71</v>
      </c>
      <c r="Y141">
        <v>59000</v>
      </c>
      <c r="Z141">
        <v>89.4</v>
      </c>
      <c r="AE141" s="9" t="s">
        <v>24</v>
      </c>
    </row>
    <row r="142" spans="2:31">
      <c r="B142" t="s">
        <v>324</v>
      </c>
      <c r="C142" t="s">
        <v>317</v>
      </c>
      <c r="D142" t="s">
        <v>47</v>
      </c>
      <c r="E142" t="s">
        <v>47</v>
      </c>
      <c r="F142">
        <v>2529</v>
      </c>
      <c r="G142">
        <v>60.9</v>
      </c>
      <c r="N142" t="s">
        <v>325</v>
      </c>
      <c r="O142" s="9" t="s">
        <v>24</v>
      </c>
      <c r="V142" t="str">
        <v>Papua New Guinea</v>
      </c>
      <c r="W142">
        <v>2529</v>
      </c>
      <c r="X142">
        <v>60.9</v>
      </c>
      <c r="Y142">
        <v>59000</v>
      </c>
      <c r="Z142">
        <v>89.4</v>
      </c>
      <c r="AE142" s="9" t="s">
        <v>24</v>
      </c>
    </row>
    <row r="143" spans="2:31">
      <c r="B143" t="s">
        <v>326</v>
      </c>
      <c r="C143" t="s">
        <v>325</v>
      </c>
      <c r="D143" t="s">
        <v>34</v>
      </c>
      <c r="E143" t="s">
        <v>35</v>
      </c>
      <c r="F143">
        <v>24787</v>
      </c>
      <c r="G143">
        <v>77.599999999999994</v>
      </c>
      <c r="N143" t="s">
        <v>327</v>
      </c>
      <c r="O143" s="9" t="s">
        <v>24</v>
      </c>
      <c r="V143" t="str">
        <v>Poland</v>
      </c>
      <c r="W143">
        <v>24787</v>
      </c>
      <c r="X143">
        <v>77.599999999999994</v>
      </c>
      <c r="Y143">
        <v>59000</v>
      </c>
      <c r="Z143">
        <v>89.4</v>
      </c>
      <c r="AE143" s="9" t="s">
        <v>24</v>
      </c>
    </row>
    <row r="144" spans="2:31">
      <c r="B144" t="s">
        <v>328</v>
      </c>
      <c r="C144" t="s">
        <v>242</v>
      </c>
      <c r="D144" t="s">
        <v>20</v>
      </c>
      <c r="E144" t="s">
        <v>48</v>
      </c>
      <c r="F144">
        <v>1390</v>
      </c>
      <c r="G144">
        <v>72.099999999999994</v>
      </c>
      <c r="N144" t="s">
        <v>282</v>
      </c>
      <c r="O144" s="9" t="s">
        <v>24</v>
      </c>
      <c r="V144" t="str">
        <v>Korea (the Democratic People's Republic of)</v>
      </c>
      <c r="W144">
        <v>1390</v>
      </c>
      <c r="X144">
        <v>72.099999999999994</v>
      </c>
      <c r="Y144">
        <v>59000</v>
      </c>
      <c r="Z144">
        <v>89.4</v>
      </c>
      <c r="AE144" s="9" t="s">
        <v>24</v>
      </c>
    </row>
    <row r="145" spans="2:31">
      <c r="B145" t="s">
        <v>329</v>
      </c>
      <c r="C145" t="s">
        <v>327</v>
      </c>
      <c r="D145" t="s">
        <v>34</v>
      </c>
      <c r="E145" t="s">
        <v>41</v>
      </c>
      <c r="F145">
        <v>26437</v>
      </c>
      <c r="G145">
        <v>80.8</v>
      </c>
      <c r="N145" t="s">
        <v>330</v>
      </c>
      <c r="O145" s="9" t="s">
        <v>24</v>
      </c>
      <c r="V145" t="str">
        <v>Portugal</v>
      </c>
      <c r="W145">
        <v>26437</v>
      </c>
      <c r="X145">
        <v>80.8</v>
      </c>
      <c r="Y145">
        <v>59000</v>
      </c>
      <c r="Z145">
        <v>89.4</v>
      </c>
      <c r="AE145" s="9" t="s">
        <v>24</v>
      </c>
    </row>
    <row r="146" spans="2:31">
      <c r="B146" t="s">
        <v>331</v>
      </c>
      <c r="C146" t="s">
        <v>319</v>
      </c>
      <c r="D146" t="s">
        <v>29</v>
      </c>
      <c r="E146" t="s">
        <v>46</v>
      </c>
      <c r="F146">
        <v>8219</v>
      </c>
      <c r="G146">
        <v>74.400000000000006</v>
      </c>
      <c r="N146" t="s">
        <v>332</v>
      </c>
      <c r="O146" s="9" t="s">
        <v>24</v>
      </c>
      <c r="V146" t="str">
        <v>Paraguay</v>
      </c>
      <c r="W146">
        <v>8219</v>
      </c>
      <c r="X146">
        <v>74.400000000000006</v>
      </c>
      <c r="Y146">
        <v>59000</v>
      </c>
      <c r="Z146">
        <v>89.4</v>
      </c>
      <c r="AE146" s="9" t="s">
        <v>24</v>
      </c>
    </row>
    <row r="147" spans="2:31">
      <c r="B147" t="s">
        <v>333</v>
      </c>
      <c r="C147" t="s">
        <v>330</v>
      </c>
      <c r="D147" t="s">
        <v>34</v>
      </c>
      <c r="E147" t="s">
        <v>35</v>
      </c>
      <c r="F147">
        <v>19203</v>
      </c>
      <c r="G147">
        <v>75.2</v>
      </c>
      <c r="N147" t="s">
        <v>334</v>
      </c>
      <c r="O147" s="9" t="s">
        <v>24</v>
      </c>
      <c r="V147" t="str">
        <v>Romania</v>
      </c>
      <c r="W147">
        <v>19203</v>
      </c>
      <c r="X147">
        <v>75.2</v>
      </c>
      <c r="Y147">
        <v>59000</v>
      </c>
      <c r="Z147">
        <v>89.4</v>
      </c>
      <c r="AE147" s="9" t="s">
        <v>24</v>
      </c>
    </row>
    <row r="148" spans="2:31">
      <c r="B148" t="s">
        <v>335</v>
      </c>
      <c r="C148" t="s">
        <v>332</v>
      </c>
      <c r="D148" t="s">
        <v>34</v>
      </c>
      <c r="E148" t="s">
        <v>35</v>
      </c>
      <c r="F148">
        <v>23038</v>
      </c>
      <c r="G148">
        <v>71</v>
      </c>
      <c r="N148" t="s">
        <v>257</v>
      </c>
      <c r="O148" s="9" t="s">
        <v>24</v>
      </c>
      <c r="V148" t="str">
        <v>Russian Federation (the)</v>
      </c>
      <c r="W148">
        <v>23038</v>
      </c>
      <c r="X148">
        <v>71</v>
      </c>
      <c r="Y148">
        <v>59000</v>
      </c>
      <c r="Z148">
        <v>89.4</v>
      </c>
      <c r="AE148" s="9" t="s">
        <v>24</v>
      </c>
    </row>
    <row r="149" spans="2:31">
      <c r="B149" t="s">
        <v>336</v>
      </c>
      <c r="C149" t="s">
        <v>334</v>
      </c>
      <c r="D149" t="s">
        <v>22</v>
      </c>
      <c r="E149" t="s">
        <v>42</v>
      </c>
      <c r="F149">
        <v>1549</v>
      </c>
      <c r="G149">
        <v>65.900000000000006</v>
      </c>
      <c r="N149" t="s">
        <v>337</v>
      </c>
      <c r="O149" s="9" t="s">
        <v>24</v>
      </c>
      <c r="V149" t="str">
        <v>Rwanda</v>
      </c>
      <c r="W149">
        <v>1549</v>
      </c>
      <c r="X149">
        <v>65.900000000000006</v>
      </c>
      <c r="Y149">
        <v>59000</v>
      </c>
      <c r="Z149">
        <v>89.4</v>
      </c>
      <c r="AE149" s="9" t="s">
        <v>24</v>
      </c>
    </row>
    <row r="150" spans="2:31">
      <c r="B150" t="s">
        <v>338</v>
      </c>
      <c r="C150" t="s">
        <v>339</v>
      </c>
      <c r="D150" t="s">
        <v>20</v>
      </c>
      <c r="E150" t="s">
        <v>51</v>
      </c>
      <c r="F150">
        <v>52469</v>
      </c>
      <c r="G150">
        <v>79.5</v>
      </c>
      <c r="N150" t="s">
        <v>340</v>
      </c>
      <c r="O150" s="9" t="s">
        <v>24</v>
      </c>
      <c r="V150" t="str">
        <v>Saudi Arabia</v>
      </c>
      <c r="W150">
        <v>52469</v>
      </c>
      <c r="X150">
        <v>79.5</v>
      </c>
      <c r="Y150">
        <v>59000</v>
      </c>
      <c r="Z150">
        <v>89.4</v>
      </c>
      <c r="AE150" s="9" t="s">
        <v>24</v>
      </c>
    </row>
    <row r="151" spans="2:31">
      <c r="B151" t="s">
        <v>341</v>
      </c>
      <c r="C151" t="s">
        <v>342</v>
      </c>
      <c r="D151" t="s">
        <v>22</v>
      </c>
      <c r="E151" t="s">
        <v>42</v>
      </c>
      <c r="F151">
        <v>3975</v>
      </c>
      <c r="G151">
        <v>67.5</v>
      </c>
      <c r="N151" t="s">
        <v>343</v>
      </c>
      <c r="O151" s="9" t="s">
        <v>24</v>
      </c>
      <c r="V151" t="str">
        <v>Sudan (the)</v>
      </c>
      <c r="W151">
        <v>3975</v>
      </c>
      <c r="X151">
        <v>67.5</v>
      </c>
      <c r="Y151">
        <v>59000</v>
      </c>
      <c r="Z151">
        <v>89.4</v>
      </c>
      <c r="AE151" s="9" t="s">
        <v>24</v>
      </c>
    </row>
    <row r="152" spans="2:31">
      <c r="B152" t="s">
        <v>344</v>
      </c>
      <c r="C152" t="s">
        <v>345</v>
      </c>
      <c r="D152" t="s">
        <v>22</v>
      </c>
      <c r="E152" t="s">
        <v>73</v>
      </c>
      <c r="F152">
        <v>2251</v>
      </c>
      <c r="G152">
        <v>65.3</v>
      </c>
      <c r="N152" t="s">
        <v>339</v>
      </c>
      <c r="O152" s="9" t="s">
        <v>24</v>
      </c>
      <c r="V152" t="str">
        <v>Senegal</v>
      </c>
      <c r="W152">
        <v>2251</v>
      </c>
      <c r="X152">
        <v>65.3</v>
      </c>
      <c r="Y152">
        <v>59000</v>
      </c>
      <c r="Z152">
        <v>89.4</v>
      </c>
      <c r="AE152" s="9" t="s">
        <v>24</v>
      </c>
    </row>
    <row r="153" spans="2:31">
      <c r="B153" t="s">
        <v>346</v>
      </c>
      <c r="C153" t="s">
        <v>347</v>
      </c>
      <c r="D153" t="s">
        <v>47</v>
      </c>
      <c r="E153" t="s">
        <v>47</v>
      </c>
      <c r="F153">
        <v>2047</v>
      </c>
      <c r="G153">
        <v>64</v>
      </c>
      <c r="N153" t="s">
        <v>345</v>
      </c>
      <c r="O153" s="9" t="s">
        <v>24</v>
      </c>
      <c r="V153" t="str">
        <v>Solomon Islands</v>
      </c>
      <c r="W153">
        <v>2047</v>
      </c>
      <c r="X153">
        <v>64</v>
      </c>
      <c r="Y153">
        <v>59000</v>
      </c>
      <c r="Z153">
        <v>89.4</v>
      </c>
      <c r="AE153" s="9" t="s">
        <v>24</v>
      </c>
    </row>
    <row r="154" spans="2:31">
      <c r="B154" t="s">
        <v>348</v>
      </c>
      <c r="C154" t="s">
        <v>349</v>
      </c>
      <c r="D154" t="s">
        <v>22</v>
      </c>
      <c r="E154" t="s">
        <v>73</v>
      </c>
      <c r="F154">
        <v>2085</v>
      </c>
      <c r="G154">
        <v>57.1</v>
      </c>
      <c r="N154" t="s">
        <v>350</v>
      </c>
      <c r="O154" s="9" t="s">
        <v>24</v>
      </c>
      <c r="V154" t="str">
        <v>Sierra Leone</v>
      </c>
      <c r="W154">
        <v>2085</v>
      </c>
      <c r="X154">
        <v>57.1</v>
      </c>
      <c r="Y154">
        <v>59000</v>
      </c>
      <c r="Z154">
        <v>89.4</v>
      </c>
      <c r="AE154" s="9" t="s">
        <v>24</v>
      </c>
    </row>
    <row r="155" spans="2:31">
      <c r="B155" t="s">
        <v>351</v>
      </c>
      <c r="C155" t="s">
        <v>165</v>
      </c>
      <c r="D155" t="s">
        <v>29</v>
      </c>
      <c r="E155" t="s">
        <v>30</v>
      </c>
      <c r="F155">
        <v>7776</v>
      </c>
      <c r="G155">
        <v>74.900000000000006</v>
      </c>
      <c r="N155" t="s">
        <v>352</v>
      </c>
      <c r="O155" s="9" t="s">
        <v>24</v>
      </c>
      <c r="V155" t="str">
        <v>El Salvador</v>
      </c>
      <c r="W155">
        <v>7776</v>
      </c>
      <c r="X155">
        <v>74.900000000000006</v>
      </c>
      <c r="Y155">
        <v>59000</v>
      </c>
      <c r="Z155">
        <v>89.4</v>
      </c>
      <c r="AE155" s="9" t="s">
        <v>24</v>
      </c>
    </row>
    <row r="156" spans="2:31">
      <c r="B156" t="s">
        <v>353</v>
      </c>
      <c r="C156" t="s">
        <v>354</v>
      </c>
      <c r="D156" t="s">
        <v>22</v>
      </c>
      <c r="E156" t="s">
        <v>42</v>
      </c>
      <c r="F156">
        <v>624</v>
      </c>
      <c r="G156">
        <v>54.2</v>
      </c>
      <c r="N156" t="s">
        <v>349</v>
      </c>
      <c r="O156" s="9" t="s">
        <v>24</v>
      </c>
      <c r="V156" t="str">
        <v>Somalia</v>
      </c>
      <c r="W156">
        <v>624</v>
      </c>
      <c r="X156">
        <v>54.2</v>
      </c>
      <c r="Y156">
        <v>59000</v>
      </c>
      <c r="Z156">
        <v>89.4</v>
      </c>
      <c r="AE156" s="9" t="s">
        <v>24</v>
      </c>
    </row>
    <row r="157" spans="2:31">
      <c r="B157" t="s">
        <v>355</v>
      </c>
      <c r="C157" t="s">
        <v>350</v>
      </c>
      <c r="D157" t="s">
        <v>34</v>
      </c>
      <c r="E157" t="s">
        <v>35</v>
      </c>
      <c r="F157">
        <v>12908</v>
      </c>
      <c r="G157">
        <v>76.2</v>
      </c>
      <c r="N157" t="s">
        <v>356</v>
      </c>
      <c r="O157" s="9" t="s">
        <v>24</v>
      </c>
      <c r="V157" t="str">
        <v>Serbia</v>
      </c>
      <c r="W157">
        <v>12908</v>
      </c>
      <c r="X157">
        <v>76.2</v>
      </c>
      <c r="Y157">
        <v>59000</v>
      </c>
      <c r="Z157">
        <v>89.4</v>
      </c>
      <c r="AE157" s="9" t="s">
        <v>24</v>
      </c>
    </row>
    <row r="158" spans="2:31">
      <c r="B158" t="s">
        <v>357</v>
      </c>
      <c r="C158" t="s">
        <v>358</v>
      </c>
      <c r="D158" t="s">
        <v>22</v>
      </c>
      <c r="E158" t="s">
        <v>42</v>
      </c>
      <c r="F158">
        <v>3047</v>
      </c>
      <c r="G158">
        <v>56.1</v>
      </c>
      <c r="N158" t="s">
        <v>359</v>
      </c>
      <c r="O158" s="9" t="s">
        <v>24</v>
      </c>
      <c r="V158" t="str">
        <v>South Sudan</v>
      </c>
      <c r="W158">
        <v>3047</v>
      </c>
      <c r="X158">
        <v>56.1</v>
      </c>
      <c r="Y158">
        <v>59000</v>
      </c>
      <c r="Z158">
        <v>89.4</v>
      </c>
      <c r="AE158" s="9" t="s">
        <v>24</v>
      </c>
    </row>
    <row r="159" spans="2:31">
      <c r="B159" t="s">
        <v>360</v>
      </c>
      <c r="C159" t="s">
        <v>343</v>
      </c>
      <c r="D159" t="s">
        <v>22</v>
      </c>
      <c r="E159" t="s">
        <v>28</v>
      </c>
      <c r="F159">
        <v>3003</v>
      </c>
      <c r="G159">
        <v>68</v>
      </c>
      <c r="N159" t="s">
        <v>347</v>
      </c>
      <c r="O159" s="9" t="s">
        <v>24</v>
      </c>
      <c r="V159" t="str">
        <v>Sao Tome and Principe</v>
      </c>
      <c r="W159">
        <v>3003</v>
      </c>
      <c r="X159">
        <v>68</v>
      </c>
      <c r="Y159">
        <v>59000</v>
      </c>
      <c r="Z159">
        <v>89.4</v>
      </c>
      <c r="AE159" s="9" t="s">
        <v>24</v>
      </c>
    </row>
    <row r="160" spans="2:31">
      <c r="B160" t="s">
        <v>361</v>
      </c>
      <c r="C160" t="s">
        <v>362</v>
      </c>
      <c r="D160" t="s">
        <v>29</v>
      </c>
      <c r="E160" t="s">
        <v>46</v>
      </c>
      <c r="F160">
        <v>17125</v>
      </c>
      <c r="G160">
        <v>72</v>
      </c>
      <c r="N160" t="s">
        <v>354</v>
      </c>
      <c r="O160" s="9" t="s">
        <v>24</v>
      </c>
      <c r="V160" t="str">
        <v>Suriname</v>
      </c>
      <c r="W160">
        <v>17125</v>
      </c>
      <c r="X160">
        <v>72</v>
      </c>
      <c r="Y160">
        <v>59000</v>
      </c>
      <c r="Z160">
        <v>89.4</v>
      </c>
      <c r="AE160" s="9" t="s">
        <v>24</v>
      </c>
    </row>
    <row r="161" spans="2:31">
      <c r="B161" t="s">
        <v>363</v>
      </c>
      <c r="C161" t="s">
        <v>356</v>
      </c>
      <c r="D161" t="s">
        <v>34</v>
      </c>
      <c r="E161" t="s">
        <v>35</v>
      </c>
      <c r="F161">
        <v>27204</v>
      </c>
      <c r="G161">
        <v>77.599999999999994</v>
      </c>
      <c r="N161" t="s">
        <v>364</v>
      </c>
      <c r="O161" s="9" t="s">
        <v>24</v>
      </c>
      <c r="V161" t="str">
        <v>Slovakia</v>
      </c>
      <c r="W161">
        <v>27204</v>
      </c>
      <c r="X161">
        <v>77.599999999999994</v>
      </c>
      <c r="Y161">
        <v>59000</v>
      </c>
      <c r="Z161">
        <v>89.4</v>
      </c>
      <c r="AE161" s="9" t="s">
        <v>24</v>
      </c>
    </row>
    <row r="162" spans="2:31">
      <c r="B162" t="s">
        <v>365</v>
      </c>
      <c r="C162" t="s">
        <v>359</v>
      </c>
      <c r="D162" t="s">
        <v>34</v>
      </c>
      <c r="E162" t="s">
        <v>35</v>
      </c>
      <c r="F162">
        <v>28550</v>
      </c>
      <c r="G162">
        <v>80.900000000000006</v>
      </c>
      <c r="N162" t="s">
        <v>358</v>
      </c>
      <c r="O162" s="9" t="s">
        <v>24</v>
      </c>
      <c r="V162" t="str">
        <v>Slovenia</v>
      </c>
      <c r="W162">
        <v>28550</v>
      </c>
      <c r="X162">
        <v>80.900000000000006</v>
      </c>
      <c r="Y162">
        <v>59000</v>
      </c>
      <c r="Z162">
        <v>89.4</v>
      </c>
      <c r="AE162" s="9" t="s">
        <v>24</v>
      </c>
    </row>
    <row r="163" spans="2:31">
      <c r="B163" t="s">
        <v>366</v>
      </c>
      <c r="C163" t="s">
        <v>367</v>
      </c>
      <c r="D163" t="s">
        <v>34</v>
      </c>
      <c r="E163" t="s">
        <v>41</v>
      </c>
      <c r="F163">
        <v>44892</v>
      </c>
      <c r="G163">
        <v>82.1</v>
      </c>
      <c r="N163" t="s">
        <v>164</v>
      </c>
      <c r="O163" s="9" t="s">
        <v>24</v>
      </c>
      <c r="V163" t="str">
        <v>Sweden</v>
      </c>
      <c r="W163">
        <v>44892</v>
      </c>
      <c r="X163">
        <v>82.1</v>
      </c>
      <c r="Y163">
        <v>59000</v>
      </c>
      <c r="Z163">
        <v>89.4</v>
      </c>
      <c r="AE163" s="9" t="s">
        <v>24</v>
      </c>
    </row>
    <row r="164" spans="2:31">
      <c r="B164" t="s">
        <v>368</v>
      </c>
      <c r="C164" t="s">
        <v>175</v>
      </c>
      <c r="D164" t="s">
        <v>20</v>
      </c>
      <c r="E164" t="s">
        <v>69</v>
      </c>
      <c r="F164">
        <v>6095</v>
      </c>
      <c r="G164">
        <v>51.8</v>
      </c>
      <c r="N164" t="s">
        <v>259</v>
      </c>
      <c r="O164" s="9" t="s">
        <v>24</v>
      </c>
      <c r="V164" t="str">
        <v>Eswatini</v>
      </c>
      <c r="W164">
        <v>6095</v>
      </c>
      <c r="X164">
        <v>51.8</v>
      </c>
      <c r="Y164">
        <v>59000</v>
      </c>
      <c r="Z164">
        <v>89.4</v>
      </c>
      <c r="AE164" s="9" t="s">
        <v>24</v>
      </c>
    </row>
    <row r="165" spans="2:31">
      <c r="B165" t="s">
        <v>369</v>
      </c>
      <c r="C165" t="s">
        <v>352</v>
      </c>
      <c r="D165" t="s">
        <v>22</v>
      </c>
      <c r="E165" t="s">
        <v>42</v>
      </c>
      <c r="F165">
        <v>25684</v>
      </c>
      <c r="G165">
        <v>74.099999999999994</v>
      </c>
      <c r="N165" t="s">
        <v>342</v>
      </c>
      <c r="O165" s="9" t="s">
        <v>24</v>
      </c>
      <c r="V165" t="str">
        <v>Seychelles</v>
      </c>
      <c r="W165">
        <v>25684</v>
      </c>
      <c r="X165">
        <v>74.099999999999994</v>
      </c>
      <c r="Y165">
        <v>59000</v>
      </c>
      <c r="Z165">
        <v>89.4</v>
      </c>
      <c r="AE165" s="9" t="s">
        <v>24</v>
      </c>
    </row>
    <row r="166" spans="2:31">
      <c r="B166" t="s">
        <v>370</v>
      </c>
      <c r="C166" t="s">
        <v>371</v>
      </c>
      <c r="D166" t="s">
        <v>20</v>
      </c>
      <c r="E166" t="s">
        <v>51</v>
      </c>
      <c r="F166">
        <v>4637</v>
      </c>
      <c r="G166">
        <v>68.2</v>
      </c>
      <c r="N166" t="s">
        <v>362</v>
      </c>
      <c r="O166" s="9" t="s">
        <v>24</v>
      </c>
      <c r="V166" t="str">
        <v>Syrian Arab Republic</v>
      </c>
      <c r="W166">
        <v>4637</v>
      </c>
      <c r="X166">
        <v>68.2</v>
      </c>
      <c r="Y166">
        <v>59000</v>
      </c>
      <c r="Z166">
        <v>89.4</v>
      </c>
      <c r="AE166" s="9" t="s">
        <v>24</v>
      </c>
    </row>
    <row r="167" spans="2:31">
      <c r="B167" t="s">
        <v>372</v>
      </c>
      <c r="C167" t="s">
        <v>120</v>
      </c>
      <c r="D167" t="s">
        <v>22</v>
      </c>
      <c r="E167" t="s">
        <v>28</v>
      </c>
      <c r="F167">
        <v>2191</v>
      </c>
      <c r="G167">
        <v>57.4</v>
      </c>
      <c r="N167" t="s">
        <v>367</v>
      </c>
      <c r="O167" s="9" t="s">
        <v>24</v>
      </c>
      <c r="V167" t="str">
        <v>Chad</v>
      </c>
      <c r="W167">
        <v>2191</v>
      </c>
      <c r="X167">
        <v>57.4</v>
      </c>
      <c r="Y167">
        <v>59000</v>
      </c>
      <c r="Z167">
        <v>89.4</v>
      </c>
      <c r="AE167" s="9" t="s">
        <v>24</v>
      </c>
    </row>
    <row r="168" spans="2:31">
      <c r="B168" t="s">
        <v>373</v>
      </c>
      <c r="C168" t="s">
        <v>374</v>
      </c>
      <c r="D168" t="s">
        <v>22</v>
      </c>
      <c r="E168" t="s">
        <v>73</v>
      </c>
      <c r="F168">
        <v>1433</v>
      </c>
      <c r="G168">
        <v>61.5</v>
      </c>
      <c r="N168" t="s">
        <v>110</v>
      </c>
      <c r="O168" s="9" t="s">
        <v>24</v>
      </c>
      <c r="V168" t="str">
        <v>Togo</v>
      </c>
      <c r="W168">
        <v>1433</v>
      </c>
      <c r="X168">
        <v>61.5</v>
      </c>
      <c r="Y168">
        <v>59000</v>
      </c>
      <c r="Z168">
        <v>89.4</v>
      </c>
      <c r="AE168" s="9" t="s">
        <v>24</v>
      </c>
    </row>
    <row r="169" spans="2:31">
      <c r="B169" t="s">
        <v>375</v>
      </c>
      <c r="C169" t="s">
        <v>376</v>
      </c>
      <c r="D169" t="s">
        <v>20</v>
      </c>
      <c r="E169" t="s">
        <v>69</v>
      </c>
      <c r="F169">
        <v>14512</v>
      </c>
      <c r="G169">
        <v>74.7</v>
      </c>
      <c r="N169" t="s">
        <v>371</v>
      </c>
      <c r="O169" s="9" t="s">
        <v>24</v>
      </c>
      <c r="V169" t="str">
        <v>Thailand</v>
      </c>
      <c r="W169">
        <v>14512</v>
      </c>
      <c r="X169">
        <v>74.7</v>
      </c>
      <c r="Y169">
        <v>59000</v>
      </c>
      <c r="Z169">
        <v>89.4</v>
      </c>
      <c r="AE169" s="9" t="s">
        <v>24</v>
      </c>
    </row>
    <row r="170" spans="2:31">
      <c r="B170" t="s">
        <v>377</v>
      </c>
      <c r="C170" t="s">
        <v>378</v>
      </c>
      <c r="D170" t="s">
        <v>20</v>
      </c>
      <c r="E170" t="s">
        <v>36</v>
      </c>
      <c r="F170">
        <v>2582</v>
      </c>
      <c r="G170">
        <v>72.400000000000006</v>
      </c>
      <c r="N170" t="s">
        <v>378</v>
      </c>
      <c r="O170" s="9" t="s">
        <v>24</v>
      </c>
      <c r="V170" t="str">
        <v>Tajikistan</v>
      </c>
      <c r="W170">
        <v>2582</v>
      </c>
      <c r="X170">
        <v>72.400000000000006</v>
      </c>
      <c r="Y170">
        <v>59000</v>
      </c>
      <c r="Z170">
        <v>89.4</v>
      </c>
      <c r="AE170" s="9" t="s">
        <v>24</v>
      </c>
    </row>
    <row r="171" spans="2:31">
      <c r="B171" t="s">
        <v>379</v>
      </c>
      <c r="C171" t="s">
        <v>380</v>
      </c>
      <c r="D171" t="s">
        <v>20</v>
      </c>
      <c r="E171" t="s">
        <v>36</v>
      </c>
      <c r="F171">
        <v>15865</v>
      </c>
      <c r="G171">
        <v>70</v>
      </c>
      <c r="N171" t="s">
        <v>381</v>
      </c>
      <c r="O171" s="9" t="s">
        <v>24</v>
      </c>
      <c r="V171" t="str">
        <v>Turkmenistan</v>
      </c>
      <c r="W171">
        <v>15865</v>
      </c>
      <c r="X171">
        <v>70</v>
      </c>
      <c r="Y171">
        <v>59000</v>
      </c>
      <c r="Z171">
        <v>89.4</v>
      </c>
      <c r="AE171" s="9" t="s">
        <v>24</v>
      </c>
    </row>
    <row r="172" spans="2:31">
      <c r="B172" t="s">
        <v>382</v>
      </c>
      <c r="C172" t="s">
        <v>383</v>
      </c>
      <c r="D172" t="s">
        <v>20</v>
      </c>
      <c r="E172" t="s">
        <v>69</v>
      </c>
      <c r="F172">
        <v>2086</v>
      </c>
      <c r="G172">
        <v>72.400000000000006</v>
      </c>
      <c r="N172" t="s">
        <v>376</v>
      </c>
      <c r="O172" s="9" t="s">
        <v>24</v>
      </c>
      <c r="V172" t="str">
        <v>Timor-Leste</v>
      </c>
      <c r="W172">
        <v>2086</v>
      </c>
      <c r="X172">
        <v>72.400000000000006</v>
      </c>
      <c r="Y172">
        <v>59000</v>
      </c>
      <c r="Z172">
        <v>89.4</v>
      </c>
      <c r="AE172" s="9" t="s">
        <v>24</v>
      </c>
    </row>
    <row r="173" spans="2:31">
      <c r="B173" t="s">
        <v>384</v>
      </c>
      <c r="C173" t="s">
        <v>385</v>
      </c>
      <c r="D173" t="s">
        <v>47</v>
      </c>
      <c r="E173" t="s">
        <v>47</v>
      </c>
      <c r="F173">
        <v>5069</v>
      </c>
      <c r="G173">
        <v>71.5</v>
      </c>
      <c r="N173" t="s">
        <v>383</v>
      </c>
      <c r="O173" s="9" t="s">
        <v>24</v>
      </c>
      <c r="V173" t="str">
        <v>Tonga</v>
      </c>
      <c r="W173">
        <v>5069</v>
      </c>
      <c r="X173">
        <v>71.5</v>
      </c>
      <c r="Y173">
        <v>59000</v>
      </c>
      <c r="Z173">
        <v>89.4</v>
      </c>
      <c r="AE173" s="9" t="s">
        <v>24</v>
      </c>
    </row>
    <row r="174" spans="2:31">
      <c r="B174" t="s">
        <v>386</v>
      </c>
      <c r="C174" t="s">
        <v>387</v>
      </c>
      <c r="D174" t="s">
        <v>29</v>
      </c>
      <c r="E174" t="s">
        <v>23</v>
      </c>
      <c r="F174">
        <v>30113</v>
      </c>
      <c r="G174">
        <v>72.400000000000006</v>
      </c>
      <c r="N174" t="s">
        <v>374</v>
      </c>
      <c r="O174" s="9" t="s">
        <v>24</v>
      </c>
      <c r="V174" t="str">
        <v>Trinidad and Tobago</v>
      </c>
      <c r="W174">
        <v>30113</v>
      </c>
      <c r="X174">
        <v>72.400000000000006</v>
      </c>
      <c r="Y174">
        <v>59000</v>
      </c>
      <c r="Z174">
        <v>89.4</v>
      </c>
      <c r="AE174" s="9" t="s">
        <v>24</v>
      </c>
    </row>
    <row r="175" spans="2:31">
      <c r="B175" t="s">
        <v>388</v>
      </c>
      <c r="C175" t="s">
        <v>389</v>
      </c>
      <c r="D175" t="s">
        <v>22</v>
      </c>
      <c r="E175" t="s">
        <v>61</v>
      </c>
      <c r="F175">
        <v>11126</v>
      </c>
      <c r="G175">
        <v>77.599999999999994</v>
      </c>
      <c r="N175" t="s">
        <v>385</v>
      </c>
      <c r="O175" s="9" t="s">
        <v>24</v>
      </c>
      <c r="V175" t="str">
        <v>Tunisia</v>
      </c>
      <c r="W175">
        <v>11126</v>
      </c>
      <c r="X175">
        <v>77.599999999999994</v>
      </c>
      <c r="Y175">
        <v>59000</v>
      </c>
      <c r="Z175">
        <v>89.4</v>
      </c>
      <c r="AE175" s="9" t="s">
        <v>24</v>
      </c>
    </row>
    <row r="176" spans="2:31">
      <c r="B176" t="s">
        <v>390</v>
      </c>
      <c r="C176" t="s">
        <v>391</v>
      </c>
      <c r="D176" t="s">
        <v>34</v>
      </c>
      <c r="E176" t="s">
        <v>51</v>
      </c>
      <c r="F176">
        <v>19360</v>
      </c>
      <c r="G176">
        <v>79.2</v>
      </c>
      <c r="N176" t="s">
        <v>387</v>
      </c>
      <c r="O176" s="9" t="s">
        <v>24</v>
      </c>
      <c r="V176" t="str">
        <v>Turkey</v>
      </c>
      <c r="W176">
        <v>19360</v>
      </c>
      <c r="X176">
        <v>79.2</v>
      </c>
      <c r="Y176">
        <v>59000</v>
      </c>
      <c r="Z176">
        <v>89.4</v>
      </c>
      <c r="AE176" s="9" t="s">
        <v>24</v>
      </c>
    </row>
    <row r="177" spans="2:31">
      <c r="B177" t="s">
        <v>392</v>
      </c>
      <c r="C177" t="s">
        <v>381</v>
      </c>
      <c r="D177" t="s">
        <v>22</v>
      </c>
      <c r="E177" t="s">
        <v>42</v>
      </c>
      <c r="F177">
        <v>2571</v>
      </c>
      <c r="G177">
        <v>64.099999999999994</v>
      </c>
      <c r="N177" t="s">
        <v>389</v>
      </c>
      <c r="O177" s="9" t="s">
        <v>24</v>
      </c>
      <c r="V177" t="str">
        <v>Tanzania, United Republic of</v>
      </c>
      <c r="W177">
        <v>2571</v>
      </c>
      <c r="X177">
        <v>64.099999999999994</v>
      </c>
      <c r="Y177">
        <v>59000</v>
      </c>
      <c r="Z177">
        <v>89.4</v>
      </c>
      <c r="AE177" s="9" t="s">
        <v>24</v>
      </c>
    </row>
    <row r="178" spans="2:31">
      <c r="B178" t="s">
        <v>393</v>
      </c>
      <c r="C178" t="s">
        <v>394</v>
      </c>
      <c r="D178" t="s">
        <v>22</v>
      </c>
      <c r="E178" t="s">
        <v>42</v>
      </c>
      <c r="F178">
        <v>1680</v>
      </c>
      <c r="G178">
        <v>61.3</v>
      </c>
      <c r="N178" t="s">
        <v>391</v>
      </c>
      <c r="O178" s="9" t="s">
        <v>24</v>
      </c>
      <c r="V178" t="str">
        <v>Uganda</v>
      </c>
      <c r="W178">
        <v>1680</v>
      </c>
      <c r="X178">
        <v>61.3</v>
      </c>
      <c r="Y178">
        <v>59000</v>
      </c>
      <c r="Z178">
        <v>89.4</v>
      </c>
      <c r="AE178" s="9" t="s">
        <v>24</v>
      </c>
    </row>
    <row r="179" spans="2:31">
      <c r="B179" t="s">
        <v>395</v>
      </c>
      <c r="C179" t="s">
        <v>396</v>
      </c>
      <c r="D179" t="s">
        <v>34</v>
      </c>
      <c r="E179" t="s">
        <v>35</v>
      </c>
      <c r="F179">
        <v>8449</v>
      </c>
      <c r="G179">
        <v>71.5</v>
      </c>
      <c r="N179" t="s">
        <v>380</v>
      </c>
      <c r="O179" s="9" t="s">
        <v>24</v>
      </c>
      <c r="V179" t="str">
        <v>Ukraine</v>
      </c>
      <c r="W179">
        <v>8449</v>
      </c>
      <c r="X179">
        <v>71.5</v>
      </c>
      <c r="Y179">
        <v>59000</v>
      </c>
      <c r="Z179">
        <v>89.4</v>
      </c>
      <c r="AE179" s="9" t="s">
        <v>24</v>
      </c>
    </row>
    <row r="180" spans="2:31">
      <c r="B180" t="s">
        <v>397</v>
      </c>
      <c r="C180" t="s">
        <v>398</v>
      </c>
      <c r="D180" t="s">
        <v>29</v>
      </c>
      <c r="E180" t="s">
        <v>46</v>
      </c>
      <c r="F180">
        <v>20438</v>
      </c>
      <c r="G180">
        <v>76.8</v>
      </c>
      <c r="N180" t="s">
        <v>394</v>
      </c>
      <c r="O180" s="9" t="s">
        <v>24</v>
      </c>
      <c r="V180" t="str">
        <v>Uruguay</v>
      </c>
      <c r="W180">
        <v>20438</v>
      </c>
      <c r="X180">
        <v>76.8</v>
      </c>
      <c r="Y180">
        <v>59000</v>
      </c>
      <c r="Z180">
        <v>89.4</v>
      </c>
      <c r="AE180" s="9" t="s">
        <v>24</v>
      </c>
    </row>
    <row r="181" spans="2:31">
      <c r="B181" t="s">
        <v>399</v>
      </c>
      <c r="C181" t="s">
        <v>400</v>
      </c>
      <c r="D181" t="s">
        <v>29</v>
      </c>
      <c r="E181" t="s">
        <v>55</v>
      </c>
      <c r="F181">
        <v>53354</v>
      </c>
      <c r="G181">
        <v>79.099999999999994</v>
      </c>
      <c r="N181" t="s">
        <v>396</v>
      </c>
      <c r="O181" s="9" t="s">
        <v>24</v>
      </c>
      <c r="V181" t="str">
        <v>United States of America (the)</v>
      </c>
      <c r="W181">
        <v>53354</v>
      </c>
      <c r="X181">
        <v>79.099999999999994</v>
      </c>
      <c r="Y181">
        <v>59000</v>
      </c>
      <c r="Z181">
        <v>89.4</v>
      </c>
      <c r="AE181" s="9" t="s">
        <v>24</v>
      </c>
    </row>
    <row r="182" spans="2:31">
      <c r="B182" t="s">
        <v>401</v>
      </c>
      <c r="C182" t="s">
        <v>402</v>
      </c>
      <c r="D182" t="s">
        <v>20</v>
      </c>
      <c r="E182" t="s">
        <v>36</v>
      </c>
      <c r="F182">
        <v>5598</v>
      </c>
      <c r="G182">
        <v>71.8</v>
      </c>
      <c r="N182" t="s">
        <v>183</v>
      </c>
      <c r="O182" s="9" t="s">
        <v>24</v>
      </c>
      <c r="V182" t="str">
        <v>Uzbekistan</v>
      </c>
      <c r="W182">
        <v>5598</v>
      </c>
      <c r="X182">
        <v>71.8</v>
      </c>
      <c r="Y182">
        <v>59000</v>
      </c>
      <c r="Z182">
        <v>89.4</v>
      </c>
      <c r="AE182" s="9" t="s">
        <v>24</v>
      </c>
    </row>
    <row r="183" spans="2:31">
      <c r="B183" t="s">
        <v>403</v>
      </c>
      <c r="C183" t="s">
        <v>337</v>
      </c>
      <c r="D183" t="s">
        <v>29</v>
      </c>
      <c r="E183" t="s">
        <v>23</v>
      </c>
      <c r="F183">
        <v>10435</v>
      </c>
      <c r="G183">
        <v>71.2</v>
      </c>
      <c r="N183" t="s">
        <v>400</v>
      </c>
      <c r="O183" s="9" t="s">
        <v>24</v>
      </c>
      <c r="V183" t="str">
        <v>Saint Vincent and the Grenadines</v>
      </c>
      <c r="W183">
        <v>10435</v>
      </c>
      <c r="X183">
        <v>71.2</v>
      </c>
      <c r="Y183">
        <v>59000</v>
      </c>
      <c r="Z183">
        <v>89.4</v>
      </c>
      <c r="AE183" s="9" t="s">
        <v>24</v>
      </c>
    </row>
    <row r="184" spans="2:31">
      <c r="B184" t="s">
        <v>404</v>
      </c>
      <c r="C184" t="s">
        <v>405</v>
      </c>
      <c r="D184" t="s">
        <v>29</v>
      </c>
      <c r="E184" t="s">
        <v>46</v>
      </c>
      <c r="F184">
        <v>15753</v>
      </c>
      <c r="G184">
        <v>74.8</v>
      </c>
      <c r="N184" t="s">
        <v>398</v>
      </c>
      <c r="O184" s="9" t="s">
        <v>24</v>
      </c>
      <c r="V184" t="str">
        <v>Venezuela (Bolivarian Republic of)</v>
      </c>
      <c r="W184">
        <v>15753</v>
      </c>
      <c r="X184">
        <v>74.8</v>
      </c>
      <c r="Y184">
        <v>59000</v>
      </c>
      <c r="Z184">
        <v>89.4</v>
      </c>
      <c r="AE184" s="9" t="s">
        <v>24</v>
      </c>
    </row>
    <row r="185" spans="2:31">
      <c r="B185" t="s">
        <v>406</v>
      </c>
      <c r="C185" t="s">
        <v>407</v>
      </c>
      <c r="D185" t="s">
        <v>20</v>
      </c>
      <c r="E185" t="s">
        <v>69</v>
      </c>
      <c r="F185">
        <v>5623</v>
      </c>
      <c r="G185">
        <v>75.400000000000006</v>
      </c>
      <c r="N185" t="s">
        <v>402</v>
      </c>
      <c r="O185" s="9" t="s">
        <v>24</v>
      </c>
      <c r="V185" t="str">
        <v>Viet Nam</v>
      </c>
      <c r="W185">
        <v>5623</v>
      </c>
      <c r="X185">
        <v>75.400000000000006</v>
      </c>
      <c r="Y185">
        <v>59000</v>
      </c>
      <c r="Z185">
        <v>89.4</v>
      </c>
      <c r="AE185" s="9" t="s">
        <v>24</v>
      </c>
    </row>
    <row r="186" spans="2:31">
      <c r="B186" t="s">
        <v>408</v>
      </c>
      <c r="C186" t="s">
        <v>409</v>
      </c>
      <c r="D186" t="s">
        <v>47</v>
      </c>
      <c r="E186" t="s">
        <v>47</v>
      </c>
      <c r="F186">
        <v>2912</v>
      </c>
      <c r="G186">
        <v>64.900000000000006</v>
      </c>
      <c r="N186" t="s">
        <v>409</v>
      </c>
      <c r="O186" s="9" t="s">
        <v>24</v>
      </c>
      <c r="V186" t="str">
        <v>Vanuatu</v>
      </c>
      <c r="W186">
        <v>2912</v>
      </c>
      <c r="X186">
        <v>64.900000000000006</v>
      </c>
      <c r="Y186">
        <v>59000</v>
      </c>
      <c r="Z186">
        <v>89.4</v>
      </c>
      <c r="AE186" s="9" t="s">
        <v>24</v>
      </c>
    </row>
    <row r="187" spans="2:31">
      <c r="B187" t="s">
        <v>410</v>
      </c>
      <c r="C187" t="s">
        <v>340</v>
      </c>
      <c r="D187" t="s">
        <v>47</v>
      </c>
      <c r="E187" t="s">
        <v>47</v>
      </c>
      <c r="F187">
        <v>5558</v>
      </c>
      <c r="G187">
        <v>73.2</v>
      </c>
      <c r="N187" t="s">
        <v>405</v>
      </c>
      <c r="O187" s="9" t="s">
        <v>24</v>
      </c>
      <c r="V187" t="str">
        <v>Samoa</v>
      </c>
      <c r="W187">
        <v>5558</v>
      </c>
      <c r="X187">
        <v>73.2</v>
      </c>
      <c r="Y187">
        <v>59000</v>
      </c>
      <c r="Z187">
        <v>89.4</v>
      </c>
      <c r="AE187" s="9" t="s">
        <v>24</v>
      </c>
    </row>
    <row r="188" spans="2:31">
      <c r="B188" t="s">
        <v>411</v>
      </c>
      <c r="C188" t="s">
        <v>412</v>
      </c>
      <c r="D188" t="s">
        <v>20</v>
      </c>
      <c r="E188" t="s">
        <v>51</v>
      </c>
      <c r="F188">
        <v>3887</v>
      </c>
      <c r="G188">
        <v>66</v>
      </c>
      <c r="N188" t="s">
        <v>407</v>
      </c>
      <c r="O188" s="9" t="s">
        <v>24</v>
      </c>
      <c r="V188" t="str">
        <v>Yemen</v>
      </c>
      <c r="W188">
        <v>3887</v>
      </c>
      <c r="X188">
        <v>66</v>
      </c>
      <c r="Y188">
        <v>59000</v>
      </c>
      <c r="Z188">
        <v>89.4</v>
      </c>
      <c r="AE188" s="9" t="s">
        <v>24</v>
      </c>
    </row>
    <row r="189" spans="2:31">
      <c r="B189" t="s">
        <v>413</v>
      </c>
      <c r="C189" t="s">
        <v>364</v>
      </c>
      <c r="D189" t="s">
        <v>22</v>
      </c>
      <c r="E189" t="s">
        <v>74</v>
      </c>
      <c r="F189">
        <v>12509</v>
      </c>
      <c r="G189">
        <v>61.3</v>
      </c>
      <c r="N189" t="s">
        <v>412</v>
      </c>
      <c r="O189" s="9" t="s">
        <v>24</v>
      </c>
      <c r="V189" t="str">
        <v>South Africa</v>
      </c>
      <c r="W189">
        <v>12509</v>
      </c>
      <c r="X189">
        <v>61.3</v>
      </c>
      <c r="Y189">
        <v>59000</v>
      </c>
      <c r="Z189">
        <v>89.4</v>
      </c>
      <c r="AE189" s="9" t="s">
        <v>24</v>
      </c>
    </row>
    <row r="190" spans="2:31">
      <c r="B190" t="s">
        <v>414</v>
      </c>
      <c r="C190" t="s">
        <v>415</v>
      </c>
      <c r="D190" t="s">
        <v>22</v>
      </c>
      <c r="E190" t="s">
        <v>42</v>
      </c>
      <c r="F190">
        <v>4034</v>
      </c>
      <c r="G190">
        <v>56.7</v>
      </c>
      <c r="N190" t="s">
        <v>415</v>
      </c>
      <c r="O190" s="9" t="s">
        <v>24</v>
      </c>
      <c r="V190" t="str">
        <v>Zambia</v>
      </c>
      <c r="W190">
        <v>4034</v>
      </c>
      <c r="X190">
        <v>56.7</v>
      </c>
      <c r="Y190">
        <v>59000</v>
      </c>
      <c r="Z190">
        <v>89.4</v>
      </c>
      <c r="AE190" s="9" t="s">
        <v>24</v>
      </c>
    </row>
    <row r="191" spans="2:31">
      <c r="B191" t="s">
        <v>416</v>
      </c>
      <c r="C191" t="s">
        <v>417</v>
      </c>
      <c r="D191" t="s">
        <v>22</v>
      </c>
      <c r="E191" t="s">
        <v>42</v>
      </c>
      <c r="F191">
        <v>1801</v>
      </c>
      <c r="G191">
        <v>59.3</v>
      </c>
      <c r="N191" t="s">
        <v>417</v>
      </c>
      <c r="O191" s="9" t="s">
        <v>24</v>
      </c>
      <c r="V191" t="str">
        <v>Zimbabwe</v>
      </c>
      <c r="W191">
        <v>1801</v>
      </c>
      <c r="X191">
        <v>59.3</v>
      </c>
      <c r="Y191">
        <v>59000</v>
      </c>
      <c r="Z191">
        <v>89.4</v>
      </c>
      <c r="AE191" s="9" t="s">
        <v>24</v>
      </c>
    </row>
    <row r="192" spans="2:31">
      <c r="AE192" s="9" t="s">
        <v>24</v>
      </c>
    </row>
    <row r="193"/>
    <row r="194"/>
    <row r="195"/>
    <row r="196"/>
    <row r="197"/>
    <row r="198"/>
    <row r="199"/>
    <row r="200"/>
  </sheetData>
  <hyperlinks>
    <hyperlink ref="Q36" r:id="rId5" xr:uid="{0F649B60-66D0-469E-933A-CAA6B84D0F74}"/>
    <hyperlink ref="Q39" r:id="rId6" xr:uid="{14177C68-9159-4BF3-A535-BF66EC682301}"/>
  </hyperlinks>
  <pageMargins left="0.7" right="0.7" top="0.75" bottom="0.75" header="0.3" footer="0.3"/>
  <pageSetup orientation="portrait" horizontalDpi="4294967293" verticalDpi="200" r:id="rId7"/>
  <drawing r:id="rId8"/>
  <legacyDrawing r:id="rId9"/>
  <mc:AlternateContent xmlns:mc="http://schemas.openxmlformats.org/markup-compatibility/2006">
    <mc:Choice Requires="x14">
      <controls>
        <mc:AlternateContent xmlns:mc="http://schemas.openxmlformats.org/markup-compatibility/2006">
          <mc:Choice Requires="x14">
            <control shapeId="2049" r:id="rId10" name="List Box 1">
              <controlPr defaultSize="0" autoLine="0" autoPict="0">
                <anchor moveWithCells="1">
                  <from>
                    <xdr:col>45</xdr:col>
                    <xdr:colOff>114300</xdr:colOff>
                    <xdr:row>4</xdr:row>
                    <xdr:rowOff>83820</xdr:rowOff>
                  </from>
                  <to>
                    <xdr:col>48</xdr:col>
                    <xdr:colOff>38100</xdr:colOff>
                    <xdr:row>11</xdr:row>
                    <xdr:rowOff>68580</xdr:rowOff>
                  </to>
                </anchor>
              </controlPr>
            </control>
          </mc:Choice>
        </mc:AlternateContent>
        <mc:AlternateContent xmlns:mc="http://schemas.openxmlformats.org/markup-compatibility/2006">
          <mc:Choice Requires="x14">
            <control shapeId="2050" r:id="rId11" name="List Box 2">
              <controlPr defaultSize="0" autoLine="0" autoPict="0">
                <anchor moveWithCells="1">
                  <from>
                    <xdr:col>45</xdr:col>
                    <xdr:colOff>114300</xdr:colOff>
                    <xdr:row>13</xdr:row>
                    <xdr:rowOff>91440</xdr:rowOff>
                  </from>
                  <to>
                    <xdr:col>48</xdr:col>
                    <xdr:colOff>38100</xdr:colOff>
                    <xdr:row>19</xdr:row>
                    <xdr:rowOff>68580</xdr:rowOff>
                  </to>
                </anchor>
              </controlPr>
            </control>
          </mc:Choice>
        </mc:AlternateContent>
        <mc:AlternateContent xmlns:mc="http://schemas.openxmlformats.org/markup-compatibility/2006">
          <mc:Choice Requires="x14">
            <control shapeId="2052" r:id="rId12" name="List Box 4">
              <controlPr defaultSize="0" autoLine="0" autoPict="0">
                <anchor moveWithCells="1">
                  <from>
                    <xdr:col>45</xdr:col>
                    <xdr:colOff>106680</xdr:colOff>
                    <xdr:row>21</xdr:row>
                    <xdr:rowOff>106680</xdr:rowOff>
                  </from>
                  <to>
                    <xdr:col>48</xdr:col>
                    <xdr:colOff>45720</xdr:colOff>
                    <xdr:row>28</xdr:row>
                    <xdr:rowOff>114300</xdr:rowOff>
                  </to>
                </anchor>
              </controlPr>
            </control>
          </mc:Choice>
        </mc:AlternateContent>
        <mc:AlternateContent xmlns:mc="http://schemas.openxmlformats.org/markup-compatibility/2006">
          <mc:Choice Requires="x14">
            <control shapeId="2053" r:id="rId13" name="List Box 5">
              <controlPr defaultSize="0" autoLine="0" autoPict="0">
                <anchor moveWithCells="1">
                  <from>
                    <xdr:col>45</xdr:col>
                    <xdr:colOff>106680</xdr:colOff>
                    <xdr:row>31</xdr:row>
                    <xdr:rowOff>53340</xdr:rowOff>
                  </from>
                  <to>
                    <xdr:col>48</xdr:col>
                    <xdr:colOff>45720</xdr:colOff>
                    <xdr:row>40</xdr:row>
                    <xdr:rowOff>76200</xdr:rowOff>
                  </to>
                </anchor>
              </controlPr>
            </control>
          </mc:Choice>
        </mc:AlternateContent>
        <mc:AlternateContent xmlns:mc="http://schemas.openxmlformats.org/markup-compatibility/2006">
          <mc:Choice Requires="x14">
            <control shapeId="2054" r:id="rId14" name="Option Button 6">
              <controlPr defaultSize="0" autoFill="0" autoLine="0" autoPict="0">
                <anchor moveWithCells="1">
                  <from>
                    <xdr:col>44</xdr:col>
                    <xdr:colOff>472440</xdr:colOff>
                    <xdr:row>41</xdr:row>
                    <xdr:rowOff>0</xdr:rowOff>
                  </from>
                  <to>
                    <xdr:col>48</xdr:col>
                    <xdr:colOff>198120</xdr:colOff>
                    <xdr:row>42</xdr:row>
                    <xdr:rowOff>91440</xdr:rowOff>
                  </to>
                </anchor>
              </controlPr>
            </control>
          </mc:Choice>
        </mc:AlternateContent>
        <mc:AlternateContent xmlns:mc="http://schemas.openxmlformats.org/markup-compatibility/2006">
          <mc:Choice Requires="x14">
            <control shapeId="2055" r:id="rId15" name="Option Button 7">
              <controlPr defaultSize="0" autoFill="0" autoLine="0" autoPict="0">
                <anchor moveWithCells="1">
                  <from>
                    <xdr:col>44</xdr:col>
                    <xdr:colOff>472440</xdr:colOff>
                    <xdr:row>42</xdr:row>
                    <xdr:rowOff>114300</xdr:rowOff>
                  </from>
                  <to>
                    <xdr:col>48</xdr:col>
                    <xdr:colOff>152400</xdr:colOff>
                    <xdr:row>44</xdr:row>
                    <xdr:rowOff>91440</xdr:rowOff>
                  </to>
                </anchor>
              </controlPr>
            </control>
          </mc:Choice>
        </mc:AlternateContent>
      </controls>
    </mc:Choice>
  </mc:AlternateContent>
  <tableParts count="1">
    <tablePart r:id="rId16"/>
  </tableParts>
  <extLst>
    <ext xmlns:x14="http://schemas.microsoft.com/office/spreadsheetml/2009/9/main" uri="{A8765BA9-456A-4dab-B4F3-ACF838C121DE}">
      <x14:slicerList>
        <x14:slicer r:id="rId1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3B82-BB0A-4723-ACDE-E966855B3688}">
  <sheetPr codeName="Sheet3"/>
  <dimension ref="A1:L34"/>
  <sheetViews>
    <sheetView showGridLines="0" tabSelected="1" zoomScale="80" zoomScaleNormal="80" workbookViewId="0"/>
  </sheetViews>
  <sheetFormatPr defaultColWidth="0" defaultRowHeight="14.4" customHeight="1" zeroHeight="1"/>
  <cols>
    <col min="1" max="2" width="14.85546875" style="1" customWidth="1"/>
    <col min="3" max="3" width="8.7109375" style="1" customWidth="1"/>
    <col min="4" max="12" width="14.85546875" style="1" customWidth="1"/>
    <col min="13" max="16384" width="14.85546875" style="1" hidden="1"/>
  </cols>
  <sheetData>
    <row r="1" s="1" customFormat="1" ht="14.4" customHeight="1"/>
    <row r="2" s="1" customFormat="1" ht="14.4" customHeight="1"/>
    <row r="3" s="1" customFormat="1" ht="14.4" customHeight="1"/>
    <row r="4" s="1" customFormat="1"/>
    <row r="5" s="1" customFormat="1"/>
    <row r="6" s="1" customFormat="1"/>
    <row r="7" s="1" customFormat="1"/>
    <row r="8" s="1" customFormat="1"/>
    <row r="9" s="1" customFormat="1"/>
    <row r="10" s="1" customFormat="1"/>
    <row r="11" s="1" customFormat="1"/>
    <row r="12" s="1" customFormat="1"/>
    <row r="13" s="1" customFormat="1"/>
    <row r="14" s="1" customFormat="1"/>
    <row r="15" s="1" customFormat="1"/>
    <row r="16" s="1" customFormat="1"/>
    <row r="17" spans="6:7"/>
    <row r="18" spans="6:7"/>
    <row r="19" spans="6:7"/>
    <row r="20" spans="6:7"/>
    <row r="21" spans="6:7"/>
    <row r="22" spans="6:7"/>
    <row r="23" spans="6:7"/>
    <row r="24" spans="6:7"/>
    <row r="25" spans="6:7"/>
    <row r="26" spans="6:7"/>
    <row r="27" spans="6:7"/>
    <row r="28" spans="6:7"/>
    <row r="29" spans="6:7">
      <c r="F29" s="2" t="s">
        <v>418</v>
      </c>
      <c r="G29" s="3" t="s">
        <v>419</v>
      </c>
    </row>
    <row r="30" spans="6:7">
      <c r="F30" s="2"/>
      <c r="G30" s="3"/>
    </row>
    <row r="31" spans="6:7">
      <c r="F31" s="2"/>
      <c r="G31" s="4"/>
    </row>
    <row r="32" spans="6:7">
      <c r="F32" s="2"/>
      <c r="G32" s="5"/>
    </row>
    <row r="33" spans="6:7">
      <c r="F33" s="2"/>
      <c r="G33" s="6"/>
    </row>
    <row r="34" spans="6:7"/>
  </sheetData>
  <hyperlinks>
    <hyperlink ref="G29" r:id="rId1" display="https://www.linkedin.com/in/ca-bc" xr:uid="{27241813-A17A-4C22-8014-AA8BB3EAA628}"/>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inspiration</vt:lpstr>
      <vt:lpstr>example</vt:lpstr>
      <vt:lpstr>thank you!</vt:lpstr>
    </vt:vector>
  </TitlesOfParts>
  <Manager/>
  <Company>xlor.la</Company>
  <LinksUpToDate>false</LinksUpToDate>
  <SharedDoc>false</SharedDoc>
  <HyperlinkBase>https://www.linkedin.com/in/merod/</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Excel Charts with Dynamic Arrays</dc:subject>
  <dc:creator>cabc</dc:creator>
  <cp:keywords/>
  <dc:description/>
  <cp:lastModifiedBy>Carlos Barboza</cp:lastModifiedBy>
  <cp:revision/>
  <dcterms:created xsi:type="dcterms:W3CDTF">2021-04-16T01:17:48Z</dcterms:created>
  <dcterms:modified xsi:type="dcterms:W3CDTF">2023-01-22T21:20:56Z</dcterms:modified>
  <cp:category>Charting</cp:category>
  <cp:contentStatus>completed</cp:contentStatus>
</cp:coreProperties>
</file>